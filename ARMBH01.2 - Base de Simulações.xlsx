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s compartilhados\ARMBH01.2 - Matozinhos\04. Desenvolvimento\01. Técnico\2.1 - Estudos de Engenharia\02. Simulações\03. Simuladas\"/>
    </mc:Choice>
  </mc:AlternateContent>
  <xr:revisionPtr revIDLastSave="0" documentId="13_ncr:1_{8B85EA64-3D12-4E7A-BB06-B8BDFF5F163D}" xr6:coauthVersionLast="47" xr6:coauthVersionMax="47" xr10:uidLastSave="{00000000-0000-0000-0000-000000000000}"/>
  <bookViews>
    <workbookView xWindow="28680" yWindow="-120" windowWidth="29040" windowHeight="15720" tabRatio="750" firstSheet="1" activeTab="1" xr2:uid="{00000000-000D-0000-FFFF-FFFF00000000}"/>
  </bookViews>
  <sheets>
    <sheet name="DefiniçãoFornecedores" sheetId="1" r:id="rId1"/>
    <sheet name="Simulações" sheetId="2" r:id="rId2"/>
    <sheet name="Planilha1" sheetId="3" state="hidden" r:id="rId3"/>
    <sheet name="FaixaDistPostes" sheetId="4" state="hidden" r:id="rId4"/>
    <sheet name="CPE" sheetId="7" r:id="rId5"/>
    <sheet name="Braços de IP" sheetId="6" r:id="rId6"/>
    <sheet name="Planilha2" sheetId="8" state="hidden" r:id="rId7"/>
    <sheet name="Banco de dados" sheetId="9" r:id="rId8"/>
    <sheet name="AnáliseFornecedores" sheetId="10" state="hidden" r:id="rId9"/>
    <sheet name="Banco_Tipologias" sheetId="11" state="hidden" r:id="rId10"/>
    <sheet name="ABNT5101" sheetId="12" r:id="rId11"/>
    <sheet name="Recorrência" sheetId="13" state="hidden" r:id="rId12"/>
    <sheet name="Recorrência_v2" sheetId="18" r:id="rId13"/>
    <sheet name="Base" sheetId="14" r:id="rId14"/>
    <sheet name="Tabela dinâmica" sheetId="15" r:id="rId15"/>
  </sheets>
  <externalReferences>
    <externalReference r:id="rId16"/>
  </externalReferences>
  <definedNames>
    <definedName name="_xlnm._FilterDatabase" localSheetId="7" hidden="1">'Banco de dados'!$B$3:$N$49</definedName>
    <definedName name="_xlnm._FilterDatabase" localSheetId="13" hidden="1">Base!$A$1:$O$964</definedName>
    <definedName name="_xlnm._FilterDatabase" localSheetId="2" hidden="1">Planilha1!$B$1:$C$27</definedName>
    <definedName name="_xlnm._FilterDatabase" localSheetId="11" hidden="1">Recorrência!$A$1:$K$41</definedName>
    <definedName name="_xlnm._FilterDatabase" localSheetId="1" hidden="1">Simulações!$A$1:$DV$25</definedName>
    <definedName name="Banco_Tipologias">Banco_Tipologias!$C$4:$N$17</definedName>
    <definedName name="colunaclasses">Simulações!$BS$2:$BS$25</definedName>
    <definedName name="ilumatic" localSheetId="10">'[1]Banco de dados (2)'!#REF!</definedName>
    <definedName name="ilumatic">'Banco de dados'!#REF!</definedName>
    <definedName name="philips" localSheetId="10">'[1]Banco de dados (2)'!#REF!</definedName>
    <definedName name="philips">'Banco de dados'!#REF!</definedName>
    <definedName name="red_global" localSheetId="10">'[1]Banco de dados (2)'!#REF!</definedName>
    <definedName name="red_global">'Banco de dados'!#REF!</definedName>
    <definedName name="red_juganu" localSheetId="10">'[1]Banco de dados (2)'!#REF!</definedName>
    <definedName name="red_juganu">'Banco de dados'!#REF!</definedName>
    <definedName name="red_philips" localSheetId="10">'[1]Banco de dados (2)'!#REF!</definedName>
    <definedName name="red_philips">'Banco de dados'!#REF!</definedName>
    <definedName name="red_repume" localSheetId="10">'[1]Banco de dados (2)'!#REF!</definedName>
    <definedName name="red_repume">'Banco de dados'!#REF!</definedName>
    <definedName name="red_tecno" localSheetId="10">'[1]Banco de dados (2)'!#REF!</definedName>
    <definedName name="red_tecno">'Banco de dados'!#REF!</definedName>
    <definedName name="redglobal" localSheetId="10">'[1]Banco de dados (2)'!#REF!</definedName>
    <definedName name="redglobal">'Banco de dados'!#REF!</definedName>
    <definedName name="tecnowat" localSheetId="10">'[1]Banco de dados (2)'!#REF!</definedName>
    <definedName name="tecnowat">'Banco de dados'!#REF!</definedName>
  </definedNames>
  <calcPr calcId="191029"/>
  <pivotCaches>
    <pivotCache cacheId="0" r:id="rId17"/>
    <pivotCache cacheId="1" r:id="rId18"/>
    <pivotCache cacheId="2" r:id="rId1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M25" i="2" l="1"/>
  <c r="CM24" i="2"/>
  <c r="CM23" i="2"/>
  <c r="CM13" i="2"/>
  <c r="CM12" i="2"/>
  <c r="CM11" i="2"/>
  <c r="CM19" i="2"/>
  <c r="CM18" i="2"/>
  <c r="CM17" i="2"/>
  <c r="CM7" i="2"/>
  <c r="CM6" i="2"/>
  <c r="CM5" i="2"/>
  <c r="CM16" i="2"/>
  <c r="CM15" i="2"/>
  <c r="CM14" i="2"/>
  <c r="CM4" i="2"/>
  <c r="CM3" i="2"/>
  <c r="CM2" i="2"/>
  <c r="CM22" i="2"/>
  <c r="CM21" i="2"/>
  <c r="CM20" i="2"/>
  <c r="CM10" i="2"/>
  <c r="CM9" i="2"/>
  <c r="CM8" i="2"/>
  <c r="AL18" i="2" l="1"/>
  <c r="AL19" i="2"/>
  <c r="AL15" i="2"/>
  <c r="AL16" i="2"/>
  <c r="AL12" i="2"/>
  <c r="AL13" i="2"/>
  <c r="AL9" i="2"/>
  <c r="AL10" i="2"/>
  <c r="AL6" i="2"/>
  <c r="AL7" i="2"/>
  <c r="AL3" i="2"/>
  <c r="AL4" i="2"/>
  <c r="AP2" i="2"/>
  <c r="AW2" i="2"/>
  <c r="AY2" i="2"/>
  <c r="BP2" i="2" s="1"/>
  <c r="AZ2" i="2"/>
  <c r="BQ2" i="2" s="1"/>
  <c r="BA2" i="2"/>
  <c r="BR2" i="2" s="1"/>
  <c r="BB2" i="2"/>
  <c r="BC2" i="2"/>
  <c r="BD2" i="2"/>
  <c r="BG2" i="2"/>
  <c r="BH2" i="2"/>
  <c r="BS2" i="2"/>
  <c r="BT2" i="2"/>
  <c r="CC2" i="2" s="1"/>
  <c r="CJ2" i="2" s="1"/>
  <c r="CD2" i="2"/>
  <c r="CL2" i="2"/>
  <c r="CN2" i="2"/>
  <c r="CP2" i="2"/>
  <c r="CQ2" i="2"/>
  <c r="CR2" i="2"/>
  <c r="DH2" i="2" s="1"/>
  <c r="CS2" i="2"/>
  <c r="CT2" i="2"/>
  <c r="CU2" i="2"/>
  <c r="CX2" i="2"/>
  <c r="CZ2" i="2"/>
  <c r="DA2" i="2"/>
  <c r="DI2" i="2"/>
  <c r="AP3" i="2"/>
  <c r="AW3" i="2"/>
  <c r="AY3" i="2"/>
  <c r="BP3" i="2" s="1"/>
  <c r="AZ3" i="2"/>
  <c r="BG3" i="2" s="1"/>
  <c r="BA3" i="2"/>
  <c r="BR3" i="2" s="1"/>
  <c r="BB3" i="2"/>
  <c r="BC3" i="2"/>
  <c r="BD3" i="2"/>
  <c r="BH3" i="2"/>
  <c r="BS3" i="2"/>
  <c r="BT3" i="2"/>
  <c r="CD3" i="2"/>
  <c r="CL3" i="2"/>
  <c r="CN3" i="2"/>
  <c r="CP3" i="2"/>
  <c r="CQ3" i="2"/>
  <c r="CR3" i="2"/>
  <c r="CS3" i="2"/>
  <c r="CT3" i="2"/>
  <c r="CU3" i="2"/>
  <c r="CX3" i="2"/>
  <c r="CZ3" i="2"/>
  <c r="DA3" i="2"/>
  <c r="DI3" i="2"/>
  <c r="AP4" i="2"/>
  <c r="AW4" i="2"/>
  <c r="AY4" i="2"/>
  <c r="BF4" i="2" s="1"/>
  <c r="AZ4" i="2"/>
  <c r="BA4" i="2"/>
  <c r="BR4" i="2" s="1"/>
  <c r="BB4" i="2"/>
  <c r="BC4" i="2"/>
  <c r="BD4" i="2"/>
  <c r="BH4" i="2"/>
  <c r="BS4" i="2"/>
  <c r="BT4" i="2"/>
  <c r="CD4" i="2"/>
  <c r="CL4" i="2"/>
  <c r="CN4" i="2"/>
  <c r="CP4" i="2"/>
  <c r="CQ4" i="2"/>
  <c r="CR4" i="2"/>
  <c r="DH4" i="2" s="1"/>
  <c r="CS4" i="2"/>
  <c r="CT4" i="2"/>
  <c r="CU4" i="2"/>
  <c r="CX4" i="2"/>
  <c r="CZ4" i="2"/>
  <c r="DA4" i="2"/>
  <c r="DI4" i="2"/>
  <c r="AP5" i="2"/>
  <c r="AW5" i="2"/>
  <c r="AY5" i="2"/>
  <c r="AZ5" i="2"/>
  <c r="BA5" i="2"/>
  <c r="BR5" i="2" s="1"/>
  <c r="BB5" i="2"/>
  <c r="BC5" i="2"/>
  <c r="BD5" i="2"/>
  <c r="BH5" i="2"/>
  <c r="BS5" i="2"/>
  <c r="BT5" i="2"/>
  <c r="BX5" i="2" s="1"/>
  <c r="BU5" i="2" s="1"/>
  <c r="CD5" i="2"/>
  <c r="CL5" i="2"/>
  <c r="CN5" i="2"/>
  <c r="CP5" i="2"/>
  <c r="CQ5" i="2"/>
  <c r="CR5" i="2"/>
  <c r="DH5" i="2" s="1"/>
  <c r="CS5" i="2"/>
  <c r="CT5" i="2"/>
  <c r="CU5" i="2"/>
  <c r="CX5" i="2"/>
  <c r="CZ5" i="2"/>
  <c r="DA5" i="2"/>
  <c r="DI5" i="2"/>
  <c r="AP6" i="2"/>
  <c r="AW6" i="2"/>
  <c r="AY6" i="2"/>
  <c r="BP6" i="2" s="1"/>
  <c r="AZ6" i="2"/>
  <c r="BG6" i="2" s="1"/>
  <c r="BA6" i="2"/>
  <c r="BR6" i="2" s="1"/>
  <c r="BB6" i="2"/>
  <c r="BC6" i="2"/>
  <c r="BD6" i="2"/>
  <c r="BH6" i="2"/>
  <c r="BS6" i="2"/>
  <c r="BT6" i="2"/>
  <c r="BX6" i="2" s="1"/>
  <c r="CA6" i="2" s="1"/>
  <c r="CD6" i="2"/>
  <c r="CL6" i="2"/>
  <c r="CN6" i="2"/>
  <c r="CP6" i="2"/>
  <c r="CQ6" i="2"/>
  <c r="CR6" i="2"/>
  <c r="CS6" i="2"/>
  <c r="CT6" i="2"/>
  <c r="CU6" i="2"/>
  <c r="CX6" i="2"/>
  <c r="CZ6" i="2"/>
  <c r="DA6" i="2"/>
  <c r="DI6" i="2"/>
  <c r="AP7" i="2"/>
  <c r="AW7" i="2"/>
  <c r="AY7" i="2"/>
  <c r="AZ7" i="2"/>
  <c r="BQ7" i="2" s="1"/>
  <c r="BA7" i="2"/>
  <c r="BR7" i="2" s="1"/>
  <c r="BB7" i="2"/>
  <c r="BC7" i="2"/>
  <c r="BD7" i="2"/>
  <c r="BH7" i="2"/>
  <c r="BS7" i="2"/>
  <c r="BT7" i="2"/>
  <c r="BY7" i="2" s="1"/>
  <c r="CD7" i="2"/>
  <c r="CL7" i="2"/>
  <c r="CN7" i="2"/>
  <c r="CP7" i="2"/>
  <c r="CQ7" i="2"/>
  <c r="CR7" i="2"/>
  <c r="CS7" i="2"/>
  <c r="CT7" i="2"/>
  <c r="CU7" i="2"/>
  <c r="CX7" i="2"/>
  <c r="CZ7" i="2"/>
  <c r="DA7" i="2"/>
  <c r="DI7" i="2"/>
  <c r="AP8" i="2"/>
  <c r="AW8" i="2"/>
  <c r="AY8" i="2"/>
  <c r="AZ8" i="2"/>
  <c r="BA8" i="2"/>
  <c r="BR8" i="2" s="1"/>
  <c r="BB8" i="2"/>
  <c r="BC8" i="2"/>
  <c r="BD8" i="2"/>
  <c r="BH8" i="2"/>
  <c r="BS8" i="2"/>
  <c r="BT8" i="2"/>
  <c r="CC8" i="2" s="1"/>
  <c r="CJ8" i="2" s="1"/>
  <c r="CD8" i="2"/>
  <c r="CL8" i="2"/>
  <c r="CN8" i="2"/>
  <c r="CP8" i="2"/>
  <c r="CQ8" i="2"/>
  <c r="CR8" i="2"/>
  <c r="DQ8" i="2" s="1"/>
  <c r="CS8" i="2"/>
  <c r="CT8" i="2"/>
  <c r="CU8" i="2"/>
  <c r="CX8" i="2"/>
  <c r="CZ8" i="2"/>
  <c r="DA8" i="2"/>
  <c r="DI8" i="2"/>
  <c r="AP9" i="2"/>
  <c r="AW9" i="2"/>
  <c r="AY9" i="2"/>
  <c r="BF9" i="2" s="1"/>
  <c r="AZ9" i="2"/>
  <c r="BA9" i="2"/>
  <c r="BR9" i="2" s="1"/>
  <c r="BB9" i="2"/>
  <c r="BC9" i="2"/>
  <c r="BD9" i="2"/>
  <c r="BH9" i="2"/>
  <c r="BS9" i="2"/>
  <c r="BT9" i="2"/>
  <c r="CD9" i="2"/>
  <c r="CL9" i="2"/>
  <c r="CN9" i="2"/>
  <c r="CP9" i="2"/>
  <c r="CQ9" i="2"/>
  <c r="CR9" i="2"/>
  <c r="CS9" i="2"/>
  <c r="CT9" i="2"/>
  <c r="CU9" i="2"/>
  <c r="CX9" i="2"/>
  <c r="CZ9" i="2"/>
  <c r="DA9" i="2"/>
  <c r="DI9" i="2"/>
  <c r="AP10" i="2"/>
  <c r="AW10" i="2"/>
  <c r="AY10" i="2"/>
  <c r="AZ10" i="2"/>
  <c r="BA10" i="2"/>
  <c r="BR10" i="2" s="1"/>
  <c r="BB10" i="2"/>
  <c r="BC10" i="2"/>
  <c r="BD10" i="2"/>
  <c r="BH10" i="2"/>
  <c r="BS10" i="2"/>
  <c r="BT10" i="2"/>
  <c r="CC10" i="2" s="1"/>
  <c r="CJ10" i="2" s="1"/>
  <c r="CD10" i="2"/>
  <c r="CL10" i="2"/>
  <c r="CN10" i="2"/>
  <c r="CP10" i="2"/>
  <c r="CQ10" i="2"/>
  <c r="CR10" i="2"/>
  <c r="DQ10" i="2" s="1"/>
  <c r="CS10" i="2"/>
  <c r="CT10" i="2"/>
  <c r="CU10" i="2"/>
  <c r="CX10" i="2"/>
  <c r="CZ10" i="2"/>
  <c r="DA10" i="2"/>
  <c r="DI10" i="2"/>
  <c r="AP11" i="2"/>
  <c r="AW11" i="2"/>
  <c r="AY11" i="2"/>
  <c r="BP11" i="2" s="1"/>
  <c r="AZ11" i="2"/>
  <c r="BA11" i="2"/>
  <c r="BR11" i="2" s="1"/>
  <c r="BB11" i="2"/>
  <c r="BC11" i="2"/>
  <c r="BD11" i="2"/>
  <c r="BH11" i="2"/>
  <c r="BS11" i="2"/>
  <c r="BT11" i="2"/>
  <c r="BX11" i="2" s="1"/>
  <c r="CD11" i="2"/>
  <c r="CL11" i="2"/>
  <c r="CN11" i="2"/>
  <c r="CP11" i="2"/>
  <c r="CQ11" i="2"/>
  <c r="CR11" i="2"/>
  <c r="CS11" i="2"/>
  <c r="CT11" i="2"/>
  <c r="CU11" i="2"/>
  <c r="CX11" i="2"/>
  <c r="CZ11" i="2"/>
  <c r="DA11" i="2"/>
  <c r="DI11" i="2"/>
  <c r="AP12" i="2"/>
  <c r="AW12" i="2"/>
  <c r="AY12" i="2"/>
  <c r="BF12" i="2" s="1"/>
  <c r="AZ12" i="2"/>
  <c r="BQ12" i="2" s="1"/>
  <c r="BA12" i="2"/>
  <c r="BR12" i="2" s="1"/>
  <c r="BB12" i="2"/>
  <c r="BC12" i="2"/>
  <c r="BD12" i="2"/>
  <c r="BH12" i="2"/>
  <c r="BS12" i="2"/>
  <c r="BT12" i="2"/>
  <c r="CD12" i="2"/>
  <c r="CL12" i="2"/>
  <c r="CN12" i="2"/>
  <c r="CP12" i="2"/>
  <c r="CQ12" i="2"/>
  <c r="CR12" i="2"/>
  <c r="DQ12" i="2" s="1"/>
  <c r="CS12" i="2"/>
  <c r="CT12" i="2"/>
  <c r="CU12" i="2"/>
  <c r="CX12" i="2"/>
  <c r="CZ12" i="2"/>
  <c r="DA12" i="2"/>
  <c r="DI12" i="2"/>
  <c r="AP13" i="2"/>
  <c r="AW13" i="2"/>
  <c r="AY13" i="2"/>
  <c r="BF13" i="2" s="1"/>
  <c r="AZ13" i="2"/>
  <c r="BA13" i="2"/>
  <c r="BR13" i="2" s="1"/>
  <c r="BB13" i="2"/>
  <c r="BC13" i="2"/>
  <c r="BD13" i="2"/>
  <c r="BH13" i="2"/>
  <c r="BS13" i="2"/>
  <c r="BT13" i="2"/>
  <c r="BY13" i="2" s="1"/>
  <c r="CD13" i="2"/>
  <c r="CL13" i="2"/>
  <c r="CN13" i="2"/>
  <c r="CP13" i="2"/>
  <c r="CQ13" i="2"/>
  <c r="CR13" i="2"/>
  <c r="CS13" i="2"/>
  <c r="CT13" i="2"/>
  <c r="CU13" i="2"/>
  <c r="CX13" i="2"/>
  <c r="CZ13" i="2"/>
  <c r="DA13" i="2"/>
  <c r="DI13" i="2"/>
  <c r="AP14" i="2"/>
  <c r="AW14" i="2"/>
  <c r="AY14" i="2"/>
  <c r="AZ14" i="2"/>
  <c r="BG14" i="2" s="1"/>
  <c r="BA14" i="2"/>
  <c r="BR14" i="2" s="1"/>
  <c r="BB14" i="2"/>
  <c r="BC14" i="2"/>
  <c r="BD14" i="2"/>
  <c r="BH14" i="2"/>
  <c r="BS14" i="2"/>
  <c r="BT14" i="2"/>
  <c r="CC14" i="2" s="1"/>
  <c r="CD14" i="2"/>
  <c r="CL14" i="2"/>
  <c r="CN14" i="2"/>
  <c r="CP14" i="2"/>
  <c r="CQ14" i="2"/>
  <c r="CR14" i="2"/>
  <c r="CS14" i="2"/>
  <c r="CT14" i="2"/>
  <c r="CU14" i="2"/>
  <c r="CX14" i="2"/>
  <c r="CZ14" i="2"/>
  <c r="DA14" i="2"/>
  <c r="DI14" i="2"/>
  <c r="AP15" i="2"/>
  <c r="AW15" i="2"/>
  <c r="AY15" i="2"/>
  <c r="AZ15" i="2"/>
  <c r="BQ15" i="2" s="1"/>
  <c r="BA15" i="2"/>
  <c r="BR15" i="2" s="1"/>
  <c r="BB15" i="2"/>
  <c r="BC15" i="2"/>
  <c r="BD15" i="2"/>
  <c r="BH15" i="2"/>
  <c r="BS15" i="2"/>
  <c r="BT15" i="2"/>
  <c r="BX15" i="2" s="1"/>
  <c r="CD15" i="2"/>
  <c r="CL15" i="2"/>
  <c r="CN15" i="2"/>
  <c r="CP15" i="2"/>
  <c r="CQ15" i="2"/>
  <c r="CR15" i="2"/>
  <c r="CS15" i="2"/>
  <c r="CT15" i="2"/>
  <c r="CU15" i="2"/>
  <c r="CX15" i="2"/>
  <c r="CZ15" i="2"/>
  <c r="DA15" i="2"/>
  <c r="DI15" i="2"/>
  <c r="AP16" i="2"/>
  <c r="AW16" i="2"/>
  <c r="AY16" i="2"/>
  <c r="BF16" i="2" s="1"/>
  <c r="AZ16" i="2"/>
  <c r="BA16" i="2"/>
  <c r="BR16" i="2" s="1"/>
  <c r="BB16" i="2"/>
  <c r="BC16" i="2"/>
  <c r="BD16" i="2"/>
  <c r="BH16" i="2"/>
  <c r="BS16" i="2"/>
  <c r="BT16" i="2"/>
  <c r="CC16" i="2" s="1"/>
  <c r="CD16" i="2"/>
  <c r="CL16" i="2"/>
  <c r="CN16" i="2"/>
  <c r="CP16" i="2"/>
  <c r="CQ16" i="2"/>
  <c r="CR16" i="2"/>
  <c r="DQ16" i="2" s="1"/>
  <c r="CS16" i="2"/>
  <c r="CT16" i="2"/>
  <c r="CU16" i="2"/>
  <c r="CX16" i="2"/>
  <c r="CZ16" i="2"/>
  <c r="DA16" i="2"/>
  <c r="DI16" i="2"/>
  <c r="AP17" i="2"/>
  <c r="AW17" i="2"/>
  <c r="AY17" i="2"/>
  <c r="BF17" i="2" s="1"/>
  <c r="AZ17" i="2"/>
  <c r="BA17" i="2"/>
  <c r="BR17" i="2" s="1"/>
  <c r="BB17" i="2"/>
  <c r="BC17" i="2"/>
  <c r="BD17" i="2"/>
  <c r="BH17" i="2"/>
  <c r="BS17" i="2"/>
  <c r="BT17" i="2"/>
  <c r="BY17" i="2" s="1"/>
  <c r="CD17" i="2"/>
  <c r="CL17" i="2"/>
  <c r="CN17" i="2"/>
  <c r="CP17" i="2"/>
  <c r="CQ17" i="2"/>
  <c r="CR17" i="2"/>
  <c r="CS17" i="2"/>
  <c r="CT17" i="2"/>
  <c r="CU17" i="2"/>
  <c r="CX17" i="2"/>
  <c r="CZ17" i="2"/>
  <c r="DA17" i="2"/>
  <c r="DI17" i="2"/>
  <c r="AP18" i="2"/>
  <c r="AW18" i="2"/>
  <c r="AY18" i="2"/>
  <c r="BP18" i="2" s="1"/>
  <c r="AZ18" i="2"/>
  <c r="BA18" i="2"/>
  <c r="BR18" i="2" s="1"/>
  <c r="BB18" i="2"/>
  <c r="BC18" i="2"/>
  <c r="BD18" i="2"/>
  <c r="BH18" i="2"/>
  <c r="BS18" i="2"/>
  <c r="BT18" i="2"/>
  <c r="CC18" i="2" s="1"/>
  <c r="CD18" i="2"/>
  <c r="CL18" i="2"/>
  <c r="CN18" i="2"/>
  <c r="CP18" i="2"/>
  <c r="CQ18" i="2"/>
  <c r="CR18" i="2"/>
  <c r="DH18" i="2" s="1"/>
  <c r="CS18" i="2"/>
  <c r="CT18" i="2"/>
  <c r="CU18" i="2"/>
  <c r="CX18" i="2"/>
  <c r="CZ18" i="2"/>
  <c r="DA18" i="2"/>
  <c r="DI18" i="2"/>
  <c r="AP19" i="2"/>
  <c r="AW19" i="2"/>
  <c r="AY19" i="2"/>
  <c r="BP19" i="2" s="1"/>
  <c r="AZ19" i="2"/>
  <c r="BQ19" i="2" s="1"/>
  <c r="BA19" i="2"/>
  <c r="BR19" i="2" s="1"/>
  <c r="BB19" i="2"/>
  <c r="BC19" i="2"/>
  <c r="BD19" i="2"/>
  <c r="BH19" i="2"/>
  <c r="BS19" i="2"/>
  <c r="BT19" i="2"/>
  <c r="BX19" i="2" s="1"/>
  <c r="BU19" i="2" s="1"/>
  <c r="CD19" i="2"/>
  <c r="CL19" i="2"/>
  <c r="CN19" i="2"/>
  <c r="CP19" i="2"/>
  <c r="CQ19" i="2"/>
  <c r="CR19" i="2"/>
  <c r="CS19" i="2"/>
  <c r="CT19" i="2"/>
  <c r="CU19" i="2"/>
  <c r="CX19" i="2"/>
  <c r="CZ19" i="2"/>
  <c r="DA19" i="2"/>
  <c r="DI19" i="2"/>
  <c r="AP20" i="2"/>
  <c r="AW20" i="2"/>
  <c r="AY20" i="2"/>
  <c r="AZ20" i="2"/>
  <c r="BQ20" i="2" s="1"/>
  <c r="BA20" i="2"/>
  <c r="BR20" i="2" s="1"/>
  <c r="BB20" i="2"/>
  <c r="BC20" i="2"/>
  <c r="BD20" i="2"/>
  <c r="BH20" i="2"/>
  <c r="BS20" i="2"/>
  <c r="BT20" i="2"/>
  <c r="CC20" i="2" s="1"/>
  <c r="CK20" i="2" s="1"/>
  <c r="CD20" i="2"/>
  <c r="CL20" i="2"/>
  <c r="CN20" i="2"/>
  <c r="CP20" i="2"/>
  <c r="CQ20" i="2"/>
  <c r="CR20" i="2"/>
  <c r="DH20" i="2" s="1"/>
  <c r="CS20" i="2"/>
  <c r="CT20" i="2"/>
  <c r="CU20" i="2"/>
  <c r="CX20" i="2"/>
  <c r="CZ20" i="2"/>
  <c r="DA20" i="2"/>
  <c r="DI20" i="2"/>
  <c r="AP21" i="2"/>
  <c r="AW21" i="2"/>
  <c r="AY21" i="2"/>
  <c r="BF21" i="2" s="1"/>
  <c r="AZ21" i="2"/>
  <c r="BA21" i="2"/>
  <c r="BR21" i="2" s="1"/>
  <c r="BB21" i="2"/>
  <c r="BC21" i="2"/>
  <c r="BD21" i="2"/>
  <c r="BH21" i="2"/>
  <c r="BS21" i="2"/>
  <c r="BT21" i="2"/>
  <c r="CD21" i="2"/>
  <c r="CL21" i="2"/>
  <c r="CN21" i="2"/>
  <c r="CP21" i="2"/>
  <c r="CQ21" i="2"/>
  <c r="CR21" i="2"/>
  <c r="CS21" i="2"/>
  <c r="CT21" i="2"/>
  <c r="CU21" i="2"/>
  <c r="CX21" i="2"/>
  <c r="CZ21" i="2"/>
  <c r="DA21" i="2"/>
  <c r="DI21" i="2"/>
  <c r="AP22" i="2"/>
  <c r="AW22" i="2"/>
  <c r="AY22" i="2"/>
  <c r="BP22" i="2" s="1"/>
  <c r="AZ22" i="2"/>
  <c r="BQ22" i="2" s="1"/>
  <c r="BA22" i="2"/>
  <c r="BR22" i="2" s="1"/>
  <c r="BB22" i="2"/>
  <c r="BC22" i="2"/>
  <c r="BD22" i="2"/>
  <c r="BH22" i="2"/>
  <c r="BS22" i="2"/>
  <c r="BT22" i="2"/>
  <c r="CC22" i="2" s="1"/>
  <c r="CJ22" i="2" s="1"/>
  <c r="CD22" i="2"/>
  <c r="CL22" i="2"/>
  <c r="CN22" i="2"/>
  <c r="CP22" i="2"/>
  <c r="CQ22" i="2"/>
  <c r="CR22" i="2"/>
  <c r="DQ22" i="2" s="1"/>
  <c r="CS22" i="2"/>
  <c r="CT22" i="2"/>
  <c r="CU22" i="2"/>
  <c r="CX22" i="2"/>
  <c r="CZ22" i="2"/>
  <c r="DA22" i="2"/>
  <c r="DI22" i="2"/>
  <c r="AP23" i="2"/>
  <c r="AW23" i="2"/>
  <c r="AY23" i="2"/>
  <c r="BP23" i="2" s="1"/>
  <c r="AZ23" i="2"/>
  <c r="BG23" i="2" s="1"/>
  <c r="BA23" i="2"/>
  <c r="BR23" i="2" s="1"/>
  <c r="BB23" i="2"/>
  <c r="BC23" i="2"/>
  <c r="BD23" i="2"/>
  <c r="BH23" i="2"/>
  <c r="BS23" i="2"/>
  <c r="BT23" i="2"/>
  <c r="CD23" i="2"/>
  <c r="CL23" i="2"/>
  <c r="CN23" i="2"/>
  <c r="CP23" i="2"/>
  <c r="CQ23" i="2"/>
  <c r="CR23" i="2"/>
  <c r="CS23" i="2"/>
  <c r="CT23" i="2"/>
  <c r="CU23" i="2"/>
  <c r="CX23" i="2"/>
  <c r="CZ23" i="2"/>
  <c r="DA23" i="2"/>
  <c r="DI23" i="2"/>
  <c r="AP24" i="2"/>
  <c r="AW24" i="2"/>
  <c r="AY24" i="2"/>
  <c r="AZ24" i="2"/>
  <c r="BQ24" i="2" s="1"/>
  <c r="BA24" i="2"/>
  <c r="BR24" i="2" s="1"/>
  <c r="BB24" i="2"/>
  <c r="BC24" i="2"/>
  <c r="BD24" i="2"/>
  <c r="BH24" i="2"/>
  <c r="BS24" i="2"/>
  <c r="BT24" i="2"/>
  <c r="CC24" i="2" s="1"/>
  <c r="CD24" i="2"/>
  <c r="CL24" i="2"/>
  <c r="CN24" i="2"/>
  <c r="CP24" i="2"/>
  <c r="CQ24" i="2"/>
  <c r="CR24" i="2"/>
  <c r="DQ24" i="2" s="1"/>
  <c r="CS24" i="2"/>
  <c r="CT24" i="2"/>
  <c r="CU24" i="2"/>
  <c r="CX24" i="2"/>
  <c r="CZ24" i="2"/>
  <c r="DA24" i="2"/>
  <c r="DI24" i="2"/>
  <c r="AP25" i="2"/>
  <c r="AW25" i="2"/>
  <c r="AY25" i="2"/>
  <c r="BF25" i="2" s="1"/>
  <c r="AZ25" i="2"/>
  <c r="BA25" i="2"/>
  <c r="BR25" i="2" s="1"/>
  <c r="BB25" i="2"/>
  <c r="BC25" i="2"/>
  <c r="BD25" i="2"/>
  <c r="BH25" i="2"/>
  <c r="BS25" i="2"/>
  <c r="BT25" i="2"/>
  <c r="BX25" i="2" s="1"/>
  <c r="BU25" i="2" s="1"/>
  <c r="CD25" i="2"/>
  <c r="CL25" i="2"/>
  <c r="CN25" i="2"/>
  <c r="CP25" i="2"/>
  <c r="CQ25" i="2"/>
  <c r="CR25" i="2"/>
  <c r="DQ25" i="2" s="1"/>
  <c r="CS25" i="2"/>
  <c r="CT25" i="2"/>
  <c r="CU25" i="2"/>
  <c r="CX25" i="2"/>
  <c r="CZ25" i="2"/>
  <c r="DA25" i="2"/>
  <c r="DI25" i="2"/>
  <c r="AL24" i="2"/>
  <c r="AL25" i="2"/>
  <c r="AL5" i="2"/>
  <c r="AL8" i="2"/>
  <c r="AL11" i="2"/>
  <c r="AL14" i="2"/>
  <c r="AL17" i="2"/>
  <c r="AL20" i="2"/>
  <c r="AL21" i="2"/>
  <c r="AL22" i="2"/>
  <c r="AL23" i="2"/>
  <c r="AL2" i="2"/>
  <c r="BF2" i="2" l="1"/>
  <c r="CK2" i="2"/>
  <c r="BX10" i="2"/>
  <c r="BU10" i="2" s="1"/>
  <c r="CJ20" i="2"/>
  <c r="BY18" i="2"/>
  <c r="CB18" i="2" s="1"/>
  <c r="BY15" i="2"/>
  <c r="CB15" i="2" s="1"/>
  <c r="BQ3" i="2"/>
  <c r="BO3" i="2" s="1"/>
  <c r="BX22" i="2"/>
  <c r="BU22" i="2" s="1"/>
  <c r="CK24" i="2"/>
  <c r="CJ24" i="2"/>
  <c r="DQ2" i="2"/>
  <c r="BX2" i="2"/>
  <c r="DH12" i="2"/>
  <c r="DJ12" i="2" s="1"/>
  <c r="CC11" i="2"/>
  <c r="CJ11" i="2" s="1"/>
  <c r="BF3" i="2"/>
  <c r="DK5" i="2"/>
  <c r="BY11" i="2"/>
  <c r="CB11" i="2" s="1"/>
  <c r="BY22" i="2"/>
  <c r="CB22" i="2" s="1"/>
  <c r="BY10" i="2"/>
  <c r="CB10" i="2" s="1"/>
  <c r="BU11" i="2"/>
  <c r="CA11" i="2"/>
  <c r="BY2" i="2"/>
  <c r="CB2" i="2" s="1"/>
  <c r="BX17" i="2"/>
  <c r="BU17" i="2" s="1"/>
  <c r="BX18" i="2"/>
  <c r="CA18" i="2" s="1"/>
  <c r="BZ18" i="2" s="1"/>
  <c r="CC15" i="2"/>
  <c r="CJ15" i="2" s="1"/>
  <c r="BG19" i="2"/>
  <c r="BF19" i="2"/>
  <c r="DH8" i="2"/>
  <c r="DJ8" i="2" s="1"/>
  <c r="BP25" i="2"/>
  <c r="DQ20" i="2"/>
  <c r="CK22" i="2"/>
  <c r="CI22" i="2" s="1"/>
  <c r="BY14" i="2"/>
  <c r="CB14" i="2" s="1"/>
  <c r="BX7" i="2"/>
  <c r="BU7" i="2" s="1"/>
  <c r="BP21" i="2"/>
  <c r="DH24" i="2"/>
  <c r="DK24" i="2" s="1"/>
  <c r="BG15" i="2"/>
  <c r="BX14" i="2"/>
  <c r="BU14" i="2" s="1"/>
  <c r="BP13" i="2"/>
  <c r="BQ23" i="2"/>
  <c r="BO23" i="2" s="1"/>
  <c r="BP17" i="2"/>
  <c r="DH16" i="2"/>
  <c r="DK16" i="2" s="1"/>
  <c r="DQ5" i="2"/>
  <c r="BF23" i="2"/>
  <c r="DH25" i="2"/>
  <c r="DK25" i="2" s="1"/>
  <c r="BY5" i="2"/>
  <c r="CB5" i="2" s="1"/>
  <c r="DH22" i="2"/>
  <c r="DJ22" i="2" s="1"/>
  <c r="BG20" i="2"/>
  <c r="DH10" i="2"/>
  <c r="DK10" i="2" s="1"/>
  <c r="CK10" i="2"/>
  <c r="CI10" i="2" s="1"/>
  <c r="BX3" i="2"/>
  <c r="BU3" i="2" s="1"/>
  <c r="BY3" i="2"/>
  <c r="CB3" i="2" s="1"/>
  <c r="CC3" i="2"/>
  <c r="CJ3" i="2" s="1"/>
  <c r="DH13" i="2"/>
  <c r="DJ13" i="2" s="1"/>
  <c r="DQ13" i="2"/>
  <c r="DH9" i="2"/>
  <c r="DJ9" i="2" s="1"/>
  <c r="DQ9" i="2"/>
  <c r="BG10" i="2"/>
  <c r="BQ10" i="2"/>
  <c r="BX23" i="2"/>
  <c r="BU23" i="2" s="1"/>
  <c r="BY23" i="2"/>
  <c r="CB23" i="2" s="1"/>
  <c r="CC23" i="2"/>
  <c r="CJ23" i="2" s="1"/>
  <c r="BF11" i="2"/>
  <c r="CC6" i="2"/>
  <c r="CJ6" i="2" s="1"/>
  <c r="BY6" i="2"/>
  <c r="CB6" i="2" s="1"/>
  <c r="BZ6" i="2" s="1"/>
  <c r="BG7" i="2"/>
  <c r="CK8" i="2"/>
  <c r="CI8" i="2" s="1"/>
  <c r="BG8" i="2"/>
  <c r="BQ8" i="2"/>
  <c r="DQ4" i="2"/>
  <c r="BG18" i="2"/>
  <c r="BQ18" i="2"/>
  <c r="BO18" i="2" s="1"/>
  <c r="BP14" i="2"/>
  <c r="BF14" i="2"/>
  <c r="DK2" i="2"/>
  <c r="BP10" i="2"/>
  <c r="BF10" i="2"/>
  <c r="CI20" i="2"/>
  <c r="BF20" i="2"/>
  <c r="BP20" i="2"/>
  <c r="BO20" i="2" s="1"/>
  <c r="CJ14" i="2"/>
  <c r="CK14" i="2"/>
  <c r="BF5" i="2"/>
  <c r="BP5" i="2"/>
  <c r="DQ21" i="2"/>
  <c r="DH21" i="2"/>
  <c r="DK21" i="2" s="1"/>
  <c r="BQ14" i="2"/>
  <c r="BY19" i="2"/>
  <c r="CB19" i="2" s="1"/>
  <c r="CC19" i="2"/>
  <c r="CK19" i="2" s="1"/>
  <c r="DH17" i="2"/>
  <c r="DK17" i="2" s="1"/>
  <c r="DQ17" i="2"/>
  <c r="BG11" i="2"/>
  <c r="BQ11" i="2"/>
  <c r="BO11" i="2" s="1"/>
  <c r="BX13" i="2"/>
  <c r="BU13" i="2" s="1"/>
  <c r="DJ5" i="2"/>
  <c r="BY25" i="2"/>
  <c r="CB25" i="2" s="1"/>
  <c r="BG24" i="2"/>
  <c r="BG22" i="2"/>
  <c r="BF22" i="2"/>
  <c r="CA19" i="2"/>
  <c r="DK18" i="2"/>
  <c r="BO19" i="2"/>
  <c r="BF18" i="2"/>
  <c r="BU15" i="2"/>
  <c r="CA15" i="2"/>
  <c r="BZ15" i="2" s="1"/>
  <c r="BP16" i="2"/>
  <c r="BG12" i="2"/>
  <c r="BP9" i="2"/>
  <c r="CB7" i="2"/>
  <c r="BQ6" i="2"/>
  <c r="BO6" i="2" s="1"/>
  <c r="CC7" i="2"/>
  <c r="CJ7" i="2" s="1"/>
  <c r="BF6" i="2"/>
  <c r="BP4" i="2"/>
  <c r="DK4" i="2"/>
  <c r="DJ4" i="2"/>
  <c r="BX4" i="2"/>
  <c r="BY4" i="2"/>
  <c r="CB4" i="2" s="1"/>
  <c r="CC4" i="2"/>
  <c r="CJ18" i="2"/>
  <c r="CK18" i="2"/>
  <c r="DH6" i="2"/>
  <c r="DK6" i="2" s="1"/>
  <c r="DQ6" i="2"/>
  <c r="DK20" i="2"/>
  <c r="BF7" i="2"/>
  <c r="BP7" i="2"/>
  <c r="BO7" i="2" s="1"/>
  <c r="BF8" i="2"/>
  <c r="BP8" i="2"/>
  <c r="DQ14" i="2"/>
  <c r="DH14" i="2"/>
  <c r="DK14" i="2" s="1"/>
  <c r="BG5" i="2"/>
  <c r="BQ5" i="2"/>
  <c r="BG17" i="2"/>
  <c r="BQ17" i="2"/>
  <c r="BF15" i="2"/>
  <c r="BP15" i="2"/>
  <c r="BO15" i="2" s="1"/>
  <c r="CC9" i="2"/>
  <c r="BX9" i="2"/>
  <c r="BU9" i="2" s="1"/>
  <c r="BY9" i="2"/>
  <c r="CB9" i="2" s="1"/>
  <c r="BF24" i="2"/>
  <c r="BP24" i="2"/>
  <c r="BO24" i="2" s="1"/>
  <c r="CB17" i="2"/>
  <c r="CC17" i="2"/>
  <c r="BG13" i="2"/>
  <c r="BQ13" i="2"/>
  <c r="BG16" i="2"/>
  <c r="BQ16" i="2"/>
  <c r="DH15" i="2"/>
  <c r="DK15" i="2" s="1"/>
  <c r="DQ15" i="2"/>
  <c r="CJ16" i="2"/>
  <c r="CK16" i="2"/>
  <c r="DJ18" i="2"/>
  <c r="DH11" i="2"/>
  <c r="DK11" i="2" s="1"/>
  <c r="DQ11" i="2"/>
  <c r="CC21" i="2"/>
  <c r="BX21" i="2"/>
  <c r="BU21" i="2" s="1"/>
  <c r="BY21" i="2"/>
  <c r="CB21" i="2" s="1"/>
  <c r="DJ20" i="2"/>
  <c r="BX16" i="2"/>
  <c r="BY16" i="2"/>
  <c r="CB16" i="2" s="1"/>
  <c r="BU6" i="2"/>
  <c r="DQ18" i="2"/>
  <c r="BG4" i="2"/>
  <c r="BQ4" i="2"/>
  <c r="DH3" i="2"/>
  <c r="DK3" i="2" s="1"/>
  <c r="DQ3" i="2"/>
  <c r="BX12" i="2"/>
  <c r="BU12" i="2" s="1"/>
  <c r="BY12" i="2"/>
  <c r="CB12" i="2" s="1"/>
  <c r="CC12" i="2"/>
  <c r="DJ2" i="2"/>
  <c r="CA5" i="2"/>
  <c r="CC5" i="2"/>
  <c r="BG25" i="2"/>
  <c r="BQ25" i="2"/>
  <c r="BX24" i="2"/>
  <c r="BY24" i="2"/>
  <c r="CB24" i="2" s="1"/>
  <c r="DH23" i="2"/>
  <c r="DK23" i="2" s="1"/>
  <c r="DQ23" i="2"/>
  <c r="CA25" i="2"/>
  <c r="CC25" i="2"/>
  <c r="CB13" i="2"/>
  <c r="CC13" i="2"/>
  <c r="CI2" i="2"/>
  <c r="BO2" i="2"/>
  <c r="BG21" i="2"/>
  <c r="BQ21" i="2"/>
  <c r="BX20" i="2"/>
  <c r="BY20" i="2"/>
  <c r="CB20" i="2" s="1"/>
  <c r="DH19" i="2"/>
  <c r="DK19" i="2" s="1"/>
  <c r="DQ19" i="2"/>
  <c r="BO22" i="2"/>
  <c r="BP12" i="2"/>
  <c r="BO12" i="2" s="1"/>
  <c r="BG9" i="2"/>
  <c r="BQ9" i="2"/>
  <c r="BX8" i="2"/>
  <c r="BY8" i="2"/>
  <c r="CB8" i="2" s="1"/>
  <c r="DH7" i="2"/>
  <c r="DK7" i="2" s="1"/>
  <c r="DQ7" i="2"/>
  <c r="BZ25" i="2" l="1"/>
  <c r="BZ11" i="2"/>
  <c r="CA10" i="2"/>
  <c r="BZ10" i="2" s="1"/>
  <c r="DK22" i="2"/>
  <c r="BZ19" i="2"/>
  <c r="BZ5" i="2"/>
  <c r="BE15" i="2"/>
  <c r="CA22" i="2"/>
  <c r="BZ22" i="2" s="1"/>
  <c r="BE22" i="2" s="1"/>
  <c r="BO13" i="2"/>
  <c r="CI24" i="2"/>
  <c r="CK11" i="2"/>
  <c r="CI11" i="2" s="1"/>
  <c r="DK12" i="2"/>
  <c r="DJ24" i="2"/>
  <c r="DJ25" i="2"/>
  <c r="BU2" i="2"/>
  <c r="CA2" i="2"/>
  <c r="BZ2" i="2" s="1"/>
  <c r="BE2" i="2" s="1"/>
  <c r="DJ16" i="2"/>
  <c r="BO25" i="2"/>
  <c r="DK13" i="2"/>
  <c r="CK3" i="2"/>
  <c r="CI3" i="2" s="1"/>
  <c r="CK6" i="2"/>
  <c r="CI6" i="2" s="1"/>
  <c r="BE6" i="2" s="1"/>
  <c r="DJ14" i="2"/>
  <c r="BO17" i="2"/>
  <c r="CI14" i="2"/>
  <c r="DJ23" i="2"/>
  <c r="DK8" i="2"/>
  <c r="CK15" i="2"/>
  <c r="CI15" i="2" s="1"/>
  <c r="BU18" i="2"/>
  <c r="CA17" i="2"/>
  <c r="BZ17" i="2" s="1"/>
  <c r="CA13" i="2"/>
  <c r="BZ13" i="2" s="1"/>
  <c r="CK7" i="2"/>
  <c r="CI7" i="2" s="1"/>
  <c r="CA3" i="2"/>
  <c r="BZ3" i="2" s="1"/>
  <c r="BO16" i="2"/>
  <c r="CJ19" i="2"/>
  <c r="CI19" i="2" s="1"/>
  <c r="CA14" i="2"/>
  <c r="BZ14" i="2" s="1"/>
  <c r="CA7" i="2"/>
  <c r="BZ7" i="2" s="1"/>
  <c r="DJ17" i="2"/>
  <c r="CA23" i="2"/>
  <c r="BZ23" i="2" s="1"/>
  <c r="BO4" i="2"/>
  <c r="BO21" i="2"/>
  <c r="DK9" i="2"/>
  <c r="DJ10" i="2"/>
  <c r="BO14" i="2"/>
  <c r="BO8" i="2"/>
  <c r="BO10" i="2"/>
  <c r="DJ11" i="2"/>
  <c r="CK23" i="2"/>
  <c r="CI23" i="2" s="1"/>
  <c r="BO9" i="2"/>
  <c r="BO5" i="2"/>
  <c r="DJ19" i="2"/>
  <c r="DJ21" i="2"/>
  <c r="CA9" i="2"/>
  <c r="BZ9" i="2" s="1"/>
  <c r="BU4" i="2"/>
  <c r="CA4" i="2"/>
  <c r="BZ4" i="2" s="1"/>
  <c r="CJ12" i="2"/>
  <c r="CK12" i="2"/>
  <c r="CA21" i="2"/>
  <c r="BZ21" i="2" s="1"/>
  <c r="DJ6" i="2"/>
  <c r="DJ3" i="2"/>
  <c r="CI16" i="2"/>
  <c r="CK13" i="2"/>
  <c r="CJ13" i="2"/>
  <c r="CA12" i="2"/>
  <c r="BZ12" i="2" s="1"/>
  <c r="DJ15" i="2"/>
  <c r="CK25" i="2"/>
  <c r="CJ25" i="2"/>
  <c r="BU20" i="2"/>
  <c r="CA20" i="2"/>
  <c r="BZ20" i="2" s="1"/>
  <c r="BE20" i="2" s="1"/>
  <c r="CK21" i="2"/>
  <c r="CJ21" i="2"/>
  <c r="CI18" i="2"/>
  <c r="BE18" i="2" s="1"/>
  <c r="DJ7" i="2"/>
  <c r="BU24" i="2"/>
  <c r="CA24" i="2"/>
  <c r="BZ24" i="2" s="1"/>
  <c r="CK17" i="2"/>
  <c r="CJ17" i="2"/>
  <c r="CJ9" i="2"/>
  <c r="CK9" i="2"/>
  <c r="CJ4" i="2"/>
  <c r="CK4" i="2"/>
  <c r="BU8" i="2"/>
  <c r="CA8" i="2"/>
  <c r="BZ8" i="2" s="1"/>
  <c r="CK5" i="2"/>
  <c r="CJ5" i="2"/>
  <c r="BU16" i="2"/>
  <c r="CA16" i="2"/>
  <c r="BZ16" i="2" s="1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3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253" i="14"/>
  <c r="B254" i="14"/>
  <c r="B255" i="14"/>
  <c r="B256" i="14"/>
  <c r="B257" i="14"/>
  <c r="B258" i="14"/>
  <c r="B259" i="14"/>
  <c r="B260" i="14"/>
  <c r="B261" i="14"/>
  <c r="B262" i="14"/>
  <c r="B263" i="14"/>
  <c r="B264" i="14"/>
  <c r="B265" i="14"/>
  <c r="B266" i="14"/>
  <c r="B267" i="14"/>
  <c r="B268" i="14"/>
  <c r="B269" i="14"/>
  <c r="B270" i="14"/>
  <c r="B271" i="14"/>
  <c r="B272" i="14"/>
  <c r="B273" i="14"/>
  <c r="B274" i="14"/>
  <c r="B275" i="14"/>
  <c r="B276" i="14"/>
  <c r="B277" i="14"/>
  <c r="B278" i="14"/>
  <c r="B279" i="14"/>
  <c r="B280" i="14"/>
  <c r="B281" i="14"/>
  <c r="B282" i="14"/>
  <c r="B283" i="14"/>
  <c r="B284" i="14"/>
  <c r="B285" i="14"/>
  <c r="B286" i="14"/>
  <c r="B287" i="14"/>
  <c r="B288" i="14"/>
  <c r="B289" i="14"/>
  <c r="B290" i="14"/>
  <c r="B291" i="14"/>
  <c r="B292" i="14"/>
  <c r="B293" i="14"/>
  <c r="B294" i="14"/>
  <c r="B295" i="14"/>
  <c r="B296" i="14"/>
  <c r="B297" i="14"/>
  <c r="B298" i="14"/>
  <c r="B299" i="14"/>
  <c r="B300" i="14"/>
  <c r="B301" i="14"/>
  <c r="B302" i="14"/>
  <c r="B303" i="14"/>
  <c r="B304" i="14"/>
  <c r="B305" i="14"/>
  <c r="B306" i="14"/>
  <c r="B307" i="14"/>
  <c r="B308" i="14"/>
  <c r="B309" i="14"/>
  <c r="B310" i="14"/>
  <c r="B311" i="14"/>
  <c r="B312" i="14"/>
  <c r="B313" i="14"/>
  <c r="B314" i="14"/>
  <c r="B315" i="14"/>
  <c r="B316" i="14"/>
  <c r="B317" i="14"/>
  <c r="B318" i="14"/>
  <c r="B319" i="14"/>
  <c r="B320" i="14"/>
  <c r="B321" i="14"/>
  <c r="B322" i="14"/>
  <c r="B323" i="14"/>
  <c r="B324" i="14"/>
  <c r="B325" i="14"/>
  <c r="B326" i="14"/>
  <c r="B327" i="14"/>
  <c r="B328" i="14"/>
  <c r="B329" i="14"/>
  <c r="B330" i="14"/>
  <c r="B331" i="14"/>
  <c r="B332" i="14"/>
  <c r="B333" i="14"/>
  <c r="B334" i="14"/>
  <c r="B335" i="14"/>
  <c r="B336" i="14"/>
  <c r="B337" i="14"/>
  <c r="B338" i="14"/>
  <c r="B339" i="14"/>
  <c r="B340" i="14"/>
  <c r="B341" i="14"/>
  <c r="B342" i="14"/>
  <c r="B343" i="14"/>
  <c r="B344" i="14"/>
  <c r="B345" i="14"/>
  <c r="B346" i="14"/>
  <c r="B347" i="14"/>
  <c r="B348" i="14"/>
  <c r="B349" i="14"/>
  <c r="B350" i="14"/>
  <c r="B351" i="14"/>
  <c r="B352" i="14"/>
  <c r="B353" i="14"/>
  <c r="B354" i="14"/>
  <c r="B355" i="14"/>
  <c r="B356" i="14"/>
  <c r="B357" i="14"/>
  <c r="B358" i="14"/>
  <c r="B359" i="14"/>
  <c r="B360" i="14"/>
  <c r="B361" i="14"/>
  <c r="B362" i="14"/>
  <c r="B363" i="14"/>
  <c r="B364" i="14"/>
  <c r="B365" i="14"/>
  <c r="B366" i="14"/>
  <c r="B367" i="14"/>
  <c r="B368" i="14"/>
  <c r="B369" i="14"/>
  <c r="B370" i="14"/>
  <c r="B371" i="14"/>
  <c r="B372" i="14"/>
  <c r="B373" i="14"/>
  <c r="B374" i="14"/>
  <c r="B375" i="14"/>
  <c r="B376" i="14"/>
  <c r="B377" i="14"/>
  <c r="B378" i="14"/>
  <c r="B379" i="14"/>
  <c r="B380" i="14"/>
  <c r="B381" i="14"/>
  <c r="B382" i="14"/>
  <c r="B383" i="14"/>
  <c r="B384" i="14"/>
  <c r="B385" i="14"/>
  <c r="B386" i="14"/>
  <c r="B387" i="14"/>
  <c r="B388" i="14"/>
  <c r="B389" i="14"/>
  <c r="B390" i="14"/>
  <c r="B391" i="14"/>
  <c r="B392" i="14"/>
  <c r="B393" i="14"/>
  <c r="B394" i="14"/>
  <c r="B395" i="14"/>
  <c r="B396" i="14"/>
  <c r="B397" i="14"/>
  <c r="B398" i="14"/>
  <c r="B399" i="14"/>
  <c r="B400" i="14"/>
  <c r="B401" i="14"/>
  <c r="B402" i="14"/>
  <c r="B403" i="14"/>
  <c r="B404" i="14"/>
  <c r="B405" i="14"/>
  <c r="B406" i="14"/>
  <c r="B407" i="14"/>
  <c r="B408" i="14"/>
  <c r="B409" i="14"/>
  <c r="B410" i="14"/>
  <c r="B411" i="14"/>
  <c r="B412" i="14"/>
  <c r="B413" i="14"/>
  <c r="B414" i="14"/>
  <c r="B415" i="14"/>
  <c r="B416" i="14"/>
  <c r="B417" i="14"/>
  <c r="B418" i="14"/>
  <c r="B419" i="14"/>
  <c r="B420" i="14"/>
  <c r="B421" i="14"/>
  <c r="B422" i="14"/>
  <c r="B423" i="14"/>
  <c r="B424" i="14"/>
  <c r="B425" i="14"/>
  <c r="B426" i="14"/>
  <c r="B427" i="14"/>
  <c r="B428" i="14"/>
  <c r="B429" i="14"/>
  <c r="B430" i="14"/>
  <c r="B431" i="14"/>
  <c r="B432" i="14"/>
  <c r="B433" i="14"/>
  <c r="B434" i="14"/>
  <c r="B435" i="14"/>
  <c r="B436" i="14"/>
  <c r="B437" i="14"/>
  <c r="B438" i="14"/>
  <c r="B439" i="14"/>
  <c r="B440" i="14"/>
  <c r="B441" i="14"/>
  <c r="B442" i="14"/>
  <c r="B443" i="14"/>
  <c r="B444" i="14"/>
  <c r="B445" i="14"/>
  <c r="B446" i="14"/>
  <c r="B447" i="14"/>
  <c r="B448" i="14"/>
  <c r="B449" i="14"/>
  <c r="B450" i="14"/>
  <c r="B451" i="14"/>
  <c r="B452" i="14"/>
  <c r="B453" i="14"/>
  <c r="B454" i="14"/>
  <c r="B455" i="14"/>
  <c r="B456" i="14"/>
  <c r="B457" i="14"/>
  <c r="B458" i="14"/>
  <c r="B459" i="14"/>
  <c r="B460" i="14"/>
  <c r="B461" i="14"/>
  <c r="B462" i="14"/>
  <c r="B463" i="14"/>
  <c r="B464" i="14"/>
  <c r="B465" i="14"/>
  <c r="B466" i="14"/>
  <c r="B467" i="14"/>
  <c r="B468" i="14"/>
  <c r="B469" i="14"/>
  <c r="B470" i="14"/>
  <c r="B471" i="14"/>
  <c r="B472" i="14"/>
  <c r="B473" i="14"/>
  <c r="B474" i="14"/>
  <c r="B475" i="14"/>
  <c r="B476" i="14"/>
  <c r="B477" i="14"/>
  <c r="B478" i="14"/>
  <c r="B479" i="14"/>
  <c r="B480" i="14"/>
  <c r="B481" i="14"/>
  <c r="B482" i="14"/>
  <c r="B483" i="14"/>
  <c r="B484" i="14"/>
  <c r="B485" i="14"/>
  <c r="B486" i="14"/>
  <c r="B487" i="14"/>
  <c r="B488" i="14"/>
  <c r="B489" i="14"/>
  <c r="B490" i="14"/>
  <c r="B491" i="14"/>
  <c r="B492" i="14"/>
  <c r="B493" i="14"/>
  <c r="B494" i="14"/>
  <c r="B495" i="14"/>
  <c r="B496" i="14"/>
  <c r="B497" i="14"/>
  <c r="B498" i="14"/>
  <c r="B499" i="14"/>
  <c r="B500" i="14"/>
  <c r="B501" i="14"/>
  <c r="B502" i="14"/>
  <c r="B503" i="14"/>
  <c r="B504" i="14"/>
  <c r="B505" i="14"/>
  <c r="B506" i="14"/>
  <c r="B507" i="14"/>
  <c r="B508" i="14"/>
  <c r="B509" i="14"/>
  <c r="B510" i="14"/>
  <c r="B511" i="14"/>
  <c r="B512" i="14"/>
  <c r="B513" i="14"/>
  <c r="B514" i="14"/>
  <c r="B515" i="14"/>
  <c r="B516" i="14"/>
  <c r="B517" i="14"/>
  <c r="B518" i="14"/>
  <c r="B519" i="14"/>
  <c r="B520" i="14"/>
  <c r="B521" i="14"/>
  <c r="B522" i="14"/>
  <c r="B523" i="14"/>
  <c r="B524" i="14"/>
  <c r="B525" i="14"/>
  <c r="B526" i="14"/>
  <c r="B527" i="14"/>
  <c r="B528" i="14"/>
  <c r="B529" i="14"/>
  <c r="B530" i="14"/>
  <c r="B531" i="14"/>
  <c r="B532" i="14"/>
  <c r="B533" i="14"/>
  <c r="B534" i="14"/>
  <c r="B535" i="14"/>
  <c r="B536" i="14"/>
  <c r="B537" i="14"/>
  <c r="B538" i="14"/>
  <c r="B539" i="14"/>
  <c r="B540" i="14"/>
  <c r="B541" i="14"/>
  <c r="B542" i="14"/>
  <c r="B543" i="14"/>
  <c r="B544" i="14"/>
  <c r="B545" i="14"/>
  <c r="B546" i="14"/>
  <c r="B547" i="14"/>
  <c r="B548" i="14"/>
  <c r="B549" i="14"/>
  <c r="B550" i="14"/>
  <c r="B551" i="14"/>
  <c r="B552" i="14"/>
  <c r="B553" i="14"/>
  <c r="B554" i="14"/>
  <c r="B555" i="14"/>
  <c r="B556" i="14"/>
  <c r="B557" i="14"/>
  <c r="B558" i="14"/>
  <c r="B559" i="14"/>
  <c r="B560" i="14"/>
  <c r="B561" i="14"/>
  <c r="B562" i="14"/>
  <c r="B563" i="14"/>
  <c r="B564" i="14"/>
  <c r="B565" i="14"/>
  <c r="B566" i="14"/>
  <c r="B567" i="14"/>
  <c r="B568" i="14"/>
  <c r="B569" i="14"/>
  <c r="B570" i="14"/>
  <c r="B571" i="14"/>
  <c r="B572" i="14"/>
  <c r="B573" i="14"/>
  <c r="B574" i="14"/>
  <c r="B575" i="14"/>
  <c r="B576" i="14"/>
  <c r="B577" i="14"/>
  <c r="B578" i="14"/>
  <c r="B579" i="14"/>
  <c r="B580" i="14"/>
  <c r="B581" i="14"/>
  <c r="B582" i="14"/>
  <c r="B583" i="14"/>
  <c r="B584" i="14"/>
  <c r="B585" i="14"/>
  <c r="B586" i="14"/>
  <c r="B587" i="14"/>
  <c r="B588" i="14"/>
  <c r="B589" i="14"/>
  <c r="B590" i="14"/>
  <c r="B591" i="14"/>
  <c r="B592" i="14"/>
  <c r="B593" i="14"/>
  <c r="B594" i="14"/>
  <c r="B595" i="14"/>
  <c r="B596" i="14"/>
  <c r="B597" i="14"/>
  <c r="B598" i="14"/>
  <c r="B599" i="14"/>
  <c r="B600" i="14"/>
  <c r="B601" i="14"/>
  <c r="B602" i="14"/>
  <c r="B603" i="14"/>
  <c r="B604" i="14"/>
  <c r="B605" i="14"/>
  <c r="B606" i="14"/>
  <c r="B607" i="14"/>
  <c r="B608" i="14"/>
  <c r="B609" i="14"/>
  <c r="B610" i="14"/>
  <c r="B611" i="14"/>
  <c r="B612" i="14"/>
  <c r="B613" i="14"/>
  <c r="B614" i="14"/>
  <c r="B615" i="14"/>
  <c r="B616" i="14"/>
  <c r="B617" i="14"/>
  <c r="B618" i="14"/>
  <c r="B619" i="14"/>
  <c r="B620" i="14"/>
  <c r="B621" i="14"/>
  <c r="B622" i="14"/>
  <c r="B623" i="14"/>
  <c r="B624" i="14"/>
  <c r="B625" i="14"/>
  <c r="B626" i="14"/>
  <c r="B627" i="14"/>
  <c r="B628" i="14"/>
  <c r="B629" i="14"/>
  <c r="B630" i="14"/>
  <c r="B631" i="14"/>
  <c r="B632" i="14"/>
  <c r="B633" i="14"/>
  <c r="B634" i="14"/>
  <c r="B635" i="14"/>
  <c r="B636" i="14"/>
  <c r="B637" i="14"/>
  <c r="B638" i="14"/>
  <c r="B639" i="14"/>
  <c r="B640" i="14"/>
  <c r="B641" i="14"/>
  <c r="B642" i="14"/>
  <c r="B643" i="14"/>
  <c r="B644" i="14"/>
  <c r="B645" i="14"/>
  <c r="B646" i="14"/>
  <c r="B647" i="14"/>
  <c r="B648" i="14"/>
  <c r="B649" i="14"/>
  <c r="B650" i="14"/>
  <c r="B651" i="14"/>
  <c r="B652" i="14"/>
  <c r="B653" i="14"/>
  <c r="B654" i="14"/>
  <c r="B655" i="14"/>
  <c r="B656" i="14"/>
  <c r="B657" i="14"/>
  <c r="B658" i="14"/>
  <c r="B659" i="14"/>
  <c r="B660" i="14"/>
  <c r="B661" i="14"/>
  <c r="B662" i="14"/>
  <c r="B663" i="14"/>
  <c r="B664" i="14"/>
  <c r="B665" i="14"/>
  <c r="B666" i="14"/>
  <c r="B667" i="14"/>
  <c r="B668" i="14"/>
  <c r="B669" i="14"/>
  <c r="B670" i="14"/>
  <c r="B671" i="14"/>
  <c r="B672" i="14"/>
  <c r="B673" i="14"/>
  <c r="B674" i="14"/>
  <c r="B675" i="14"/>
  <c r="B676" i="14"/>
  <c r="B677" i="14"/>
  <c r="B678" i="14"/>
  <c r="B679" i="14"/>
  <c r="B680" i="14"/>
  <c r="B681" i="14"/>
  <c r="B682" i="14"/>
  <c r="B683" i="14"/>
  <c r="B684" i="14"/>
  <c r="B685" i="14"/>
  <c r="B686" i="14"/>
  <c r="B687" i="14"/>
  <c r="B688" i="14"/>
  <c r="B689" i="14"/>
  <c r="B690" i="14"/>
  <c r="B691" i="14"/>
  <c r="B692" i="14"/>
  <c r="B693" i="14"/>
  <c r="B694" i="14"/>
  <c r="B695" i="14"/>
  <c r="B696" i="14"/>
  <c r="B697" i="14"/>
  <c r="B698" i="14"/>
  <c r="B699" i="14"/>
  <c r="B700" i="14"/>
  <c r="B701" i="14"/>
  <c r="B702" i="14"/>
  <c r="B703" i="14"/>
  <c r="B704" i="14"/>
  <c r="B705" i="14"/>
  <c r="B706" i="14"/>
  <c r="B707" i="14"/>
  <c r="B708" i="14"/>
  <c r="B709" i="14"/>
  <c r="B710" i="14"/>
  <c r="B711" i="14"/>
  <c r="B712" i="14"/>
  <c r="B713" i="14"/>
  <c r="B714" i="14"/>
  <c r="B715" i="14"/>
  <c r="B716" i="14"/>
  <c r="B717" i="14"/>
  <c r="B718" i="14"/>
  <c r="B719" i="14"/>
  <c r="B720" i="14"/>
  <c r="B721" i="14"/>
  <c r="B722" i="14"/>
  <c r="B723" i="14"/>
  <c r="B724" i="14"/>
  <c r="B725" i="14"/>
  <c r="B726" i="14"/>
  <c r="B727" i="14"/>
  <c r="B728" i="14"/>
  <c r="B729" i="14"/>
  <c r="B730" i="14"/>
  <c r="B731" i="14"/>
  <c r="B732" i="14"/>
  <c r="B733" i="14"/>
  <c r="B734" i="14"/>
  <c r="B735" i="14"/>
  <c r="B736" i="14"/>
  <c r="B737" i="14"/>
  <c r="B738" i="14"/>
  <c r="B739" i="14"/>
  <c r="B740" i="14"/>
  <c r="B741" i="14"/>
  <c r="B742" i="14"/>
  <c r="B743" i="14"/>
  <c r="B744" i="14"/>
  <c r="B745" i="14"/>
  <c r="B746" i="14"/>
  <c r="B747" i="14"/>
  <c r="B748" i="14"/>
  <c r="B749" i="14"/>
  <c r="B750" i="14"/>
  <c r="B751" i="14"/>
  <c r="B752" i="14"/>
  <c r="B753" i="14"/>
  <c r="B754" i="14"/>
  <c r="B755" i="14"/>
  <c r="B756" i="14"/>
  <c r="B757" i="14"/>
  <c r="B758" i="14"/>
  <c r="B759" i="14"/>
  <c r="B760" i="14"/>
  <c r="B761" i="14"/>
  <c r="B762" i="14"/>
  <c r="B763" i="14"/>
  <c r="B764" i="14"/>
  <c r="B765" i="14"/>
  <c r="B766" i="14"/>
  <c r="B767" i="14"/>
  <c r="B768" i="14"/>
  <c r="B769" i="14"/>
  <c r="B770" i="14"/>
  <c r="B771" i="14"/>
  <c r="B772" i="14"/>
  <c r="B773" i="14"/>
  <c r="B774" i="14"/>
  <c r="B775" i="14"/>
  <c r="B776" i="14"/>
  <c r="B777" i="14"/>
  <c r="B778" i="14"/>
  <c r="B779" i="14"/>
  <c r="B780" i="14"/>
  <c r="B781" i="14"/>
  <c r="B782" i="14"/>
  <c r="B783" i="14"/>
  <c r="B784" i="14"/>
  <c r="B785" i="14"/>
  <c r="B786" i="14"/>
  <c r="B787" i="14"/>
  <c r="B788" i="14"/>
  <c r="B789" i="14"/>
  <c r="B790" i="14"/>
  <c r="B791" i="14"/>
  <c r="B792" i="14"/>
  <c r="B793" i="14"/>
  <c r="B794" i="14"/>
  <c r="B795" i="14"/>
  <c r="B796" i="14"/>
  <c r="B797" i="14"/>
  <c r="B798" i="14"/>
  <c r="B799" i="14"/>
  <c r="B800" i="14"/>
  <c r="B801" i="14"/>
  <c r="B802" i="14"/>
  <c r="B803" i="14"/>
  <c r="B804" i="14"/>
  <c r="B805" i="14"/>
  <c r="B806" i="14"/>
  <c r="B807" i="14"/>
  <c r="B808" i="14"/>
  <c r="B809" i="14"/>
  <c r="B810" i="14"/>
  <c r="B811" i="14"/>
  <c r="B812" i="14"/>
  <c r="B813" i="14"/>
  <c r="B814" i="14"/>
  <c r="B815" i="14"/>
  <c r="B816" i="14"/>
  <c r="B817" i="14"/>
  <c r="B818" i="14"/>
  <c r="B819" i="14"/>
  <c r="B820" i="14"/>
  <c r="B821" i="14"/>
  <c r="B822" i="14"/>
  <c r="B823" i="14"/>
  <c r="B824" i="14"/>
  <c r="B825" i="14"/>
  <c r="B826" i="14"/>
  <c r="B827" i="14"/>
  <c r="B828" i="14"/>
  <c r="B829" i="14"/>
  <c r="B830" i="14"/>
  <c r="B831" i="14"/>
  <c r="B832" i="14"/>
  <c r="B833" i="14"/>
  <c r="B834" i="14"/>
  <c r="B835" i="14"/>
  <c r="B836" i="14"/>
  <c r="B837" i="14"/>
  <c r="B838" i="14"/>
  <c r="B839" i="14"/>
  <c r="B840" i="14"/>
  <c r="B841" i="14"/>
  <c r="B842" i="14"/>
  <c r="B843" i="14"/>
  <c r="B844" i="14"/>
  <c r="B845" i="14"/>
  <c r="B846" i="14"/>
  <c r="B847" i="14"/>
  <c r="B848" i="14"/>
  <c r="B849" i="14"/>
  <c r="B850" i="14"/>
  <c r="B851" i="14"/>
  <c r="B852" i="14"/>
  <c r="B853" i="14"/>
  <c r="B854" i="14"/>
  <c r="B855" i="14"/>
  <c r="B856" i="14"/>
  <c r="B857" i="14"/>
  <c r="B858" i="14"/>
  <c r="B859" i="14"/>
  <c r="B860" i="14"/>
  <c r="B861" i="14"/>
  <c r="B862" i="14"/>
  <c r="B863" i="14"/>
  <c r="B864" i="14"/>
  <c r="B865" i="14"/>
  <c r="B866" i="14"/>
  <c r="B867" i="14"/>
  <c r="B868" i="14"/>
  <c r="B869" i="14"/>
  <c r="B870" i="14"/>
  <c r="B871" i="14"/>
  <c r="B872" i="14"/>
  <c r="B873" i="14"/>
  <c r="B874" i="14"/>
  <c r="B875" i="14"/>
  <c r="B876" i="14"/>
  <c r="B877" i="14"/>
  <c r="B878" i="14"/>
  <c r="B879" i="14"/>
  <c r="B880" i="14"/>
  <c r="B881" i="14"/>
  <c r="B882" i="14"/>
  <c r="B883" i="14"/>
  <c r="B884" i="14"/>
  <c r="B885" i="14"/>
  <c r="B886" i="14"/>
  <c r="B887" i="14"/>
  <c r="B888" i="14"/>
  <c r="B889" i="14"/>
  <c r="B890" i="14"/>
  <c r="B891" i="14"/>
  <c r="B892" i="14"/>
  <c r="B893" i="14"/>
  <c r="B894" i="14"/>
  <c r="B895" i="14"/>
  <c r="B896" i="14"/>
  <c r="B897" i="14"/>
  <c r="B898" i="14"/>
  <c r="B899" i="14"/>
  <c r="B900" i="14"/>
  <c r="B901" i="14"/>
  <c r="B902" i="14"/>
  <c r="B903" i="14"/>
  <c r="B904" i="14"/>
  <c r="B905" i="14"/>
  <c r="B906" i="14"/>
  <c r="B907" i="14"/>
  <c r="B908" i="14"/>
  <c r="B909" i="14"/>
  <c r="B910" i="14"/>
  <c r="B911" i="14"/>
  <c r="B912" i="14"/>
  <c r="B913" i="14"/>
  <c r="B914" i="14"/>
  <c r="B915" i="14"/>
  <c r="B916" i="14"/>
  <c r="B917" i="14"/>
  <c r="B918" i="14"/>
  <c r="B919" i="14"/>
  <c r="B920" i="14"/>
  <c r="B921" i="14"/>
  <c r="B922" i="14"/>
  <c r="B923" i="14"/>
  <c r="B924" i="14"/>
  <c r="B925" i="14"/>
  <c r="B926" i="14"/>
  <c r="B927" i="14"/>
  <c r="B928" i="14"/>
  <c r="B929" i="14"/>
  <c r="B930" i="14"/>
  <c r="B931" i="14"/>
  <c r="B932" i="14"/>
  <c r="B933" i="14"/>
  <c r="B934" i="14"/>
  <c r="B935" i="14"/>
  <c r="B936" i="14"/>
  <c r="B937" i="14"/>
  <c r="B938" i="14"/>
  <c r="B939" i="14"/>
  <c r="B940" i="14"/>
  <c r="B941" i="14"/>
  <c r="B942" i="14"/>
  <c r="B943" i="14"/>
  <c r="B944" i="14"/>
  <c r="B945" i="14"/>
  <c r="B946" i="14"/>
  <c r="B947" i="14"/>
  <c r="B948" i="14"/>
  <c r="B949" i="14"/>
  <c r="B950" i="14"/>
  <c r="B951" i="14"/>
  <c r="B952" i="14"/>
  <c r="B953" i="14"/>
  <c r="B954" i="14"/>
  <c r="B955" i="14"/>
  <c r="B956" i="14"/>
  <c r="B957" i="14"/>
  <c r="B958" i="14"/>
  <c r="B959" i="14"/>
  <c r="B960" i="14"/>
  <c r="B961" i="14"/>
  <c r="B962" i="14"/>
  <c r="B963" i="14"/>
  <c r="B964" i="14"/>
  <c r="B2" i="14"/>
  <c r="BE23" i="2" l="1"/>
  <c r="BE11" i="2"/>
  <c r="BE24" i="2"/>
  <c r="BE7" i="2"/>
  <c r="BE3" i="2"/>
  <c r="BE19" i="2"/>
  <c r="BE16" i="2"/>
  <c r="BE14" i="2"/>
  <c r="BE10" i="2"/>
  <c r="BE8" i="2"/>
  <c r="CI21" i="2"/>
  <c r="BE21" i="2" s="1"/>
  <c r="CI25" i="2"/>
  <c r="BE25" i="2" s="1"/>
  <c r="CI9" i="2"/>
  <c r="BE9" i="2" s="1"/>
  <c r="CI4" i="2"/>
  <c r="BE4" i="2" s="1"/>
  <c r="CI12" i="2"/>
  <c r="BE12" i="2" s="1"/>
  <c r="CI13" i="2"/>
  <c r="BE13" i="2" s="1"/>
  <c r="CI5" i="2"/>
  <c r="BE5" i="2" s="1"/>
  <c r="CI17" i="2"/>
  <c r="BE17" i="2" s="1"/>
  <c r="A947" i="14"/>
  <c r="C947" i="14"/>
  <c r="D947" i="14"/>
  <c r="F947" i="14"/>
  <c r="I947" i="14"/>
  <c r="J947" i="14"/>
  <c r="M947" i="14"/>
  <c r="N947" i="14"/>
  <c r="G947" i="14"/>
  <c r="J63" i="9" l="1"/>
  <c r="G63" i="9"/>
  <c r="N964" i="14" l="1"/>
  <c r="M964" i="14"/>
  <c r="J964" i="14"/>
  <c r="I964" i="14"/>
  <c r="F964" i="14"/>
  <c r="D964" i="14"/>
  <c r="C964" i="14"/>
  <c r="A964" i="14"/>
  <c r="N963" i="14"/>
  <c r="M963" i="14"/>
  <c r="J963" i="14"/>
  <c r="I963" i="14"/>
  <c r="F963" i="14"/>
  <c r="D963" i="14"/>
  <c r="C963" i="14"/>
  <c r="A963" i="14"/>
  <c r="N962" i="14"/>
  <c r="M962" i="14"/>
  <c r="J962" i="14"/>
  <c r="I962" i="14"/>
  <c r="F962" i="14"/>
  <c r="D962" i="14"/>
  <c r="C962" i="14"/>
  <c r="A962" i="14"/>
  <c r="N961" i="14"/>
  <c r="M961" i="14"/>
  <c r="J961" i="14"/>
  <c r="I961" i="14"/>
  <c r="F961" i="14"/>
  <c r="D961" i="14"/>
  <c r="C961" i="14"/>
  <c r="A961" i="14"/>
  <c r="N960" i="14"/>
  <c r="M960" i="14"/>
  <c r="J960" i="14"/>
  <c r="I960" i="14"/>
  <c r="F960" i="14"/>
  <c r="D960" i="14"/>
  <c r="C960" i="14"/>
  <c r="A960" i="14"/>
  <c r="N959" i="14"/>
  <c r="M959" i="14"/>
  <c r="J959" i="14"/>
  <c r="I959" i="14"/>
  <c r="F959" i="14"/>
  <c r="D959" i="14"/>
  <c r="C959" i="14"/>
  <c r="A959" i="14"/>
  <c r="N958" i="14"/>
  <c r="M958" i="14"/>
  <c r="J958" i="14"/>
  <c r="I958" i="14"/>
  <c r="F958" i="14"/>
  <c r="D958" i="14"/>
  <c r="C958" i="14"/>
  <c r="A958" i="14"/>
  <c r="N957" i="14"/>
  <c r="M957" i="14"/>
  <c r="J957" i="14"/>
  <c r="I957" i="14"/>
  <c r="F957" i="14"/>
  <c r="D957" i="14"/>
  <c r="C957" i="14"/>
  <c r="A957" i="14"/>
  <c r="N956" i="14"/>
  <c r="M956" i="14"/>
  <c r="J956" i="14"/>
  <c r="I956" i="14"/>
  <c r="F956" i="14"/>
  <c r="D956" i="14"/>
  <c r="C956" i="14"/>
  <c r="A956" i="14"/>
  <c r="N955" i="14"/>
  <c r="M955" i="14"/>
  <c r="J955" i="14"/>
  <c r="I955" i="14"/>
  <c r="F955" i="14"/>
  <c r="D955" i="14"/>
  <c r="C955" i="14"/>
  <c r="A955" i="14"/>
  <c r="N954" i="14"/>
  <c r="M954" i="14"/>
  <c r="J954" i="14"/>
  <c r="I954" i="14"/>
  <c r="F954" i="14"/>
  <c r="D954" i="14"/>
  <c r="C954" i="14"/>
  <c r="A954" i="14"/>
  <c r="N953" i="14"/>
  <c r="M953" i="14"/>
  <c r="J953" i="14"/>
  <c r="I953" i="14"/>
  <c r="F953" i="14"/>
  <c r="D953" i="14"/>
  <c r="C953" i="14"/>
  <c r="A953" i="14"/>
  <c r="N952" i="14"/>
  <c r="M952" i="14"/>
  <c r="J952" i="14"/>
  <c r="I952" i="14"/>
  <c r="F952" i="14"/>
  <c r="D952" i="14"/>
  <c r="C952" i="14"/>
  <c r="A952" i="14"/>
  <c r="N951" i="14"/>
  <c r="M951" i="14"/>
  <c r="J951" i="14"/>
  <c r="I951" i="14"/>
  <c r="F951" i="14"/>
  <c r="D951" i="14"/>
  <c r="C951" i="14"/>
  <c r="A951" i="14"/>
  <c r="N950" i="14"/>
  <c r="M950" i="14"/>
  <c r="J950" i="14"/>
  <c r="I950" i="14"/>
  <c r="F950" i="14"/>
  <c r="D950" i="14"/>
  <c r="C950" i="14"/>
  <c r="A950" i="14"/>
  <c r="N949" i="14"/>
  <c r="M949" i="14"/>
  <c r="J949" i="14"/>
  <c r="I949" i="14"/>
  <c r="F949" i="14"/>
  <c r="D949" i="14"/>
  <c r="C949" i="14"/>
  <c r="A949" i="14"/>
  <c r="N948" i="14"/>
  <c r="M948" i="14"/>
  <c r="J948" i="14"/>
  <c r="I948" i="14"/>
  <c r="F948" i="14"/>
  <c r="D948" i="14"/>
  <c r="C948" i="14"/>
  <c r="A948" i="14"/>
  <c r="N946" i="14"/>
  <c r="M946" i="14"/>
  <c r="J946" i="14"/>
  <c r="I946" i="14"/>
  <c r="F946" i="14"/>
  <c r="D946" i="14"/>
  <c r="C946" i="14"/>
  <c r="A946" i="14"/>
  <c r="N945" i="14"/>
  <c r="M945" i="14"/>
  <c r="J945" i="14"/>
  <c r="I945" i="14"/>
  <c r="F945" i="14"/>
  <c r="D945" i="14"/>
  <c r="C945" i="14"/>
  <c r="A945" i="14"/>
  <c r="N944" i="14"/>
  <c r="M944" i="14"/>
  <c r="J944" i="14"/>
  <c r="I944" i="14"/>
  <c r="F944" i="14"/>
  <c r="D944" i="14"/>
  <c r="C944" i="14"/>
  <c r="A944" i="14"/>
  <c r="N943" i="14"/>
  <c r="M943" i="14"/>
  <c r="J943" i="14"/>
  <c r="I943" i="14"/>
  <c r="F943" i="14"/>
  <c r="D943" i="14"/>
  <c r="C943" i="14"/>
  <c r="A943" i="14"/>
  <c r="N942" i="14"/>
  <c r="M942" i="14"/>
  <c r="J942" i="14"/>
  <c r="I942" i="14"/>
  <c r="F942" i="14"/>
  <c r="D942" i="14"/>
  <c r="C942" i="14"/>
  <c r="A942" i="14"/>
  <c r="N941" i="14"/>
  <c r="M941" i="14"/>
  <c r="J941" i="14"/>
  <c r="I941" i="14"/>
  <c r="F941" i="14"/>
  <c r="D941" i="14"/>
  <c r="C941" i="14"/>
  <c r="A941" i="14"/>
  <c r="N940" i="14"/>
  <c r="M940" i="14"/>
  <c r="J940" i="14"/>
  <c r="I940" i="14"/>
  <c r="F940" i="14"/>
  <c r="D940" i="14"/>
  <c r="C940" i="14"/>
  <c r="A940" i="14"/>
  <c r="N939" i="14"/>
  <c r="M939" i="14"/>
  <c r="J939" i="14"/>
  <c r="I939" i="14"/>
  <c r="F939" i="14"/>
  <c r="D939" i="14"/>
  <c r="C939" i="14"/>
  <c r="A939" i="14"/>
  <c r="N938" i="14"/>
  <c r="M938" i="14"/>
  <c r="J938" i="14"/>
  <c r="I938" i="14"/>
  <c r="F938" i="14"/>
  <c r="D938" i="14"/>
  <c r="C938" i="14"/>
  <c r="A938" i="14"/>
  <c r="N937" i="14"/>
  <c r="M937" i="14"/>
  <c r="J937" i="14"/>
  <c r="I937" i="14"/>
  <c r="F937" i="14"/>
  <c r="D937" i="14"/>
  <c r="C937" i="14"/>
  <c r="A937" i="14"/>
  <c r="N936" i="14"/>
  <c r="M936" i="14"/>
  <c r="J936" i="14"/>
  <c r="I936" i="14"/>
  <c r="F936" i="14"/>
  <c r="D936" i="14"/>
  <c r="C936" i="14"/>
  <c r="A936" i="14"/>
  <c r="N935" i="14"/>
  <c r="M935" i="14"/>
  <c r="J935" i="14"/>
  <c r="I935" i="14"/>
  <c r="F935" i="14"/>
  <c r="D935" i="14"/>
  <c r="C935" i="14"/>
  <c r="A935" i="14"/>
  <c r="N934" i="14"/>
  <c r="M934" i="14"/>
  <c r="J934" i="14"/>
  <c r="I934" i="14"/>
  <c r="F934" i="14"/>
  <c r="D934" i="14"/>
  <c r="C934" i="14"/>
  <c r="A934" i="14"/>
  <c r="N933" i="14"/>
  <c r="M933" i="14"/>
  <c r="J933" i="14"/>
  <c r="I933" i="14"/>
  <c r="F933" i="14"/>
  <c r="D933" i="14"/>
  <c r="C933" i="14"/>
  <c r="A933" i="14"/>
  <c r="N932" i="14"/>
  <c r="M932" i="14"/>
  <c r="J932" i="14"/>
  <c r="I932" i="14"/>
  <c r="F932" i="14"/>
  <c r="D932" i="14"/>
  <c r="C932" i="14"/>
  <c r="A932" i="14"/>
  <c r="N931" i="14"/>
  <c r="M931" i="14"/>
  <c r="J931" i="14"/>
  <c r="I931" i="14"/>
  <c r="F931" i="14"/>
  <c r="D931" i="14"/>
  <c r="C931" i="14"/>
  <c r="A931" i="14"/>
  <c r="N930" i="14"/>
  <c r="M930" i="14"/>
  <c r="J930" i="14"/>
  <c r="I930" i="14"/>
  <c r="F930" i="14"/>
  <c r="D930" i="14"/>
  <c r="C930" i="14"/>
  <c r="A930" i="14"/>
  <c r="N929" i="14"/>
  <c r="M929" i="14"/>
  <c r="J929" i="14"/>
  <c r="I929" i="14"/>
  <c r="F929" i="14"/>
  <c r="D929" i="14"/>
  <c r="C929" i="14"/>
  <c r="A929" i="14"/>
  <c r="N928" i="14"/>
  <c r="M928" i="14"/>
  <c r="J928" i="14"/>
  <c r="I928" i="14"/>
  <c r="F928" i="14"/>
  <c r="D928" i="14"/>
  <c r="C928" i="14"/>
  <c r="A928" i="14"/>
  <c r="N927" i="14"/>
  <c r="M927" i="14"/>
  <c r="J927" i="14"/>
  <c r="I927" i="14"/>
  <c r="F927" i="14"/>
  <c r="D927" i="14"/>
  <c r="C927" i="14"/>
  <c r="A927" i="14"/>
  <c r="N926" i="14"/>
  <c r="M926" i="14"/>
  <c r="J926" i="14"/>
  <c r="I926" i="14"/>
  <c r="F926" i="14"/>
  <c r="D926" i="14"/>
  <c r="C926" i="14"/>
  <c r="A926" i="14"/>
  <c r="N925" i="14"/>
  <c r="M925" i="14"/>
  <c r="J925" i="14"/>
  <c r="I925" i="14"/>
  <c r="F925" i="14"/>
  <c r="D925" i="14"/>
  <c r="C925" i="14"/>
  <c r="A925" i="14"/>
  <c r="N924" i="14"/>
  <c r="M924" i="14"/>
  <c r="J924" i="14"/>
  <c r="I924" i="14"/>
  <c r="F924" i="14"/>
  <c r="D924" i="14"/>
  <c r="C924" i="14"/>
  <c r="A924" i="14"/>
  <c r="N923" i="14"/>
  <c r="M923" i="14"/>
  <c r="J923" i="14"/>
  <c r="I923" i="14"/>
  <c r="F923" i="14"/>
  <c r="D923" i="14"/>
  <c r="C923" i="14"/>
  <c r="A923" i="14"/>
  <c r="N922" i="14"/>
  <c r="M922" i="14"/>
  <c r="J922" i="14"/>
  <c r="I922" i="14"/>
  <c r="F922" i="14"/>
  <c r="D922" i="14"/>
  <c r="C922" i="14"/>
  <c r="A922" i="14"/>
  <c r="N921" i="14"/>
  <c r="M921" i="14"/>
  <c r="J921" i="14"/>
  <c r="I921" i="14"/>
  <c r="F921" i="14"/>
  <c r="D921" i="14"/>
  <c r="C921" i="14"/>
  <c r="A921" i="14"/>
  <c r="N920" i="14"/>
  <c r="M920" i="14"/>
  <c r="J920" i="14"/>
  <c r="I920" i="14"/>
  <c r="F920" i="14"/>
  <c r="D920" i="14"/>
  <c r="C920" i="14"/>
  <c r="A920" i="14"/>
  <c r="N919" i="14"/>
  <c r="M919" i="14"/>
  <c r="J919" i="14"/>
  <c r="I919" i="14"/>
  <c r="F919" i="14"/>
  <c r="D919" i="14"/>
  <c r="C919" i="14"/>
  <c r="A919" i="14"/>
  <c r="N918" i="14"/>
  <c r="M918" i="14"/>
  <c r="J918" i="14"/>
  <c r="I918" i="14"/>
  <c r="F918" i="14"/>
  <c r="D918" i="14"/>
  <c r="C918" i="14"/>
  <c r="A918" i="14"/>
  <c r="N917" i="14"/>
  <c r="M917" i="14"/>
  <c r="J917" i="14"/>
  <c r="I917" i="14"/>
  <c r="F917" i="14"/>
  <c r="D917" i="14"/>
  <c r="C917" i="14"/>
  <c r="A917" i="14"/>
  <c r="N916" i="14"/>
  <c r="M916" i="14"/>
  <c r="J916" i="14"/>
  <c r="I916" i="14"/>
  <c r="F916" i="14"/>
  <c r="D916" i="14"/>
  <c r="C916" i="14"/>
  <c r="A916" i="14"/>
  <c r="N915" i="14"/>
  <c r="M915" i="14"/>
  <c r="J915" i="14"/>
  <c r="I915" i="14"/>
  <c r="F915" i="14"/>
  <c r="D915" i="14"/>
  <c r="C915" i="14"/>
  <c r="A915" i="14"/>
  <c r="N914" i="14"/>
  <c r="M914" i="14"/>
  <c r="J914" i="14"/>
  <c r="I914" i="14"/>
  <c r="F914" i="14"/>
  <c r="D914" i="14"/>
  <c r="C914" i="14"/>
  <c r="A914" i="14"/>
  <c r="N913" i="14"/>
  <c r="M913" i="14"/>
  <c r="J913" i="14"/>
  <c r="I913" i="14"/>
  <c r="F913" i="14"/>
  <c r="D913" i="14"/>
  <c r="C913" i="14"/>
  <c r="A913" i="14"/>
  <c r="N912" i="14"/>
  <c r="M912" i="14"/>
  <c r="J912" i="14"/>
  <c r="I912" i="14"/>
  <c r="F912" i="14"/>
  <c r="D912" i="14"/>
  <c r="C912" i="14"/>
  <c r="A912" i="14"/>
  <c r="N911" i="14"/>
  <c r="M911" i="14"/>
  <c r="J911" i="14"/>
  <c r="I911" i="14"/>
  <c r="F911" i="14"/>
  <c r="D911" i="14"/>
  <c r="C911" i="14"/>
  <c r="A911" i="14"/>
  <c r="N910" i="14"/>
  <c r="M910" i="14"/>
  <c r="J910" i="14"/>
  <c r="I910" i="14"/>
  <c r="F910" i="14"/>
  <c r="D910" i="14"/>
  <c r="C910" i="14"/>
  <c r="A910" i="14"/>
  <c r="N909" i="14"/>
  <c r="M909" i="14"/>
  <c r="J909" i="14"/>
  <c r="I909" i="14"/>
  <c r="F909" i="14"/>
  <c r="D909" i="14"/>
  <c r="C909" i="14"/>
  <c r="A909" i="14"/>
  <c r="N908" i="14"/>
  <c r="M908" i="14"/>
  <c r="J908" i="14"/>
  <c r="I908" i="14"/>
  <c r="F908" i="14"/>
  <c r="D908" i="14"/>
  <c r="C908" i="14"/>
  <c r="A908" i="14"/>
  <c r="N907" i="14"/>
  <c r="M907" i="14"/>
  <c r="J907" i="14"/>
  <c r="I907" i="14"/>
  <c r="F907" i="14"/>
  <c r="D907" i="14"/>
  <c r="C907" i="14"/>
  <c r="A907" i="14"/>
  <c r="N906" i="14"/>
  <c r="M906" i="14"/>
  <c r="J906" i="14"/>
  <c r="I906" i="14"/>
  <c r="F906" i="14"/>
  <c r="D906" i="14"/>
  <c r="C906" i="14"/>
  <c r="A906" i="14"/>
  <c r="N905" i="14"/>
  <c r="M905" i="14"/>
  <c r="J905" i="14"/>
  <c r="I905" i="14"/>
  <c r="F905" i="14"/>
  <c r="D905" i="14"/>
  <c r="C905" i="14"/>
  <c r="A905" i="14"/>
  <c r="N904" i="14"/>
  <c r="M904" i="14"/>
  <c r="J904" i="14"/>
  <c r="I904" i="14"/>
  <c r="F904" i="14"/>
  <c r="D904" i="14"/>
  <c r="C904" i="14"/>
  <c r="A904" i="14"/>
  <c r="N903" i="14"/>
  <c r="M903" i="14"/>
  <c r="J903" i="14"/>
  <c r="I903" i="14"/>
  <c r="F903" i="14"/>
  <c r="D903" i="14"/>
  <c r="C903" i="14"/>
  <c r="A903" i="14"/>
  <c r="N902" i="14"/>
  <c r="M902" i="14"/>
  <c r="J902" i="14"/>
  <c r="I902" i="14"/>
  <c r="F902" i="14"/>
  <c r="D902" i="14"/>
  <c r="C902" i="14"/>
  <c r="A902" i="14"/>
  <c r="N901" i="14"/>
  <c r="M901" i="14"/>
  <c r="J901" i="14"/>
  <c r="I901" i="14"/>
  <c r="F901" i="14"/>
  <c r="D901" i="14"/>
  <c r="C901" i="14"/>
  <c r="A901" i="14"/>
  <c r="N900" i="14"/>
  <c r="M900" i="14"/>
  <c r="J900" i="14"/>
  <c r="I900" i="14"/>
  <c r="F900" i="14"/>
  <c r="D900" i="14"/>
  <c r="C900" i="14"/>
  <c r="A900" i="14"/>
  <c r="N899" i="14"/>
  <c r="M899" i="14"/>
  <c r="J899" i="14"/>
  <c r="I899" i="14"/>
  <c r="F899" i="14"/>
  <c r="D899" i="14"/>
  <c r="C899" i="14"/>
  <c r="A899" i="14"/>
  <c r="N898" i="14"/>
  <c r="M898" i="14"/>
  <c r="J898" i="14"/>
  <c r="I898" i="14"/>
  <c r="F898" i="14"/>
  <c r="D898" i="14"/>
  <c r="C898" i="14"/>
  <c r="A898" i="14"/>
  <c r="N897" i="14"/>
  <c r="M897" i="14"/>
  <c r="J897" i="14"/>
  <c r="I897" i="14"/>
  <c r="F897" i="14"/>
  <c r="D897" i="14"/>
  <c r="C897" i="14"/>
  <c r="A897" i="14"/>
  <c r="N896" i="14"/>
  <c r="M896" i="14"/>
  <c r="J896" i="14"/>
  <c r="I896" i="14"/>
  <c r="F896" i="14"/>
  <c r="D896" i="14"/>
  <c r="C896" i="14"/>
  <c r="A896" i="14"/>
  <c r="N895" i="14"/>
  <c r="M895" i="14"/>
  <c r="J895" i="14"/>
  <c r="I895" i="14"/>
  <c r="F895" i="14"/>
  <c r="D895" i="14"/>
  <c r="C895" i="14"/>
  <c r="A895" i="14"/>
  <c r="N894" i="14"/>
  <c r="M894" i="14"/>
  <c r="J894" i="14"/>
  <c r="I894" i="14"/>
  <c r="F894" i="14"/>
  <c r="D894" i="14"/>
  <c r="C894" i="14"/>
  <c r="A894" i="14"/>
  <c r="N893" i="14"/>
  <c r="M893" i="14"/>
  <c r="J893" i="14"/>
  <c r="I893" i="14"/>
  <c r="F893" i="14"/>
  <c r="D893" i="14"/>
  <c r="C893" i="14"/>
  <c r="A893" i="14"/>
  <c r="N892" i="14"/>
  <c r="M892" i="14"/>
  <c r="J892" i="14"/>
  <c r="I892" i="14"/>
  <c r="F892" i="14"/>
  <c r="D892" i="14"/>
  <c r="C892" i="14"/>
  <c r="A892" i="14"/>
  <c r="N891" i="14"/>
  <c r="M891" i="14"/>
  <c r="J891" i="14"/>
  <c r="I891" i="14"/>
  <c r="F891" i="14"/>
  <c r="D891" i="14"/>
  <c r="C891" i="14"/>
  <c r="A891" i="14"/>
  <c r="N890" i="14"/>
  <c r="M890" i="14"/>
  <c r="J890" i="14"/>
  <c r="I890" i="14"/>
  <c r="F890" i="14"/>
  <c r="D890" i="14"/>
  <c r="C890" i="14"/>
  <c r="A890" i="14"/>
  <c r="N889" i="14"/>
  <c r="M889" i="14"/>
  <c r="J889" i="14"/>
  <c r="I889" i="14"/>
  <c r="F889" i="14"/>
  <c r="D889" i="14"/>
  <c r="C889" i="14"/>
  <c r="A889" i="14"/>
  <c r="N888" i="14"/>
  <c r="M888" i="14"/>
  <c r="J888" i="14"/>
  <c r="I888" i="14"/>
  <c r="F888" i="14"/>
  <c r="D888" i="14"/>
  <c r="C888" i="14"/>
  <c r="A888" i="14"/>
  <c r="N887" i="14"/>
  <c r="M887" i="14"/>
  <c r="J887" i="14"/>
  <c r="I887" i="14"/>
  <c r="F887" i="14"/>
  <c r="D887" i="14"/>
  <c r="C887" i="14"/>
  <c r="A887" i="14"/>
  <c r="N886" i="14"/>
  <c r="M886" i="14"/>
  <c r="J886" i="14"/>
  <c r="I886" i="14"/>
  <c r="F886" i="14"/>
  <c r="D886" i="14"/>
  <c r="C886" i="14"/>
  <c r="A886" i="14"/>
  <c r="N885" i="14"/>
  <c r="M885" i="14"/>
  <c r="J885" i="14"/>
  <c r="I885" i="14"/>
  <c r="F885" i="14"/>
  <c r="D885" i="14"/>
  <c r="C885" i="14"/>
  <c r="A885" i="14"/>
  <c r="N884" i="14"/>
  <c r="M884" i="14"/>
  <c r="J884" i="14"/>
  <c r="I884" i="14"/>
  <c r="F884" i="14"/>
  <c r="D884" i="14"/>
  <c r="C884" i="14"/>
  <c r="A884" i="14"/>
  <c r="N883" i="14"/>
  <c r="M883" i="14"/>
  <c r="J883" i="14"/>
  <c r="I883" i="14"/>
  <c r="F883" i="14"/>
  <c r="D883" i="14"/>
  <c r="C883" i="14"/>
  <c r="A883" i="14"/>
  <c r="N882" i="14"/>
  <c r="M882" i="14"/>
  <c r="J882" i="14"/>
  <c r="I882" i="14"/>
  <c r="F882" i="14"/>
  <c r="D882" i="14"/>
  <c r="C882" i="14"/>
  <c r="A882" i="14"/>
  <c r="N881" i="14"/>
  <c r="M881" i="14"/>
  <c r="J881" i="14"/>
  <c r="I881" i="14"/>
  <c r="F881" i="14"/>
  <c r="D881" i="14"/>
  <c r="C881" i="14"/>
  <c r="A881" i="14"/>
  <c r="N880" i="14"/>
  <c r="M880" i="14"/>
  <c r="J880" i="14"/>
  <c r="I880" i="14"/>
  <c r="F880" i="14"/>
  <c r="D880" i="14"/>
  <c r="C880" i="14"/>
  <c r="A880" i="14"/>
  <c r="N879" i="14"/>
  <c r="M879" i="14"/>
  <c r="J879" i="14"/>
  <c r="I879" i="14"/>
  <c r="F879" i="14"/>
  <c r="D879" i="14"/>
  <c r="C879" i="14"/>
  <c r="A879" i="14"/>
  <c r="N878" i="14"/>
  <c r="M878" i="14"/>
  <c r="J878" i="14"/>
  <c r="I878" i="14"/>
  <c r="F878" i="14"/>
  <c r="D878" i="14"/>
  <c r="C878" i="14"/>
  <c r="A878" i="14"/>
  <c r="N877" i="14"/>
  <c r="M877" i="14"/>
  <c r="J877" i="14"/>
  <c r="I877" i="14"/>
  <c r="F877" i="14"/>
  <c r="D877" i="14"/>
  <c r="C877" i="14"/>
  <c r="A877" i="14"/>
  <c r="N876" i="14"/>
  <c r="M876" i="14"/>
  <c r="J876" i="14"/>
  <c r="I876" i="14"/>
  <c r="F876" i="14"/>
  <c r="D876" i="14"/>
  <c r="C876" i="14"/>
  <c r="A876" i="14"/>
  <c r="N875" i="14"/>
  <c r="M875" i="14"/>
  <c r="J875" i="14"/>
  <c r="I875" i="14"/>
  <c r="F875" i="14"/>
  <c r="D875" i="14"/>
  <c r="C875" i="14"/>
  <c r="A875" i="14"/>
  <c r="N874" i="14"/>
  <c r="M874" i="14"/>
  <c r="J874" i="14"/>
  <c r="I874" i="14"/>
  <c r="F874" i="14"/>
  <c r="D874" i="14"/>
  <c r="C874" i="14"/>
  <c r="A874" i="14"/>
  <c r="N873" i="14"/>
  <c r="M873" i="14"/>
  <c r="J873" i="14"/>
  <c r="I873" i="14"/>
  <c r="F873" i="14"/>
  <c r="D873" i="14"/>
  <c r="C873" i="14"/>
  <c r="A873" i="14"/>
  <c r="N872" i="14"/>
  <c r="M872" i="14"/>
  <c r="J872" i="14"/>
  <c r="I872" i="14"/>
  <c r="F872" i="14"/>
  <c r="D872" i="14"/>
  <c r="C872" i="14"/>
  <c r="A872" i="14"/>
  <c r="N871" i="14"/>
  <c r="M871" i="14"/>
  <c r="J871" i="14"/>
  <c r="I871" i="14"/>
  <c r="F871" i="14"/>
  <c r="D871" i="14"/>
  <c r="C871" i="14"/>
  <c r="A871" i="14"/>
  <c r="N870" i="14"/>
  <c r="M870" i="14"/>
  <c r="J870" i="14"/>
  <c r="I870" i="14"/>
  <c r="F870" i="14"/>
  <c r="D870" i="14"/>
  <c r="C870" i="14"/>
  <c r="A870" i="14"/>
  <c r="N869" i="14"/>
  <c r="M869" i="14"/>
  <c r="J869" i="14"/>
  <c r="I869" i="14"/>
  <c r="F869" i="14"/>
  <c r="D869" i="14"/>
  <c r="C869" i="14"/>
  <c r="A869" i="14"/>
  <c r="N868" i="14"/>
  <c r="M868" i="14"/>
  <c r="J868" i="14"/>
  <c r="I868" i="14"/>
  <c r="F868" i="14"/>
  <c r="D868" i="14"/>
  <c r="C868" i="14"/>
  <c r="A868" i="14"/>
  <c r="N867" i="14"/>
  <c r="M867" i="14"/>
  <c r="J867" i="14"/>
  <c r="I867" i="14"/>
  <c r="F867" i="14"/>
  <c r="D867" i="14"/>
  <c r="C867" i="14"/>
  <c r="A867" i="14"/>
  <c r="N866" i="14"/>
  <c r="M866" i="14"/>
  <c r="J866" i="14"/>
  <c r="I866" i="14"/>
  <c r="F866" i="14"/>
  <c r="D866" i="14"/>
  <c r="C866" i="14"/>
  <c r="A866" i="14"/>
  <c r="N865" i="14"/>
  <c r="M865" i="14"/>
  <c r="J865" i="14"/>
  <c r="I865" i="14"/>
  <c r="F865" i="14"/>
  <c r="D865" i="14"/>
  <c r="C865" i="14"/>
  <c r="A865" i="14"/>
  <c r="N864" i="14"/>
  <c r="M864" i="14"/>
  <c r="J864" i="14"/>
  <c r="I864" i="14"/>
  <c r="F864" i="14"/>
  <c r="D864" i="14"/>
  <c r="C864" i="14"/>
  <c r="A864" i="14"/>
  <c r="N863" i="14"/>
  <c r="M863" i="14"/>
  <c r="J863" i="14"/>
  <c r="I863" i="14"/>
  <c r="F863" i="14"/>
  <c r="D863" i="14"/>
  <c r="C863" i="14"/>
  <c r="A863" i="14"/>
  <c r="N862" i="14"/>
  <c r="M862" i="14"/>
  <c r="J862" i="14"/>
  <c r="I862" i="14"/>
  <c r="F862" i="14"/>
  <c r="D862" i="14"/>
  <c r="C862" i="14"/>
  <c r="A862" i="14"/>
  <c r="N861" i="14"/>
  <c r="M861" i="14"/>
  <c r="J861" i="14"/>
  <c r="I861" i="14"/>
  <c r="F861" i="14"/>
  <c r="D861" i="14"/>
  <c r="C861" i="14"/>
  <c r="A861" i="14"/>
  <c r="N860" i="14"/>
  <c r="M860" i="14"/>
  <c r="J860" i="14"/>
  <c r="I860" i="14"/>
  <c r="F860" i="14"/>
  <c r="D860" i="14"/>
  <c r="C860" i="14"/>
  <c r="A860" i="14"/>
  <c r="N859" i="14"/>
  <c r="M859" i="14"/>
  <c r="J859" i="14"/>
  <c r="I859" i="14"/>
  <c r="F859" i="14"/>
  <c r="D859" i="14"/>
  <c r="C859" i="14"/>
  <c r="A859" i="14"/>
  <c r="N858" i="14"/>
  <c r="M858" i="14"/>
  <c r="J858" i="14"/>
  <c r="I858" i="14"/>
  <c r="F858" i="14"/>
  <c r="D858" i="14"/>
  <c r="C858" i="14"/>
  <c r="A858" i="14"/>
  <c r="N857" i="14"/>
  <c r="M857" i="14"/>
  <c r="J857" i="14"/>
  <c r="I857" i="14"/>
  <c r="F857" i="14"/>
  <c r="D857" i="14"/>
  <c r="C857" i="14"/>
  <c r="A857" i="14"/>
  <c r="N856" i="14"/>
  <c r="M856" i="14"/>
  <c r="J856" i="14"/>
  <c r="I856" i="14"/>
  <c r="F856" i="14"/>
  <c r="D856" i="14"/>
  <c r="C856" i="14"/>
  <c r="A856" i="14"/>
  <c r="N855" i="14"/>
  <c r="M855" i="14"/>
  <c r="J855" i="14"/>
  <c r="I855" i="14"/>
  <c r="F855" i="14"/>
  <c r="D855" i="14"/>
  <c r="C855" i="14"/>
  <c r="A855" i="14"/>
  <c r="N854" i="14"/>
  <c r="M854" i="14"/>
  <c r="J854" i="14"/>
  <c r="I854" i="14"/>
  <c r="F854" i="14"/>
  <c r="D854" i="14"/>
  <c r="C854" i="14"/>
  <c r="A854" i="14"/>
  <c r="N853" i="14"/>
  <c r="M853" i="14"/>
  <c r="J853" i="14"/>
  <c r="I853" i="14"/>
  <c r="F853" i="14"/>
  <c r="D853" i="14"/>
  <c r="C853" i="14"/>
  <c r="A853" i="14"/>
  <c r="N852" i="14"/>
  <c r="M852" i="14"/>
  <c r="J852" i="14"/>
  <c r="I852" i="14"/>
  <c r="F852" i="14"/>
  <c r="D852" i="14"/>
  <c r="C852" i="14"/>
  <c r="A852" i="14"/>
  <c r="N851" i="14"/>
  <c r="M851" i="14"/>
  <c r="J851" i="14"/>
  <c r="I851" i="14"/>
  <c r="F851" i="14"/>
  <c r="D851" i="14"/>
  <c r="C851" i="14"/>
  <c r="A851" i="14"/>
  <c r="N850" i="14"/>
  <c r="M850" i="14"/>
  <c r="J850" i="14"/>
  <c r="I850" i="14"/>
  <c r="F850" i="14"/>
  <c r="D850" i="14"/>
  <c r="C850" i="14"/>
  <c r="A850" i="14"/>
  <c r="N849" i="14"/>
  <c r="M849" i="14"/>
  <c r="J849" i="14"/>
  <c r="I849" i="14"/>
  <c r="F849" i="14"/>
  <c r="D849" i="14"/>
  <c r="C849" i="14"/>
  <c r="A849" i="14"/>
  <c r="N848" i="14"/>
  <c r="M848" i="14"/>
  <c r="J848" i="14"/>
  <c r="I848" i="14"/>
  <c r="F848" i="14"/>
  <c r="D848" i="14"/>
  <c r="C848" i="14"/>
  <c r="A848" i="14"/>
  <c r="N847" i="14"/>
  <c r="M847" i="14"/>
  <c r="J847" i="14"/>
  <c r="I847" i="14"/>
  <c r="F847" i="14"/>
  <c r="D847" i="14"/>
  <c r="C847" i="14"/>
  <c r="A847" i="14"/>
  <c r="N846" i="14"/>
  <c r="M846" i="14"/>
  <c r="J846" i="14"/>
  <c r="I846" i="14"/>
  <c r="F846" i="14"/>
  <c r="D846" i="14"/>
  <c r="C846" i="14"/>
  <c r="A846" i="14"/>
  <c r="N845" i="14"/>
  <c r="M845" i="14"/>
  <c r="J845" i="14"/>
  <c r="I845" i="14"/>
  <c r="F845" i="14"/>
  <c r="D845" i="14"/>
  <c r="C845" i="14"/>
  <c r="A845" i="14"/>
  <c r="N844" i="14"/>
  <c r="M844" i="14"/>
  <c r="J844" i="14"/>
  <c r="I844" i="14"/>
  <c r="F844" i="14"/>
  <c r="D844" i="14"/>
  <c r="C844" i="14"/>
  <c r="A844" i="14"/>
  <c r="N843" i="14"/>
  <c r="M843" i="14"/>
  <c r="J843" i="14"/>
  <c r="I843" i="14"/>
  <c r="F843" i="14"/>
  <c r="D843" i="14"/>
  <c r="C843" i="14"/>
  <c r="A843" i="14"/>
  <c r="N842" i="14"/>
  <c r="M842" i="14"/>
  <c r="J842" i="14"/>
  <c r="I842" i="14"/>
  <c r="F842" i="14"/>
  <c r="D842" i="14"/>
  <c r="C842" i="14"/>
  <c r="A842" i="14"/>
  <c r="N841" i="14"/>
  <c r="M841" i="14"/>
  <c r="J841" i="14"/>
  <c r="I841" i="14"/>
  <c r="F841" i="14"/>
  <c r="D841" i="14"/>
  <c r="C841" i="14"/>
  <c r="A841" i="14"/>
  <c r="N840" i="14"/>
  <c r="M840" i="14"/>
  <c r="J840" i="14"/>
  <c r="I840" i="14"/>
  <c r="F840" i="14"/>
  <c r="D840" i="14"/>
  <c r="C840" i="14"/>
  <c r="A840" i="14"/>
  <c r="N839" i="14"/>
  <c r="M839" i="14"/>
  <c r="J839" i="14"/>
  <c r="I839" i="14"/>
  <c r="F839" i="14"/>
  <c r="D839" i="14"/>
  <c r="C839" i="14"/>
  <c r="A839" i="14"/>
  <c r="N838" i="14"/>
  <c r="M838" i="14"/>
  <c r="J838" i="14"/>
  <c r="I838" i="14"/>
  <c r="F838" i="14"/>
  <c r="D838" i="14"/>
  <c r="C838" i="14"/>
  <c r="A838" i="14"/>
  <c r="N837" i="14"/>
  <c r="M837" i="14"/>
  <c r="J837" i="14"/>
  <c r="I837" i="14"/>
  <c r="F837" i="14"/>
  <c r="D837" i="14"/>
  <c r="C837" i="14"/>
  <c r="A837" i="14"/>
  <c r="N836" i="14"/>
  <c r="M836" i="14"/>
  <c r="J836" i="14"/>
  <c r="I836" i="14"/>
  <c r="F836" i="14"/>
  <c r="D836" i="14"/>
  <c r="C836" i="14"/>
  <c r="A836" i="14"/>
  <c r="N835" i="14"/>
  <c r="M835" i="14"/>
  <c r="J835" i="14"/>
  <c r="I835" i="14"/>
  <c r="F835" i="14"/>
  <c r="D835" i="14"/>
  <c r="C835" i="14"/>
  <c r="A835" i="14"/>
  <c r="N834" i="14"/>
  <c r="M834" i="14"/>
  <c r="J834" i="14"/>
  <c r="I834" i="14"/>
  <c r="F834" i="14"/>
  <c r="D834" i="14"/>
  <c r="C834" i="14"/>
  <c r="A834" i="14"/>
  <c r="N833" i="14"/>
  <c r="M833" i="14"/>
  <c r="J833" i="14"/>
  <c r="I833" i="14"/>
  <c r="F833" i="14"/>
  <c r="D833" i="14"/>
  <c r="C833" i="14"/>
  <c r="A833" i="14"/>
  <c r="N832" i="14"/>
  <c r="M832" i="14"/>
  <c r="J832" i="14"/>
  <c r="I832" i="14"/>
  <c r="F832" i="14"/>
  <c r="D832" i="14"/>
  <c r="C832" i="14"/>
  <c r="A832" i="14"/>
  <c r="N831" i="14"/>
  <c r="M831" i="14"/>
  <c r="J831" i="14"/>
  <c r="I831" i="14"/>
  <c r="F831" i="14"/>
  <c r="D831" i="14"/>
  <c r="C831" i="14"/>
  <c r="A831" i="14"/>
  <c r="N830" i="14"/>
  <c r="M830" i="14"/>
  <c r="J830" i="14"/>
  <c r="I830" i="14"/>
  <c r="F830" i="14"/>
  <c r="D830" i="14"/>
  <c r="C830" i="14"/>
  <c r="A830" i="14"/>
  <c r="N829" i="14"/>
  <c r="M829" i="14"/>
  <c r="J829" i="14"/>
  <c r="I829" i="14"/>
  <c r="F829" i="14"/>
  <c r="D829" i="14"/>
  <c r="C829" i="14"/>
  <c r="A829" i="14"/>
  <c r="N828" i="14"/>
  <c r="M828" i="14"/>
  <c r="J828" i="14"/>
  <c r="I828" i="14"/>
  <c r="F828" i="14"/>
  <c r="D828" i="14"/>
  <c r="C828" i="14"/>
  <c r="A828" i="14"/>
  <c r="N827" i="14"/>
  <c r="M827" i="14"/>
  <c r="J827" i="14"/>
  <c r="I827" i="14"/>
  <c r="F827" i="14"/>
  <c r="D827" i="14"/>
  <c r="C827" i="14"/>
  <c r="A827" i="14"/>
  <c r="N826" i="14"/>
  <c r="M826" i="14"/>
  <c r="J826" i="14"/>
  <c r="I826" i="14"/>
  <c r="F826" i="14"/>
  <c r="D826" i="14"/>
  <c r="C826" i="14"/>
  <c r="A826" i="14"/>
  <c r="N825" i="14"/>
  <c r="M825" i="14"/>
  <c r="J825" i="14"/>
  <c r="I825" i="14"/>
  <c r="F825" i="14"/>
  <c r="D825" i="14"/>
  <c r="C825" i="14"/>
  <c r="A825" i="14"/>
  <c r="N824" i="14"/>
  <c r="M824" i="14"/>
  <c r="J824" i="14"/>
  <c r="I824" i="14"/>
  <c r="F824" i="14"/>
  <c r="D824" i="14"/>
  <c r="C824" i="14"/>
  <c r="A824" i="14"/>
  <c r="N823" i="14"/>
  <c r="M823" i="14"/>
  <c r="J823" i="14"/>
  <c r="I823" i="14"/>
  <c r="F823" i="14"/>
  <c r="D823" i="14"/>
  <c r="C823" i="14"/>
  <c r="A823" i="14"/>
  <c r="N822" i="14"/>
  <c r="M822" i="14"/>
  <c r="J822" i="14"/>
  <c r="I822" i="14"/>
  <c r="F822" i="14"/>
  <c r="D822" i="14"/>
  <c r="C822" i="14"/>
  <c r="A822" i="14"/>
  <c r="N821" i="14"/>
  <c r="M821" i="14"/>
  <c r="J821" i="14"/>
  <c r="I821" i="14"/>
  <c r="F821" i="14"/>
  <c r="D821" i="14"/>
  <c r="C821" i="14"/>
  <c r="A821" i="14"/>
  <c r="N820" i="14"/>
  <c r="M820" i="14"/>
  <c r="J820" i="14"/>
  <c r="I820" i="14"/>
  <c r="F820" i="14"/>
  <c r="D820" i="14"/>
  <c r="C820" i="14"/>
  <c r="A820" i="14"/>
  <c r="N819" i="14"/>
  <c r="M819" i="14"/>
  <c r="J819" i="14"/>
  <c r="I819" i="14"/>
  <c r="F819" i="14"/>
  <c r="D819" i="14"/>
  <c r="C819" i="14"/>
  <c r="A819" i="14"/>
  <c r="N818" i="14"/>
  <c r="M818" i="14"/>
  <c r="J818" i="14"/>
  <c r="I818" i="14"/>
  <c r="F818" i="14"/>
  <c r="D818" i="14"/>
  <c r="C818" i="14"/>
  <c r="A818" i="14"/>
  <c r="N817" i="14"/>
  <c r="M817" i="14"/>
  <c r="J817" i="14"/>
  <c r="I817" i="14"/>
  <c r="F817" i="14"/>
  <c r="D817" i="14"/>
  <c r="C817" i="14"/>
  <c r="A817" i="14"/>
  <c r="N816" i="14"/>
  <c r="M816" i="14"/>
  <c r="J816" i="14"/>
  <c r="I816" i="14"/>
  <c r="F816" i="14"/>
  <c r="D816" i="14"/>
  <c r="C816" i="14"/>
  <c r="A816" i="14"/>
  <c r="N815" i="14"/>
  <c r="M815" i="14"/>
  <c r="J815" i="14"/>
  <c r="I815" i="14"/>
  <c r="F815" i="14"/>
  <c r="D815" i="14"/>
  <c r="C815" i="14"/>
  <c r="A815" i="14"/>
  <c r="N814" i="14"/>
  <c r="M814" i="14"/>
  <c r="J814" i="14"/>
  <c r="I814" i="14"/>
  <c r="F814" i="14"/>
  <c r="D814" i="14"/>
  <c r="C814" i="14"/>
  <c r="A814" i="14"/>
  <c r="N813" i="14"/>
  <c r="M813" i="14"/>
  <c r="J813" i="14"/>
  <c r="I813" i="14"/>
  <c r="F813" i="14"/>
  <c r="D813" i="14"/>
  <c r="C813" i="14"/>
  <c r="A813" i="14"/>
  <c r="N812" i="14"/>
  <c r="M812" i="14"/>
  <c r="J812" i="14"/>
  <c r="I812" i="14"/>
  <c r="F812" i="14"/>
  <c r="D812" i="14"/>
  <c r="C812" i="14"/>
  <c r="A812" i="14"/>
  <c r="N811" i="14"/>
  <c r="M811" i="14"/>
  <c r="K811" i="14"/>
  <c r="J811" i="14"/>
  <c r="I811" i="14"/>
  <c r="F811" i="14"/>
  <c r="D811" i="14"/>
  <c r="C811" i="14"/>
  <c r="A811" i="14"/>
  <c r="N810" i="14"/>
  <c r="M810" i="14"/>
  <c r="K810" i="14"/>
  <c r="J810" i="14"/>
  <c r="I810" i="14"/>
  <c r="F810" i="14"/>
  <c r="D810" i="14"/>
  <c r="C810" i="14"/>
  <c r="A810" i="14"/>
  <c r="N809" i="14"/>
  <c r="M809" i="14"/>
  <c r="K809" i="14"/>
  <c r="J809" i="14"/>
  <c r="I809" i="14"/>
  <c r="F809" i="14"/>
  <c r="D809" i="14"/>
  <c r="C809" i="14"/>
  <c r="A809" i="14"/>
  <c r="N808" i="14"/>
  <c r="M808" i="14"/>
  <c r="K808" i="14"/>
  <c r="J808" i="14"/>
  <c r="I808" i="14"/>
  <c r="F808" i="14"/>
  <c r="D808" i="14"/>
  <c r="C808" i="14"/>
  <c r="A808" i="14"/>
  <c r="N807" i="14"/>
  <c r="M807" i="14"/>
  <c r="K807" i="14"/>
  <c r="J807" i="14"/>
  <c r="I807" i="14"/>
  <c r="F807" i="14"/>
  <c r="D807" i="14"/>
  <c r="C807" i="14"/>
  <c r="A807" i="14"/>
  <c r="N806" i="14"/>
  <c r="M806" i="14"/>
  <c r="K806" i="14"/>
  <c r="J806" i="14"/>
  <c r="I806" i="14"/>
  <c r="F806" i="14"/>
  <c r="D806" i="14"/>
  <c r="C806" i="14"/>
  <c r="A806" i="14"/>
  <c r="N805" i="14"/>
  <c r="M805" i="14"/>
  <c r="K805" i="14"/>
  <c r="J805" i="14"/>
  <c r="I805" i="14"/>
  <c r="F805" i="14"/>
  <c r="D805" i="14"/>
  <c r="C805" i="14"/>
  <c r="A805" i="14"/>
  <c r="N804" i="14"/>
  <c r="M804" i="14"/>
  <c r="K804" i="14"/>
  <c r="J804" i="14"/>
  <c r="I804" i="14"/>
  <c r="F804" i="14"/>
  <c r="D804" i="14"/>
  <c r="C804" i="14"/>
  <c r="A804" i="14"/>
  <c r="N803" i="14"/>
  <c r="M803" i="14"/>
  <c r="K803" i="14"/>
  <c r="J803" i="14"/>
  <c r="I803" i="14"/>
  <c r="F803" i="14"/>
  <c r="D803" i="14"/>
  <c r="C803" i="14"/>
  <c r="A803" i="14"/>
  <c r="N802" i="14"/>
  <c r="M802" i="14"/>
  <c r="K802" i="14"/>
  <c r="J802" i="14"/>
  <c r="I802" i="14"/>
  <c r="F802" i="14"/>
  <c r="D802" i="14"/>
  <c r="C802" i="14"/>
  <c r="A802" i="14"/>
  <c r="N801" i="14"/>
  <c r="M801" i="14"/>
  <c r="K801" i="14"/>
  <c r="J801" i="14"/>
  <c r="I801" i="14"/>
  <c r="F801" i="14"/>
  <c r="D801" i="14"/>
  <c r="C801" i="14"/>
  <c r="A801" i="14"/>
  <c r="N800" i="14"/>
  <c r="M800" i="14"/>
  <c r="K800" i="14"/>
  <c r="J800" i="14"/>
  <c r="I800" i="14"/>
  <c r="F800" i="14"/>
  <c r="D800" i="14"/>
  <c r="C800" i="14"/>
  <c r="A800" i="14"/>
  <c r="N799" i="14"/>
  <c r="M799" i="14"/>
  <c r="K799" i="14"/>
  <c r="J799" i="14"/>
  <c r="I799" i="14"/>
  <c r="F799" i="14"/>
  <c r="D799" i="14"/>
  <c r="C799" i="14"/>
  <c r="A799" i="14"/>
  <c r="N798" i="14"/>
  <c r="M798" i="14"/>
  <c r="K798" i="14"/>
  <c r="J798" i="14"/>
  <c r="I798" i="14"/>
  <c r="F798" i="14"/>
  <c r="D798" i="14"/>
  <c r="C798" i="14"/>
  <c r="A798" i="14"/>
  <c r="N797" i="14"/>
  <c r="M797" i="14"/>
  <c r="K797" i="14"/>
  <c r="J797" i="14"/>
  <c r="I797" i="14"/>
  <c r="F797" i="14"/>
  <c r="D797" i="14"/>
  <c r="C797" i="14"/>
  <c r="A797" i="14"/>
  <c r="N796" i="14"/>
  <c r="M796" i="14"/>
  <c r="K796" i="14"/>
  <c r="J796" i="14"/>
  <c r="I796" i="14"/>
  <c r="F796" i="14"/>
  <c r="D796" i="14"/>
  <c r="C796" i="14"/>
  <c r="A796" i="14"/>
  <c r="N795" i="14"/>
  <c r="M795" i="14"/>
  <c r="K795" i="14"/>
  <c r="J795" i="14"/>
  <c r="I795" i="14"/>
  <c r="F795" i="14"/>
  <c r="D795" i="14"/>
  <c r="C795" i="14"/>
  <c r="A795" i="14"/>
  <c r="N794" i="14"/>
  <c r="M794" i="14"/>
  <c r="K794" i="14"/>
  <c r="J794" i="14"/>
  <c r="I794" i="14"/>
  <c r="F794" i="14"/>
  <c r="D794" i="14"/>
  <c r="C794" i="14"/>
  <c r="A794" i="14"/>
  <c r="N793" i="14"/>
  <c r="M793" i="14"/>
  <c r="K793" i="14"/>
  <c r="J793" i="14"/>
  <c r="I793" i="14"/>
  <c r="F793" i="14"/>
  <c r="D793" i="14"/>
  <c r="C793" i="14"/>
  <c r="A793" i="14"/>
  <c r="N792" i="14"/>
  <c r="M792" i="14"/>
  <c r="K792" i="14"/>
  <c r="J792" i="14"/>
  <c r="I792" i="14"/>
  <c r="F792" i="14"/>
  <c r="D792" i="14"/>
  <c r="C792" i="14"/>
  <c r="A792" i="14"/>
  <c r="N791" i="14"/>
  <c r="M791" i="14"/>
  <c r="K791" i="14"/>
  <c r="J791" i="14"/>
  <c r="I791" i="14"/>
  <c r="F791" i="14"/>
  <c r="D791" i="14"/>
  <c r="C791" i="14"/>
  <c r="A791" i="14"/>
  <c r="N790" i="14"/>
  <c r="M790" i="14"/>
  <c r="K790" i="14"/>
  <c r="J790" i="14"/>
  <c r="I790" i="14"/>
  <c r="F790" i="14"/>
  <c r="D790" i="14"/>
  <c r="C790" i="14"/>
  <c r="A790" i="14"/>
  <c r="N789" i="14"/>
  <c r="M789" i="14"/>
  <c r="K789" i="14"/>
  <c r="J789" i="14"/>
  <c r="I789" i="14"/>
  <c r="F789" i="14"/>
  <c r="D789" i="14"/>
  <c r="C789" i="14"/>
  <c r="A789" i="14"/>
  <c r="N788" i="14"/>
  <c r="M788" i="14"/>
  <c r="K788" i="14"/>
  <c r="J788" i="14"/>
  <c r="I788" i="14"/>
  <c r="F788" i="14"/>
  <c r="D788" i="14"/>
  <c r="C788" i="14"/>
  <c r="A788" i="14"/>
  <c r="N787" i="14"/>
  <c r="M787" i="14"/>
  <c r="K787" i="14"/>
  <c r="J787" i="14"/>
  <c r="I787" i="14"/>
  <c r="F787" i="14"/>
  <c r="D787" i="14"/>
  <c r="C787" i="14"/>
  <c r="A787" i="14"/>
  <c r="N786" i="14"/>
  <c r="M786" i="14"/>
  <c r="K786" i="14"/>
  <c r="J786" i="14"/>
  <c r="I786" i="14"/>
  <c r="F786" i="14"/>
  <c r="D786" i="14"/>
  <c r="C786" i="14"/>
  <c r="A786" i="14"/>
  <c r="N785" i="14"/>
  <c r="M785" i="14"/>
  <c r="K785" i="14"/>
  <c r="J785" i="14"/>
  <c r="I785" i="14"/>
  <c r="F785" i="14"/>
  <c r="D785" i="14"/>
  <c r="C785" i="14"/>
  <c r="A785" i="14"/>
  <c r="N784" i="14"/>
  <c r="M784" i="14"/>
  <c r="J784" i="14"/>
  <c r="I784" i="14"/>
  <c r="F784" i="14"/>
  <c r="D784" i="14"/>
  <c r="C784" i="14"/>
  <c r="A784" i="14"/>
  <c r="N783" i="14"/>
  <c r="M783" i="14"/>
  <c r="J783" i="14"/>
  <c r="I783" i="14"/>
  <c r="F783" i="14"/>
  <c r="D783" i="14"/>
  <c r="C783" i="14"/>
  <c r="A783" i="14"/>
  <c r="N782" i="14"/>
  <c r="M782" i="14"/>
  <c r="J782" i="14"/>
  <c r="I782" i="14"/>
  <c r="F782" i="14"/>
  <c r="D782" i="14"/>
  <c r="C782" i="14"/>
  <c r="A782" i="14"/>
  <c r="N781" i="14"/>
  <c r="M781" i="14"/>
  <c r="J781" i="14"/>
  <c r="I781" i="14"/>
  <c r="F781" i="14"/>
  <c r="D781" i="14"/>
  <c r="C781" i="14"/>
  <c r="A781" i="14"/>
  <c r="N780" i="14"/>
  <c r="M780" i="14"/>
  <c r="J780" i="14"/>
  <c r="I780" i="14"/>
  <c r="F780" i="14"/>
  <c r="D780" i="14"/>
  <c r="C780" i="14"/>
  <c r="A780" i="14"/>
  <c r="N779" i="14"/>
  <c r="M779" i="14"/>
  <c r="J779" i="14"/>
  <c r="I779" i="14"/>
  <c r="F779" i="14"/>
  <c r="D779" i="14"/>
  <c r="C779" i="14"/>
  <c r="A779" i="14"/>
  <c r="N778" i="14"/>
  <c r="M778" i="14"/>
  <c r="J778" i="14"/>
  <c r="I778" i="14"/>
  <c r="F778" i="14"/>
  <c r="D778" i="14"/>
  <c r="C778" i="14"/>
  <c r="A778" i="14"/>
  <c r="N777" i="14"/>
  <c r="M777" i="14"/>
  <c r="J777" i="14"/>
  <c r="I777" i="14"/>
  <c r="F777" i="14"/>
  <c r="D777" i="14"/>
  <c r="C777" i="14"/>
  <c r="A777" i="14"/>
  <c r="N776" i="14"/>
  <c r="M776" i="14"/>
  <c r="J776" i="14"/>
  <c r="I776" i="14"/>
  <c r="F776" i="14"/>
  <c r="D776" i="14"/>
  <c r="C776" i="14"/>
  <c r="A776" i="14"/>
  <c r="N775" i="14"/>
  <c r="M775" i="14"/>
  <c r="J775" i="14"/>
  <c r="I775" i="14"/>
  <c r="F775" i="14"/>
  <c r="D775" i="14"/>
  <c r="C775" i="14"/>
  <c r="A775" i="14"/>
  <c r="N774" i="14"/>
  <c r="M774" i="14"/>
  <c r="J774" i="14"/>
  <c r="I774" i="14"/>
  <c r="F774" i="14"/>
  <c r="D774" i="14"/>
  <c r="C774" i="14"/>
  <c r="A774" i="14"/>
  <c r="N773" i="14"/>
  <c r="M773" i="14"/>
  <c r="J773" i="14"/>
  <c r="I773" i="14"/>
  <c r="F773" i="14"/>
  <c r="D773" i="14"/>
  <c r="C773" i="14"/>
  <c r="A773" i="14"/>
  <c r="N772" i="14"/>
  <c r="M772" i="14"/>
  <c r="J772" i="14"/>
  <c r="I772" i="14"/>
  <c r="F772" i="14"/>
  <c r="D772" i="14"/>
  <c r="C772" i="14"/>
  <c r="A772" i="14"/>
  <c r="N771" i="14"/>
  <c r="M771" i="14"/>
  <c r="J771" i="14"/>
  <c r="I771" i="14"/>
  <c r="F771" i="14"/>
  <c r="D771" i="14"/>
  <c r="C771" i="14"/>
  <c r="A771" i="14"/>
  <c r="N770" i="14"/>
  <c r="M770" i="14"/>
  <c r="J770" i="14"/>
  <c r="I770" i="14"/>
  <c r="F770" i="14"/>
  <c r="D770" i="14"/>
  <c r="C770" i="14"/>
  <c r="A770" i="14"/>
  <c r="N769" i="14"/>
  <c r="M769" i="14"/>
  <c r="J769" i="14"/>
  <c r="I769" i="14"/>
  <c r="F769" i="14"/>
  <c r="D769" i="14"/>
  <c r="C769" i="14"/>
  <c r="A769" i="14"/>
  <c r="N768" i="14"/>
  <c r="M768" i="14"/>
  <c r="J768" i="14"/>
  <c r="I768" i="14"/>
  <c r="F768" i="14"/>
  <c r="D768" i="14"/>
  <c r="C768" i="14"/>
  <c r="A768" i="14"/>
  <c r="N767" i="14"/>
  <c r="M767" i="14"/>
  <c r="J767" i="14"/>
  <c r="I767" i="14"/>
  <c r="F767" i="14"/>
  <c r="D767" i="14"/>
  <c r="C767" i="14"/>
  <c r="A767" i="14"/>
  <c r="N766" i="14"/>
  <c r="M766" i="14"/>
  <c r="J766" i="14"/>
  <c r="I766" i="14"/>
  <c r="F766" i="14"/>
  <c r="D766" i="14"/>
  <c r="C766" i="14"/>
  <c r="A766" i="14"/>
  <c r="N765" i="14"/>
  <c r="M765" i="14"/>
  <c r="J765" i="14"/>
  <c r="I765" i="14"/>
  <c r="F765" i="14"/>
  <c r="D765" i="14"/>
  <c r="C765" i="14"/>
  <c r="A765" i="14"/>
  <c r="N764" i="14"/>
  <c r="M764" i="14"/>
  <c r="J764" i="14"/>
  <c r="I764" i="14"/>
  <c r="F764" i="14"/>
  <c r="D764" i="14"/>
  <c r="C764" i="14"/>
  <c r="A764" i="14"/>
  <c r="N763" i="14"/>
  <c r="M763" i="14"/>
  <c r="J763" i="14"/>
  <c r="I763" i="14"/>
  <c r="F763" i="14"/>
  <c r="D763" i="14"/>
  <c r="C763" i="14"/>
  <c r="A763" i="14"/>
  <c r="N762" i="14"/>
  <c r="M762" i="14"/>
  <c r="J762" i="14"/>
  <c r="I762" i="14"/>
  <c r="F762" i="14"/>
  <c r="D762" i="14"/>
  <c r="C762" i="14"/>
  <c r="A762" i="14"/>
  <c r="N761" i="14"/>
  <c r="M761" i="14"/>
  <c r="J761" i="14"/>
  <c r="I761" i="14"/>
  <c r="F761" i="14"/>
  <c r="D761" i="14"/>
  <c r="C761" i="14"/>
  <c r="A761" i="14"/>
  <c r="N760" i="14"/>
  <c r="M760" i="14"/>
  <c r="J760" i="14"/>
  <c r="I760" i="14"/>
  <c r="F760" i="14"/>
  <c r="D760" i="14"/>
  <c r="C760" i="14"/>
  <c r="A760" i="14"/>
  <c r="N759" i="14"/>
  <c r="M759" i="14"/>
  <c r="J759" i="14"/>
  <c r="I759" i="14"/>
  <c r="F759" i="14"/>
  <c r="D759" i="14"/>
  <c r="C759" i="14"/>
  <c r="A759" i="14"/>
  <c r="N758" i="14"/>
  <c r="M758" i="14"/>
  <c r="J758" i="14"/>
  <c r="I758" i="14"/>
  <c r="F758" i="14"/>
  <c r="D758" i="14"/>
  <c r="C758" i="14"/>
  <c r="A758" i="14"/>
  <c r="N757" i="14"/>
  <c r="M757" i="14"/>
  <c r="K757" i="14"/>
  <c r="J757" i="14"/>
  <c r="I757" i="14"/>
  <c r="F757" i="14"/>
  <c r="D757" i="14"/>
  <c r="C757" i="14"/>
  <c r="A757" i="14"/>
  <c r="N756" i="14"/>
  <c r="M756" i="14"/>
  <c r="K756" i="14"/>
  <c r="J756" i="14"/>
  <c r="I756" i="14"/>
  <c r="F756" i="14"/>
  <c r="D756" i="14"/>
  <c r="C756" i="14"/>
  <c r="A756" i="14"/>
  <c r="N755" i="14"/>
  <c r="M755" i="14"/>
  <c r="K755" i="14"/>
  <c r="J755" i="14"/>
  <c r="I755" i="14"/>
  <c r="F755" i="14"/>
  <c r="D755" i="14"/>
  <c r="C755" i="14"/>
  <c r="A755" i="14"/>
  <c r="N754" i="14"/>
  <c r="M754" i="14"/>
  <c r="K754" i="14"/>
  <c r="J754" i="14"/>
  <c r="I754" i="14"/>
  <c r="F754" i="14"/>
  <c r="D754" i="14"/>
  <c r="C754" i="14"/>
  <c r="A754" i="14"/>
  <c r="N753" i="14"/>
  <c r="M753" i="14"/>
  <c r="K753" i="14"/>
  <c r="J753" i="14"/>
  <c r="I753" i="14"/>
  <c r="F753" i="14"/>
  <c r="D753" i="14"/>
  <c r="C753" i="14"/>
  <c r="A753" i="14"/>
  <c r="N752" i="14"/>
  <c r="M752" i="14"/>
  <c r="K752" i="14"/>
  <c r="J752" i="14"/>
  <c r="I752" i="14"/>
  <c r="F752" i="14"/>
  <c r="D752" i="14"/>
  <c r="C752" i="14"/>
  <c r="A752" i="14"/>
  <c r="N751" i="14"/>
  <c r="M751" i="14"/>
  <c r="K751" i="14"/>
  <c r="J751" i="14"/>
  <c r="I751" i="14"/>
  <c r="F751" i="14"/>
  <c r="D751" i="14"/>
  <c r="C751" i="14"/>
  <c r="A751" i="14"/>
  <c r="N750" i="14"/>
  <c r="M750" i="14"/>
  <c r="K750" i="14"/>
  <c r="J750" i="14"/>
  <c r="I750" i="14"/>
  <c r="F750" i="14"/>
  <c r="D750" i="14"/>
  <c r="C750" i="14"/>
  <c r="A750" i="14"/>
  <c r="N749" i="14"/>
  <c r="M749" i="14"/>
  <c r="K749" i="14"/>
  <c r="J749" i="14"/>
  <c r="I749" i="14"/>
  <c r="F749" i="14"/>
  <c r="D749" i="14"/>
  <c r="C749" i="14"/>
  <c r="A749" i="14"/>
  <c r="N748" i="14"/>
  <c r="M748" i="14"/>
  <c r="K748" i="14"/>
  <c r="J748" i="14"/>
  <c r="I748" i="14"/>
  <c r="F748" i="14"/>
  <c r="D748" i="14"/>
  <c r="C748" i="14"/>
  <c r="A748" i="14"/>
  <c r="N747" i="14"/>
  <c r="M747" i="14"/>
  <c r="K747" i="14"/>
  <c r="J747" i="14"/>
  <c r="I747" i="14"/>
  <c r="F747" i="14"/>
  <c r="D747" i="14"/>
  <c r="C747" i="14"/>
  <c r="A747" i="14"/>
  <c r="N746" i="14"/>
  <c r="M746" i="14"/>
  <c r="K746" i="14"/>
  <c r="J746" i="14"/>
  <c r="I746" i="14"/>
  <c r="F746" i="14"/>
  <c r="D746" i="14"/>
  <c r="C746" i="14"/>
  <c r="A746" i="14"/>
  <c r="N745" i="14"/>
  <c r="M745" i="14"/>
  <c r="K745" i="14"/>
  <c r="J745" i="14"/>
  <c r="I745" i="14"/>
  <c r="F745" i="14"/>
  <c r="D745" i="14"/>
  <c r="C745" i="14"/>
  <c r="A745" i="14"/>
  <c r="N744" i="14"/>
  <c r="M744" i="14"/>
  <c r="K744" i="14"/>
  <c r="J744" i="14"/>
  <c r="I744" i="14"/>
  <c r="F744" i="14"/>
  <c r="D744" i="14"/>
  <c r="C744" i="14"/>
  <c r="A744" i="14"/>
  <c r="N743" i="14"/>
  <c r="M743" i="14"/>
  <c r="K743" i="14"/>
  <c r="J743" i="14"/>
  <c r="I743" i="14"/>
  <c r="F743" i="14"/>
  <c r="D743" i="14"/>
  <c r="C743" i="14"/>
  <c r="A743" i="14"/>
  <c r="N742" i="14"/>
  <c r="M742" i="14"/>
  <c r="K742" i="14"/>
  <c r="J742" i="14"/>
  <c r="I742" i="14"/>
  <c r="F742" i="14"/>
  <c r="D742" i="14"/>
  <c r="C742" i="14"/>
  <c r="A742" i="14"/>
  <c r="N741" i="14"/>
  <c r="M741" i="14"/>
  <c r="K741" i="14"/>
  <c r="J741" i="14"/>
  <c r="I741" i="14"/>
  <c r="F741" i="14"/>
  <c r="D741" i="14"/>
  <c r="C741" i="14"/>
  <c r="A741" i="14"/>
  <c r="N740" i="14"/>
  <c r="M740" i="14"/>
  <c r="K740" i="14"/>
  <c r="J740" i="14"/>
  <c r="I740" i="14"/>
  <c r="F740" i="14"/>
  <c r="D740" i="14"/>
  <c r="C740" i="14"/>
  <c r="A740" i="14"/>
  <c r="N739" i="14"/>
  <c r="M739" i="14"/>
  <c r="K739" i="14"/>
  <c r="J739" i="14"/>
  <c r="I739" i="14"/>
  <c r="F739" i="14"/>
  <c r="D739" i="14"/>
  <c r="C739" i="14"/>
  <c r="A739" i="14"/>
  <c r="N738" i="14"/>
  <c r="M738" i="14"/>
  <c r="K738" i="14"/>
  <c r="J738" i="14"/>
  <c r="I738" i="14"/>
  <c r="F738" i="14"/>
  <c r="D738" i="14"/>
  <c r="C738" i="14"/>
  <c r="A738" i="14"/>
  <c r="N737" i="14"/>
  <c r="M737" i="14"/>
  <c r="K737" i="14"/>
  <c r="J737" i="14"/>
  <c r="I737" i="14"/>
  <c r="F737" i="14"/>
  <c r="D737" i="14"/>
  <c r="C737" i="14"/>
  <c r="A737" i="14"/>
  <c r="N736" i="14"/>
  <c r="M736" i="14"/>
  <c r="K736" i="14"/>
  <c r="J736" i="14"/>
  <c r="I736" i="14"/>
  <c r="F736" i="14"/>
  <c r="D736" i="14"/>
  <c r="C736" i="14"/>
  <c r="A736" i="14"/>
  <c r="N735" i="14"/>
  <c r="M735" i="14"/>
  <c r="K735" i="14"/>
  <c r="J735" i="14"/>
  <c r="I735" i="14"/>
  <c r="F735" i="14"/>
  <c r="D735" i="14"/>
  <c r="C735" i="14"/>
  <c r="A735" i="14"/>
  <c r="N734" i="14"/>
  <c r="M734" i="14"/>
  <c r="K734" i="14"/>
  <c r="J734" i="14"/>
  <c r="I734" i="14"/>
  <c r="F734" i="14"/>
  <c r="D734" i="14"/>
  <c r="C734" i="14"/>
  <c r="A734" i="14"/>
  <c r="N733" i="14"/>
  <c r="M733" i="14"/>
  <c r="K733" i="14"/>
  <c r="J733" i="14"/>
  <c r="I733" i="14"/>
  <c r="F733" i="14"/>
  <c r="D733" i="14"/>
  <c r="C733" i="14"/>
  <c r="A733" i="14"/>
  <c r="N732" i="14"/>
  <c r="M732" i="14"/>
  <c r="K732" i="14"/>
  <c r="J732" i="14"/>
  <c r="I732" i="14"/>
  <c r="F732" i="14"/>
  <c r="D732" i="14"/>
  <c r="C732" i="14"/>
  <c r="A732" i="14"/>
  <c r="N731" i="14"/>
  <c r="M731" i="14"/>
  <c r="K731" i="14"/>
  <c r="J731" i="14"/>
  <c r="I731" i="14"/>
  <c r="F731" i="14"/>
  <c r="D731" i="14"/>
  <c r="C731" i="14"/>
  <c r="A731" i="14"/>
  <c r="N730" i="14"/>
  <c r="M730" i="14"/>
  <c r="J730" i="14"/>
  <c r="I730" i="14"/>
  <c r="F730" i="14"/>
  <c r="D730" i="14"/>
  <c r="C730" i="14"/>
  <c r="A730" i="14"/>
  <c r="N729" i="14"/>
  <c r="M729" i="14"/>
  <c r="J729" i="14"/>
  <c r="I729" i="14"/>
  <c r="F729" i="14"/>
  <c r="D729" i="14"/>
  <c r="C729" i="14"/>
  <c r="A729" i="14"/>
  <c r="N728" i="14"/>
  <c r="M728" i="14"/>
  <c r="J728" i="14"/>
  <c r="I728" i="14"/>
  <c r="F728" i="14"/>
  <c r="D728" i="14"/>
  <c r="C728" i="14"/>
  <c r="A728" i="14"/>
  <c r="N727" i="14"/>
  <c r="M727" i="14"/>
  <c r="J727" i="14"/>
  <c r="I727" i="14"/>
  <c r="F727" i="14"/>
  <c r="D727" i="14"/>
  <c r="C727" i="14"/>
  <c r="A727" i="14"/>
  <c r="N726" i="14"/>
  <c r="M726" i="14"/>
  <c r="J726" i="14"/>
  <c r="I726" i="14"/>
  <c r="F726" i="14"/>
  <c r="D726" i="14"/>
  <c r="C726" i="14"/>
  <c r="A726" i="14"/>
  <c r="N725" i="14"/>
  <c r="M725" i="14"/>
  <c r="J725" i="14"/>
  <c r="I725" i="14"/>
  <c r="F725" i="14"/>
  <c r="D725" i="14"/>
  <c r="C725" i="14"/>
  <c r="A725" i="14"/>
  <c r="N724" i="14"/>
  <c r="M724" i="14"/>
  <c r="J724" i="14"/>
  <c r="I724" i="14"/>
  <c r="F724" i="14"/>
  <c r="D724" i="14"/>
  <c r="C724" i="14"/>
  <c r="A724" i="14"/>
  <c r="N723" i="14"/>
  <c r="M723" i="14"/>
  <c r="J723" i="14"/>
  <c r="I723" i="14"/>
  <c r="F723" i="14"/>
  <c r="D723" i="14"/>
  <c r="C723" i="14"/>
  <c r="A723" i="14"/>
  <c r="N722" i="14"/>
  <c r="M722" i="14"/>
  <c r="J722" i="14"/>
  <c r="I722" i="14"/>
  <c r="F722" i="14"/>
  <c r="D722" i="14"/>
  <c r="C722" i="14"/>
  <c r="A722" i="14"/>
  <c r="N721" i="14"/>
  <c r="M721" i="14"/>
  <c r="J721" i="14"/>
  <c r="I721" i="14"/>
  <c r="F721" i="14"/>
  <c r="D721" i="14"/>
  <c r="C721" i="14"/>
  <c r="A721" i="14"/>
  <c r="N720" i="14"/>
  <c r="M720" i="14"/>
  <c r="J720" i="14"/>
  <c r="I720" i="14"/>
  <c r="F720" i="14"/>
  <c r="D720" i="14"/>
  <c r="C720" i="14"/>
  <c r="A720" i="14"/>
  <c r="N719" i="14"/>
  <c r="M719" i="14"/>
  <c r="J719" i="14"/>
  <c r="I719" i="14"/>
  <c r="F719" i="14"/>
  <c r="D719" i="14"/>
  <c r="C719" i="14"/>
  <c r="A719" i="14"/>
  <c r="N718" i="14"/>
  <c r="M718" i="14"/>
  <c r="J718" i="14"/>
  <c r="I718" i="14"/>
  <c r="F718" i="14"/>
  <c r="D718" i="14"/>
  <c r="C718" i="14"/>
  <c r="A718" i="14"/>
  <c r="N717" i="14"/>
  <c r="M717" i="14"/>
  <c r="J717" i="14"/>
  <c r="I717" i="14"/>
  <c r="F717" i="14"/>
  <c r="D717" i="14"/>
  <c r="C717" i="14"/>
  <c r="A717" i="14"/>
  <c r="N716" i="14"/>
  <c r="M716" i="14"/>
  <c r="J716" i="14"/>
  <c r="I716" i="14"/>
  <c r="F716" i="14"/>
  <c r="D716" i="14"/>
  <c r="C716" i="14"/>
  <c r="A716" i="14"/>
  <c r="N715" i="14"/>
  <c r="M715" i="14"/>
  <c r="J715" i="14"/>
  <c r="I715" i="14"/>
  <c r="F715" i="14"/>
  <c r="D715" i="14"/>
  <c r="C715" i="14"/>
  <c r="A715" i="14"/>
  <c r="N714" i="14"/>
  <c r="M714" i="14"/>
  <c r="J714" i="14"/>
  <c r="I714" i="14"/>
  <c r="F714" i="14"/>
  <c r="D714" i="14"/>
  <c r="C714" i="14"/>
  <c r="A714" i="14"/>
  <c r="N713" i="14"/>
  <c r="M713" i="14"/>
  <c r="J713" i="14"/>
  <c r="I713" i="14"/>
  <c r="F713" i="14"/>
  <c r="D713" i="14"/>
  <c r="C713" i="14"/>
  <c r="A713" i="14"/>
  <c r="N712" i="14"/>
  <c r="M712" i="14"/>
  <c r="J712" i="14"/>
  <c r="I712" i="14"/>
  <c r="F712" i="14"/>
  <c r="D712" i="14"/>
  <c r="C712" i="14"/>
  <c r="A712" i="14"/>
  <c r="N711" i="14"/>
  <c r="M711" i="14"/>
  <c r="J711" i="14"/>
  <c r="I711" i="14"/>
  <c r="F711" i="14"/>
  <c r="D711" i="14"/>
  <c r="C711" i="14"/>
  <c r="A711" i="14"/>
  <c r="N710" i="14"/>
  <c r="M710" i="14"/>
  <c r="J710" i="14"/>
  <c r="I710" i="14"/>
  <c r="F710" i="14"/>
  <c r="D710" i="14"/>
  <c r="C710" i="14"/>
  <c r="A710" i="14"/>
  <c r="N709" i="14"/>
  <c r="M709" i="14"/>
  <c r="J709" i="14"/>
  <c r="I709" i="14"/>
  <c r="F709" i="14"/>
  <c r="D709" i="14"/>
  <c r="C709" i="14"/>
  <c r="A709" i="14"/>
  <c r="N708" i="14"/>
  <c r="M708" i="14"/>
  <c r="J708" i="14"/>
  <c r="I708" i="14"/>
  <c r="F708" i="14"/>
  <c r="D708" i="14"/>
  <c r="C708" i="14"/>
  <c r="A708" i="14"/>
  <c r="N707" i="14"/>
  <c r="M707" i="14"/>
  <c r="J707" i="14"/>
  <c r="I707" i="14"/>
  <c r="F707" i="14"/>
  <c r="D707" i="14"/>
  <c r="C707" i="14"/>
  <c r="A707" i="14"/>
  <c r="N706" i="14"/>
  <c r="M706" i="14"/>
  <c r="J706" i="14"/>
  <c r="I706" i="14"/>
  <c r="F706" i="14"/>
  <c r="D706" i="14"/>
  <c r="C706" i="14"/>
  <c r="A706" i="14"/>
  <c r="N705" i="14"/>
  <c r="M705" i="14"/>
  <c r="J705" i="14"/>
  <c r="I705" i="14"/>
  <c r="F705" i="14"/>
  <c r="D705" i="14"/>
  <c r="C705" i="14"/>
  <c r="A705" i="14"/>
  <c r="N704" i="14"/>
  <c r="M704" i="14"/>
  <c r="J704" i="14"/>
  <c r="I704" i="14"/>
  <c r="F704" i="14"/>
  <c r="D704" i="14"/>
  <c r="C704" i="14"/>
  <c r="A704" i="14"/>
  <c r="N703" i="14"/>
  <c r="M703" i="14"/>
  <c r="K703" i="14"/>
  <c r="J703" i="14"/>
  <c r="I703" i="14"/>
  <c r="F703" i="14"/>
  <c r="D703" i="14"/>
  <c r="C703" i="14"/>
  <c r="A703" i="14"/>
  <c r="N702" i="14"/>
  <c r="M702" i="14"/>
  <c r="K702" i="14"/>
  <c r="J702" i="14"/>
  <c r="I702" i="14"/>
  <c r="F702" i="14"/>
  <c r="D702" i="14"/>
  <c r="C702" i="14"/>
  <c r="A702" i="14"/>
  <c r="N701" i="14"/>
  <c r="M701" i="14"/>
  <c r="K701" i="14"/>
  <c r="J701" i="14"/>
  <c r="I701" i="14"/>
  <c r="F701" i="14"/>
  <c r="D701" i="14"/>
  <c r="C701" i="14"/>
  <c r="A701" i="14"/>
  <c r="N700" i="14"/>
  <c r="M700" i="14"/>
  <c r="K700" i="14"/>
  <c r="J700" i="14"/>
  <c r="I700" i="14"/>
  <c r="F700" i="14"/>
  <c r="D700" i="14"/>
  <c r="C700" i="14"/>
  <c r="A700" i="14"/>
  <c r="N699" i="14"/>
  <c r="M699" i="14"/>
  <c r="K699" i="14"/>
  <c r="J699" i="14"/>
  <c r="I699" i="14"/>
  <c r="F699" i="14"/>
  <c r="D699" i="14"/>
  <c r="C699" i="14"/>
  <c r="A699" i="14"/>
  <c r="N698" i="14"/>
  <c r="M698" i="14"/>
  <c r="K698" i="14"/>
  <c r="J698" i="14"/>
  <c r="I698" i="14"/>
  <c r="F698" i="14"/>
  <c r="D698" i="14"/>
  <c r="C698" i="14"/>
  <c r="A698" i="14"/>
  <c r="N697" i="14"/>
  <c r="M697" i="14"/>
  <c r="K697" i="14"/>
  <c r="J697" i="14"/>
  <c r="I697" i="14"/>
  <c r="F697" i="14"/>
  <c r="D697" i="14"/>
  <c r="C697" i="14"/>
  <c r="A697" i="14"/>
  <c r="N696" i="14"/>
  <c r="M696" i="14"/>
  <c r="K696" i="14"/>
  <c r="J696" i="14"/>
  <c r="I696" i="14"/>
  <c r="F696" i="14"/>
  <c r="D696" i="14"/>
  <c r="C696" i="14"/>
  <c r="A696" i="14"/>
  <c r="N695" i="14"/>
  <c r="M695" i="14"/>
  <c r="K695" i="14"/>
  <c r="J695" i="14"/>
  <c r="I695" i="14"/>
  <c r="F695" i="14"/>
  <c r="D695" i="14"/>
  <c r="C695" i="14"/>
  <c r="A695" i="14"/>
  <c r="N694" i="14"/>
  <c r="M694" i="14"/>
  <c r="K694" i="14"/>
  <c r="J694" i="14"/>
  <c r="I694" i="14"/>
  <c r="F694" i="14"/>
  <c r="D694" i="14"/>
  <c r="C694" i="14"/>
  <c r="A694" i="14"/>
  <c r="N693" i="14"/>
  <c r="M693" i="14"/>
  <c r="K693" i="14"/>
  <c r="J693" i="14"/>
  <c r="I693" i="14"/>
  <c r="F693" i="14"/>
  <c r="D693" i="14"/>
  <c r="C693" i="14"/>
  <c r="A693" i="14"/>
  <c r="N692" i="14"/>
  <c r="M692" i="14"/>
  <c r="K692" i="14"/>
  <c r="J692" i="14"/>
  <c r="I692" i="14"/>
  <c r="F692" i="14"/>
  <c r="D692" i="14"/>
  <c r="C692" i="14"/>
  <c r="A692" i="14"/>
  <c r="N691" i="14"/>
  <c r="M691" i="14"/>
  <c r="K691" i="14"/>
  <c r="J691" i="14"/>
  <c r="I691" i="14"/>
  <c r="F691" i="14"/>
  <c r="D691" i="14"/>
  <c r="C691" i="14"/>
  <c r="A691" i="14"/>
  <c r="N690" i="14"/>
  <c r="M690" i="14"/>
  <c r="K690" i="14"/>
  <c r="J690" i="14"/>
  <c r="I690" i="14"/>
  <c r="F690" i="14"/>
  <c r="D690" i="14"/>
  <c r="C690" i="14"/>
  <c r="A690" i="14"/>
  <c r="N689" i="14"/>
  <c r="M689" i="14"/>
  <c r="K689" i="14"/>
  <c r="J689" i="14"/>
  <c r="I689" i="14"/>
  <c r="F689" i="14"/>
  <c r="D689" i="14"/>
  <c r="C689" i="14"/>
  <c r="A689" i="14"/>
  <c r="N688" i="14"/>
  <c r="M688" i="14"/>
  <c r="K688" i="14"/>
  <c r="J688" i="14"/>
  <c r="I688" i="14"/>
  <c r="F688" i="14"/>
  <c r="D688" i="14"/>
  <c r="C688" i="14"/>
  <c r="A688" i="14"/>
  <c r="N687" i="14"/>
  <c r="M687" i="14"/>
  <c r="K687" i="14"/>
  <c r="J687" i="14"/>
  <c r="I687" i="14"/>
  <c r="F687" i="14"/>
  <c r="D687" i="14"/>
  <c r="C687" i="14"/>
  <c r="A687" i="14"/>
  <c r="N686" i="14"/>
  <c r="M686" i="14"/>
  <c r="K686" i="14"/>
  <c r="J686" i="14"/>
  <c r="I686" i="14"/>
  <c r="F686" i="14"/>
  <c r="D686" i="14"/>
  <c r="C686" i="14"/>
  <c r="A686" i="14"/>
  <c r="N685" i="14"/>
  <c r="M685" i="14"/>
  <c r="J685" i="14"/>
  <c r="I685" i="14"/>
  <c r="F685" i="14"/>
  <c r="D685" i="14"/>
  <c r="C685" i="14"/>
  <c r="A685" i="14"/>
  <c r="N684" i="14"/>
  <c r="M684" i="14"/>
  <c r="J684" i="14"/>
  <c r="I684" i="14"/>
  <c r="F684" i="14"/>
  <c r="D684" i="14"/>
  <c r="C684" i="14"/>
  <c r="A684" i="14"/>
  <c r="N683" i="14"/>
  <c r="M683" i="14"/>
  <c r="J683" i="14"/>
  <c r="I683" i="14"/>
  <c r="F683" i="14"/>
  <c r="D683" i="14"/>
  <c r="C683" i="14"/>
  <c r="A683" i="14"/>
  <c r="N682" i="14"/>
  <c r="M682" i="14"/>
  <c r="K682" i="14"/>
  <c r="J682" i="14"/>
  <c r="I682" i="14"/>
  <c r="F682" i="14"/>
  <c r="D682" i="14"/>
  <c r="C682" i="14"/>
  <c r="A682" i="14"/>
  <c r="N681" i="14"/>
  <c r="M681" i="14"/>
  <c r="K681" i="14"/>
  <c r="J681" i="14"/>
  <c r="I681" i="14"/>
  <c r="F681" i="14"/>
  <c r="D681" i="14"/>
  <c r="C681" i="14"/>
  <c r="A681" i="14"/>
  <c r="N680" i="14"/>
  <c r="M680" i="14"/>
  <c r="K680" i="14"/>
  <c r="J680" i="14"/>
  <c r="I680" i="14"/>
  <c r="F680" i="14"/>
  <c r="D680" i="14"/>
  <c r="C680" i="14"/>
  <c r="A680" i="14"/>
  <c r="N679" i="14"/>
  <c r="M679" i="14"/>
  <c r="K679" i="14"/>
  <c r="J679" i="14"/>
  <c r="I679" i="14"/>
  <c r="F679" i="14"/>
  <c r="D679" i="14"/>
  <c r="C679" i="14"/>
  <c r="A679" i="14"/>
  <c r="N678" i="14"/>
  <c r="M678" i="14"/>
  <c r="K678" i="14"/>
  <c r="J678" i="14"/>
  <c r="I678" i="14"/>
  <c r="F678" i="14"/>
  <c r="D678" i="14"/>
  <c r="C678" i="14"/>
  <c r="A678" i="14"/>
  <c r="N677" i="14"/>
  <c r="M677" i="14"/>
  <c r="K677" i="14"/>
  <c r="J677" i="14"/>
  <c r="I677" i="14"/>
  <c r="F677" i="14"/>
  <c r="D677" i="14"/>
  <c r="C677" i="14"/>
  <c r="A677" i="14"/>
  <c r="N676" i="14"/>
  <c r="M676" i="14"/>
  <c r="J676" i="14"/>
  <c r="I676" i="14"/>
  <c r="F676" i="14"/>
  <c r="D676" i="14"/>
  <c r="C676" i="14"/>
  <c r="A676" i="14"/>
  <c r="N675" i="14"/>
  <c r="M675" i="14"/>
  <c r="J675" i="14"/>
  <c r="I675" i="14"/>
  <c r="F675" i="14"/>
  <c r="D675" i="14"/>
  <c r="C675" i="14"/>
  <c r="A675" i="14"/>
  <c r="N674" i="14"/>
  <c r="M674" i="14"/>
  <c r="J674" i="14"/>
  <c r="I674" i="14"/>
  <c r="F674" i="14"/>
  <c r="D674" i="14"/>
  <c r="C674" i="14"/>
  <c r="A674" i="14"/>
  <c r="N673" i="14"/>
  <c r="M673" i="14"/>
  <c r="J673" i="14"/>
  <c r="I673" i="14"/>
  <c r="F673" i="14"/>
  <c r="D673" i="14"/>
  <c r="C673" i="14"/>
  <c r="A673" i="14"/>
  <c r="N672" i="14"/>
  <c r="M672" i="14"/>
  <c r="J672" i="14"/>
  <c r="I672" i="14"/>
  <c r="F672" i="14"/>
  <c r="D672" i="14"/>
  <c r="C672" i="14"/>
  <c r="A672" i="14"/>
  <c r="N671" i="14"/>
  <c r="M671" i="14"/>
  <c r="J671" i="14"/>
  <c r="I671" i="14"/>
  <c r="F671" i="14"/>
  <c r="D671" i="14"/>
  <c r="C671" i="14"/>
  <c r="A671" i="14"/>
  <c r="N670" i="14"/>
  <c r="M670" i="14"/>
  <c r="J670" i="14"/>
  <c r="I670" i="14"/>
  <c r="F670" i="14"/>
  <c r="D670" i="14"/>
  <c r="C670" i="14"/>
  <c r="A670" i="14"/>
  <c r="N669" i="14"/>
  <c r="M669" i="14"/>
  <c r="J669" i="14"/>
  <c r="I669" i="14"/>
  <c r="F669" i="14"/>
  <c r="D669" i="14"/>
  <c r="C669" i="14"/>
  <c r="A669" i="14"/>
  <c r="N668" i="14"/>
  <c r="M668" i="14"/>
  <c r="J668" i="14"/>
  <c r="I668" i="14"/>
  <c r="F668" i="14"/>
  <c r="D668" i="14"/>
  <c r="C668" i="14"/>
  <c r="A668" i="14"/>
  <c r="N667" i="14"/>
  <c r="M667" i="14"/>
  <c r="J667" i="14"/>
  <c r="I667" i="14"/>
  <c r="F667" i="14"/>
  <c r="D667" i="14"/>
  <c r="C667" i="14"/>
  <c r="A667" i="14"/>
  <c r="N666" i="14"/>
  <c r="M666" i="14"/>
  <c r="J666" i="14"/>
  <c r="I666" i="14"/>
  <c r="F666" i="14"/>
  <c r="D666" i="14"/>
  <c r="C666" i="14"/>
  <c r="A666" i="14"/>
  <c r="N665" i="14"/>
  <c r="M665" i="14"/>
  <c r="J665" i="14"/>
  <c r="I665" i="14"/>
  <c r="F665" i="14"/>
  <c r="D665" i="14"/>
  <c r="C665" i="14"/>
  <c r="A665" i="14"/>
  <c r="N664" i="14"/>
  <c r="M664" i="14"/>
  <c r="J664" i="14"/>
  <c r="I664" i="14"/>
  <c r="F664" i="14"/>
  <c r="D664" i="14"/>
  <c r="C664" i="14"/>
  <c r="A664" i="14"/>
  <c r="N663" i="14"/>
  <c r="M663" i="14"/>
  <c r="J663" i="14"/>
  <c r="I663" i="14"/>
  <c r="F663" i="14"/>
  <c r="D663" i="14"/>
  <c r="C663" i="14"/>
  <c r="A663" i="14"/>
  <c r="N662" i="14"/>
  <c r="M662" i="14"/>
  <c r="J662" i="14"/>
  <c r="I662" i="14"/>
  <c r="F662" i="14"/>
  <c r="D662" i="14"/>
  <c r="C662" i="14"/>
  <c r="A662" i="14"/>
  <c r="N661" i="14"/>
  <c r="M661" i="14"/>
  <c r="J661" i="14"/>
  <c r="I661" i="14"/>
  <c r="F661" i="14"/>
  <c r="D661" i="14"/>
  <c r="C661" i="14"/>
  <c r="A661" i="14"/>
  <c r="N660" i="14"/>
  <c r="M660" i="14"/>
  <c r="J660" i="14"/>
  <c r="I660" i="14"/>
  <c r="F660" i="14"/>
  <c r="D660" i="14"/>
  <c r="C660" i="14"/>
  <c r="A660" i="14"/>
  <c r="N659" i="14"/>
  <c r="M659" i="14"/>
  <c r="J659" i="14"/>
  <c r="I659" i="14"/>
  <c r="F659" i="14"/>
  <c r="D659" i="14"/>
  <c r="C659" i="14"/>
  <c r="A659" i="14"/>
  <c r="N658" i="14"/>
  <c r="M658" i="14"/>
  <c r="J658" i="14"/>
  <c r="I658" i="14"/>
  <c r="F658" i="14"/>
  <c r="D658" i="14"/>
  <c r="C658" i="14"/>
  <c r="A658" i="14"/>
  <c r="N657" i="14"/>
  <c r="M657" i="14"/>
  <c r="J657" i="14"/>
  <c r="I657" i="14"/>
  <c r="F657" i="14"/>
  <c r="D657" i="14"/>
  <c r="C657" i="14"/>
  <c r="A657" i="14"/>
  <c r="N656" i="14"/>
  <c r="M656" i="14"/>
  <c r="J656" i="14"/>
  <c r="I656" i="14"/>
  <c r="F656" i="14"/>
  <c r="D656" i="14"/>
  <c r="C656" i="14"/>
  <c r="A656" i="14"/>
  <c r="N655" i="14"/>
  <c r="M655" i="14"/>
  <c r="J655" i="14"/>
  <c r="I655" i="14"/>
  <c r="F655" i="14"/>
  <c r="D655" i="14"/>
  <c r="C655" i="14"/>
  <c r="A655" i="14"/>
  <c r="N654" i="14"/>
  <c r="M654" i="14"/>
  <c r="J654" i="14"/>
  <c r="I654" i="14"/>
  <c r="F654" i="14"/>
  <c r="D654" i="14"/>
  <c r="C654" i="14"/>
  <c r="A654" i="14"/>
  <c r="N653" i="14"/>
  <c r="M653" i="14"/>
  <c r="J653" i="14"/>
  <c r="I653" i="14"/>
  <c r="F653" i="14"/>
  <c r="D653" i="14"/>
  <c r="C653" i="14"/>
  <c r="A653" i="14"/>
  <c r="N652" i="14"/>
  <c r="M652" i="14"/>
  <c r="J652" i="14"/>
  <c r="I652" i="14"/>
  <c r="F652" i="14"/>
  <c r="D652" i="14"/>
  <c r="C652" i="14"/>
  <c r="A652" i="14"/>
  <c r="N651" i="14"/>
  <c r="M651" i="14"/>
  <c r="J651" i="14"/>
  <c r="I651" i="14"/>
  <c r="F651" i="14"/>
  <c r="D651" i="14"/>
  <c r="C651" i="14"/>
  <c r="A651" i="14"/>
  <c r="N650" i="14"/>
  <c r="M650" i="14"/>
  <c r="J650" i="14"/>
  <c r="I650" i="14"/>
  <c r="F650" i="14"/>
  <c r="D650" i="14"/>
  <c r="C650" i="14"/>
  <c r="A650" i="14"/>
  <c r="N649" i="14"/>
  <c r="M649" i="14"/>
  <c r="J649" i="14"/>
  <c r="I649" i="14"/>
  <c r="F649" i="14"/>
  <c r="D649" i="14"/>
  <c r="C649" i="14"/>
  <c r="A649" i="14"/>
  <c r="N648" i="14"/>
  <c r="M648" i="14"/>
  <c r="J648" i="14"/>
  <c r="I648" i="14"/>
  <c r="F648" i="14"/>
  <c r="D648" i="14"/>
  <c r="C648" i="14"/>
  <c r="A648" i="14"/>
  <c r="N647" i="14"/>
  <c r="M647" i="14"/>
  <c r="J647" i="14"/>
  <c r="I647" i="14"/>
  <c r="F647" i="14"/>
  <c r="D647" i="14"/>
  <c r="C647" i="14"/>
  <c r="A647" i="14"/>
  <c r="N646" i="14"/>
  <c r="M646" i="14"/>
  <c r="J646" i="14"/>
  <c r="I646" i="14"/>
  <c r="F646" i="14"/>
  <c r="D646" i="14"/>
  <c r="C646" i="14"/>
  <c r="A646" i="14"/>
  <c r="N645" i="14"/>
  <c r="M645" i="14"/>
  <c r="J645" i="14"/>
  <c r="I645" i="14"/>
  <c r="F645" i="14"/>
  <c r="D645" i="14"/>
  <c r="C645" i="14"/>
  <c r="A645" i="14"/>
  <c r="N644" i="14"/>
  <c r="M644" i="14"/>
  <c r="J644" i="14"/>
  <c r="I644" i="14"/>
  <c r="F644" i="14"/>
  <c r="D644" i="14"/>
  <c r="C644" i="14"/>
  <c r="A644" i="14"/>
  <c r="N643" i="14"/>
  <c r="M643" i="14"/>
  <c r="J643" i="14"/>
  <c r="I643" i="14"/>
  <c r="F643" i="14"/>
  <c r="D643" i="14"/>
  <c r="C643" i="14"/>
  <c r="A643" i="14"/>
  <c r="N642" i="14"/>
  <c r="M642" i="14"/>
  <c r="J642" i="14"/>
  <c r="I642" i="14"/>
  <c r="F642" i="14"/>
  <c r="D642" i="14"/>
  <c r="C642" i="14"/>
  <c r="A642" i="14"/>
  <c r="N641" i="14"/>
  <c r="M641" i="14"/>
  <c r="J641" i="14"/>
  <c r="I641" i="14"/>
  <c r="F641" i="14"/>
  <c r="D641" i="14"/>
  <c r="C641" i="14"/>
  <c r="A641" i="14"/>
  <c r="N640" i="14"/>
  <c r="M640" i="14"/>
  <c r="J640" i="14"/>
  <c r="I640" i="14"/>
  <c r="F640" i="14"/>
  <c r="D640" i="14"/>
  <c r="C640" i="14"/>
  <c r="A640" i="14"/>
  <c r="N639" i="14"/>
  <c r="M639" i="14"/>
  <c r="J639" i="14"/>
  <c r="I639" i="14"/>
  <c r="F639" i="14"/>
  <c r="D639" i="14"/>
  <c r="C639" i="14"/>
  <c r="A639" i="14"/>
  <c r="N638" i="14"/>
  <c r="M638" i="14"/>
  <c r="J638" i="14"/>
  <c r="I638" i="14"/>
  <c r="F638" i="14"/>
  <c r="D638" i="14"/>
  <c r="C638" i="14"/>
  <c r="A638" i="14"/>
  <c r="N637" i="14"/>
  <c r="M637" i="14"/>
  <c r="J637" i="14"/>
  <c r="I637" i="14"/>
  <c r="F637" i="14"/>
  <c r="D637" i="14"/>
  <c r="C637" i="14"/>
  <c r="A637" i="14"/>
  <c r="N636" i="14"/>
  <c r="M636" i="14"/>
  <c r="J636" i="14"/>
  <c r="I636" i="14"/>
  <c r="F636" i="14"/>
  <c r="D636" i="14"/>
  <c r="C636" i="14"/>
  <c r="A636" i="14"/>
  <c r="N635" i="14"/>
  <c r="M635" i="14"/>
  <c r="J635" i="14"/>
  <c r="I635" i="14"/>
  <c r="F635" i="14"/>
  <c r="D635" i="14"/>
  <c r="C635" i="14"/>
  <c r="A635" i="14"/>
  <c r="N634" i="14"/>
  <c r="M634" i="14"/>
  <c r="J634" i="14"/>
  <c r="I634" i="14"/>
  <c r="F634" i="14"/>
  <c r="D634" i="14"/>
  <c r="C634" i="14"/>
  <c r="A634" i="14"/>
  <c r="N633" i="14"/>
  <c r="M633" i="14"/>
  <c r="J633" i="14"/>
  <c r="I633" i="14"/>
  <c r="F633" i="14"/>
  <c r="D633" i="14"/>
  <c r="C633" i="14"/>
  <c r="A633" i="14"/>
  <c r="N632" i="14"/>
  <c r="M632" i="14"/>
  <c r="J632" i="14"/>
  <c r="I632" i="14"/>
  <c r="F632" i="14"/>
  <c r="D632" i="14"/>
  <c r="C632" i="14"/>
  <c r="A632" i="14"/>
  <c r="N631" i="14"/>
  <c r="M631" i="14"/>
  <c r="J631" i="14"/>
  <c r="I631" i="14"/>
  <c r="F631" i="14"/>
  <c r="D631" i="14"/>
  <c r="C631" i="14"/>
  <c r="A631" i="14"/>
  <c r="N630" i="14"/>
  <c r="M630" i="14"/>
  <c r="J630" i="14"/>
  <c r="I630" i="14"/>
  <c r="F630" i="14"/>
  <c r="D630" i="14"/>
  <c r="C630" i="14"/>
  <c r="A630" i="14"/>
  <c r="N629" i="14"/>
  <c r="M629" i="14"/>
  <c r="J629" i="14"/>
  <c r="I629" i="14"/>
  <c r="F629" i="14"/>
  <c r="D629" i="14"/>
  <c r="C629" i="14"/>
  <c r="A629" i="14"/>
  <c r="N628" i="14"/>
  <c r="M628" i="14"/>
  <c r="J628" i="14"/>
  <c r="I628" i="14"/>
  <c r="F628" i="14"/>
  <c r="D628" i="14"/>
  <c r="C628" i="14"/>
  <c r="A628" i="14"/>
  <c r="N627" i="14"/>
  <c r="M627" i="14"/>
  <c r="J627" i="14"/>
  <c r="I627" i="14"/>
  <c r="F627" i="14"/>
  <c r="D627" i="14"/>
  <c r="C627" i="14"/>
  <c r="A627" i="14"/>
  <c r="N626" i="14"/>
  <c r="M626" i="14"/>
  <c r="J626" i="14"/>
  <c r="I626" i="14"/>
  <c r="F626" i="14"/>
  <c r="D626" i="14"/>
  <c r="C626" i="14"/>
  <c r="A626" i="14"/>
  <c r="N625" i="14"/>
  <c r="M625" i="14"/>
  <c r="J625" i="14"/>
  <c r="I625" i="14"/>
  <c r="F625" i="14"/>
  <c r="D625" i="14"/>
  <c r="C625" i="14"/>
  <c r="A625" i="14"/>
  <c r="N624" i="14"/>
  <c r="M624" i="14"/>
  <c r="J624" i="14"/>
  <c r="I624" i="14"/>
  <c r="F624" i="14"/>
  <c r="D624" i="14"/>
  <c r="C624" i="14"/>
  <c r="A624" i="14"/>
  <c r="N623" i="14"/>
  <c r="M623" i="14"/>
  <c r="J623" i="14"/>
  <c r="I623" i="14"/>
  <c r="F623" i="14"/>
  <c r="D623" i="14"/>
  <c r="C623" i="14"/>
  <c r="A623" i="14"/>
  <c r="N622" i="14"/>
  <c r="M622" i="14"/>
  <c r="J622" i="14"/>
  <c r="I622" i="14"/>
  <c r="F622" i="14"/>
  <c r="D622" i="14"/>
  <c r="C622" i="14"/>
  <c r="A622" i="14"/>
  <c r="N621" i="14"/>
  <c r="M621" i="14"/>
  <c r="J621" i="14"/>
  <c r="I621" i="14"/>
  <c r="F621" i="14"/>
  <c r="D621" i="14"/>
  <c r="C621" i="14"/>
  <c r="A621" i="14"/>
  <c r="N620" i="14"/>
  <c r="M620" i="14"/>
  <c r="J620" i="14"/>
  <c r="I620" i="14"/>
  <c r="F620" i="14"/>
  <c r="D620" i="14"/>
  <c r="C620" i="14"/>
  <c r="A620" i="14"/>
  <c r="N619" i="14"/>
  <c r="M619" i="14"/>
  <c r="J619" i="14"/>
  <c r="I619" i="14"/>
  <c r="F619" i="14"/>
  <c r="D619" i="14"/>
  <c r="C619" i="14"/>
  <c r="A619" i="14"/>
  <c r="N618" i="14"/>
  <c r="M618" i="14"/>
  <c r="J618" i="14"/>
  <c r="I618" i="14"/>
  <c r="F618" i="14"/>
  <c r="D618" i="14"/>
  <c r="C618" i="14"/>
  <c r="A618" i="14"/>
  <c r="N617" i="14"/>
  <c r="M617" i="14"/>
  <c r="J617" i="14"/>
  <c r="I617" i="14"/>
  <c r="F617" i="14"/>
  <c r="D617" i="14"/>
  <c r="C617" i="14"/>
  <c r="A617" i="14"/>
  <c r="N616" i="14"/>
  <c r="M616" i="14"/>
  <c r="J616" i="14"/>
  <c r="I616" i="14"/>
  <c r="F616" i="14"/>
  <c r="D616" i="14"/>
  <c r="C616" i="14"/>
  <c r="A616" i="14"/>
  <c r="N615" i="14"/>
  <c r="M615" i="14"/>
  <c r="J615" i="14"/>
  <c r="I615" i="14"/>
  <c r="F615" i="14"/>
  <c r="D615" i="14"/>
  <c r="C615" i="14"/>
  <c r="A615" i="14"/>
  <c r="N614" i="14"/>
  <c r="M614" i="14"/>
  <c r="J614" i="14"/>
  <c r="I614" i="14"/>
  <c r="F614" i="14"/>
  <c r="D614" i="14"/>
  <c r="C614" i="14"/>
  <c r="A614" i="14"/>
  <c r="N613" i="14"/>
  <c r="M613" i="14"/>
  <c r="J613" i="14"/>
  <c r="I613" i="14"/>
  <c r="F613" i="14"/>
  <c r="D613" i="14"/>
  <c r="C613" i="14"/>
  <c r="A613" i="14"/>
  <c r="N612" i="14"/>
  <c r="M612" i="14"/>
  <c r="J612" i="14"/>
  <c r="I612" i="14"/>
  <c r="F612" i="14"/>
  <c r="D612" i="14"/>
  <c r="C612" i="14"/>
  <c r="A612" i="14"/>
  <c r="N611" i="14"/>
  <c r="M611" i="14"/>
  <c r="J611" i="14"/>
  <c r="I611" i="14"/>
  <c r="F611" i="14"/>
  <c r="D611" i="14"/>
  <c r="C611" i="14"/>
  <c r="A611" i="14"/>
  <c r="N610" i="14"/>
  <c r="M610" i="14"/>
  <c r="J610" i="14"/>
  <c r="I610" i="14"/>
  <c r="F610" i="14"/>
  <c r="D610" i="14"/>
  <c r="C610" i="14"/>
  <c r="A610" i="14"/>
  <c r="N609" i="14"/>
  <c r="M609" i="14"/>
  <c r="J609" i="14"/>
  <c r="I609" i="14"/>
  <c r="F609" i="14"/>
  <c r="D609" i="14"/>
  <c r="C609" i="14"/>
  <c r="A609" i="14"/>
  <c r="N608" i="14"/>
  <c r="M608" i="14"/>
  <c r="J608" i="14"/>
  <c r="I608" i="14"/>
  <c r="F608" i="14"/>
  <c r="D608" i="14"/>
  <c r="C608" i="14"/>
  <c r="A608" i="14"/>
  <c r="N607" i="14"/>
  <c r="M607" i="14"/>
  <c r="J607" i="14"/>
  <c r="I607" i="14"/>
  <c r="F607" i="14"/>
  <c r="D607" i="14"/>
  <c r="C607" i="14"/>
  <c r="A607" i="14"/>
  <c r="N606" i="14"/>
  <c r="M606" i="14"/>
  <c r="J606" i="14"/>
  <c r="I606" i="14"/>
  <c r="F606" i="14"/>
  <c r="D606" i="14"/>
  <c r="C606" i="14"/>
  <c r="A606" i="14"/>
  <c r="N605" i="14"/>
  <c r="M605" i="14"/>
  <c r="J605" i="14"/>
  <c r="I605" i="14"/>
  <c r="F605" i="14"/>
  <c r="D605" i="14"/>
  <c r="C605" i="14"/>
  <c r="A605" i="14"/>
  <c r="N604" i="14"/>
  <c r="M604" i="14"/>
  <c r="J604" i="14"/>
  <c r="I604" i="14"/>
  <c r="F604" i="14"/>
  <c r="D604" i="14"/>
  <c r="C604" i="14"/>
  <c r="A604" i="14"/>
  <c r="N603" i="14"/>
  <c r="M603" i="14"/>
  <c r="J603" i="14"/>
  <c r="I603" i="14"/>
  <c r="F603" i="14"/>
  <c r="D603" i="14"/>
  <c r="C603" i="14"/>
  <c r="A603" i="14"/>
  <c r="N602" i="14"/>
  <c r="M602" i="14"/>
  <c r="J602" i="14"/>
  <c r="I602" i="14"/>
  <c r="F602" i="14"/>
  <c r="D602" i="14"/>
  <c r="C602" i="14"/>
  <c r="A602" i="14"/>
  <c r="N601" i="14"/>
  <c r="M601" i="14"/>
  <c r="J601" i="14"/>
  <c r="I601" i="14"/>
  <c r="F601" i="14"/>
  <c r="D601" i="14"/>
  <c r="C601" i="14"/>
  <c r="A601" i="14"/>
  <c r="N600" i="14"/>
  <c r="M600" i="14"/>
  <c r="J600" i="14"/>
  <c r="I600" i="14"/>
  <c r="F600" i="14"/>
  <c r="D600" i="14"/>
  <c r="C600" i="14"/>
  <c r="A600" i="14"/>
  <c r="N599" i="14"/>
  <c r="M599" i="14"/>
  <c r="J599" i="14"/>
  <c r="I599" i="14"/>
  <c r="F599" i="14"/>
  <c r="D599" i="14"/>
  <c r="C599" i="14"/>
  <c r="A599" i="14"/>
  <c r="N598" i="14"/>
  <c r="M598" i="14"/>
  <c r="J598" i="14"/>
  <c r="I598" i="14"/>
  <c r="F598" i="14"/>
  <c r="D598" i="14"/>
  <c r="C598" i="14"/>
  <c r="A598" i="14"/>
  <c r="N597" i="14"/>
  <c r="M597" i="14"/>
  <c r="J597" i="14"/>
  <c r="I597" i="14"/>
  <c r="F597" i="14"/>
  <c r="D597" i="14"/>
  <c r="C597" i="14"/>
  <c r="A597" i="14"/>
  <c r="N596" i="14"/>
  <c r="M596" i="14"/>
  <c r="J596" i="14"/>
  <c r="I596" i="14"/>
  <c r="F596" i="14"/>
  <c r="D596" i="14"/>
  <c r="C596" i="14"/>
  <c r="A596" i="14"/>
  <c r="N595" i="14"/>
  <c r="M595" i="14"/>
  <c r="J595" i="14"/>
  <c r="I595" i="14"/>
  <c r="F595" i="14"/>
  <c r="D595" i="14"/>
  <c r="C595" i="14"/>
  <c r="A595" i="14"/>
  <c r="N594" i="14"/>
  <c r="M594" i="14"/>
  <c r="J594" i="14"/>
  <c r="I594" i="14"/>
  <c r="F594" i="14"/>
  <c r="D594" i="14"/>
  <c r="C594" i="14"/>
  <c r="A594" i="14"/>
  <c r="N593" i="14"/>
  <c r="M593" i="14"/>
  <c r="J593" i="14"/>
  <c r="I593" i="14"/>
  <c r="F593" i="14"/>
  <c r="D593" i="14"/>
  <c r="C593" i="14"/>
  <c r="A593" i="14"/>
  <c r="N592" i="14"/>
  <c r="M592" i="14"/>
  <c r="J592" i="14"/>
  <c r="I592" i="14"/>
  <c r="F592" i="14"/>
  <c r="D592" i="14"/>
  <c r="C592" i="14"/>
  <c r="A592" i="14"/>
  <c r="N591" i="14"/>
  <c r="M591" i="14"/>
  <c r="J591" i="14"/>
  <c r="I591" i="14"/>
  <c r="F591" i="14"/>
  <c r="D591" i="14"/>
  <c r="C591" i="14"/>
  <c r="A591" i="14"/>
  <c r="N590" i="14"/>
  <c r="M590" i="14"/>
  <c r="J590" i="14"/>
  <c r="I590" i="14"/>
  <c r="F590" i="14"/>
  <c r="D590" i="14"/>
  <c r="C590" i="14"/>
  <c r="A590" i="14"/>
  <c r="N589" i="14"/>
  <c r="M589" i="14"/>
  <c r="J589" i="14"/>
  <c r="I589" i="14"/>
  <c r="F589" i="14"/>
  <c r="D589" i="14"/>
  <c r="C589" i="14"/>
  <c r="A589" i="14"/>
  <c r="N588" i="14"/>
  <c r="M588" i="14"/>
  <c r="J588" i="14"/>
  <c r="I588" i="14"/>
  <c r="F588" i="14"/>
  <c r="D588" i="14"/>
  <c r="C588" i="14"/>
  <c r="A588" i="14"/>
  <c r="N587" i="14"/>
  <c r="M587" i="14"/>
  <c r="J587" i="14"/>
  <c r="I587" i="14"/>
  <c r="F587" i="14"/>
  <c r="D587" i="14"/>
  <c r="C587" i="14"/>
  <c r="A587" i="14"/>
  <c r="N586" i="14"/>
  <c r="M586" i="14"/>
  <c r="J586" i="14"/>
  <c r="I586" i="14"/>
  <c r="F586" i="14"/>
  <c r="D586" i="14"/>
  <c r="C586" i="14"/>
  <c r="A586" i="14"/>
  <c r="N585" i="14"/>
  <c r="M585" i="14"/>
  <c r="J585" i="14"/>
  <c r="I585" i="14"/>
  <c r="F585" i="14"/>
  <c r="D585" i="14"/>
  <c r="C585" i="14"/>
  <c r="A585" i="14"/>
  <c r="N584" i="14"/>
  <c r="M584" i="14"/>
  <c r="J584" i="14"/>
  <c r="I584" i="14"/>
  <c r="F584" i="14"/>
  <c r="D584" i="14"/>
  <c r="C584" i="14"/>
  <c r="A584" i="14"/>
  <c r="N583" i="14"/>
  <c r="M583" i="14"/>
  <c r="J583" i="14"/>
  <c r="I583" i="14"/>
  <c r="F583" i="14"/>
  <c r="D583" i="14"/>
  <c r="C583" i="14"/>
  <c r="A583" i="14"/>
  <c r="N582" i="14"/>
  <c r="M582" i="14"/>
  <c r="J582" i="14"/>
  <c r="I582" i="14"/>
  <c r="F582" i="14"/>
  <c r="D582" i="14"/>
  <c r="C582" i="14"/>
  <c r="A582" i="14"/>
  <c r="N581" i="14"/>
  <c r="M581" i="14"/>
  <c r="J581" i="14"/>
  <c r="I581" i="14"/>
  <c r="F581" i="14"/>
  <c r="D581" i="14"/>
  <c r="C581" i="14"/>
  <c r="A581" i="14"/>
  <c r="N580" i="14"/>
  <c r="M580" i="14"/>
  <c r="J580" i="14"/>
  <c r="I580" i="14"/>
  <c r="F580" i="14"/>
  <c r="D580" i="14"/>
  <c r="C580" i="14"/>
  <c r="A580" i="14"/>
  <c r="N579" i="14"/>
  <c r="M579" i="14"/>
  <c r="J579" i="14"/>
  <c r="I579" i="14"/>
  <c r="F579" i="14"/>
  <c r="D579" i="14"/>
  <c r="C579" i="14"/>
  <c r="A579" i="14"/>
  <c r="N578" i="14"/>
  <c r="M578" i="14"/>
  <c r="J578" i="14"/>
  <c r="I578" i="14"/>
  <c r="F578" i="14"/>
  <c r="D578" i="14"/>
  <c r="C578" i="14"/>
  <c r="A578" i="14"/>
  <c r="N577" i="14"/>
  <c r="M577" i="14"/>
  <c r="J577" i="14"/>
  <c r="I577" i="14"/>
  <c r="F577" i="14"/>
  <c r="D577" i="14"/>
  <c r="C577" i="14"/>
  <c r="A577" i="14"/>
  <c r="N576" i="14"/>
  <c r="M576" i="14"/>
  <c r="J576" i="14"/>
  <c r="I576" i="14"/>
  <c r="F576" i="14"/>
  <c r="D576" i="14"/>
  <c r="C576" i="14"/>
  <c r="A576" i="14"/>
  <c r="N575" i="14"/>
  <c r="M575" i="14"/>
  <c r="J575" i="14"/>
  <c r="I575" i="14"/>
  <c r="F575" i="14"/>
  <c r="D575" i="14"/>
  <c r="C575" i="14"/>
  <c r="A575" i="14"/>
  <c r="N574" i="14"/>
  <c r="M574" i="14"/>
  <c r="J574" i="14"/>
  <c r="I574" i="14"/>
  <c r="F574" i="14"/>
  <c r="D574" i="14"/>
  <c r="C574" i="14"/>
  <c r="A574" i="14"/>
  <c r="N573" i="14"/>
  <c r="M573" i="14"/>
  <c r="J573" i="14"/>
  <c r="I573" i="14"/>
  <c r="F573" i="14"/>
  <c r="D573" i="14"/>
  <c r="C573" i="14"/>
  <c r="A573" i="14"/>
  <c r="N572" i="14"/>
  <c r="M572" i="14"/>
  <c r="J572" i="14"/>
  <c r="I572" i="14"/>
  <c r="F572" i="14"/>
  <c r="D572" i="14"/>
  <c r="C572" i="14"/>
  <c r="A572" i="14"/>
  <c r="N571" i="14"/>
  <c r="M571" i="14"/>
  <c r="J571" i="14"/>
  <c r="I571" i="14"/>
  <c r="F571" i="14"/>
  <c r="D571" i="14"/>
  <c r="C571" i="14"/>
  <c r="A571" i="14"/>
  <c r="N570" i="14"/>
  <c r="M570" i="14"/>
  <c r="J570" i="14"/>
  <c r="I570" i="14"/>
  <c r="F570" i="14"/>
  <c r="D570" i="14"/>
  <c r="C570" i="14"/>
  <c r="A570" i="14"/>
  <c r="N569" i="14"/>
  <c r="M569" i="14"/>
  <c r="J569" i="14"/>
  <c r="I569" i="14"/>
  <c r="F569" i="14"/>
  <c r="D569" i="14"/>
  <c r="C569" i="14"/>
  <c r="A569" i="14"/>
  <c r="N568" i="14"/>
  <c r="M568" i="14"/>
  <c r="J568" i="14"/>
  <c r="I568" i="14"/>
  <c r="F568" i="14"/>
  <c r="D568" i="14"/>
  <c r="C568" i="14"/>
  <c r="A568" i="14"/>
  <c r="N567" i="14"/>
  <c r="M567" i="14"/>
  <c r="J567" i="14"/>
  <c r="I567" i="14"/>
  <c r="F567" i="14"/>
  <c r="D567" i="14"/>
  <c r="C567" i="14"/>
  <c r="A567" i="14"/>
  <c r="N566" i="14"/>
  <c r="M566" i="14"/>
  <c r="J566" i="14"/>
  <c r="I566" i="14"/>
  <c r="F566" i="14"/>
  <c r="D566" i="14"/>
  <c r="C566" i="14"/>
  <c r="A566" i="14"/>
  <c r="N565" i="14"/>
  <c r="M565" i="14"/>
  <c r="J565" i="14"/>
  <c r="I565" i="14"/>
  <c r="F565" i="14"/>
  <c r="D565" i="14"/>
  <c r="C565" i="14"/>
  <c r="A565" i="14"/>
  <c r="N564" i="14"/>
  <c r="M564" i="14"/>
  <c r="J564" i="14"/>
  <c r="I564" i="14"/>
  <c r="F564" i="14"/>
  <c r="D564" i="14"/>
  <c r="C564" i="14"/>
  <c r="A564" i="14"/>
  <c r="N563" i="14"/>
  <c r="M563" i="14"/>
  <c r="J563" i="14"/>
  <c r="I563" i="14"/>
  <c r="F563" i="14"/>
  <c r="D563" i="14"/>
  <c r="C563" i="14"/>
  <c r="A563" i="14"/>
  <c r="N562" i="14"/>
  <c r="M562" i="14"/>
  <c r="J562" i="14"/>
  <c r="I562" i="14"/>
  <c r="F562" i="14"/>
  <c r="D562" i="14"/>
  <c r="C562" i="14"/>
  <c r="A562" i="14"/>
  <c r="N561" i="14"/>
  <c r="M561" i="14"/>
  <c r="J561" i="14"/>
  <c r="I561" i="14"/>
  <c r="F561" i="14"/>
  <c r="D561" i="14"/>
  <c r="C561" i="14"/>
  <c r="A561" i="14"/>
  <c r="N560" i="14"/>
  <c r="M560" i="14"/>
  <c r="J560" i="14"/>
  <c r="I560" i="14"/>
  <c r="F560" i="14"/>
  <c r="D560" i="14"/>
  <c r="C560" i="14"/>
  <c r="A560" i="14"/>
  <c r="N559" i="14"/>
  <c r="M559" i="14"/>
  <c r="J559" i="14"/>
  <c r="I559" i="14"/>
  <c r="F559" i="14"/>
  <c r="D559" i="14"/>
  <c r="C559" i="14"/>
  <c r="A559" i="14"/>
  <c r="N558" i="14"/>
  <c r="M558" i="14"/>
  <c r="J558" i="14"/>
  <c r="I558" i="14"/>
  <c r="F558" i="14"/>
  <c r="D558" i="14"/>
  <c r="C558" i="14"/>
  <c r="A558" i="14"/>
  <c r="N557" i="14"/>
  <c r="M557" i="14"/>
  <c r="J557" i="14"/>
  <c r="I557" i="14"/>
  <c r="F557" i="14"/>
  <c r="D557" i="14"/>
  <c r="C557" i="14"/>
  <c r="A557" i="14"/>
  <c r="N556" i="14"/>
  <c r="M556" i="14"/>
  <c r="J556" i="14"/>
  <c r="I556" i="14"/>
  <c r="F556" i="14"/>
  <c r="D556" i="14"/>
  <c r="C556" i="14"/>
  <c r="A556" i="14"/>
  <c r="N555" i="14"/>
  <c r="M555" i="14"/>
  <c r="J555" i="14"/>
  <c r="I555" i="14"/>
  <c r="F555" i="14"/>
  <c r="D555" i="14"/>
  <c r="C555" i="14"/>
  <c r="A555" i="14"/>
  <c r="N554" i="14"/>
  <c r="M554" i="14"/>
  <c r="J554" i="14"/>
  <c r="I554" i="14"/>
  <c r="F554" i="14"/>
  <c r="D554" i="14"/>
  <c r="C554" i="14"/>
  <c r="A554" i="14"/>
  <c r="N553" i="14"/>
  <c r="M553" i="14"/>
  <c r="J553" i="14"/>
  <c r="I553" i="14"/>
  <c r="F553" i="14"/>
  <c r="D553" i="14"/>
  <c r="C553" i="14"/>
  <c r="A553" i="14"/>
  <c r="N552" i="14"/>
  <c r="M552" i="14"/>
  <c r="J552" i="14"/>
  <c r="I552" i="14"/>
  <c r="F552" i="14"/>
  <c r="D552" i="14"/>
  <c r="C552" i="14"/>
  <c r="A552" i="14"/>
  <c r="N551" i="14"/>
  <c r="M551" i="14"/>
  <c r="J551" i="14"/>
  <c r="I551" i="14"/>
  <c r="F551" i="14"/>
  <c r="D551" i="14"/>
  <c r="C551" i="14"/>
  <c r="A551" i="14"/>
  <c r="N550" i="14"/>
  <c r="M550" i="14"/>
  <c r="J550" i="14"/>
  <c r="I550" i="14"/>
  <c r="F550" i="14"/>
  <c r="D550" i="14"/>
  <c r="C550" i="14"/>
  <c r="A550" i="14"/>
  <c r="N549" i="14"/>
  <c r="M549" i="14"/>
  <c r="J549" i="14"/>
  <c r="I549" i="14"/>
  <c r="F549" i="14"/>
  <c r="D549" i="14"/>
  <c r="C549" i="14"/>
  <c r="A549" i="14"/>
  <c r="N548" i="14"/>
  <c r="M548" i="14"/>
  <c r="J548" i="14"/>
  <c r="I548" i="14"/>
  <c r="F548" i="14"/>
  <c r="D548" i="14"/>
  <c r="C548" i="14"/>
  <c r="A548" i="14"/>
  <c r="N547" i="14"/>
  <c r="M547" i="14"/>
  <c r="J547" i="14"/>
  <c r="I547" i="14"/>
  <c r="F547" i="14"/>
  <c r="D547" i="14"/>
  <c r="C547" i="14"/>
  <c r="A547" i="14"/>
  <c r="N546" i="14"/>
  <c r="M546" i="14"/>
  <c r="J546" i="14"/>
  <c r="I546" i="14"/>
  <c r="F546" i="14"/>
  <c r="D546" i="14"/>
  <c r="C546" i="14"/>
  <c r="A546" i="14"/>
  <c r="N545" i="14"/>
  <c r="M545" i="14"/>
  <c r="J545" i="14"/>
  <c r="I545" i="14"/>
  <c r="F545" i="14"/>
  <c r="D545" i="14"/>
  <c r="C545" i="14"/>
  <c r="A545" i="14"/>
  <c r="N544" i="14"/>
  <c r="M544" i="14"/>
  <c r="J544" i="14"/>
  <c r="I544" i="14"/>
  <c r="F544" i="14"/>
  <c r="D544" i="14"/>
  <c r="C544" i="14"/>
  <c r="A544" i="14"/>
  <c r="N543" i="14"/>
  <c r="M543" i="14"/>
  <c r="J543" i="14"/>
  <c r="I543" i="14"/>
  <c r="F543" i="14"/>
  <c r="D543" i="14"/>
  <c r="C543" i="14"/>
  <c r="A543" i="14"/>
  <c r="N542" i="14"/>
  <c r="M542" i="14"/>
  <c r="J542" i="14"/>
  <c r="I542" i="14"/>
  <c r="F542" i="14"/>
  <c r="D542" i="14"/>
  <c r="C542" i="14"/>
  <c r="A542" i="14"/>
  <c r="N541" i="14"/>
  <c r="M541" i="14"/>
  <c r="J541" i="14"/>
  <c r="I541" i="14"/>
  <c r="F541" i="14"/>
  <c r="D541" i="14"/>
  <c r="C541" i="14"/>
  <c r="A541" i="14"/>
  <c r="N540" i="14"/>
  <c r="M540" i="14"/>
  <c r="J540" i="14"/>
  <c r="I540" i="14"/>
  <c r="F540" i="14"/>
  <c r="D540" i="14"/>
  <c r="C540" i="14"/>
  <c r="A540" i="14"/>
  <c r="N539" i="14"/>
  <c r="M539" i="14"/>
  <c r="J539" i="14"/>
  <c r="I539" i="14"/>
  <c r="F539" i="14"/>
  <c r="D539" i="14"/>
  <c r="C539" i="14"/>
  <c r="A539" i="14"/>
  <c r="N538" i="14"/>
  <c r="M538" i="14"/>
  <c r="J538" i="14"/>
  <c r="I538" i="14"/>
  <c r="F538" i="14"/>
  <c r="D538" i="14"/>
  <c r="C538" i="14"/>
  <c r="A538" i="14"/>
  <c r="N537" i="14"/>
  <c r="M537" i="14"/>
  <c r="J537" i="14"/>
  <c r="I537" i="14"/>
  <c r="F537" i="14"/>
  <c r="D537" i="14"/>
  <c r="C537" i="14"/>
  <c r="A537" i="14"/>
  <c r="N536" i="14"/>
  <c r="M536" i="14"/>
  <c r="J536" i="14"/>
  <c r="I536" i="14"/>
  <c r="F536" i="14"/>
  <c r="D536" i="14"/>
  <c r="C536" i="14"/>
  <c r="A536" i="14"/>
  <c r="N535" i="14"/>
  <c r="M535" i="14"/>
  <c r="J535" i="14"/>
  <c r="I535" i="14"/>
  <c r="F535" i="14"/>
  <c r="D535" i="14"/>
  <c r="C535" i="14"/>
  <c r="A535" i="14"/>
  <c r="N534" i="14"/>
  <c r="M534" i="14"/>
  <c r="J534" i="14"/>
  <c r="I534" i="14"/>
  <c r="F534" i="14"/>
  <c r="D534" i="14"/>
  <c r="C534" i="14"/>
  <c r="A534" i="14"/>
  <c r="N533" i="14"/>
  <c r="M533" i="14"/>
  <c r="J533" i="14"/>
  <c r="I533" i="14"/>
  <c r="F533" i="14"/>
  <c r="D533" i="14"/>
  <c r="C533" i="14"/>
  <c r="A533" i="14"/>
  <c r="N532" i="14"/>
  <c r="M532" i="14"/>
  <c r="J532" i="14"/>
  <c r="I532" i="14"/>
  <c r="F532" i="14"/>
  <c r="D532" i="14"/>
  <c r="C532" i="14"/>
  <c r="A532" i="14"/>
  <c r="N531" i="14"/>
  <c r="M531" i="14"/>
  <c r="J531" i="14"/>
  <c r="I531" i="14"/>
  <c r="F531" i="14"/>
  <c r="D531" i="14"/>
  <c r="C531" i="14"/>
  <c r="A531" i="14"/>
  <c r="N530" i="14"/>
  <c r="M530" i="14"/>
  <c r="J530" i="14"/>
  <c r="I530" i="14"/>
  <c r="F530" i="14"/>
  <c r="D530" i="14"/>
  <c r="C530" i="14"/>
  <c r="A530" i="14"/>
  <c r="N529" i="14"/>
  <c r="M529" i="14"/>
  <c r="J529" i="14"/>
  <c r="I529" i="14"/>
  <c r="F529" i="14"/>
  <c r="D529" i="14"/>
  <c r="C529" i="14"/>
  <c r="A529" i="14"/>
  <c r="N528" i="14"/>
  <c r="M528" i="14"/>
  <c r="J528" i="14"/>
  <c r="I528" i="14"/>
  <c r="F528" i="14"/>
  <c r="D528" i="14"/>
  <c r="C528" i="14"/>
  <c r="A528" i="14"/>
  <c r="N527" i="14"/>
  <c r="M527" i="14"/>
  <c r="J527" i="14"/>
  <c r="I527" i="14"/>
  <c r="F527" i="14"/>
  <c r="D527" i="14"/>
  <c r="C527" i="14"/>
  <c r="A527" i="14"/>
  <c r="N526" i="14"/>
  <c r="M526" i="14"/>
  <c r="J526" i="14"/>
  <c r="I526" i="14"/>
  <c r="F526" i="14"/>
  <c r="D526" i="14"/>
  <c r="C526" i="14"/>
  <c r="A526" i="14"/>
  <c r="N525" i="14"/>
  <c r="M525" i="14"/>
  <c r="J525" i="14"/>
  <c r="I525" i="14"/>
  <c r="F525" i="14"/>
  <c r="D525" i="14"/>
  <c r="C525" i="14"/>
  <c r="A525" i="14"/>
  <c r="N524" i="14"/>
  <c r="M524" i="14"/>
  <c r="J524" i="14"/>
  <c r="I524" i="14"/>
  <c r="F524" i="14"/>
  <c r="D524" i="14"/>
  <c r="C524" i="14"/>
  <c r="A524" i="14"/>
  <c r="N523" i="14"/>
  <c r="M523" i="14"/>
  <c r="J523" i="14"/>
  <c r="I523" i="14"/>
  <c r="F523" i="14"/>
  <c r="D523" i="14"/>
  <c r="C523" i="14"/>
  <c r="A523" i="14"/>
  <c r="N522" i="14"/>
  <c r="M522" i="14"/>
  <c r="J522" i="14"/>
  <c r="I522" i="14"/>
  <c r="F522" i="14"/>
  <c r="D522" i="14"/>
  <c r="C522" i="14"/>
  <c r="A522" i="14"/>
  <c r="N521" i="14"/>
  <c r="M521" i="14"/>
  <c r="J521" i="14"/>
  <c r="I521" i="14"/>
  <c r="F521" i="14"/>
  <c r="D521" i="14"/>
  <c r="C521" i="14"/>
  <c r="A521" i="14"/>
  <c r="N520" i="14"/>
  <c r="M520" i="14"/>
  <c r="J520" i="14"/>
  <c r="I520" i="14"/>
  <c r="F520" i="14"/>
  <c r="D520" i="14"/>
  <c r="C520" i="14"/>
  <c r="A520" i="14"/>
  <c r="N519" i="14"/>
  <c r="M519" i="14"/>
  <c r="J519" i="14"/>
  <c r="I519" i="14"/>
  <c r="F519" i="14"/>
  <c r="D519" i="14"/>
  <c r="C519" i="14"/>
  <c r="A519" i="14"/>
  <c r="N518" i="14"/>
  <c r="M518" i="14"/>
  <c r="J518" i="14"/>
  <c r="I518" i="14"/>
  <c r="F518" i="14"/>
  <c r="D518" i="14"/>
  <c r="C518" i="14"/>
  <c r="A518" i="14"/>
  <c r="N517" i="14"/>
  <c r="M517" i="14"/>
  <c r="J517" i="14"/>
  <c r="I517" i="14"/>
  <c r="F517" i="14"/>
  <c r="D517" i="14"/>
  <c r="C517" i="14"/>
  <c r="A517" i="14"/>
  <c r="N516" i="14"/>
  <c r="M516" i="14"/>
  <c r="J516" i="14"/>
  <c r="I516" i="14"/>
  <c r="F516" i="14"/>
  <c r="D516" i="14"/>
  <c r="C516" i="14"/>
  <c r="A516" i="14"/>
  <c r="N515" i="14"/>
  <c r="M515" i="14"/>
  <c r="J515" i="14"/>
  <c r="I515" i="14"/>
  <c r="F515" i="14"/>
  <c r="D515" i="14"/>
  <c r="C515" i="14"/>
  <c r="A515" i="14"/>
  <c r="N514" i="14"/>
  <c r="M514" i="14"/>
  <c r="J514" i="14"/>
  <c r="I514" i="14"/>
  <c r="F514" i="14"/>
  <c r="D514" i="14"/>
  <c r="C514" i="14"/>
  <c r="A514" i="14"/>
  <c r="N513" i="14"/>
  <c r="M513" i="14"/>
  <c r="J513" i="14"/>
  <c r="I513" i="14"/>
  <c r="F513" i="14"/>
  <c r="D513" i="14"/>
  <c r="C513" i="14"/>
  <c r="A513" i="14"/>
  <c r="N512" i="14"/>
  <c r="M512" i="14"/>
  <c r="J512" i="14"/>
  <c r="I512" i="14"/>
  <c r="F512" i="14"/>
  <c r="D512" i="14"/>
  <c r="C512" i="14"/>
  <c r="A512" i="14"/>
  <c r="N511" i="14"/>
  <c r="M511" i="14"/>
  <c r="J511" i="14"/>
  <c r="I511" i="14"/>
  <c r="F511" i="14"/>
  <c r="D511" i="14"/>
  <c r="C511" i="14"/>
  <c r="A511" i="14"/>
  <c r="N510" i="14"/>
  <c r="M510" i="14"/>
  <c r="J510" i="14"/>
  <c r="I510" i="14"/>
  <c r="F510" i="14"/>
  <c r="D510" i="14"/>
  <c r="C510" i="14"/>
  <c r="A510" i="14"/>
  <c r="N509" i="14"/>
  <c r="M509" i="14"/>
  <c r="J509" i="14"/>
  <c r="I509" i="14"/>
  <c r="F509" i="14"/>
  <c r="D509" i="14"/>
  <c r="C509" i="14"/>
  <c r="A509" i="14"/>
  <c r="N508" i="14"/>
  <c r="M508" i="14"/>
  <c r="J508" i="14"/>
  <c r="I508" i="14"/>
  <c r="F508" i="14"/>
  <c r="D508" i="14"/>
  <c r="C508" i="14"/>
  <c r="A508" i="14"/>
  <c r="N507" i="14"/>
  <c r="M507" i="14"/>
  <c r="J507" i="14"/>
  <c r="I507" i="14"/>
  <c r="F507" i="14"/>
  <c r="D507" i="14"/>
  <c r="C507" i="14"/>
  <c r="A507" i="14"/>
  <c r="N506" i="14"/>
  <c r="M506" i="14"/>
  <c r="J506" i="14"/>
  <c r="I506" i="14"/>
  <c r="F506" i="14"/>
  <c r="D506" i="14"/>
  <c r="C506" i="14"/>
  <c r="A506" i="14"/>
  <c r="N505" i="14"/>
  <c r="M505" i="14"/>
  <c r="J505" i="14"/>
  <c r="I505" i="14"/>
  <c r="F505" i="14"/>
  <c r="D505" i="14"/>
  <c r="C505" i="14"/>
  <c r="A505" i="14"/>
  <c r="N504" i="14"/>
  <c r="M504" i="14"/>
  <c r="J504" i="14"/>
  <c r="I504" i="14"/>
  <c r="F504" i="14"/>
  <c r="D504" i="14"/>
  <c r="C504" i="14"/>
  <c r="A504" i="14"/>
  <c r="N503" i="14"/>
  <c r="M503" i="14"/>
  <c r="J503" i="14"/>
  <c r="I503" i="14"/>
  <c r="F503" i="14"/>
  <c r="D503" i="14"/>
  <c r="C503" i="14"/>
  <c r="A503" i="14"/>
  <c r="N502" i="14"/>
  <c r="M502" i="14"/>
  <c r="J502" i="14"/>
  <c r="I502" i="14"/>
  <c r="F502" i="14"/>
  <c r="D502" i="14"/>
  <c r="C502" i="14"/>
  <c r="A502" i="14"/>
  <c r="N501" i="14"/>
  <c r="M501" i="14"/>
  <c r="J501" i="14"/>
  <c r="I501" i="14"/>
  <c r="F501" i="14"/>
  <c r="D501" i="14"/>
  <c r="C501" i="14"/>
  <c r="A501" i="14"/>
  <c r="N500" i="14"/>
  <c r="M500" i="14"/>
  <c r="J500" i="14"/>
  <c r="I500" i="14"/>
  <c r="F500" i="14"/>
  <c r="D500" i="14"/>
  <c r="C500" i="14"/>
  <c r="A500" i="14"/>
  <c r="N499" i="14"/>
  <c r="M499" i="14"/>
  <c r="J499" i="14"/>
  <c r="I499" i="14"/>
  <c r="F499" i="14"/>
  <c r="D499" i="14"/>
  <c r="C499" i="14"/>
  <c r="A499" i="14"/>
  <c r="N498" i="14"/>
  <c r="M498" i="14"/>
  <c r="J498" i="14"/>
  <c r="I498" i="14"/>
  <c r="F498" i="14"/>
  <c r="D498" i="14"/>
  <c r="C498" i="14"/>
  <c r="A498" i="14"/>
  <c r="N497" i="14"/>
  <c r="M497" i="14"/>
  <c r="J497" i="14"/>
  <c r="I497" i="14"/>
  <c r="F497" i="14"/>
  <c r="D497" i="14"/>
  <c r="C497" i="14"/>
  <c r="A497" i="14"/>
  <c r="N496" i="14"/>
  <c r="M496" i="14"/>
  <c r="J496" i="14"/>
  <c r="I496" i="14"/>
  <c r="F496" i="14"/>
  <c r="D496" i="14"/>
  <c r="C496" i="14"/>
  <c r="A496" i="14"/>
  <c r="N495" i="14"/>
  <c r="M495" i="14"/>
  <c r="J495" i="14"/>
  <c r="I495" i="14"/>
  <c r="F495" i="14"/>
  <c r="D495" i="14"/>
  <c r="C495" i="14"/>
  <c r="A495" i="14"/>
  <c r="N494" i="14"/>
  <c r="M494" i="14"/>
  <c r="J494" i="14"/>
  <c r="I494" i="14"/>
  <c r="F494" i="14"/>
  <c r="D494" i="14"/>
  <c r="C494" i="14"/>
  <c r="A494" i="14"/>
  <c r="N493" i="14"/>
  <c r="M493" i="14"/>
  <c r="J493" i="14"/>
  <c r="I493" i="14"/>
  <c r="F493" i="14"/>
  <c r="D493" i="14"/>
  <c r="C493" i="14"/>
  <c r="A493" i="14"/>
  <c r="N492" i="14"/>
  <c r="M492" i="14"/>
  <c r="J492" i="14"/>
  <c r="I492" i="14"/>
  <c r="F492" i="14"/>
  <c r="D492" i="14"/>
  <c r="C492" i="14"/>
  <c r="A492" i="14"/>
  <c r="N491" i="14"/>
  <c r="M491" i="14"/>
  <c r="J491" i="14"/>
  <c r="I491" i="14"/>
  <c r="F491" i="14"/>
  <c r="D491" i="14"/>
  <c r="C491" i="14"/>
  <c r="A491" i="14"/>
  <c r="N490" i="14"/>
  <c r="M490" i="14"/>
  <c r="J490" i="14"/>
  <c r="I490" i="14"/>
  <c r="F490" i="14"/>
  <c r="D490" i="14"/>
  <c r="C490" i="14"/>
  <c r="A490" i="14"/>
  <c r="N489" i="14"/>
  <c r="M489" i="14"/>
  <c r="J489" i="14"/>
  <c r="I489" i="14"/>
  <c r="F489" i="14"/>
  <c r="D489" i="14"/>
  <c r="C489" i="14"/>
  <c r="A489" i="14"/>
  <c r="N488" i="14"/>
  <c r="M488" i="14"/>
  <c r="J488" i="14"/>
  <c r="I488" i="14"/>
  <c r="F488" i="14"/>
  <c r="D488" i="14"/>
  <c r="C488" i="14"/>
  <c r="A488" i="14"/>
  <c r="N487" i="14"/>
  <c r="M487" i="14"/>
  <c r="J487" i="14"/>
  <c r="I487" i="14"/>
  <c r="F487" i="14"/>
  <c r="D487" i="14"/>
  <c r="C487" i="14"/>
  <c r="A487" i="14"/>
  <c r="N486" i="14"/>
  <c r="M486" i="14"/>
  <c r="J486" i="14"/>
  <c r="I486" i="14"/>
  <c r="F486" i="14"/>
  <c r="D486" i="14"/>
  <c r="C486" i="14"/>
  <c r="A486" i="14"/>
  <c r="N485" i="14"/>
  <c r="M485" i="14"/>
  <c r="J485" i="14"/>
  <c r="I485" i="14"/>
  <c r="F485" i="14"/>
  <c r="D485" i="14"/>
  <c r="C485" i="14"/>
  <c r="A485" i="14"/>
  <c r="N484" i="14"/>
  <c r="M484" i="14"/>
  <c r="J484" i="14"/>
  <c r="I484" i="14"/>
  <c r="F484" i="14"/>
  <c r="D484" i="14"/>
  <c r="C484" i="14"/>
  <c r="A484" i="14"/>
  <c r="N483" i="14"/>
  <c r="M483" i="14"/>
  <c r="J483" i="14"/>
  <c r="I483" i="14"/>
  <c r="F483" i="14"/>
  <c r="D483" i="14"/>
  <c r="C483" i="14"/>
  <c r="A483" i="14"/>
  <c r="N482" i="14"/>
  <c r="M482" i="14"/>
  <c r="J482" i="14"/>
  <c r="I482" i="14"/>
  <c r="F482" i="14"/>
  <c r="D482" i="14"/>
  <c r="C482" i="14"/>
  <c r="A482" i="14"/>
  <c r="N481" i="14"/>
  <c r="M481" i="14"/>
  <c r="J481" i="14"/>
  <c r="I481" i="14"/>
  <c r="F481" i="14"/>
  <c r="D481" i="14"/>
  <c r="C481" i="14"/>
  <c r="A481" i="14"/>
  <c r="N480" i="14"/>
  <c r="M480" i="14"/>
  <c r="J480" i="14"/>
  <c r="I480" i="14"/>
  <c r="F480" i="14"/>
  <c r="D480" i="14"/>
  <c r="C480" i="14"/>
  <c r="A480" i="14"/>
  <c r="N479" i="14"/>
  <c r="M479" i="14"/>
  <c r="J479" i="14"/>
  <c r="I479" i="14"/>
  <c r="F479" i="14"/>
  <c r="D479" i="14"/>
  <c r="C479" i="14"/>
  <c r="A479" i="14"/>
  <c r="N478" i="14"/>
  <c r="M478" i="14"/>
  <c r="J478" i="14"/>
  <c r="I478" i="14"/>
  <c r="F478" i="14"/>
  <c r="D478" i="14"/>
  <c r="C478" i="14"/>
  <c r="A478" i="14"/>
  <c r="N477" i="14"/>
  <c r="M477" i="14"/>
  <c r="J477" i="14"/>
  <c r="I477" i="14"/>
  <c r="F477" i="14"/>
  <c r="D477" i="14"/>
  <c r="C477" i="14"/>
  <c r="A477" i="14"/>
  <c r="N476" i="14"/>
  <c r="M476" i="14"/>
  <c r="J476" i="14"/>
  <c r="I476" i="14"/>
  <c r="F476" i="14"/>
  <c r="D476" i="14"/>
  <c r="C476" i="14"/>
  <c r="A476" i="14"/>
  <c r="N475" i="14"/>
  <c r="M475" i="14"/>
  <c r="J475" i="14"/>
  <c r="I475" i="14"/>
  <c r="F475" i="14"/>
  <c r="D475" i="14"/>
  <c r="C475" i="14"/>
  <c r="A475" i="14"/>
  <c r="N474" i="14"/>
  <c r="M474" i="14"/>
  <c r="J474" i="14"/>
  <c r="I474" i="14"/>
  <c r="F474" i="14"/>
  <c r="D474" i="14"/>
  <c r="C474" i="14"/>
  <c r="A474" i="14"/>
  <c r="N473" i="14"/>
  <c r="M473" i="14"/>
  <c r="J473" i="14"/>
  <c r="I473" i="14"/>
  <c r="F473" i="14"/>
  <c r="D473" i="14"/>
  <c r="C473" i="14"/>
  <c r="A473" i="14"/>
  <c r="N472" i="14"/>
  <c r="M472" i="14"/>
  <c r="J472" i="14"/>
  <c r="I472" i="14"/>
  <c r="F472" i="14"/>
  <c r="D472" i="14"/>
  <c r="C472" i="14"/>
  <c r="A472" i="14"/>
  <c r="N471" i="14"/>
  <c r="M471" i="14"/>
  <c r="J471" i="14"/>
  <c r="I471" i="14"/>
  <c r="F471" i="14"/>
  <c r="D471" i="14"/>
  <c r="C471" i="14"/>
  <c r="A471" i="14"/>
  <c r="N470" i="14"/>
  <c r="M470" i="14"/>
  <c r="J470" i="14"/>
  <c r="I470" i="14"/>
  <c r="F470" i="14"/>
  <c r="D470" i="14"/>
  <c r="C470" i="14"/>
  <c r="A470" i="14"/>
  <c r="N469" i="14"/>
  <c r="M469" i="14"/>
  <c r="J469" i="14"/>
  <c r="I469" i="14"/>
  <c r="F469" i="14"/>
  <c r="D469" i="14"/>
  <c r="C469" i="14"/>
  <c r="A469" i="14"/>
  <c r="N468" i="14"/>
  <c r="M468" i="14"/>
  <c r="J468" i="14"/>
  <c r="I468" i="14"/>
  <c r="F468" i="14"/>
  <c r="D468" i="14"/>
  <c r="C468" i="14"/>
  <c r="A468" i="14"/>
  <c r="N467" i="14"/>
  <c r="M467" i="14"/>
  <c r="J467" i="14"/>
  <c r="I467" i="14"/>
  <c r="F467" i="14"/>
  <c r="D467" i="14"/>
  <c r="C467" i="14"/>
  <c r="A467" i="14"/>
  <c r="N466" i="14"/>
  <c r="M466" i="14"/>
  <c r="J466" i="14"/>
  <c r="I466" i="14"/>
  <c r="F466" i="14"/>
  <c r="D466" i="14"/>
  <c r="C466" i="14"/>
  <c r="A466" i="14"/>
  <c r="N465" i="14"/>
  <c r="M465" i="14"/>
  <c r="J465" i="14"/>
  <c r="I465" i="14"/>
  <c r="F465" i="14"/>
  <c r="D465" i="14"/>
  <c r="C465" i="14"/>
  <c r="A465" i="14"/>
  <c r="N464" i="14"/>
  <c r="M464" i="14"/>
  <c r="J464" i="14"/>
  <c r="I464" i="14"/>
  <c r="F464" i="14"/>
  <c r="D464" i="14"/>
  <c r="C464" i="14"/>
  <c r="A464" i="14"/>
  <c r="N463" i="14"/>
  <c r="M463" i="14"/>
  <c r="J463" i="14"/>
  <c r="I463" i="14"/>
  <c r="F463" i="14"/>
  <c r="D463" i="14"/>
  <c r="C463" i="14"/>
  <c r="A463" i="14"/>
  <c r="N462" i="14"/>
  <c r="M462" i="14"/>
  <c r="J462" i="14"/>
  <c r="I462" i="14"/>
  <c r="F462" i="14"/>
  <c r="D462" i="14"/>
  <c r="C462" i="14"/>
  <c r="A462" i="14"/>
  <c r="N461" i="14"/>
  <c r="M461" i="14"/>
  <c r="J461" i="14"/>
  <c r="I461" i="14"/>
  <c r="F461" i="14"/>
  <c r="D461" i="14"/>
  <c r="C461" i="14"/>
  <c r="A461" i="14"/>
  <c r="N460" i="14"/>
  <c r="M460" i="14"/>
  <c r="J460" i="14"/>
  <c r="I460" i="14"/>
  <c r="F460" i="14"/>
  <c r="D460" i="14"/>
  <c r="C460" i="14"/>
  <c r="A460" i="14"/>
  <c r="N459" i="14"/>
  <c r="M459" i="14"/>
  <c r="J459" i="14"/>
  <c r="I459" i="14"/>
  <c r="F459" i="14"/>
  <c r="D459" i="14"/>
  <c r="C459" i="14"/>
  <c r="A459" i="14"/>
  <c r="N458" i="14"/>
  <c r="M458" i="14"/>
  <c r="J458" i="14"/>
  <c r="I458" i="14"/>
  <c r="F458" i="14"/>
  <c r="D458" i="14"/>
  <c r="C458" i="14"/>
  <c r="A458" i="14"/>
  <c r="N457" i="14"/>
  <c r="M457" i="14"/>
  <c r="J457" i="14"/>
  <c r="I457" i="14"/>
  <c r="F457" i="14"/>
  <c r="D457" i="14"/>
  <c r="C457" i="14"/>
  <c r="A457" i="14"/>
  <c r="N456" i="14"/>
  <c r="M456" i="14"/>
  <c r="J456" i="14"/>
  <c r="I456" i="14"/>
  <c r="F456" i="14"/>
  <c r="D456" i="14"/>
  <c r="C456" i="14"/>
  <c r="A456" i="14"/>
  <c r="N455" i="14"/>
  <c r="M455" i="14"/>
  <c r="J455" i="14"/>
  <c r="I455" i="14"/>
  <c r="F455" i="14"/>
  <c r="D455" i="14"/>
  <c r="C455" i="14"/>
  <c r="A455" i="14"/>
  <c r="N454" i="14"/>
  <c r="M454" i="14"/>
  <c r="J454" i="14"/>
  <c r="I454" i="14"/>
  <c r="F454" i="14"/>
  <c r="D454" i="14"/>
  <c r="C454" i="14"/>
  <c r="A454" i="14"/>
  <c r="N453" i="14"/>
  <c r="M453" i="14"/>
  <c r="J453" i="14"/>
  <c r="I453" i="14"/>
  <c r="F453" i="14"/>
  <c r="D453" i="14"/>
  <c r="C453" i="14"/>
  <c r="A453" i="14"/>
  <c r="N452" i="14"/>
  <c r="M452" i="14"/>
  <c r="J452" i="14"/>
  <c r="I452" i="14"/>
  <c r="F452" i="14"/>
  <c r="D452" i="14"/>
  <c r="C452" i="14"/>
  <c r="A452" i="14"/>
  <c r="N451" i="14"/>
  <c r="M451" i="14"/>
  <c r="J451" i="14"/>
  <c r="I451" i="14"/>
  <c r="F451" i="14"/>
  <c r="D451" i="14"/>
  <c r="C451" i="14"/>
  <c r="A451" i="14"/>
  <c r="N450" i="14"/>
  <c r="M450" i="14"/>
  <c r="J450" i="14"/>
  <c r="I450" i="14"/>
  <c r="F450" i="14"/>
  <c r="D450" i="14"/>
  <c r="C450" i="14"/>
  <c r="A450" i="14"/>
  <c r="N449" i="14"/>
  <c r="M449" i="14"/>
  <c r="J449" i="14"/>
  <c r="I449" i="14"/>
  <c r="F449" i="14"/>
  <c r="D449" i="14"/>
  <c r="C449" i="14"/>
  <c r="A449" i="14"/>
  <c r="N448" i="14"/>
  <c r="M448" i="14"/>
  <c r="J448" i="14"/>
  <c r="I448" i="14"/>
  <c r="F448" i="14"/>
  <c r="D448" i="14"/>
  <c r="C448" i="14"/>
  <c r="A448" i="14"/>
  <c r="N447" i="14"/>
  <c r="M447" i="14"/>
  <c r="J447" i="14"/>
  <c r="I447" i="14"/>
  <c r="F447" i="14"/>
  <c r="D447" i="14"/>
  <c r="C447" i="14"/>
  <c r="A447" i="14"/>
  <c r="N446" i="14"/>
  <c r="M446" i="14"/>
  <c r="J446" i="14"/>
  <c r="I446" i="14"/>
  <c r="F446" i="14"/>
  <c r="D446" i="14"/>
  <c r="C446" i="14"/>
  <c r="A446" i="14"/>
  <c r="N445" i="14"/>
  <c r="M445" i="14"/>
  <c r="J445" i="14"/>
  <c r="I445" i="14"/>
  <c r="F445" i="14"/>
  <c r="D445" i="14"/>
  <c r="C445" i="14"/>
  <c r="A445" i="14"/>
  <c r="N444" i="14"/>
  <c r="M444" i="14"/>
  <c r="J444" i="14"/>
  <c r="I444" i="14"/>
  <c r="F444" i="14"/>
  <c r="D444" i="14"/>
  <c r="C444" i="14"/>
  <c r="A444" i="14"/>
  <c r="N443" i="14"/>
  <c r="M443" i="14"/>
  <c r="J443" i="14"/>
  <c r="I443" i="14"/>
  <c r="F443" i="14"/>
  <c r="D443" i="14"/>
  <c r="C443" i="14"/>
  <c r="A443" i="14"/>
  <c r="N442" i="14"/>
  <c r="M442" i="14"/>
  <c r="J442" i="14"/>
  <c r="I442" i="14"/>
  <c r="F442" i="14"/>
  <c r="D442" i="14"/>
  <c r="C442" i="14"/>
  <c r="A442" i="14"/>
  <c r="N441" i="14"/>
  <c r="M441" i="14"/>
  <c r="J441" i="14"/>
  <c r="I441" i="14"/>
  <c r="F441" i="14"/>
  <c r="D441" i="14"/>
  <c r="C441" i="14"/>
  <c r="A441" i="14"/>
  <c r="N440" i="14"/>
  <c r="M440" i="14"/>
  <c r="J440" i="14"/>
  <c r="I440" i="14"/>
  <c r="F440" i="14"/>
  <c r="D440" i="14"/>
  <c r="C440" i="14"/>
  <c r="A440" i="14"/>
  <c r="N439" i="14"/>
  <c r="M439" i="14"/>
  <c r="J439" i="14"/>
  <c r="I439" i="14"/>
  <c r="F439" i="14"/>
  <c r="D439" i="14"/>
  <c r="C439" i="14"/>
  <c r="A439" i="14"/>
  <c r="N438" i="14"/>
  <c r="M438" i="14"/>
  <c r="J438" i="14"/>
  <c r="I438" i="14"/>
  <c r="F438" i="14"/>
  <c r="D438" i="14"/>
  <c r="C438" i="14"/>
  <c r="A438" i="14"/>
  <c r="N437" i="14"/>
  <c r="M437" i="14"/>
  <c r="J437" i="14"/>
  <c r="I437" i="14"/>
  <c r="F437" i="14"/>
  <c r="D437" i="14"/>
  <c r="C437" i="14"/>
  <c r="A437" i="14"/>
  <c r="N436" i="14"/>
  <c r="M436" i="14"/>
  <c r="J436" i="14"/>
  <c r="I436" i="14"/>
  <c r="F436" i="14"/>
  <c r="D436" i="14"/>
  <c r="C436" i="14"/>
  <c r="A436" i="14"/>
  <c r="N435" i="14"/>
  <c r="M435" i="14"/>
  <c r="J435" i="14"/>
  <c r="I435" i="14"/>
  <c r="F435" i="14"/>
  <c r="D435" i="14"/>
  <c r="C435" i="14"/>
  <c r="A435" i="14"/>
  <c r="N434" i="14"/>
  <c r="M434" i="14"/>
  <c r="J434" i="14"/>
  <c r="I434" i="14"/>
  <c r="F434" i="14"/>
  <c r="D434" i="14"/>
  <c r="C434" i="14"/>
  <c r="A434" i="14"/>
  <c r="N433" i="14"/>
  <c r="M433" i="14"/>
  <c r="J433" i="14"/>
  <c r="I433" i="14"/>
  <c r="F433" i="14"/>
  <c r="D433" i="14"/>
  <c r="C433" i="14"/>
  <c r="A433" i="14"/>
  <c r="N432" i="14"/>
  <c r="M432" i="14"/>
  <c r="J432" i="14"/>
  <c r="I432" i="14"/>
  <c r="F432" i="14"/>
  <c r="D432" i="14"/>
  <c r="C432" i="14"/>
  <c r="A432" i="14"/>
  <c r="N431" i="14"/>
  <c r="M431" i="14"/>
  <c r="J431" i="14"/>
  <c r="I431" i="14"/>
  <c r="F431" i="14"/>
  <c r="D431" i="14"/>
  <c r="C431" i="14"/>
  <c r="A431" i="14"/>
  <c r="N430" i="14"/>
  <c r="M430" i="14"/>
  <c r="J430" i="14"/>
  <c r="I430" i="14"/>
  <c r="F430" i="14"/>
  <c r="D430" i="14"/>
  <c r="C430" i="14"/>
  <c r="A430" i="14"/>
  <c r="N429" i="14"/>
  <c r="M429" i="14"/>
  <c r="J429" i="14"/>
  <c r="I429" i="14"/>
  <c r="F429" i="14"/>
  <c r="D429" i="14"/>
  <c r="C429" i="14"/>
  <c r="A429" i="14"/>
  <c r="N428" i="14"/>
  <c r="M428" i="14"/>
  <c r="J428" i="14"/>
  <c r="I428" i="14"/>
  <c r="F428" i="14"/>
  <c r="D428" i="14"/>
  <c r="C428" i="14"/>
  <c r="A428" i="14"/>
  <c r="N427" i="14"/>
  <c r="M427" i="14"/>
  <c r="J427" i="14"/>
  <c r="I427" i="14"/>
  <c r="F427" i="14"/>
  <c r="D427" i="14"/>
  <c r="C427" i="14"/>
  <c r="A427" i="14"/>
  <c r="N426" i="14"/>
  <c r="M426" i="14"/>
  <c r="J426" i="14"/>
  <c r="I426" i="14"/>
  <c r="F426" i="14"/>
  <c r="D426" i="14"/>
  <c r="C426" i="14"/>
  <c r="A426" i="14"/>
  <c r="N425" i="14"/>
  <c r="M425" i="14"/>
  <c r="J425" i="14"/>
  <c r="I425" i="14"/>
  <c r="F425" i="14"/>
  <c r="D425" i="14"/>
  <c r="C425" i="14"/>
  <c r="A425" i="14"/>
  <c r="N424" i="14"/>
  <c r="M424" i="14"/>
  <c r="J424" i="14"/>
  <c r="I424" i="14"/>
  <c r="F424" i="14"/>
  <c r="D424" i="14"/>
  <c r="C424" i="14"/>
  <c r="A424" i="14"/>
  <c r="N423" i="14"/>
  <c r="M423" i="14"/>
  <c r="J423" i="14"/>
  <c r="I423" i="14"/>
  <c r="F423" i="14"/>
  <c r="D423" i="14"/>
  <c r="C423" i="14"/>
  <c r="A423" i="14"/>
  <c r="N422" i="14"/>
  <c r="M422" i="14"/>
  <c r="J422" i="14"/>
  <c r="I422" i="14"/>
  <c r="F422" i="14"/>
  <c r="D422" i="14"/>
  <c r="C422" i="14"/>
  <c r="A422" i="14"/>
  <c r="N421" i="14"/>
  <c r="M421" i="14"/>
  <c r="J421" i="14"/>
  <c r="I421" i="14"/>
  <c r="F421" i="14"/>
  <c r="D421" i="14"/>
  <c r="C421" i="14"/>
  <c r="A421" i="14"/>
  <c r="N420" i="14"/>
  <c r="M420" i="14"/>
  <c r="J420" i="14"/>
  <c r="I420" i="14"/>
  <c r="F420" i="14"/>
  <c r="D420" i="14"/>
  <c r="C420" i="14"/>
  <c r="A420" i="14"/>
  <c r="N419" i="14"/>
  <c r="M419" i="14"/>
  <c r="J419" i="14"/>
  <c r="I419" i="14"/>
  <c r="F419" i="14"/>
  <c r="D419" i="14"/>
  <c r="C419" i="14"/>
  <c r="A419" i="14"/>
  <c r="N418" i="14"/>
  <c r="M418" i="14"/>
  <c r="J418" i="14"/>
  <c r="I418" i="14"/>
  <c r="F418" i="14"/>
  <c r="D418" i="14"/>
  <c r="C418" i="14"/>
  <c r="A418" i="14"/>
  <c r="N417" i="14"/>
  <c r="M417" i="14"/>
  <c r="J417" i="14"/>
  <c r="I417" i="14"/>
  <c r="F417" i="14"/>
  <c r="D417" i="14"/>
  <c r="C417" i="14"/>
  <c r="A417" i="14"/>
  <c r="N416" i="14"/>
  <c r="M416" i="14"/>
  <c r="J416" i="14"/>
  <c r="I416" i="14"/>
  <c r="F416" i="14"/>
  <c r="D416" i="14"/>
  <c r="C416" i="14"/>
  <c r="A416" i="14"/>
  <c r="N415" i="14"/>
  <c r="M415" i="14"/>
  <c r="J415" i="14"/>
  <c r="I415" i="14"/>
  <c r="F415" i="14"/>
  <c r="D415" i="14"/>
  <c r="C415" i="14"/>
  <c r="A415" i="14"/>
  <c r="N414" i="14"/>
  <c r="M414" i="14"/>
  <c r="J414" i="14"/>
  <c r="I414" i="14"/>
  <c r="F414" i="14"/>
  <c r="D414" i="14"/>
  <c r="C414" i="14"/>
  <c r="A414" i="14"/>
  <c r="N413" i="14"/>
  <c r="M413" i="14"/>
  <c r="J413" i="14"/>
  <c r="I413" i="14"/>
  <c r="F413" i="14"/>
  <c r="D413" i="14"/>
  <c r="C413" i="14"/>
  <c r="A413" i="14"/>
  <c r="N412" i="14"/>
  <c r="M412" i="14"/>
  <c r="J412" i="14"/>
  <c r="I412" i="14"/>
  <c r="F412" i="14"/>
  <c r="D412" i="14"/>
  <c r="C412" i="14"/>
  <c r="A412" i="14"/>
  <c r="N411" i="14"/>
  <c r="M411" i="14"/>
  <c r="J411" i="14"/>
  <c r="I411" i="14"/>
  <c r="F411" i="14"/>
  <c r="D411" i="14"/>
  <c r="C411" i="14"/>
  <c r="A411" i="14"/>
  <c r="N410" i="14"/>
  <c r="M410" i="14"/>
  <c r="J410" i="14"/>
  <c r="I410" i="14"/>
  <c r="F410" i="14"/>
  <c r="D410" i="14"/>
  <c r="C410" i="14"/>
  <c r="A410" i="14"/>
  <c r="N409" i="14"/>
  <c r="M409" i="14"/>
  <c r="J409" i="14"/>
  <c r="I409" i="14"/>
  <c r="F409" i="14"/>
  <c r="D409" i="14"/>
  <c r="C409" i="14"/>
  <c r="A409" i="14"/>
  <c r="N408" i="14"/>
  <c r="M408" i="14"/>
  <c r="J408" i="14"/>
  <c r="I408" i="14"/>
  <c r="F408" i="14"/>
  <c r="D408" i="14"/>
  <c r="C408" i="14"/>
  <c r="A408" i="14"/>
  <c r="N407" i="14"/>
  <c r="M407" i="14"/>
  <c r="J407" i="14"/>
  <c r="I407" i="14"/>
  <c r="F407" i="14"/>
  <c r="D407" i="14"/>
  <c r="C407" i="14"/>
  <c r="A407" i="14"/>
  <c r="N406" i="14"/>
  <c r="M406" i="14"/>
  <c r="J406" i="14"/>
  <c r="I406" i="14"/>
  <c r="F406" i="14"/>
  <c r="D406" i="14"/>
  <c r="C406" i="14"/>
  <c r="A406" i="14"/>
  <c r="N405" i="14"/>
  <c r="M405" i="14"/>
  <c r="J405" i="14"/>
  <c r="I405" i="14"/>
  <c r="F405" i="14"/>
  <c r="D405" i="14"/>
  <c r="C405" i="14"/>
  <c r="A405" i="14"/>
  <c r="N404" i="14"/>
  <c r="M404" i="14"/>
  <c r="J404" i="14"/>
  <c r="I404" i="14"/>
  <c r="F404" i="14"/>
  <c r="D404" i="14"/>
  <c r="C404" i="14"/>
  <c r="A404" i="14"/>
  <c r="N403" i="14"/>
  <c r="M403" i="14"/>
  <c r="J403" i="14"/>
  <c r="I403" i="14"/>
  <c r="F403" i="14"/>
  <c r="D403" i="14"/>
  <c r="C403" i="14"/>
  <c r="A403" i="14"/>
  <c r="N402" i="14"/>
  <c r="M402" i="14"/>
  <c r="J402" i="14"/>
  <c r="I402" i="14"/>
  <c r="F402" i="14"/>
  <c r="D402" i="14"/>
  <c r="C402" i="14"/>
  <c r="A402" i="14"/>
  <c r="N401" i="14"/>
  <c r="M401" i="14"/>
  <c r="J401" i="14"/>
  <c r="I401" i="14"/>
  <c r="F401" i="14"/>
  <c r="D401" i="14"/>
  <c r="C401" i="14"/>
  <c r="A401" i="14"/>
  <c r="N400" i="14"/>
  <c r="M400" i="14"/>
  <c r="J400" i="14"/>
  <c r="I400" i="14"/>
  <c r="F400" i="14"/>
  <c r="D400" i="14"/>
  <c r="C400" i="14"/>
  <c r="A400" i="14"/>
  <c r="N399" i="14"/>
  <c r="M399" i="14"/>
  <c r="J399" i="14"/>
  <c r="I399" i="14"/>
  <c r="F399" i="14"/>
  <c r="D399" i="14"/>
  <c r="C399" i="14"/>
  <c r="A399" i="14"/>
  <c r="N398" i="14"/>
  <c r="M398" i="14"/>
  <c r="J398" i="14"/>
  <c r="I398" i="14"/>
  <c r="F398" i="14"/>
  <c r="D398" i="14"/>
  <c r="C398" i="14"/>
  <c r="A398" i="14"/>
  <c r="N397" i="14"/>
  <c r="M397" i="14"/>
  <c r="J397" i="14"/>
  <c r="I397" i="14"/>
  <c r="F397" i="14"/>
  <c r="D397" i="14"/>
  <c r="C397" i="14"/>
  <c r="A397" i="14"/>
  <c r="N396" i="14"/>
  <c r="M396" i="14"/>
  <c r="J396" i="14"/>
  <c r="I396" i="14"/>
  <c r="F396" i="14"/>
  <c r="D396" i="14"/>
  <c r="C396" i="14"/>
  <c r="A396" i="14"/>
  <c r="N395" i="14"/>
  <c r="M395" i="14"/>
  <c r="J395" i="14"/>
  <c r="I395" i="14"/>
  <c r="F395" i="14"/>
  <c r="D395" i="14"/>
  <c r="C395" i="14"/>
  <c r="A395" i="14"/>
  <c r="N394" i="14"/>
  <c r="M394" i="14"/>
  <c r="J394" i="14"/>
  <c r="I394" i="14"/>
  <c r="F394" i="14"/>
  <c r="D394" i="14"/>
  <c r="C394" i="14"/>
  <c r="A394" i="14"/>
  <c r="N393" i="14"/>
  <c r="M393" i="14"/>
  <c r="J393" i="14"/>
  <c r="I393" i="14"/>
  <c r="F393" i="14"/>
  <c r="D393" i="14"/>
  <c r="C393" i="14"/>
  <c r="A393" i="14"/>
  <c r="N392" i="14"/>
  <c r="M392" i="14"/>
  <c r="J392" i="14"/>
  <c r="I392" i="14"/>
  <c r="F392" i="14"/>
  <c r="D392" i="14"/>
  <c r="C392" i="14"/>
  <c r="A392" i="14"/>
  <c r="N391" i="14"/>
  <c r="M391" i="14"/>
  <c r="J391" i="14"/>
  <c r="I391" i="14"/>
  <c r="F391" i="14"/>
  <c r="D391" i="14"/>
  <c r="C391" i="14"/>
  <c r="A391" i="14"/>
  <c r="N390" i="14"/>
  <c r="M390" i="14"/>
  <c r="J390" i="14"/>
  <c r="I390" i="14"/>
  <c r="F390" i="14"/>
  <c r="D390" i="14"/>
  <c r="C390" i="14"/>
  <c r="A390" i="14"/>
  <c r="N389" i="14"/>
  <c r="M389" i="14"/>
  <c r="J389" i="14"/>
  <c r="I389" i="14"/>
  <c r="F389" i="14"/>
  <c r="D389" i="14"/>
  <c r="C389" i="14"/>
  <c r="A389" i="14"/>
  <c r="N388" i="14"/>
  <c r="M388" i="14"/>
  <c r="J388" i="14"/>
  <c r="I388" i="14"/>
  <c r="F388" i="14"/>
  <c r="D388" i="14"/>
  <c r="C388" i="14"/>
  <c r="A388" i="14"/>
  <c r="N387" i="14"/>
  <c r="M387" i="14"/>
  <c r="J387" i="14"/>
  <c r="I387" i="14"/>
  <c r="F387" i="14"/>
  <c r="D387" i="14"/>
  <c r="C387" i="14"/>
  <c r="A387" i="14"/>
  <c r="N386" i="14"/>
  <c r="M386" i="14"/>
  <c r="J386" i="14"/>
  <c r="I386" i="14"/>
  <c r="F386" i="14"/>
  <c r="D386" i="14"/>
  <c r="C386" i="14"/>
  <c r="A386" i="14"/>
  <c r="N385" i="14"/>
  <c r="M385" i="14"/>
  <c r="J385" i="14"/>
  <c r="I385" i="14"/>
  <c r="F385" i="14"/>
  <c r="D385" i="14"/>
  <c r="C385" i="14"/>
  <c r="A385" i="14"/>
  <c r="N384" i="14"/>
  <c r="M384" i="14"/>
  <c r="J384" i="14"/>
  <c r="I384" i="14"/>
  <c r="F384" i="14"/>
  <c r="D384" i="14"/>
  <c r="C384" i="14"/>
  <c r="A384" i="14"/>
  <c r="N383" i="14"/>
  <c r="M383" i="14"/>
  <c r="J383" i="14"/>
  <c r="I383" i="14"/>
  <c r="F383" i="14"/>
  <c r="D383" i="14"/>
  <c r="C383" i="14"/>
  <c r="A383" i="14"/>
  <c r="N382" i="14"/>
  <c r="M382" i="14"/>
  <c r="J382" i="14"/>
  <c r="I382" i="14"/>
  <c r="F382" i="14"/>
  <c r="D382" i="14"/>
  <c r="C382" i="14"/>
  <c r="A382" i="14"/>
  <c r="N381" i="14"/>
  <c r="M381" i="14"/>
  <c r="J381" i="14"/>
  <c r="I381" i="14"/>
  <c r="F381" i="14"/>
  <c r="D381" i="14"/>
  <c r="C381" i="14"/>
  <c r="A381" i="14"/>
  <c r="N380" i="14"/>
  <c r="M380" i="14"/>
  <c r="J380" i="14"/>
  <c r="I380" i="14"/>
  <c r="F380" i="14"/>
  <c r="D380" i="14"/>
  <c r="C380" i="14"/>
  <c r="A380" i="14"/>
  <c r="N379" i="14"/>
  <c r="M379" i="14"/>
  <c r="J379" i="14"/>
  <c r="I379" i="14"/>
  <c r="F379" i="14"/>
  <c r="D379" i="14"/>
  <c r="C379" i="14"/>
  <c r="A379" i="14"/>
  <c r="N378" i="14"/>
  <c r="M378" i="14"/>
  <c r="J378" i="14"/>
  <c r="I378" i="14"/>
  <c r="F378" i="14"/>
  <c r="D378" i="14"/>
  <c r="C378" i="14"/>
  <c r="A378" i="14"/>
  <c r="N377" i="14"/>
  <c r="M377" i="14"/>
  <c r="J377" i="14"/>
  <c r="I377" i="14"/>
  <c r="F377" i="14"/>
  <c r="D377" i="14"/>
  <c r="C377" i="14"/>
  <c r="A377" i="14"/>
  <c r="N376" i="14"/>
  <c r="M376" i="14"/>
  <c r="J376" i="14"/>
  <c r="I376" i="14"/>
  <c r="F376" i="14"/>
  <c r="D376" i="14"/>
  <c r="C376" i="14"/>
  <c r="A376" i="14"/>
  <c r="N375" i="14"/>
  <c r="M375" i="14"/>
  <c r="J375" i="14"/>
  <c r="I375" i="14"/>
  <c r="F375" i="14"/>
  <c r="D375" i="14"/>
  <c r="C375" i="14"/>
  <c r="A375" i="14"/>
  <c r="N374" i="14"/>
  <c r="M374" i="14"/>
  <c r="J374" i="14"/>
  <c r="I374" i="14"/>
  <c r="F374" i="14"/>
  <c r="D374" i="14"/>
  <c r="C374" i="14"/>
  <c r="A374" i="14"/>
  <c r="N373" i="14"/>
  <c r="M373" i="14"/>
  <c r="J373" i="14"/>
  <c r="I373" i="14"/>
  <c r="F373" i="14"/>
  <c r="D373" i="14"/>
  <c r="C373" i="14"/>
  <c r="A373" i="14"/>
  <c r="N372" i="14"/>
  <c r="M372" i="14"/>
  <c r="J372" i="14"/>
  <c r="I372" i="14"/>
  <c r="F372" i="14"/>
  <c r="D372" i="14"/>
  <c r="C372" i="14"/>
  <c r="A372" i="14"/>
  <c r="N371" i="14"/>
  <c r="M371" i="14"/>
  <c r="J371" i="14"/>
  <c r="I371" i="14"/>
  <c r="F371" i="14"/>
  <c r="D371" i="14"/>
  <c r="C371" i="14"/>
  <c r="A371" i="14"/>
  <c r="N370" i="14"/>
  <c r="M370" i="14"/>
  <c r="J370" i="14"/>
  <c r="I370" i="14"/>
  <c r="F370" i="14"/>
  <c r="D370" i="14"/>
  <c r="C370" i="14"/>
  <c r="A370" i="14"/>
  <c r="N369" i="14"/>
  <c r="M369" i="14"/>
  <c r="J369" i="14"/>
  <c r="I369" i="14"/>
  <c r="F369" i="14"/>
  <c r="D369" i="14"/>
  <c r="C369" i="14"/>
  <c r="A369" i="14"/>
  <c r="N368" i="14"/>
  <c r="M368" i="14"/>
  <c r="J368" i="14"/>
  <c r="I368" i="14"/>
  <c r="F368" i="14"/>
  <c r="D368" i="14"/>
  <c r="C368" i="14"/>
  <c r="A368" i="14"/>
  <c r="N367" i="14"/>
  <c r="M367" i="14"/>
  <c r="J367" i="14"/>
  <c r="I367" i="14"/>
  <c r="F367" i="14"/>
  <c r="D367" i="14"/>
  <c r="C367" i="14"/>
  <c r="A367" i="14"/>
  <c r="N366" i="14"/>
  <c r="M366" i="14"/>
  <c r="J366" i="14"/>
  <c r="I366" i="14"/>
  <c r="F366" i="14"/>
  <c r="D366" i="14"/>
  <c r="C366" i="14"/>
  <c r="A366" i="14"/>
  <c r="N365" i="14"/>
  <c r="M365" i="14"/>
  <c r="J365" i="14"/>
  <c r="I365" i="14"/>
  <c r="F365" i="14"/>
  <c r="D365" i="14"/>
  <c r="C365" i="14"/>
  <c r="A365" i="14"/>
  <c r="N364" i="14"/>
  <c r="M364" i="14"/>
  <c r="J364" i="14"/>
  <c r="I364" i="14"/>
  <c r="F364" i="14"/>
  <c r="D364" i="14"/>
  <c r="C364" i="14"/>
  <c r="A364" i="14"/>
  <c r="N363" i="14"/>
  <c r="M363" i="14"/>
  <c r="J363" i="14"/>
  <c r="I363" i="14"/>
  <c r="F363" i="14"/>
  <c r="D363" i="14"/>
  <c r="C363" i="14"/>
  <c r="A363" i="14"/>
  <c r="N362" i="14"/>
  <c r="M362" i="14"/>
  <c r="J362" i="14"/>
  <c r="I362" i="14"/>
  <c r="F362" i="14"/>
  <c r="D362" i="14"/>
  <c r="C362" i="14"/>
  <c r="A362" i="14"/>
  <c r="N361" i="14"/>
  <c r="M361" i="14"/>
  <c r="J361" i="14"/>
  <c r="I361" i="14"/>
  <c r="F361" i="14"/>
  <c r="D361" i="14"/>
  <c r="C361" i="14"/>
  <c r="A361" i="14"/>
  <c r="N360" i="14"/>
  <c r="M360" i="14"/>
  <c r="J360" i="14"/>
  <c r="I360" i="14"/>
  <c r="F360" i="14"/>
  <c r="D360" i="14"/>
  <c r="C360" i="14"/>
  <c r="A360" i="14"/>
  <c r="N359" i="14"/>
  <c r="M359" i="14"/>
  <c r="J359" i="14"/>
  <c r="I359" i="14"/>
  <c r="F359" i="14"/>
  <c r="D359" i="14"/>
  <c r="C359" i="14"/>
  <c r="A359" i="14"/>
  <c r="N358" i="14"/>
  <c r="M358" i="14"/>
  <c r="J358" i="14"/>
  <c r="I358" i="14"/>
  <c r="F358" i="14"/>
  <c r="D358" i="14"/>
  <c r="C358" i="14"/>
  <c r="A358" i="14"/>
  <c r="N357" i="14"/>
  <c r="M357" i="14"/>
  <c r="J357" i="14"/>
  <c r="I357" i="14"/>
  <c r="F357" i="14"/>
  <c r="D357" i="14"/>
  <c r="C357" i="14"/>
  <c r="A357" i="14"/>
  <c r="N356" i="14"/>
  <c r="M356" i="14"/>
  <c r="J356" i="14"/>
  <c r="I356" i="14"/>
  <c r="F356" i="14"/>
  <c r="D356" i="14"/>
  <c r="C356" i="14"/>
  <c r="A356" i="14"/>
  <c r="N355" i="14"/>
  <c r="M355" i="14"/>
  <c r="J355" i="14"/>
  <c r="I355" i="14"/>
  <c r="F355" i="14"/>
  <c r="D355" i="14"/>
  <c r="C355" i="14"/>
  <c r="A355" i="14"/>
  <c r="N354" i="14"/>
  <c r="M354" i="14"/>
  <c r="J354" i="14"/>
  <c r="I354" i="14"/>
  <c r="F354" i="14"/>
  <c r="D354" i="14"/>
  <c r="C354" i="14"/>
  <c r="A354" i="14"/>
  <c r="N353" i="14"/>
  <c r="M353" i="14"/>
  <c r="J353" i="14"/>
  <c r="I353" i="14"/>
  <c r="F353" i="14"/>
  <c r="D353" i="14"/>
  <c r="C353" i="14"/>
  <c r="A353" i="14"/>
  <c r="N352" i="14"/>
  <c r="M352" i="14"/>
  <c r="J352" i="14"/>
  <c r="I352" i="14"/>
  <c r="F352" i="14"/>
  <c r="D352" i="14"/>
  <c r="C352" i="14"/>
  <c r="A352" i="14"/>
  <c r="N351" i="14"/>
  <c r="M351" i="14"/>
  <c r="J351" i="14"/>
  <c r="I351" i="14"/>
  <c r="F351" i="14"/>
  <c r="D351" i="14"/>
  <c r="C351" i="14"/>
  <c r="A351" i="14"/>
  <c r="N350" i="14"/>
  <c r="M350" i="14"/>
  <c r="J350" i="14"/>
  <c r="I350" i="14"/>
  <c r="F350" i="14"/>
  <c r="D350" i="14"/>
  <c r="C350" i="14"/>
  <c r="A350" i="14"/>
  <c r="N349" i="14"/>
  <c r="M349" i="14"/>
  <c r="J349" i="14"/>
  <c r="I349" i="14"/>
  <c r="F349" i="14"/>
  <c r="D349" i="14"/>
  <c r="C349" i="14"/>
  <c r="A349" i="14"/>
  <c r="N348" i="14"/>
  <c r="M348" i="14"/>
  <c r="J348" i="14"/>
  <c r="I348" i="14"/>
  <c r="F348" i="14"/>
  <c r="D348" i="14"/>
  <c r="C348" i="14"/>
  <c r="A348" i="14"/>
  <c r="N347" i="14"/>
  <c r="M347" i="14"/>
  <c r="J347" i="14"/>
  <c r="I347" i="14"/>
  <c r="F347" i="14"/>
  <c r="D347" i="14"/>
  <c r="C347" i="14"/>
  <c r="A347" i="14"/>
  <c r="N346" i="14"/>
  <c r="M346" i="14"/>
  <c r="J346" i="14"/>
  <c r="I346" i="14"/>
  <c r="F346" i="14"/>
  <c r="D346" i="14"/>
  <c r="C346" i="14"/>
  <c r="A346" i="14"/>
  <c r="N345" i="14"/>
  <c r="M345" i="14"/>
  <c r="J345" i="14"/>
  <c r="I345" i="14"/>
  <c r="F345" i="14"/>
  <c r="D345" i="14"/>
  <c r="C345" i="14"/>
  <c r="A345" i="14"/>
  <c r="N344" i="14"/>
  <c r="M344" i="14"/>
  <c r="J344" i="14"/>
  <c r="I344" i="14"/>
  <c r="F344" i="14"/>
  <c r="D344" i="14"/>
  <c r="C344" i="14"/>
  <c r="A344" i="14"/>
  <c r="N343" i="14"/>
  <c r="M343" i="14"/>
  <c r="J343" i="14"/>
  <c r="I343" i="14"/>
  <c r="F343" i="14"/>
  <c r="D343" i="14"/>
  <c r="C343" i="14"/>
  <c r="A343" i="14"/>
  <c r="N342" i="14"/>
  <c r="M342" i="14"/>
  <c r="J342" i="14"/>
  <c r="I342" i="14"/>
  <c r="F342" i="14"/>
  <c r="D342" i="14"/>
  <c r="C342" i="14"/>
  <c r="A342" i="14"/>
  <c r="N341" i="14"/>
  <c r="M341" i="14"/>
  <c r="J341" i="14"/>
  <c r="I341" i="14"/>
  <c r="F341" i="14"/>
  <c r="D341" i="14"/>
  <c r="C341" i="14"/>
  <c r="A341" i="14"/>
  <c r="N340" i="14"/>
  <c r="M340" i="14"/>
  <c r="J340" i="14"/>
  <c r="I340" i="14"/>
  <c r="F340" i="14"/>
  <c r="D340" i="14"/>
  <c r="C340" i="14"/>
  <c r="A340" i="14"/>
  <c r="N339" i="14"/>
  <c r="M339" i="14"/>
  <c r="J339" i="14"/>
  <c r="I339" i="14"/>
  <c r="F339" i="14"/>
  <c r="D339" i="14"/>
  <c r="C339" i="14"/>
  <c r="A339" i="14"/>
  <c r="N338" i="14"/>
  <c r="M338" i="14"/>
  <c r="J338" i="14"/>
  <c r="I338" i="14"/>
  <c r="F338" i="14"/>
  <c r="D338" i="14"/>
  <c r="C338" i="14"/>
  <c r="A338" i="14"/>
  <c r="N337" i="14"/>
  <c r="M337" i="14"/>
  <c r="J337" i="14"/>
  <c r="I337" i="14"/>
  <c r="F337" i="14"/>
  <c r="D337" i="14"/>
  <c r="C337" i="14"/>
  <c r="A337" i="14"/>
  <c r="N336" i="14"/>
  <c r="M336" i="14"/>
  <c r="J336" i="14"/>
  <c r="I336" i="14"/>
  <c r="F336" i="14"/>
  <c r="D336" i="14"/>
  <c r="C336" i="14"/>
  <c r="A336" i="14"/>
  <c r="N335" i="14"/>
  <c r="M335" i="14"/>
  <c r="J335" i="14"/>
  <c r="I335" i="14"/>
  <c r="F335" i="14"/>
  <c r="D335" i="14"/>
  <c r="C335" i="14"/>
  <c r="A335" i="14"/>
  <c r="N334" i="14"/>
  <c r="M334" i="14"/>
  <c r="J334" i="14"/>
  <c r="I334" i="14"/>
  <c r="F334" i="14"/>
  <c r="D334" i="14"/>
  <c r="C334" i="14"/>
  <c r="A334" i="14"/>
  <c r="N333" i="14"/>
  <c r="M333" i="14"/>
  <c r="J333" i="14"/>
  <c r="I333" i="14"/>
  <c r="F333" i="14"/>
  <c r="D333" i="14"/>
  <c r="C333" i="14"/>
  <c r="A333" i="14"/>
  <c r="N332" i="14"/>
  <c r="M332" i="14"/>
  <c r="J332" i="14"/>
  <c r="I332" i="14"/>
  <c r="F332" i="14"/>
  <c r="D332" i="14"/>
  <c r="C332" i="14"/>
  <c r="A332" i="14"/>
  <c r="N331" i="14"/>
  <c r="M331" i="14"/>
  <c r="J331" i="14"/>
  <c r="I331" i="14"/>
  <c r="F331" i="14"/>
  <c r="D331" i="14"/>
  <c r="C331" i="14"/>
  <c r="A331" i="14"/>
  <c r="N330" i="14"/>
  <c r="M330" i="14"/>
  <c r="J330" i="14"/>
  <c r="I330" i="14"/>
  <c r="F330" i="14"/>
  <c r="D330" i="14"/>
  <c r="C330" i="14"/>
  <c r="A330" i="14"/>
  <c r="N329" i="14"/>
  <c r="M329" i="14"/>
  <c r="J329" i="14"/>
  <c r="I329" i="14"/>
  <c r="F329" i="14"/>
  <c r="D329" i="14"/>
  <c r="C329" i="14"/>
  <c r="A329" i="14"/>
  <c r="N328" i="14"/>
  <c r="M328" i="14"/>
  <c r="J328" i="14"/>
  <c r="I328" i="14"/>
  <c r="F328" i="14"/>
  <c r="D328" i="14"/>
  <c r="C328" i="14"/>
  <c r="A328" i="14"/>
  <c r="N327" i="14"/>
  <c r="M327" i="14"/>
  <c r="J327" i="14"/>
  <c r="I327" i="14"/>
  <c r="F327" i="14"/>
  <c r="D327" i="14"/>
  <c r="C327" i="14"/>
  <c r="A327" i="14"/>
  <c r="N326" i="14"/>
  <c r="M326" i="14"/>
  <c r="J326" i="14"/>
  <c r="I326" i="14"/>
  <c r="F326" i="14"/>
  <c r="D326" i="14"/>
  <c r="C326" i="14"/>
  <c r="A326" i="14"/>
  <c r="N325" i="14"/>
  <c r="M325" i="14"/>
  <c r="J325" i="14"/>
  <c r="I325" i="14"/>
  <c r="F325" i="14"/>
  <c r="D325" i="14"/>
  <c r="C325" i="14"/>
  <c r="A325" i="14"/>
  <c r="N324" i="14"/>
  <c r="M324" i="14"/>
  <c r="J324" i="14"/>
  <c r="I324" i="14"/>
  <c r="F324" i="14"/>
  <c r="D324" i="14"/>
  <c r="C324" i="14"/>
  <c r="A324" i="14"/>
  <c r="N323" i="14"/>
  <c r="M323" i="14"/>
  <c r="J323" i="14"/>
  <c r="I323" i="14"/>
  <c r="F323" i="14"/>
  <c r="D323" i="14"/>
  <c r="C323" i="14"/>
  <c r="A323" i="14"/>
  <c r="N322" i="14"/>
  <c r="M322" i="14"/>
  <c r="J322" i="14"/>
  <c r="I322" i="14"/>
  <c r="F322" i="14"/>
  <c r="D322" i="14"/>
  <c r="C322" i="14"/>
  <c r="A322" i="14"/>
  <c r="N321" i="14"/>
  <c r="M321" i="14"/>
  <c r="J321" i="14"/>
  <c r="I321" i="14"/>
  <c r="F321" i="14"/>
  <c r="D321" i="14"/>
  <c r="C321" i="14"/>
  <c r="A321" i="14"/>
  <c r="N320" i="14"/>
  <c r="M320" i="14"/>
  <c r="J320" i="14"/>
  <c r="I320" i="14"/>
  <c r="F320" i="14"/>
  <c r="D320" i="14"/>
  <c r="C320" i="14"/>
  <c r="A320" i="14"/>
  <c r="N319" i="14"/>
  <c r="M319" i="14"/>
  <c r="J319" i="14"/>
  <c r="I319" i="14"/>
  <c r="F319" i="14"/>
  <c r="D319" i="14"/>
  <c r="C319" i="14"/>
  <c r="A319" i="14"/>
  <c r="N318" i="14"/>
  <c r="M318" i="14"/>
  <c r="J318" i="14"/>
  <c r="I318" i="14"/>
  <c r="F318" i="14"/>
  <c r="D318" i="14"/>
  <c r="C318" i="14"/>
  <c r="A318" i="14"/>
  <c r="N317" i="14"/>
  <c r="M317" i="14"/>
  <c r="J317" i="14"/>
  <c r="I317" i="14"/>
  <c r="F317" i="14"/>
  <c r="D317" i="14"/>
  <c r="C317" i="14"/>
  <c r="A317" i="14"/>
  <c r="N316" i="14"/>
  <c r="M316" i="14"/>
  <c r="J316" i="14"/>
  <c r="I316" i="14"/>
  <c r="F316" i="14"/>
  <c r="D316" i="14"/>
  <c r="C316" i="14"/>
  <c r="A316" i="14"/>
  <c r="N315" i="14"/>
  <c r="M315" i="14"/>
  <c r="J315" i="14"/>
  <c r="I315" i="14"/>
  <c r="F315" i="14"/>
  <c r="D315" i="14"/>
  <c r="C315" i="14"/>
  <c r="A315" i="14"/>
  <c r="N314" i="14"/>
  <c r="M314" i="14"/>
  <c r="J314" i="14"/>
  <c r="I314" i="14"/>
  <c r="F314" i="14"/>
  <c r="D314" i="14"/>
  <c r="C314" i="14"/>
  <c r="A314" i="14"/>
  <c r="N313" i="14"/>
  <c r="M313" i="14"/>
  <c r="J313" i="14"/>
  <c r="I313" i="14"/>
  <c r="F313" i="14"/>
  <c r="D313" i="14"/>
  <c r="C313" i="14"/>
  <c r="A313" i="14"/>
  <c r="N312" i="14"/>
  <c r="M312" i="14"/>
  <c r="J312" i="14"/>
  <c r="I312" i="14"/>
  <c r="F312" i="14"/>
  <c r="D312" i="14"/>
  <c r="C312" i="14"/>
  <c r="A312" i="14"/>
  <c r="N311" i="14"/>
  <c r="M311" i="14"/>
  <c r="J311" i="14"/>
  <c r="I311" i="14"/>
  <c r="F311" i="14"/>
  <c r="D311" i="14"/>
  <c r="C311" i="14"/>
  <c r="A311" i="14"/>
  <c r="N310" i="14"/>
  <c r="M310" i="14"/>
  <c r="J310" i="14"/>
  <c r="I310" i="14"/>
  <c r="F310" i="14"/>
  <c r="D310" i="14"/>
  <c r="C310" i="14"/>
  <c r="A310" i="14"/>
  <c r="N309" i="14"/>
  <c r="M309" i="14"/>
  <c r="J309" i="14"/>
  <c r="I309" i="14"/>
  <c r="F309" i="14"/>
  <c r="D309" i="14"/>
  <c r="C309" i="14"/>
  <c r="A309" i="14"/>
  <c r="N308" i="14"/>
  <c r="M308" i="14"/>
  <c r="J308" i="14"/>
  <c r="I308" i="14"/>
  <c r="F308" i="14"/>
  <c r="D308" i="14"/>
  <c r="C308" i="14"/>
  <c r="A308" i="14"/>
  <c r="N307" i="14"/>
  <c r="M307" i="14"/>
  <c r="J307" i="14"/>
  <c r="I307" i="14"/>
  <c r="F307" i="14"/>
  <c r="D307" i="14"/>
  <c r="C307" i="14"/>
  <c r="A307" i="14"/>
  <c r="N306" i="14"/>
  <c r="M306" i="14"/>
  <c r="J306" i="14"/>
  <c r="I306" i="14"/>
  <c r="F306" i="14"/>
  <c r="D306" i="14"/>
  <c r="C306" i="14"/>
  <c r="A306" i="14"/>
  <c r="N305" i="14"/>
  <c r="M305" i="14"/>
  <c r="J305" i="14"/>
  <c r="I305" i="14"/>
  <c r="F305" i="14"/>
  <c r="D305" i="14"/>
  <c r="C305" i="14"/>
  <c r="A305" i="14"/>
  <c r="N304" i="14"/>
  <c r="M304" i="14"/>
  <c r="J304" i="14"/>
  <c r="I304" i="14"/>
  <c r="F304" i="14"/>
  <c r="D304" i="14"/>
  <c r="C304" i="14"/>
  <c r="A304" i="14"/>
  <c r="N303" i="14"/>
  <c r="M303" i="14"/>
  <c r="J303" i="14"/>
  <c r="I303" i="14"/>
  <c r="F303" i="14"/>
  <c r="D303" i="14"/>
  <c r="C303" i="14"/>
  <c r="A303" i="14"/>
  <c r="N302" i="14"/>
  <c r="M302" i="14"/>
  <c r="J302" i="14"/>
  <c r="I302" i="14"/>
  <c r="F302" i="14"/>
  <c r="D302" i="14"/>
  <c r="C302" i="14"/>
  <c r="A302" i="14"/>
  <c r="N301" i="14"/>
  <c r="M301" i="14"/>
  <c r="J301" i="14"/>
  <c r="I301" i="14"/>
  <c r="F301" i="14"/>
  <c r="D301" i="14"/>
  <c r="C301" i="14"/>
  <c r="A301" i="14"/>
  <c r="N300" i="14"/>
  <c r="M300" i="14"/>
  <c r="J300" i="14"/>
  <c r="I300" i="14"/>
  <c r="F300" i="14"/>
  <c r="D300" i="14"/>
  <c r="C300" i="14"/>
  <c r="A300" i="14"/>
  <c r="N299" i="14"/>
  <c r="M299" i="14"/>
  <c r="J299" i="14"/>
  <c r="I299" i="14"/>
  <c r="F299" i="14"/>
  <c r="D299" i="14"/>
  <c r="C299" i="14"/>
  <c r="A299" i="14"/>
  <c r="N298" i="14"/>
  <c r="M298" i="14"/>
  <c r="J298" i="14"/>
  <c r="I298" i="14"/>
  <c r="F298" i="14"/>
  <c r="D298" i="14"/>
  <c r="C298" i="14"/>
  <c r="A298" i="14"/>
  <c r="N297" i="14"/>
  <c r="M297" i="14"/>
  <c r="J297" i="14"/>
  <c r="I297" i="14"/>
  <c r="F297" i="14"/>
  <c r="D297" i="14"/>
  <c r="C297" i="14"/>
  <c r="A297" i="14"/>
  <c r="N296" i="14"/>
  <c r="M296" i="14"/>
  <c r="J296" i="14"/>
  <c r="I296" i="14"/>
  <c r="F296" i="14"/>
  <c r="D296" i="14"/>
  <c r="C296" i="14"/>
  <c r="A296" i="14"/>
  <c r="N295" i="14"/>
  <c r="M295" i="14"/>
  <c r="J295" i="14"/>
  <c r="I295" i="14"/>
  <c r="F295" i="14"/>
  <c r="D295" i="14"/>
  <c r="C295" i="14"/>
  <c r="A295" i="14"/>
  <c r="N294" i="14"/>
  <c r="M294" i="14"/>
  <c r="J294" i="14"/>
  <c r="I294" i="14"/>
  <c r="F294" i="14"/>
  <c r="D294" i="14"/>
  <c r="C294" i="14"/>
  <c r="A294" i="14"/>
  <c r="N293" i="14"/>
  <c r="M293" i="14"/>
  <c r="J293" i="14"/>
  <c r="I293" i="14"/>
  <c r="F293" i="14"/>
  <c r="D293" i="14"/>
  <c r="C293" i="14"/>
  <c r="A293" i="14"/>
  <c r="N292" i="14"/>
  <c r="M292" i="14"/>
  <c r="J292" i="14"/>
  <c r="I292" i="14"/>
  <c r="F292" i="14"/>
  <c r="D292" i="14"/>
  <c r="C292" i="14"/>
  <c r="A292" i="14"/>
  <c r="N291" i="14"/>
  <c r="M291" i="14"/>
  <c r="J291" i="14"/>
  <c r="I291" i="14"/>
  <c r="F291" i="14"/>
  <c r="D291" i="14"/>
  <c r="C291" i="14"/>
  <c r="A291" i="14"/>
  <c r="N290" i="14"/>
  <c r="M290" i="14"/>
  <c r="J290" i="14"/>
  <c r="I290" i="14"/>
  <c r="F290" i="14"/>
  <c r="D290" i="14"/>
  <c r="C290" i="14"/>
  <c r="A290" i="14"/>
  <c r="N289" i="14"/>
  <c r="M289" i="14"/>
  <c r="J289" i="14"/>
  <c r="I289" i="14"/>
  <c r="F289" i="14"/>
  <c r="D289" i="14"/>
  <c r="C289" i="14"/>
  <c r="A289" i="14"/>
  <c r="N288" i="14"/>
  <c r="M288" i="14"/>
  <c r="J288" i="14"/>
  <c r="I288" i="14"/>
  <c r="F288" i="14"/>
  <c r="D288" i="14"/>
  <c r="C288" i="14"/>
  <c r="A288" i="14"/>
  <c r="N287" i="14"/>
  <c r="M287" i="14"/>
  <c r="J287" i="14"/>
  <c r="I287" i="14"/>
  <c r="F287" i="14"/>
  <c r="D287" i="14"/>
  <c r="C287" i="14"/>
  <c r="A287" i="14"/>
  <c r="N286" i="14"/>
  <c r="M286" i="14"/>
  <c r="J286" i="14"/>
  <c r="I286" i="14"/>
  <c r="F286" i="14"/>
  <c r="D286" i="14"/>
  <c r="C286" i="14"/>
  <c r="A286" i="14"/>
  <c r="N285" i="14"/>
  <c r="M285" i="14"/>
  <c r="J285" i="14"/>
  <c r="I285" i="14"/>
  <c r="F285" i="14"/>
  <c r="D285" i="14"/>
  <c r="C285" i="14"/>
  <c r="A285" i="14"/>
  <c r="N284" i="14"/>
  <c r="M284" i="14"/>
  <c r="J284" i="14"/>
  <c r="I284" i="14"/>
  <c r="F284" i="14"/>
  <c r="D284" i="14"/>
  <c r="C284" i="14"/>
  <c r="A284" i="14"/>
  <c r="N283" i="14"/>
  <c r="M283" i="14"/>
  <c r="J283" i="14"/>
  <c r="I283" i="14"/>
  <c r="F283" i="14"/>
  <c r="D283" i="14"/>
  <c r="C283" i="14"/>
  <c r="A283" i="14"/>
  <c r="N282" i="14"/>
  <c r="M282" i="14"/>
  <c r="J282" i="14"/>
  <c r="I282" i="14"/>
  <c r="F282" i="14"/>
  <c r="D282" i="14"/>
  <c r="C282" i="14"/>
  <c r="A282" i="14"/>
  <c r="N281" i="14"/>
  <c r="M281" i="14"/>
  <c r="J281" i="14"/>
  <c r="I281" i="14"/>
  <c r="F281" i="14"/>
  <c r="D281" i="14"/>
  <c r="C281" i="14"/>
  <c r="A281" i="14"/>
  <c r="N280" i="14"/>
  <c r="M280" i="14"/>
  <c r="J280" i="14"/>
  <c r="I280" i="14"/>
  <c r="F280" i="14"/>
  <c r="D280" i="14"/>
  <c r="C280" i="14"/>
  <c r="A280" i="14"/>
  <c r="N279" i="14"/>
  <c r="M279" i="14"/>
  <c r="J279" i="14"/>
  <c r="I279" i="14"/>
  <c r="F279" i="14"/>
  <c r="D279" i="14"/>
  <c r="C279" i="14"/>
  <c r="A279" i="14"/>
  <c r="N278" i="14"/>
  <c r="M278" i="14"/>
  <c r="J278" i="14"/>
  <c r="I278" i="14"/>
  <c r="F278" i="14"/>
  <c r="D278" i="14"/>
  <c r="C278" i="14"/>
  <c r="A278" i="14"/>
  <c r="N277" i="14"/>
  <c r="M277" i="14"/>
  <c r="J277" i="14"/>
  <c r="I277" i="14"/>
  <c r="F277" i="14"/>
  <c r="D277" i="14"/>
  <c r="C277" i="14"/>
  <c r="A277" i="14"/>
  <c r="N276" i="14"/>
  <c r="M276" i="14"/>
  <c r="J276" i="14"/>
  <c r="I276" i="14"/>
  <c r="F276" i="14"/>
  <c r="D276" i="14"/>
  <c r="C276" i="14"/>
  <c r="A276" i="14"/>
  <c r="N275" i="14"/>
  <c r="M275" i="14"/>
  <c r="J275" i="14"/>
  <c r="I275" i="14"/>
  <c r="F275" i="14"/>
  <c r="D275" i="14"/>
  <c r="C275" i="14"/>
  <c r="A275" i="14"/>
  <c r="N274" i="14"/>
  <c r="M274" i="14"/>
  <c r="J274" i="14"/>
  <c r="I274" i="14"/>
  <c r="F274" i="14"/>
  <c r="D274" i="14"/>
  <c r="C274" i="14"/>
  <c r="A274" i="14"/>
  <c r="N273" i="14"/>
  <c r="M273" i="14"/>
  <c r="J273" i="14"/>
  <c r="I273" i="14"/>
  <c r="F273" i="14"/>
  <c r="D273" i="14"/>
  <c r="C273" i="14"/>
  <c r="A273" i="14"/>
  <c r="N272" i="14"/>
  <c r="M272" i="14"/>
  <c r="J272" i="14"/>
  <c r="I272" i="14"/>
  <c r="F272" i="14"/>
  <c r="D272" i="14"/>
  <c r="C272" i="14"/>
  <c r="A272" i="14"/>
  <c r="N271" i="14"/>
  <c r="M271" i="14"/>
  <c r="J271" i="14"/>
  <c r="I271" i="14"/>
  <c r="F271" i="14"/>
  <c r="D271" i="14"/>
  <c r="C271" i="14"/>
  <c r="A271" i="14"/>
  <c r="N270" i="14"/>
  <c r="M270" i="14"/>
  <c r="J270" i="14"/>
  <c r="I270" i="14"/>
  <c r="F270" i="14"/>
  <c r="D270" i="14"/>
  <c r="C270" i="14"/>
  <c r="A270" i="14"/>
  <c r="N269" i="14"/>
  <c r="M269" i="14"/>
  <c r="J269" i="14"/>
  <c r="I269" i="14"/>
  <c r="F269" i="14"/>
  <c r="D269" i="14"/>
  <c r="C269" i="14"/>
  <c r="A269" i="14"/>
  <c r="N268" i="14"/>
  <c r="M268" i="14"/>
  <c r="J268" i="14"/>
  <c r="I268" i="14"/>
  <c r="F268" i="14"/>
  <c r="D268" i="14"/>
  <c r="C268" i="14"/>
  <c r="A268" i="14"/>
  <c r="N267" i="14"/>
  <c r="M267" i="14"/>
  <c r="J267" i="14"/>
  <c r="I267" i="14"/>
  <c r="F267" i="14"/>
  <c r="D267" i="14"/>
  <c r="C267" i="14"/>
  <c r="A267" i="14"/>
  <c r="N266" i="14"/>
  <c r="M266" i="14"/>
  <c r="J266" i="14"/>
  <c r="I266" i="14"/>
  <c r="F266" i="14"/>
  <c r="D266" i="14"/>
  <c r="C266" i="14"/>
  <c r="A266" i="14"/>
  <c r="N265" i="14"/>
  <c r="M265" i="14"/>
  <c r="J265" i="14"/>
  <c r="I265" i="14"/>
  <c r="F265" i="14"/>
  <c r="D265" i="14"/>
  <c r="C265" i="14"/>
  <c r="A265" i="14"/>
  <c r="N264" i="14"/>
  <c r="M264" i="14"/>
  <c r="J264" i="14"/>
  <c r="I264" i="14"/>
  <c r="F264" i="14"/>
  <c r="D264" i="14"/>
  <c r="C264" i="14"/>
  <c r="A264" i="14"/>
  <c r="N263" i="14"/>
  <c r="M263" i="14"/>
  <c r="J263" i="14"/>
  <c r="I263" i="14"/>
  <c r="F263" i="14"/>
  <c r="D263" i="14"/>
  <c r="C263" i="14"/>
  <c r="A263" i="14"/>
  <c r="N262" i="14"/>
  <c r="M262" i="14"/>
  <c r="J262" i="14"/>
  <c r="I262" i="14"/>
  <c r="F262" i="14"/>
  <c r="D262" i="14"/>
  <c r="C262" i="14"/>
  <c r="A262" i="14"/>
  <c r="N261" i="14"/>
  <c r="M261" i="14"/>
  <c r="J261" i="14"/>
  <c r="I261" i="14"/>
  <c r="F261" i="14"/>
  <c r="D261" i="14"/>
  <c r="C261" i="14"/>
  <c r="A261" i="14"/>
  <c r="N260" i="14"/>
  <c r="M260" i="14"/>
  <c r="J260" i="14"/>
  <c r="I260" i="14"/>
  <c r="F260" i="14"/>
  <c r="D260" i="14"/>
  <c r="C260" i="14"/>
  <c r="A260" i="14"/>
  <c r="N259" i="14"/>
  <c r="M259" i="14"/>
  <c r="J259" i="14"/>
  <c r="I259" i="14"/>
  <c r="F259" i="14"/>
  <c r="D259" i="14"/>
  <c r="C259" i="14"/>
  <c r="A259" i="14"/>
  <c r="N258" i="14"/>
  <c r="M258" i="14"/>
  <c r="J258" i="14"/>
  <c r="I258" i="14"/>
  <c r="F258" i="14"/>
  <c r="D258" i="14"/>
  <c r="C258" i="14"/>
  <c r="A258" i="14"/>
  <c r="N257" i="14"/>
  <c r="M257" i="14"/>
  <c r="J257" i="14"/>
  <c r="I257" i="14"/>
  <c r="F257" i="14"/>
  <c r="D257" i="14"/>
  <c r="C257" i="14"/>
  <c r="A257" i="14"/>
  <c r="N256" i="14"/>
  <c r="M256" i="14"/>
  <c r="J256" i="14"/>
  <c r="I256" i="14"/>
  <c r="F256" i="14"/>
  <c r="D256" i="14"/>
  <c r="C256" i="14"/>
  <c r="A256" i="14"/>
  <c r="N255" i="14"/>
  <c r="M255" i="14"/>
  <c r="J255" i="14"/>
  <c r="I255" i="14"/>
  <c r="F255" i="14"/>
  <c r="D255" i="14"/>
  <c r="C255" i="14"/>
  <c r="A255" i="14"/>
  <c r="N254" i="14"/>
  <c r="M254" i="14"/>
  <c r="J254" i="14"/>
  <c r="I254" i="14"/>
  <c r="F254" i="14"/>
  <c r="D254" i="14"/>
  <c r="C254" i="14"/>
  <c r="A254" i="14"/>
  <c r="N253" i="14"/>
  <c r="M253" i="14"/>
  <c r="J253" i="14"/>
  <c r="I253" i="14"/>
  <c r="F253" i="14"/>
  <c r="D253" i="14"/>
  <c r="C253" i="14"/>
  <c r="A253" i="14"/>
  <c r="N252" i="14"/>
  <c r="M252" i="14"/>
  <c r="J252" i="14"/>
  <c r="I252" i="14"/>
  <c r="F252" i="14"/>
  <c r="D252" i="14"/>
  <c r="C252" i="14"/>
  <c r="A252" i="14"/>
  <c r="N251" i="14"/>
  <c r="M251" i="14"/>
  <c r="J251" i="14"/>
  <c r="I251" i="14"/>
  <c r="F251" i="14"/>
  <c r="D251" i="14"/>
  <c r="C251" i="14"/>
  <c r="A251" i="14"/>
  <c r="N250" i="14"/>
  <c r="M250" i="14"/>
  <c r="J250" i="14"/>
  <c r="I250" i="14"/>
  <c r="F250" i="14"/>
  <c r="D250" i="14"/>
  <c r="C250" i="14"/>
  <c r="A250" i="14"/>
  <c r="N249" i="14"/>
  <c r="M249" i="14"/>
  <c r="J249" i="14"/>
  <c r="I249" i="14"/>
  <c r="F249" i="14"/>
  <c r="D249" i="14"/>
  <c r="C249" i="14"/>
  <c r="A249" i="14"/>
  <c r="N248" i="14"/>
  <c r="M248" i="14"/>
  <c r="J248" i="14"/>
  <c r="I248" i="14"/>
  <c r="F248" i="14"/>
  <c r="D248" i="14"/>
  <c r="C248" i="14"/>
  <c r="A248" i="14"/>
  <c r="N247" i="14"/>
  <c r="M247" i="14"/>
  <c r="J247" i="14"/>
  <c r="I247" i="14"/>
  <c r="F247" i="14"/>
  <c r="D247" i="14"/>
  <c r="C247" i="14"/>
  <c r="A247" i="14"/>
  <c r="N246" i="14"/>
  <c r="M246" i="14"/>
  <c r="J246" i="14"/>
  <c r="I246" i="14"/>
  <c r="F246" i="14"/>
  <c r="D246" i="14"/>
  <c r="C246" i="14"/>
  <c r="A246" i="14"/>
  <c r="N245" i="14"/>
  <c r="M245" i="14"/>
  <c r="J245" i="14"/>
  <c r="I245" i="14"/>
  <c r="F245" i="14"/>
  <c r="D245" i="14"/>
  <c r="C245" i="14"/>
  <c r="A245" i="14"/>
  <c r="N244" i="14"/>
  <c r="M244" i="14"/>
  <c r="J244" i="14"/>
  <c r="I244" i="14"/>
  <c r="F244" i="14"/>
  <c r="D244" i="14"/>
  <c r="C244" i="14"/>
  <c r="A244" i="14"/>
  <c r="N243" i="14"/>
  <c r="M243" i="14"/>
  <c r="J243" i="14"/>
  <c r="I243" i="14"/>
  <c r="F243" i="14"/>
  <c r="D243" i="14"/>
  <c r="C243" i="14"/>
  <c r="A243" i="14"/>
  <c r="N242" i="14"/>
  <c r="M242" i="14"/>
  <c r="J242" i="14"/>
  <c r="I242" i="14"/>
  <c r="F242" i="14"/>
  <c r="D242" i="14"/>
  <c r="C242" i="14"/>
  <c r="A242" i="14"/>
  <c r="N241" i="14"/>
  <c r="M241" i="14"/>
  <c r="J241" i="14"/>
  <c r="I241" i="14"/>
  <c r="F241" i="14"/>
  <c r="D241" i="14"/>
  <c r="C241" i="14"/>
  <c r="A241" i="14"/>
  <c r="N240" i="14"/>
  <c r="M240" i="14"/>
  <c r="J240" i="14"/>
  <c r="I240" i="14"/>
  <c r="F240" i="14"/>
  <c r="D240" i="14"/>
  <c r="C240" i="14"/>
  <c r="A240" i="14"/>
  <c r="N239" i="14"/>
  <c r="M239" i="14"/>
  <c r="J239" i="14"/>
  <c r="I239" i="14"/>
  <c r="F239" i="14"/>
  <c r="D239" i="14"/>
  <c r="C239" i="14"/>
  <c r="A239" i="14"/>
  <c r="N238" i="14"/>
  <c r="M238" i="14"/>
  <c r="J238" i="14"/>
  <c r="I238" i="14"/>
  <c r="F238" i="14"/>
  <c r="D238" i="14"/>
  <c r="C238" i="14"/>
  <c r="A238" i="14"/>
  <c r="N237" i="14"/>
  <c r="M237" i="14"/>
  <c r="J237" i="14"/>
  <c r="I237" i="14"/>
  <c r="F237" i="14"/>
  <c r="D237" i="14"/>
  <c r="C237" i="14"/>
  <c r="A237" i="14"/>
  <c r="N236" i="14"/>
  <c r="M236" i="14"/>
  <c r="J236" i="14"/>
  <c r="I236" i="14"/>
  <c r="F236" i="14"/>
  <c r="D236" i="14"/>
  <c r="C236" i="14"/>
  <c r="A236" i="14"/>
  <c r="N235" i="14"/>
  <c r="M235" i="14"/>
  <c r="J235" i="14"/>
  <c r="I235" i="14"/>
  <c r="F235" i="14"/>
  <c r="D235" i="14"/>
  <c r="C235" i="14"/>
  <c r="A235" i="14"/>
  <c r="N234" i="14"/>
  <c r="M234" i="14"/>
  <c r="J234" i="14"/>
  <c r="I234" i="14"/>
  <c r="F234" i="14"/>
  <c r="D234" i="14"/>
  <c r="C234" i="14"/>
  <c r="A234" i="14"/>
  <c r="N233" i="14"/>
  <c r="M233" i="14"/>
  <c r="J233" i="14"/>
  <c r="I233" i="14"/>
  <c r="F233" i="14"/>
  <c r="D233" i="14"/>
  <c r="C233" i="14"/>
  <c r="A233" i="14"/>
  <c r="N232" i="14"/>
  <c r="M232" i="14"/>
  <c r="J232" i="14"/>
  <c r="I232" i="14"/>
  <c r="F232" i="14"/>
  <c r="D232" i="14"/>
  <c r="C232" i="14"/>
  <c r="A232" i="14"/>
  <c r="N231" i="14"/>
  <c r="M231" i="14"/>
  <c r="J231" i="14"/>
  <c r="I231" i="14"/>
  <c r="F231" i="14"/>
  <c r="D231" i="14"/>
  <c r="C231" i="14"/>
  <c r="A231" i="14"/>
  <c r="N230" i="14"/>
  <c r="M230" i="14"/>
  <c r="J230" i="14"/>
  <c r="I230" i="14"/>
  <c r="F230" i="14"/>
  <c r="D230" i="14"/>
  <c r="C230" i="14"/>
  <c r="A230" i="14"/>
  <c r="N229" i="14"/>
  <c r="M229" i="14"/>
  <c r="J229" i="14"/>
  <c r="I229" i="14"/>
  <c r="F229" i="14"/>
  <c r="D229" i="14"/>
  <c r="C229" i="14"/>
  <c r="A229" i="14"/>
  <c r="N228" i="14"/>
  <c r="M228" i="14"/>
  <c r="J228" i="14"/>
  <c r="I228" i="14"/>
  <c r="F228" i="14"/>
  <c r="D228" i="14"/>
  <c r="C228" i="14"/>
  <c r="A228" i="14"/>
  <c r="N227" i="14"/>
  <c r="M227" i="14"/>
  <c r="J227" i="14"/>
  <c r="I227" i="14"/>
  <c r="F227" i="14"/>
  <c r="D227" i="14"/>
  <c r="C227" i="14"/>
  <c r="A227" i="14"/>
  <c r="N226" i="14"/>
  <c r="M226" i="14"/>
  <c r="J226" i="14"/>
  <c r="I226" i="14"/>
  <c r="F226" i="14"/>
  <c r="D226" i="14"/>
  <c r="C226" i="14"/>
  <c r="A226" i="14"/>
  <c r="N225" i="14"/>
  <c r="M225" i="14"/>
  <c r="J225" i="14"/>
  <c r="I225" i="14"/>
  <c r="F225" i="14"/>
  <c r="D225" i="14"/>
  <c r="C225" i="14"/>
  <c r="A225" i="14"/>
  <c r="N224" i="14"/>
  <c r="M224" i="14"/>
  <c r="J224" i="14"/>
  <c r="I224" i="14"/>
  <c r="F224" i="14"/>
  <c r="D224" i="14"/>
  <c r="C224" i="14"/>
  <c r="A224" i="14"/>
  <c r="N223" i="14"/>
  <c r="M223" i="14"/>
  <c r="J223" i="14"/>
  <c r="I223" i="14"/>
  <c r="F223" i="14"/>
  <c r="D223" i="14"/>
  <c r="C223" i="14"/>
  <c r="A223" i="14"/>
  <c r="N222" i="14"/>
  <c r="M222" i="14"/>
  <c r="J222" i="14"/>
  <c r="I222" i="14"/>
  <c r="F222" i="14"/>
  <c r="D222" i="14"/>
  <c r="C222" i="14"/>
  <c r="A222" i="14"/>
  <c r="N221" i="14"/>
  <c r="M221" i="14"/>
  <c r="J221" i="14"/>
  <c r="I221" i="14"/>
  <c r="F221" i="14"/>
  <c r="D221" i="14"/>
  <c r="C221" i="14"/>
  <c r="A221" i="14"/>
  <c r="N220" i="14"/>
  <c r="M220" i="14"/>
  <c r="J220" i="14"/>
  <c r="I220" i="14"/>
  <c r="F220" i="14"/>
  <c r="D220" i="14"/>
  <c r="C220" i="14"/>
  <c r="A220" i="14"/>
  <c r="N219" i="14"/>
  <c r="M219" i="14"/>
  <c r="J219" i="14"/>
  <c r="I219" i="14"/>
  <c r="F219" i="14"/>
  <c r="D219" i="14"/>
  <c r="C219" i="14"/>
  <c r="A219" i="14"/>
  <c r="N218" i="14"/>
  <c r="M218" i="14"/>
  <c r="J218" i="14"/>
  <c r="I218" i="14"/>
  <c r="F218" i="14"/>
  <c r="D218" i="14"/>
  <c r="C218" i="14"/>
  <c r="A218" i="14"/>
  <c r="N217" i="14"/>
  <c r="M217" i="14"/>
  <c r="J217" i="14"/>
  <c r="I217" i="14"/>
  <c r="F217" i="14"/>
  <c r="D217" i="14"/>
  <c r="C217" i="14"/>
  <c r="A217" i="14"/>
  <c r="N216" i="14"/>
  <c r="M216" i="14"/>
  <c r="J216" i="14"/>
  <c r="I216" i="14"/>
  <c r="F216" i="14"/>
  <c r="D216" i="14"/>
  <c r="C216" i="14"/>
  <c r="A216" i="14"/>
  <c r="N215" i="14"/>
  <c r="M215" i="14"/>
  <c r="J215" i="14"/>
  <c r="I215" i="14"/>
  <c r="F215" i="14"/>
  <c r="D215" i="14"/>
  <c r="C215" i="14"/>
  <c r="A215" i="14"/>
  <c r="N214" i="14"/>
  <c r="M214" i="14"/>
  <c r="J214" i="14"/>
  <c r="I214" i="14"/>
  <c r="F214" i="14"/>
  <c r="D214" i="14"/>
  <c r="C214" i="14"/>
  <c r="A214" i="14"/>
  <c r="N213" i="14"/>
  <c r="M213" i="14"/>
  <c r="J213" i="14"/>
  <c r="I213" i="14"/>
  <c r="F213" i="14"/>
  <c r="D213" i="14"/>
  <c r="C213" i="14"/>
  <c r="A213" i="14"/>
  <c r="N212" i="14"/>
  <c r="M212" i="14"/>
  <c r="J212" i="14"/>
  <c r="I212" i="14"/>
  <c r="F212" i="14"/>
  <c r="D212" i="14"/>
  <c r="C212" i="14"/>
  <c r="A212" i="14"/>
  <c r="N211" i="14"/>
  <c r="M211" i="14"/>
  <c r="J211" i="14"/>
  <c r="I211" i="14"/>
  <c r="F211" i="14"/>
  <c r="D211" i="14"/>
  <c r="C211" i="14"/>
  <c r="A211" i="14"/>
  <c r="N210" i="14"/>
  <c r="M210" i="14"/>
  <c r="J210" i="14"/>
  <c r="I210" i="14"/>
  <c r="F210" i="14"/>
  <c r="D210" i="14"/>
  <c r="C210" i="14"/>
  <c r="A210" i="14"/>
  <c r="N209" i="14"/>
  <c r="M209" i="14"/>
  <c r="J209" i="14"/>
  <c r="I209" i="14"/>
  <c r="F209" i="14"/>
  <c r="D209" i="14"/>
  <c r="C209" i="14"/>
  <c r="A209" i="14"/>
  <c r="N208" i="14"/>
  <c r="M208" i="14"/>
  <c r="J208" i="14"/>
  <c r="I208" i="14"/>
  <c r="F208" i="14"/>
  <c r="D208" i="14"/>
  <c r="C208" i="14"/>
  <c r="A208" i="14"/>
  <c r="N207" i="14"/>
  <c r="M207" i="14"/>
  <c r="J207" i="14"/>
  <c r="I207" i="14"/>
  <c r="F207" i="14"/>
  <c r="D207" i="14"/>
  <c r="C207" i="14"/>
  <c r="A207" i="14"/>
  <c r="N206" i="14"/>
  <c r="M206" i="14"/>
  <c r="J206" i="14"/>
  <c r="I206" i="14"/>
  <c r="F206" i="14"/>
  <c r="D206" i="14"/>
  <c r="C206" i="14"/>
  <c r="A206" i="14"/>
  <c r="N205" i="14"/>
  <c r="M205" i="14"/>
  <c r="J205" i="14"/>
  <c r="I205" i="14"/>
  <c r="F205" i="14"/>
  <c r="D205" i="14"/>
  <c r="C205" i="14"/>
  <c r="A205" i="14"/>
  <c r="N204" i="14"/>
  <c r="M204" i="14"/>
  <c r="J204" i="14"/>
  <c r="I204" i="14"/>
  <c r="F204" i="14"/>
  <c r="D204" i="14"/>
  <c r="C204" i="14"/>
  <c r="A204" i="14"/>
  <c r="N203" i="14"/>
  <c r="M203" i="14"/>
  <c r="J203" i="14"/>
  <c r="I203" i="14"/>
  <c r="F203" i="14"/>
  <c r="D203" i="14"/>
  <c r="C203" i="14"/>
  <c r="A203" i="14"/>
  <c r="N202" i="14"/>
  <c r="M202" i="14"/>
  <c r="J202" i="14"/>
  <c r="I202" i="14"/>
  <c r="F202" i="14"/>
  <c r="D202" i="14"/>
  <c r="C202" i="14"/>
  <c r="A202" i="14"/>
  <c r="N201" i="14"/>
  <c r="M201" i="14"/>
  <c r="J201" i="14"/>
  <c r="I201" i="14"/>
  <c r="F201" i="14"/>
  <c r="D201" i="14"/>
  <c r="C201" i="14"/>
  <c r="A201" i="14"/>
  <c r="N200" i="14"/>
  <c r="M200" i="14"/>
  <c r="J200" i="14"/>
  <c r="I200" i="14"/>
  <c r="F200" i="14"/>
  <c r="D200" i="14"/>
  <c r="C200" i="14"/>
  <c r="A200" i="14"/>
  <c r="N199" i="14"/>
  <c r="M199" i="14"/>
  <c r="J199" i="14"/>
  <c r="I199" i="14"/>
  <c r="F199" i="14"/>
  <c r="D199" i="14"/>
  <c r="C199" i="14"/>
  <c r="A199" i="14"/>
  <c r="N198" i="14"/>
  <c r="M198" i="14"/>
  <c r="J198" i="14"/>
  <c r="I198" i="14"/>
  <c r="F198" i="14"/>
  <c r="D198" i="14"/>
  <c r="C198" i="14"/>
  <c r="A198" i="14"/>
  <c r="N197" i="14"/>
  <c r="M197" i="14"/>
  <c r="J197" i="14"/>
  <c r="I197" i="14"/>
  <c r="F197" i="14"/>
  <c r="D197" i="14"/>
  <c r="C197" i="14"/>
  <c r="A197" i="14"/>
  <c r="N196" i="14"/>
  <c r="M196" i="14"/>
  <c r="J196" i="14"/>
  <c r="I196" i="14"/>
  <c r="F196" i="14"/>
  <c r="D196" i="14"/>
  <c r="C196" i="14"/>
  <c r="A196" i="14"/>
  <c r="N195" i="14"/>
  <c r="M195" i="14"/>
  <c r="J195" i="14"/>
  <c r="I195" i="14"/>
  <c r="F195" i="14"/>
  <c r="D195" i="14"/>
  <c r="C195" i="14"/>
  <c r="A195" i="14"/>
  <c r="N194" i="14"/>
  <c r="M194" i="14"/>
  <c r="J194" i="14"/>
  <c r="I194" i="14"/>
  <c r="F194" i="14"/>
  <c r="D194" i="14"/>
  <c r="C194" i="14"/>
  <c r="A194" i="14"/>
  <c r="N193" i="14"/>
  <c r="M193" i="14"/>
  <c r="J193" i="14"/>
  <c r="I193" i="14"/>
  <c r="F193" i="14"/>
  <c r="D193" i="14"/>
  <c r="C193" i="14"/>
  <c r="A193" i="14"/>
  <c r="N192" i="14"/>
  <c r="M192" i="14"/>
  <c r="J192" i="14"/>
  <c r="I192" i="14"/>
  <c r="F192" i="14"/>
  <c r="D192" i="14"/>
  <c r="C192" i="14"/>
  <c r="A192" i="14"/>
  <c r="N191" i="14"/>
  <c r="M191" i="14"/>
  <c r="J191" i="14"/>
  <c r="I191" i="14"/>
  <c r="F191" i="14"/>
  <c r="D191" i="14"/>
  <c r="C191" i="14"/>
  <c r="A191" i="14"/>
  <c r="N190" i="14"/>
  <c r="M190" i="14"/>
  <c r="J190" i="14"/>
  <c r="I190" i="14"/>
  <c r="F190" i="14"/>
  <c r="D190" i="14"/>
  <c r="C190" i="14"/>
  <c r="A190" i="14"/>
  <c r="N189" i="14"/>
  <c r="M189" i="14"/>
  <c r="J189" i="14"/>
  <c r="I189" i="14"/>
  <c r="F189" i="14"/>
  <c r="D189" i="14"/>
  <c r="C189" i="14"/>
  <c r="A189" i="14"/>
  <c r="N188" i="14"/>
  <c r="M188" i="14"/>
  <c r="J188" i="14"/>
  <c r="I188" i="14"/>
  <c r="F188" i="14"/>
  <c r="D188" i="14"/>
  <c r="C188" i="14"/>
  <c r="A188" i="14"/>
  <c r="N187" i="14"/>
  <c r="M187" i="14"/>
  <c r="J187" i="14"/>
  <c r="I187" i="14"/>
  <c r="F187" i="14"/>
  <c r="D187" i="14"/>
  <c r="C187" i="14"/>
  <c r="A187" i="14"/>
  <c r="N186" i="14"/>
  <c r="M186" i="14"/>
  <c r="J186" i="14"/>
  <c r="I186" i="14"/>
  <c r="F186" i="14"/>
  <c r="D186" i="14"/>
  <c r="C186" i="14"/>
  <c r="A186" i="14"/>
  <c r="N185" i="14"/>
  <c r="M185" i="14"/>
  <c r="J185" i="14"/>
  <c r="I185" i="14"/>
  <c r="F185" i="14"/>
  <c r="D185" i="14"/>
  <c r="C185" i="14"/>
  <c r="A185" i="14"/>
  <c r="N184" i="14"/>
  <c r="M184" i="14"/>
  <c r="J184" i="14"/>
  <c r="I184" i="14"/>
  <c r="F184" i="14"/>
  <c r="D184" i="14"/>
  <c r="C184" i="14"/>
  <c r="A184" i="14"/>
  <c r="N183" i="14"/>
  <c r="M183" i="14"/>
  <c r="J183" i="14"/>
  <c r="I183" i="14"/>
  <c r="F183" i="14"/>
  <c r="D183" i="14"/>
  <c r="C183" i="14"/>
  <c r="A183" i="14"/>
  <c r="N182" i="14"/>
  <c r="M182" i="14"/>
  <c r="J182" i="14"/>
  <c r="I182" i="14"/>
  <c r="F182" i="14"/>
  <c r="D182" i="14"/>
  <c r="C182" i="14"/>
  <c r="A182" i="14"/>
  <c r="N181" i="14"/>
  <c r="M181" i="14"/>
  <c r="J181" i="14"/>
  <c r="I181" i="14"/>
  <c r="F181" i="14"/>
  <c r="D181" i="14"/>
  <c r="C181" i="14"/>
  <c r="A181" i="14"/>
  <c r="N180" i="14"/>
  <c r="M180" i="14"/>
  <c r="J180" i="14"/>
  <c r="I180" i="14"/>
  <c r="F180" i="14"/>
  <c r="D180" i="14"/>
  <c r="C180" i="14"/>
  <c r="A180" i="14"/>
  <c r="N179" i="14"/>
  <c r="M179" i="14"/>
  <c r="J179" i="14"/>
  <c r="I179" i="14"/>
  <c r="F179" i="14"/>
  <c r="D179" i="14"/>
  <c r="C179" i="14"/>
  <c r="A179" i="14"/>
  <c r="N178" i="14"/>
  <c r="M178" i="14"/>
  <c r="J178" i="14"/>
  <c r="I178" i="14"/>
  <c r="F178" i="14"/>
  <c r="D178" i="14"/>
  <c r="C178" i="14"/>
  <c r="A178" i="14"/>
  <c r="N177" i="14"/>
  <c r="M177" i="14"/>
  <c r="J177" i="14"/>
  <c r="I177" i="14"/>
  <c r="F177" i="14"/>
  <c r="D177" i="14"/>
  <c r="C177" i="14"/>
  <c r="A177" i="14"/>
  <c r="N176" i="14"/>
  <c r="M176" i="14"/>
  <c r="J176" i="14"/>
  <c r="I176" i="14"/>
  <c r="F176" i="14"/>
  <c r="D176" i="14"/>
  <c r="C176" i="14"/>
  <c r="A176" i="14"/>
  <c r="N175" i="14"/>
  <c r="M175" i="14"/>
  <c r="J175" i="14"/>
  <c r="I175" i="14"/>
  <c r="F175" i="14"/>
  <c r="D175" i="14"/>
  <c r="C175" i="14"/>
  <c r="A175" i="14"/>
  <c r="N174" i="14"/>
  <c r="M174" i="14"/>
  <c r="J174" i="14"/>
  <c r="I174" i="14"/>
  <c r="F174" i="14"/>
  <c r="D174" i="14"/>
  <c r="C174" i="14"/>
  <c r="A174" i="14"/>
  <c r="N173" i="14"/>
  <c r="M173" i="14"/>
  <c r="J173" i="14"/>
  <c r="I173" i="14"/>
  <c r="F173" i="14"/>
  <c r="D173" i="14"/>
  <c r="C173" i="14"/>
  <c r="A173" i="14"/>
  <c r="N172" i="14"/>
  <c r="M172" i="14"/>
  <c r="J172" i="14"/>
  <c r="I172" i="14"/>
  <c r="F172" i="14"/>
  <c r="D172" i="14"/>
  <c r="C172" i="14"/>
  <c r="A172" i="14"/>
  <c r="N171" i="14"/>
  <c r="M171" i="14"/>
  <c r="J171" i="14"/>
  <c r="I171" i="14"/>
  <c r="F171" i="14"/>
  <c r="D171" i="14"/>
  <c r="C171" i="14"/>
  <c r="A171" i="14"/>
  <c r="N170" i="14"/>
  <c r="M170" i="14"/>
  <c r="J170" i="14"/>
  <c r="I170" i="14"/>
  <c r="F170" i="14"/>
  <c r="D170" i="14"/>
  <c r="C170" i="14"/>
  <c r="A170" i="14"/>
  <c r="N169" i="14"/>
  <c r="M169" i="14"/>
  <c r="J169" i="14"/>
  <c r="I169" i="14"/>
  <c r="F169" i="14"/>
  <c r="D169" i="14"/>
  <c r="C169" i="14"/>
  <c r="A169" i="14"/>
  <c r="N168" i="14"/>
  <c r="M168" i="14"/>
  <c r="J168" i="14"/>
  <c r="I168" i="14"/>
  <c r="F168" i="14"/>
  <c r="D168" i="14"/>
  <c r="C168" i="14"/>
  <c r="A168" i="14"/>
  <c r="N167" i="14"/>
  <c r="M167" i="14"/>
  <c r="J167" i="14"/>
  <c r="I167" i="14"/>
  <c r="F167" i="14"/>
  <c r="D167" i="14"/>
  <c r="C167" i="14"/>
  <c r="A167" i="14"/>
  <c r="N166" i="14"/>
  <c r="M166" i="14"/>
  <c r="J166" i="14"/>
  <c r="I166" i="14"/>
  <c r="F166" i="14"/>
  <c r="D166" i="14"/>
  <c r="C166" i="14"/>
  <c r="A166" i="14"/>
  <c r="N165" i="14"/>
  <c r="M165" i="14"/>
  <c r="J165" i="14"/>
  <c r="I165" i="14"/>
  <c r="F165" i="14"/>
  <c r="D165" i="14"/>
  <c r="C165" i="14"/>
  <c r="A165" i="14"/>
  <c r="N164" i="14"/>
  <c r="M164" i="14"/>
  <c r="J164" i="14"/>
  <c r="I164" i="14"/>
  <c r="F164" i="14"/>
  <c r="D164" i="14"/>
  <c r="C164" i="14"/>
  <c r="A164" i="14"/>
  <c r="N163" i="14"/>
  <c r="M163" i="14"/>
  <c r="J163" i="14"/>
  <c r="I163" i="14"/>
  <c r="F163" i="14"/>
  <c r="D163" i="14"/>
  <c r="C163" i="14"/>
  <c r="A163" i="14"/>
  <c r="N162" i="14"/>
  <c r="M162" i="14"/>
  <c r="J162" i="14"/>
  <c r="I162" i="14"/>
  <c r="F162" i="14"/>
  <c r="D162" i="14"/>
  <c r="C162" i="14"/>
  <c r="A162" i="14"/>
  <c r="N161" i="14"/>
  <c r="M161" i="14"/>
  <c r="J161" i="14"/>
  <c r="I161" i="14"/>
  <c r="F161" i="14"/>
  <c r="D161" i="14"/>
  <c r="C161" i="14"/>
  <c r="A161" i="14"/>
  <c r="N160" i="14"/>
  <c r="M160" i="14"/>
  <c r="J160" i="14"/>
  <c r="I160" i="14"/>
  <c r="F160" i="14"/>
  <c r="D160" i="14"/>
  <c r="C160" i="14"/>
  <c r="A160" i="14"/>
  <c r="N159" i="14"/>
  <c r="M159" i="14"/>
  <c r="J159" i="14"/>
  <c r="I159" i="14"/>
  <c r="F159" i="14"/>
  <c r="D159" i="14"/>
  <c r="C159" i="14"/>
  <c r="A159" i="14"/>
  <c r="N158" i="14"/>
  <c r="M158" i="14"/>
  <c r="J158" i="14"/>
  <c r="I158" i="14"/>
  <c r="F158" i="14"/>
  <c r="D158" i="14"/>
  <c r="C158" i="14"/>
  <c r="A158" i="14"/>
  <c r="N157" i="14"/>
  <c r="M157" i="14"/>
  <c r="J157" i="14"/>
  <c r="I157" i="14"/>
  <c r="F157" i="14"/>
  <c r="D157" i="14"/>
  <c r="C157" i="14"/>
  <c r="A157" i="14"/>
  <c r="N156" i="14"/>
  <c r="M156" i="14"/>
  <c r="J156" i="14"/>
  <c r="I156" i="14"/>
  <c r="F156" i="14"/>
  <c r="D156" i="14"/>
  <c r="C156" i="14"/>
  <c r="A156" i="14"/>
  <c r="N155" i="14"/>
  <c r="M155" i="14"/>
  <c r="J155" i="14"/>
  <c r="I155" i="14"/>
  <c r="F155" i="14"/>
  <c r="D155" i="14"/>
  <c r="C155" i="14"/>
  <c r="A155" i="14"/>
  <c r="N154" i="14"/>
  <c r="M154" i="14"/>
  <c r="J154" i="14"/>
  <c r="I154" i="14"/>
  <c r="F154" i="14"/>
  <c r="D154" i="14"/>
  <c r="C154" i="14"/>
  <c r="A154" i="14"/>
  <c r="N153" i="14"/>
  <c r="M153" i="14"/>
  <c r="J153" i="14"/>
  <c r="I153" i="14"/>
  <c r="F153" i="14"/>
  <c r="D153" i="14"/>
  <c r="C153" i="14"/>
  <c r="A153" i="14"/>
  <c r="N152" i="14"/>
  <c r="M152" i="14"/>
  <c r="J152" i="14"/>
  <c r="I152" i="14"/>
  <c r="F152" i="14"/>
  <c r="D152" i="14"/>
  <c r="C152" i="14"/>
  <c r="A152" i="14"/>
  <c r="N151" i="14"/>
  <c r="M151" i="14"/>
  <c r="J151" i="14"/>
  <c r="I151" i="14"/>
  <c r="F151" i="14"/>
  <c r="D151" i="14"/>
  <c r="C151" i="14"/>
  <c r="A151" i="14"/>
  <c r="N150" i="14"/>
  <c r="M150" i="14"/>
  <c r="J150" i="14"/>
  <c r="I150" i="14"/>
  <c r="F150" i="14"/>
  <c r="D150" i="14"/>
  <c r="C150" i="14"/>
  <c r="A150" i="14"/>
  <c r="N149" i="14"/>
  <c r="M149" i="14"/>
  <c r="J149" i="14"/>
  <c r="I149" i="14"/>
  <c r="F149" i="14"/>
  <c r="D149" i="14"/>
  <c r="C149" i="14"/>
  <c r="A149" i="14"/>
  <c r="N148" i="14"/>
  <c r="M148" i="14"/>
  <c r="J148" i="14"/>
  <c r="I148" i="14"/>
  <c r="F148" i="14"/>
  <c r="D148" i="14"/>
  <c r="C148" i="14"/>
  <c r="A148" i="14"/>
  <c r="N147" i="14"/>
  <c r="M147" i="14"/>
  <c r="J147" i="14"/>
  <c r="I147" i="14"/>
  <c r="F147" i="14"/>
  <c r="D147" i="14"/>
  <c r="C147" i="14"/>
  <c r="A147" i="14"/>
  <c r="N146" i="14"/>
  <c r="M146" i="14"/>
  <c r="J146" i="14"/>
  <c r="I146" i="14"/>
  <c r="F146" i="14"/>
  <c r="D146" i="14"/>
  <c r="C146" i="14"/>
  <c r="A146" i="14"/>
  <c r="N145" i="14"/>
  <c r="M145" i="14"/>
  <c r="J145" i="14"/>
  <c r="I145" i="14"/>
  <c r="F145" i="14"/>
  <c r="D145" i="14"/>
  <c r="C145" i="14"/>
  <c r="A145" i="14"/>
  <c r="N144" i="14"/>
  <c r="M144" i="14"/>
  <c r="J144" i="14"/>
  <c r="I144" i="14"/>
  <c r="F144" i="14"/>
  <c r="D144" i="14"/>
  <c r="C144" i="14"/>
  <c r="A144" i="14"/>
  <c r="N143" i="14"/>
  <c r="M143" i="14"/>
  <c r="J143" i="14"/>
  <c r="I143" i="14"/>
  <c r="F143" i="14"/>
  <c r="D143" i="14"/>
  <c r="C143" i="14"/>
  <c r="A143" i="14"/>
  <c r="N142" i="14"/>
  <c r="M142" i="14"/>
  <c r="J142" i="14"/>
  <c r="I142" i="14"/>
  <c r="F142" i="14"/>
  <c r="D142" i="14"/>
  <c r="C142" i="14"/>
  <c r="A142" i="14"/>
  <c r="N141" i="14"/>
  <c r="M141" i="14"/>
  <c r="J141" i="14"/>
  <c r="I141" i="14"/>
  <c r="F141" i="14"/>
  <c r="D141" i="14"/>
  <c r="C141" i="14"/>
  <c r="A141" i="14"/>
  <c r="N140" i="14"/>
  <c r="M140" i="14"/>
  <c r="J140" i="14"/>
  <c r="I140" i="14"/>
  <c r="F140" i="14"/>
  <c r="D140" i="14"/>
  <c r="C140" i="14"/>
  <c r="A140" i="14"/>
  <c r="N139" i="14"/>
  <c r="M139" i="14"/>
  <c r="J139" i="14"/>
  <c r="I139" i="14"/>
  <c r="F139" i="14"/>
  <c r="D139" i="14"/>
  <c r="C139" i="14"/>
  <c r="A139" i="14"/>
  <c r="N138" i="14"/>
  <c r="M138" i="14"/>
  <c r="J138" i="14"/>
  <c r="I138" i="14"/>
  <c r="F138" i="14"/>
  <c r="D138" i="14"/>
  <c r="C138" i="14"/>
  <c r="A138" i="14"/>
  <c r="N137" i="14"/>
  <c r="M137" i="14"/>
  <c r="J137" i="14"/>
  <c r="I137" i="14"/>
  <c r="F137" i="14"/>
  <c r="D137" i="14"/>
  <c r="C137" i="14"/>
  <c r="A137" i="14"/>
  <c r="N136" i="14"/>
  <c r="M136" i="14"/>
  <c r="J136" i="14"/>
  <c r="I136" i="14"/>
  <c r="F136" i="14"/>
  <c r="D136" i="14"/>
  <c r="C136" i="14"/>
  <c r="A136" i="14"/>
  <c r="N135" i="14"/>
  <c r="M135" i="14"/>
  <c r="J135" i="14"/>
  <c r="I135" i="14"/>
  <c r="F135" i="14"/>
  <c r="D135" i="14"/>
  <c r="C135" i="14"/>
  <c r="A135" i="14"/>
  <c r="N134" i="14"/>
  <c r="M134" i="14"/>
  <c r="J134" i="14"/>
  <c r="I134" i="14"/>
  <c r="F134" i="14"/>
  <c r="D134" i="14"/>
  <c r="C134" i="14"/>
  <c r="A134" i="14"/>
  <c r="N133" i="14"/>
  <c r="M133" i="14"/>
  <c r="J133" i="14"/>
  <c r="I133" i="14"/>
  <c r="F133" i="14"/>
  <c r="D133" i="14"/>
  <c r="C133" i="14"/>
  <c r="A133" i="14"/>
  <c r="N132" i="14"/>
  <c r="M132" i="14"/>
  <c r="J132" i="14"/>
  <c r="I132" i="14"/>
  <c r="F132" i="14"/>
  <c r="D132" i="14"/>
  <c r="C132" i="14"/>
  <c r="A132" i="14"/>
  <c r="N131" i="14"/>
  <c r="M131" i="14"/>
  <c r="J131" i="14"/>
  <c r="I131" i="14"/>
  <c r="F131" i="14"/>
  <c r="D131" i="14"/>
  <c r="C131" i="14"/>
  <c r="A131" i="14"/>
  <c r="N130" i="14"/>
  <c r="M130" i="14"/>
  <c r="J130" i="14"/>
  <c r="I130" i="14"/>
  <c r="F130" i="14"/>
  <c r="D130" i="14"/>
  <c r="C130" i="14"/>
  <c r="A130" i="14"/>
  <c r="N129" i="14"/>
  <c r="M129" i="14"/>
  <c r="J129" i="14"/>
  <c r="I129" i="14"/>
  <c r="F129" i="14"/>
  <c r="D129" i="14"/>
  <c r="C129" i="14"/>
  <c r="A129" i="14"/>
  <c r="N128" i="14"/>
  <c r="M128" i="14"/>
  <c r="J128" i="14"/>
  <c r="I128" i="14"/>
  <c r="F128" i="14"/>
  <c r="D128" i="14"/>
  <c r="C128" i="14"/>
  <c r="A128" i="14"/>
  <c r="N127" i="14"/>
  <c r="M127" i="14"/>
  <c r="J127" i="14"/>
  <c r="I127" i="14"/>
  <c r="F127" i="14"/>
  <c r="D127" i="14"/>
  <c r="C127" i="14"/>
  <c r="A127" i="14"/>
  <c r="N126" i="14"/>
  <c r="M126" i="14"/>
  <c r="J126" i="14"/>
  <c r="I126" i="14"/>
  <c r="F126" i="14"/>
  <c r="D126" i="14"/>
  <c r="C126" i="14"/>
  <c r="A126" i="14"/>
  <c r="N125" i="14"/>
  <c r="M125" i="14"/>
  <c r="J125" i="14"/>
  <c r="I125" i="14"/>
  <c r="F125" i="14"/>
  <c r="D125" i="14"/>
  <c r="C125" i="14"/>
  <c r="A125" i="14"/>
  <c r="N124" i="14"/>
  <c r="M124" i="14"/>
  <c r="J124" i="14"/>
  <c r="I124" i="14"/>
  <c r="F124" i="14"/>
  <c r="D124" i="14"/>
  <c r="C124" i="14"/>
  <c r="A124" i="14"/>
  <c r="N123" i="14"/>
  <c r="M123" i="14"/>
  <c r="J123" i="14"/>
  <c r="I123" i="14"/>
  <c r="F123" i="14"/>
  <c r="D123" i="14"/>
  <c r="C123" i="14"/>
  <c r="A123" i="14"/>
  <c r="N122" i="14"/>
  <c r="M122" i="14"/>
  <c r="J122" i="14"/>
  <c r="I122" i="14"/>
  <c r="F122" i="14"/>
  <c r="D122" i="14"/>
  <c r="C122" i="14"/>
  <c r="A122" i="14"/>
  <c r="N121" i="14"/>
  <c r="M121" i="14"/>
  <c r="J121" i="14"/>
  <c r="I121" i="14"/>
  <c r="F121" i="14"/>
  <c r="D121" i="14"/>
  <c r="C121" i="14"/>
  <c r="A121" i="14"/>
  <c r="N120" i="14"/>
  <c r="M120" i="14"/>
  <c r="J120" i="14"/>
  <c r="I120" i="14"/>
  <c r="F120" i="14"/>
  <c r="D120" i="14"/>
  <c r="C120" i="14"/>
  <c r="A120" i="14"/>
  <c r="N119" i="14"/>
  <c r="M119" i="14"/>
  <c r="J119" i="14"/>
  <c r="I119" i="14"/>
  <c r="F119" i="14"/>
  <c r="D119" i="14"/>
  <c r="C119" i="14"/>
  <c r="A119" i="14"/>
  <c r="N118" i="14"/>
  <c r="M118" i="14"/>
  <c r="J118" i="14"/>
  <c r="I118" i="14"/>
  <c r="F118" i="14"/>
  <c r="D118" i="14"/>
  <c r="C118" i="14"/>
  <c r="A118" i="14"/>
  <c r="N117" i="14"/>
  <c r="M117" i="14"/>
  <c r="J117" i="14"/>
  <c r="I117" i="14"/>
  <c r="F117" i="14"/>
  <c r="D117" i="14"/>
  <c r="C117" i="14"/>
  <c r="A117" i="14"/>
  <c r="N116" i="14"/>
  <c r="M116" i="14"/>
  <c r="J116" i="14"/>
  <c r="I116" i="14"/>
  <c r="F116" i="14"/>
  <c r="D116" i="14"/>
  <c r="C116" i="14"/>
  <c r="A116" i="14"/>
  <c r="N115" i="14"/>
  <c r="M115" i="14"/>
  <c r="J115" i="14"/>
  <c r="I115" i="14"/>
  <c r="F115" i="14"/>
  <c r="D115" i="14"/>
  <c r="C115" i="14"/>
  <c r="A115" i="14"/>
  <c r="N114" i="14"/>
  <c r="M114" i="14"/>
  <c r="J114" i="14"/>
  <c r="I114" i="14"/>
  <c r="F114" i="14"/>
  <c r="D114" i="14"/>
  <c r="C114" i="14"/>
  <c r="A114" i="14"/>
  <c r="N113" i="14"/>
  <c r="M113" i="14"/>
  <c r="J113" i="14"/>
  <c r="I113" i="14"/>
  <c r="F113" i="14"/>
  <c r="D113" i="14"/>
  <c r="C113" i="14"/>
  <c r="A113" i="14"/>
  <c r="N112" i="14"/>
  <c r="M112" i="14"/>
  <c r="J112" i="14"/>
  <c r="I112" i="14"/>
  <c r="F112" i="14"/>
  <c r="D112" i="14"/>
  <c r="C112" i="14"/>
  <c r="A112" i="14"/>
  <c r="N111" i="14"/>
  <c r="M111" i="14"/>
  <c r="J111" i="14"/>
  <c r="I111" i="14"/>
  <c r="F111" i="14"/>
  <c r="D111" i="14"/>
  <c r="C111" i="14"/>
  <c r="A111" i="14"/>
  <c r="N110" i="14"/>
  <c r="M110" i="14"/>
  <c r="J110" i="14"/>
  <c r="I110" i="14"/>
  <c r="F110" i="14"/>
  <c r="D110" i="14"/>
  <c r="C110" i="14"/>
  <c r="A110" i="14"/>
  <c r="N109" i="14"/>
  <c r="M109" i="14"/>
  <c r="J109" i="14"/>
  <c r="I109" i="14"/>
  <c r="F109" i="14"/>
  <c r="D109" i="14"/>
  <c r="C109" i="14"/>
  <c r="A109" i="14"/>
  <c r="N108" i="14"/>
  <c r="M108" i="14"/>
  <c r="J108" i="14"/>
  <c r="I108" i="14"/>
  <c r="F108" i="14"/>
  <c r="D108" i="14"/>
  <c r="C108" i="14"/>
  <c r="A108" i="14"/>
  <c r="N107" i="14"/>
  <c r="M107" i="14"/>
  <c r="J107" i="14"/>
  <c r="I107" i="14"/>
  <c r="F107" i="14"/>
  <c r="D107" i="14"/>
  <c r="C107" i="14"/>
  <c r="A107" i="14"/>
  <c r="N106" i="14"/>
  <c r="M106" i="14"/>
  <c r="J106" i="14"/>
  <c r="I106" i="14"/>
  <c r="F106" i="14"/>
  <c r="D106" i="14"/>
  <c r="C106" i="14"/>
  <c r="A106" i="14"/>
  <c r="N105" i="14"/>
  <c r="M105" i="14"/>
  <c r="J105" i="14"/>
  <c r="I105" i="14"/>
  <c r="F105" i="14"/>
  <c r="D105" i="14"/>
  <c r="C105" i="14"/>
  <c r="A105" i="14"/>
  <c r="N104" i="14"/>
  <c r="M104" i="14"/>
  <c r="J104" i="14"/>
  <c r="I104" i="14"/>
  <c r="F104" i="14"/>
  <c r="D104" i="14"/>
  <c r="C104" i="14"/>
  <c r="A104" i="14"/>
  <c r="N103" i="14"/>
  <c r="M103" i="14"/>
  <c r="J103" i="14"/>
  <c r="I103" i="14"/>
  <c r="F103" i="14"/>
  <c r="D103" i="14"/>
  <c r="C103" i="14"/>
  <c r="A103" i="14"/>
  <c r="N102" i="14"/>
  <c r="M102" i="14"/>
  <c r="J102" i="14"/>
  <c r="I102" i="14"/>
  <c r="F102" i="14"/>
  <c r="D102" i="14"/>
  <c r="C102" i="14"/>
  <c r="A102" i="14"/>
  <c r="N101" i="14"/>
  <c r="M101" i="14"/>
  <c r="J101" i="14"/>
  <c r="I101" i="14"/>
  <c r="F101" i="14"/>
  <c r="D101" i="14"/>
  <c r="C101" i="14"/>
  <c r="A101" i="14"/>
  <c r="N100" i="14"/>
  <c r="M100" i="14"/>
  <c r="J100" i="14"/>
  <c r="I100" i="14"/>
  <c r="F100" i="14"/>
  <c r="D100" i="14"/>
  <c r="C100" i="14"/>
  <c r="A100" i="14"/>
  <c r="N99" i="14"/>
  <c r="M99" i="14"/>
  <c r="J99" i="14"/>
  <c r="I99" i="14"/>
  <c r="F99" i="14"/>
  <c r="D99" i="14"/>
  <c r="C99" i="14"/>
  <c r="A99" i="14"/>
  <c r="N98" i="14"/>
  <c r="M98" i="14"/>
  <c r="J98" i="14"/>
  <c r="I98" i="14"/>
  <c r="F98" i="14"/>
  <c r="D98" i="14"/>
  <c r="C98" i="14"/>
  <c r="A98" i="14"/>
  <c r="N97" i="14"/>
  <c r="M97" i="14"/>
  <c r="J97" i="14"/>
  <c r="I97" i="14"/>
  <c r="F97" i="14"/>
  <c r="D97" i="14"/>
  <c r="C97" i="14"/>
  <c r="A97" i="14"/>
  <c r="N96" i="14"/>
  <c r="M96" i="14"/>
  <c r="J96" i="14"/>
  <c r="I96" i="14"/>
  <c r="F96" i="14"/>
  <c r="D96" i="14"/>
  <c r="C96" i="14"/>
  <c r="A96" i="14"/>
  <c r="N95" i="14"/>
  <c r="M95" i="14"/>
  <c r="J95" i="14"/>
  <c r="I95" i="14"/>
  <c r="F95" i="14"/>
  <c r="D95" i="14"/>
  <c r="C95" i="14"/>
  <c r="A95" i="14"/>
  <c r="N94" i="14"/>
  <c r="M94" i="14"/>
  <c r="J94" i="14"/>
  <c r="I94" i="14"/>
  <c r="F94" i="14"/>
  <c r="D94" i="14"/>
  <c r="C94" i="14"/>
  <c r="A94" i="14"/>
  <c r="N93" i="14"/>
  <c r="M93" i="14"/>
  <c r="J93" i="14"/>
  <c r="I93" i="14"/>
  <c r="F93" i="14"/>
  <c r="D93" i="14"/>
  <c r="C93" i="14"/>
  <c r="A93" i="14"/>
  <c r="N92" i="14"/>
  <c r="M92" i="14"/>
  <c r="J92" i="14"/>
  <c r="I92" i="14"/>
  <c r="F92" i="14"/>
  <c r="D92" i="14"/>
  <c r="C92" i="14"/>
  <c r="A92" i="14"/>
  <c r="N91" i="14"/>
  <c r="M91" i="14"/>
  <c r="J91" i="14"/>
  <c r="I91" i="14"/>
  <c r="F91" i="14"/>
  <c r="D91" i="14"/>
  <c r="C91" i="14"/>
  <c r="A91" i="14"/>
  <c r="N90" i="14"/>
  <c r="M90" i="14"/>
  <c r="J90" i="14"/>
  <c r="I90" i="14"/>
  <c r="F90" i="14"/>
  <c r="D90" i="14"/>
  <c r="C90" i="14"/>
  <c r="A90" i="14"/>
  <c r="N89" i="14"/>
  <c r="M89" i="14"/>
  <c r="J89" i="14"/>
  <c r="I89" i="14"/>
  <c r="F89" i="14"/>
  <c r="D89" i="14"/>
  <c r="C89" i="14"/>
  <c r="A89" i="14"/>
  <c r="N88" i="14"/>
  <c r="M88" i="14"/>
  <c r="J88" i="14"/>
  <c r="I88" i="14"/>
  <c r="F88" i="14"/>
  <c r="D88" i="14"/>
  <c r="C88" i="14"/>
  <c r="A88" i="14"/>
  <c r="N87" i="14"/>
  <c r="M87" i="14"/>
  <c r="J87" i="14"/>
  <c r="I87" i="14"/>
  <c r="F87" i="14"/>
  <c r="D87" i="14"/>
  <c r="C87" i="14"/>
  <c r="A87" i="14"/>
  <c r="N86" i="14"/>
  <c r="M86" i="14"/>
  <c r="J86" i="14"/>
  <c r="I86" i="14"/>
  <c r="F86" i="14"/>
  <c r="D86" i="14"/>
  <c r="C86" i="14"/>
  <c r="A86" i="14"/>
  <c r="N85" i="14"/>
  <c r="M85" i="14"/>
  <c r="J85" i="14"/>
  <c r="I85" i="14"/>
  <c r="F85" i="14"/>
  <c r="D85" i="14"/>
  <c r="C85" i="14"/>
  <c r="A85" i="14"/>
  <c r="N84" i="14"/>
  <c r="M84" i="14"/>
  <c r="J84" i="14"/>
  <c r="I84" i="14"/>
  <c r="F84" i="14"/>
  <c r="D84" i="14"/>
  <c r="C84" i="14"/>
  <c r="A84" i="14"/>
  <c r="N83" i="14"/>
  <c r="M83" i="14"/>
  <c r="J83" i="14"/>
  <c r="I83" i="14"/>
  <c r="F83" i="14"/>
  <c r="D83" i="14"/>
  <c r="C83" i="14"/>
  <c r="A83" i="14"/>
  <c r="N82" i="14"/>
  <c r="M82" i="14"/>
  <c r="J82" i="14"/>
  <c r="I82" i="14"/>
  <c r="F82" i="14"/>
  <c r="D82" i="14"/>
  <c r="C82" i="14"/>
  <c r="A82" i="14"/>
  <c r="N81" i="14"/>
  <c r="M81" i="14"/>
  <c r="J81" i="14"/>
  <c r="I81" i="14"/>
  <c r="F81" i="14"/>
  <c r="D81" i="14"/>
  <c r="C81" i="14"/>
  <c r="A81" i="14"/>
  <c r="N80" i="14"/>
  <c r="M80" i="14"/>
  <c r="J80" i="14"/>
  <c r="I80" i="14"/>
  <c r="F80" i="14"/>
  <c r="D80" i="14"/>
  <c r="C80" i="14"/>
  <c r="A80" i="14"/>
  <c r="N79" i="14"/>
  <c r="M79" i="14"/>
  <c r="J79" i="14"/>
  <c r="I79" i="14"/>
  <c r="F79" i="14"/>
  <c r="D79" i="14"/>
  <c r="C79" i="14"/>
  <c r="A79" i="14"/>
  <c r="N78" i="14"/>
  <c r="M78" i="14"/>
  <c r="J78" i="14"/>
  <c r="I78" i="14"/>
  <c r="F78" i="14"/>
  <c r="D78" i="14"/>
  <c r="C78" i="14"/>
  <c r="A78" i="14"/>
  <c r="N77" i="14"/>
  <c r="M77" i="14"/>
  <c r="J77" i="14"/>
  <c r="I77" i="14"/>
  <c r="F77" i="14"/>
  <c r="D77" i="14"/>
  <c r="C77" i="14"/>
  <c r="A77" i="14"/>
  <c r="N76" i="14"/>
  <c r="M76" i="14"/>
  <c r="J76" i="14"/>
  <c r="I76" i="14"/>
  <c r="F76" i="14"/>
  <c r="D76" i="14"/>
  <c r="C76" i="14"/>
  <c r="A76" i="14"/>
  <c r="N75" i="14"/>
  <c r="M75" i="14"/>
  <c r="J75" i="14"/>
  <c r="I75" i="14"/>
  <c r="F75" i="14"/>
  <c r="D75" i="14"/>
  <c r="C75" i="14"/>
  <c r="A75" i="14"/>
  <c r="N74" i="14"/>
  <c r="M74" i="14"/>
  <c r="J74" i="14"/>
  <c r="I74" i="14"/>
  <c r="F74" i="14"/>
  <c r="D74" i="14"/>
  <c r="C74" i="14"/>
  <c r="A74" i="14"/>
  <c r="N73" i="14"/>
  <c r="M73" i="14"/>
  <c r="J73" i="14"/>
  <c r="I73" i="14"/>
  <c r="F73" i="14"/>
  <c r="D73" i="14"/>
  <c r="C73" i="14"/>
  <c r="A73" i="14"/>
  <c r="N72" i="14"/>
  <c r="M72" i="14"/>
  <c r="J72" i="14"/>
  <c r="I72" i="14"/>
  <c r="F72" i="14"/>
  <c r="D72" i="14"/>
  <c r="C72" i="14"/>
  <c r="A72" i="14"/>
  <c r="N71" i="14"/>
  <c r="M71" i="14"/>
  <c r="J71" i="14"/>
  <c r="I71" i="14"/>
  <c r="F71" i="14"/>
  <c r="D71" i="14"/>
  <c r="C71" i="14"/>
  <c r="A71" i="14"/>
  <c r="N70" i="14"/>
  <c r="M70" i="14"/>
  <c r="J70" i="14"/>
  <c r="I70" i="14"/>
  <c r="F70" i="14"/>
  <c r="D70" i="14"/>
  <c r="C70" i="14"/>
  <c r="A70" i="14"/>
  <c r="N69" i="14"/>
  <c r="M69" i="14"/>
  <c r="J69" i="14"/>
  <c r="I69" i="14"/>
  <c r="F69" i="14"/>
  <c r="D69" i="14"/>
  <c r="C69" i="14"/>
  <c r="A69" i="14"/>
  <c r="N68" i="14"/>
  <c r="M68" i="14"/>
  <c r="J68" i="14"/>
  <c r="I68" i="14"/>
  <c r="F68" i="14"/>
  <c r="D68" i="14"/>
  <c r="C68" i="14"/>
  <c r="A68" i="14"/>
  <c r="N67" i="14"/>
  <c r="M67" i="14"/>
  <c r="J67" i="14"/>
  <c r="I67" i="14"/>
  <c r="F67" i="14"/>
  <c r="D67" i="14"/>
  <c r="C67" i="14"/>
  <c r="A67" i="14"/>
  <c r="N66" i="14"/>
  <c r="M66" i="14"/>
  <c r="J66" i="14"/>
  <c r="I66" i="14"/>
  <c r="F66" i="14"/>
  <c r="D66" i="14"/>
  <c r="C66" i="14"/>
  <c r="A66" i="14"/>
  <c r="N65" i="14"/>
  <c r="M65" i="14"/>
  <c r="J65" i="14"/>
  <c r="I65" i="14"/>
  <c r="F65" i="14"/>
  <c r="D65" i="14"/>
  <c r="C65" i="14"/>
  <c r="A65" i="14"/>
  <c r="N64" i="14"/>
  <c r="M64" i="14"/>
  <c r="J64" i="14"/>
  <c r="I64" i="14"/>
  <c r="F64" i="14"/>
  <c r="D64" i="14"/>
  <c r="C64" i="14"/>
  <c r="A64" i="14"/>
  <c r="N63" i="14"/>
  <c r="M63" i="14"/>
  <c r="J63" i="14"/>
  <c r="I63" i="14"/>
  <c r="F63" i="14"/>
  <c r="D63" i="14"/>
  <c r="C63" i="14"/>
  <c r="A63" i="14"/>
  <c r="N62" i="14"/>
  <c r="M62" i="14"/>
  <c r="J62" i="14"/>
  <c r="I62" i="14"/>
  <c r="F62" i="14"/>
  <c r="D62" i="14"/>
  <c r="C62" i="14"/>
  <c r="A62" i="14"/>
  <c r="N61" i="14"/>
  <c r="M61" i="14"/>
  <c r="J61" i="14"/>
  <c r="I61" i="14"/>
  <c r="F61" i="14"/>
  <c r="D61" i="14"/>
  <c r="C61" i="14"/>
  <c r="A61" i="14"/>
  <c r="N60" i="14"/>
  <c r="M60" i="14"/>
  <c r="J60" i="14"/>
  <c r="I60" i="14"/>
  <c r="F60" i="14"/>
  <c r="D60" i="14"/>
  <c r="C60" i="14"/>
  <c r="A60" i="14"/>
  <c r="N59" i="14"/>
  <c r="M59" i="14"/>
  <c r="J59" i="14"/>
  <c r="I59" i="14"/>
  <c r="F59" i="14"/>
  <c r="D59" i="14"/>
  <c r="C59" i="14"/>
  <c r="A59" i="14"/>
  <c r="N58" i="14"/>
  <c r="M58" i="14"/>
  <c r="J58" i="14"/>
  <c r="I58" i="14"/>
  <c r="F58" i="14"/>
  <c r="D58" i="14"/>
  <c r="C58" i="14"/>
  <c r="A58" i="14"/>
  <c r="N57" i="14"/>
  <c r="M57" i="14"/>
  <c r="J57" i="14"/>
  <c r="I57" i="14"/>
  <c r="F57" i="14"/>
  <c r="D57" i="14"/>
  <c r="C57" i="14"/>
  <c r="A57" i="14"/>
  <c r="N56" i="14"/>
  <c r="M56" i="14"/>
  <c r="J56" i="14"/>
  <c r="I56" i="14"/>
  <c r="F56" i="14"/>
  <c r="D56" i="14"/>
  <c r="C56" i="14"/>
  <c r="A56" i="14"/>
  <c r="N55" i="14"/>
  <c r="M55" i="14"/>
  <c r="J55" i="14"/>
  <c r="I55" i="14"/>
  <c r="F55" i="14"/>
  <c r="D55" i="14"/>
  <c r="C55" i="14"/>
  <c r="A55" i="14"/>
  <c r="N54" i="14"/>
  <c r="M54" i="14"/>
  <c r="J54" i="14"/>
  <c r="I54" i="14"/>
  <c r="F54" i="14"/>
  <c r="D54" i="14"/>
  <c r="C54" i="14"/>
  <c r="A54" i="14"/>
  <c r="N53" i="14"/>
  <c r="M53" i="14"/>
  <c r="J53" i="14"/>
  <c r="I53" i="14"/>
  <c r="F53" i="14"/>
  <c r="D53" i="14"/>
  <c r="C53" i="14"/>
  <c r="A53" i="14"/>
  <c r="N52" i="14"/>
  <c r="M52" i="14"/>
  <c r="J52" i="14"/>
  <c r="I52" i="14"/>
  <c r="F52" i="14"/>
  <c r="D52" i="14"/>
  <c r="C52" i="14"/>
  <c r="A52" i="14"/>
  <c r="N51" i="14"/>
  <c r="M51" i="14"/>
  <c r="J51" i="14"/>
  <c r="I51" i="14"/>
  <c r="F51" i="14"/>
  <c r="D51" i="14"/>
  <c r="C51" i="14"/>
  <c r="A51" i="14"/>
  <c r="N50" i="14"/>
  <c r="M50" i="14"/>
  <c r="J50" i="14"/>
  <c r="I50" i="14"/>
  <c r="F50" i="14"/>
  <c r="D50" i="14"/>
  <c r="C50" i="14"/>
  <c r="A50" i="14"/>
  <c r="N49" i="14"/>
  <c r="M49" i="14"/>
  <c r="J49" i="14"/>
  <c r="I49" i="14"/>
  <c r="F49" i="14"/>
  <c r="D49" i="14"/>
  <c r="C49" i="14"/>
  <c r="A49" i="14"/>
  <c r="N48" i="14"/>
  <c r="M48" i="14"/>
  <c r="J48" i="14"/>
  <c r="I48" i="14"/>
  <c r="F48" i="14"/>
  <c r="D48" i="14"/>
  <c r="C48" i="14"/>
  <c r="A48" i="14"/>
  <c r="N47" i="14"/>
  <c r="M47" i="14"/>
  <c r="J47" i="14"/>
  <c r="I47" i="14"/>
  <c r="F47" i="14"/>
  <c r="D47" i="14"/>
  <c r="C47" i="14"/>
  <c r="A47" i="14"/>
  <c r="N46" i="14"/>
  <c r="M46" i="14"/>
  <c r="J46" i="14"/>
  <c r="I46" i="14"/>
  <c r="F46" i="14"/>
  <c r="D46" i="14"/>
  <c r="C46" i="14"/>
  <c r="A46" i="14"/>
  <c r="N45" i="14"/>
  <c r="M45" i="14"/>
  <c r="J45" i="14"/>
  <c r="I45" i="14"/>
  <c r="F45" i="14"/>
  <c r="D45" i="14"/>
  <c r="C45" i="14"/>
  <c r="A45" i="14"/>
  <c r="N44" i="14"/>
  <c r="M44" i="14"/>
  <c r="J44" i="14"/>
  <c r="I44" i="14"/>
  <c r="F44" i="14"/>
  <c r="D44" i="14"/>
  <c r="C44" i="14"/>
  <c r="A44" i="14"/>
  <c r="N43" i="14"/>
  <c r="M43" i="14"/>
  <c r="J43" i="14"/>
  <c r="I43" i="14"/>
  <c r="F43" i="14"/>
  <c r="D43" i="14"/>
  <c r="C43" i="14"/>
  <c r="A43" i="14"/>
  <c r="N42" i="14"/>
  <c r="M42" i="14"/>
  <c r="J42" i="14"/>
  <c r="I42" i="14"/>
  <c r="F42" i="14"/>
  <c r="D42" i="14"/>
  <c r="C42" i="14"/>
  <c r="A42" i="14"/>
  <c r="N41" i="14"/>
  <c r="M41" i="14"/>
  <c r="J41" i="14"/>
  <c r="I41" i="14"/>
  <c r="F41" i="14"/>
  <c r="D41" i="14"/>
  <c r="C41" i="14"/>
  <c r="A41" i="14"/>
  <c r="N40" i="14"/>
  <c r="M40" i="14"/>
  <c r="J40" i="14"/>
  <c r="I40" i="14"/>
  <c r="F40" i="14"/>
  <c r="D40" i="14"/>
  <c r="C40" i="14"/>
  <c r="A40" i="14"/>
  <c r="N39" i="14"/>
  <c r="M39" i="14"/>
  <c r="J39" i="14"/>
  <c r="I39" i="14"/>
  <c r="F39" i="14"/>
  <c r="D39" i="14"/>
  <c r="C39" i="14"/>
  <c r="A39" i="14"/>
  <c r="N38" i="14"/>
  <c r="M38" i="14"/>
  <c r="J38" i="14"/>
  <c r="I38" i="14"/>
  <c r="F38" i="14"/>
  <c r="D38" i="14"/>
  <c r="C38" i="14"/>
  <c r="A38" i="14"/>
  <c r="N37" i="14"/>
  <c r="M37" i="14"/>
  <c r="J37" i="14"/>
  <c r="I37" i="14"/>
  <c r="F37" i="14"/>
  <c r="D37" i="14"/>
  <c r="C37" i="14"/>
  <c r="A37" i="14"/>
  <c r="N36" i="14"/>
  <c r="M36" i="14"/>
  <c r="J36" i="14"/>
  <c r="I36" i="14"/>
  <c r="F36" i="14"/>
  <c r="D36" i="14"/>
  <c r="C36" i="14"/>
  <c r="A36" i="14"/>
  <c r="N35" i="14"/>
  <c r="M35" i="14"/>
  <c r="J35" i="14"/>
  <c r="I35" i="14"/>
  <c r="F35" i="14"/>
  <c r="D35" i="14"/>
  <c r="C35" i="14"/>
  <c r="A35" i="14"/>
  <c r="N34" i="14"/>
  <c r="M34" i="14"/>
  <c r="J34" i="14"/>
  <c r="I34" i="14"/>
  <c r="F34" i="14"/>
  <c r="D34" i="14"/>
  <c r="C34" i="14"/>
  <c r="A34" i="14"/>
  <c r="N33" i="14"/>
  <c r="M33" i="14"/>
  <c r="J33" i="14"/>
  <c r="I33" i="14"/>
  <c r="F33" i="14"/>
  <c r="D33" i="14"/>
  <c r="C33" i="14"/>
  <c r="A33" i="14"/>
  <c r="N32" i="14"/>
  <c r="M32" i="14"/>
  <c r="J32" i="14"/>
  <c r="I32" i="14"/>
  <c r="F32" i="14"/>
  <c r="D32" i="14"/>
  <c r="C32" i="14"/>
  <c r="A32" i="14"/>
  <c r="N31" i="14"/>
  <c r="M31" i="14"/>
  <c r="J31" i="14"/>
  <c r="I31" i="14"/>
  <c r="F31" i="14"/>
  <c r="D31" i="14"/>
  <c r="C31" i="14"/>
  <c r="A31" i="14"/>
  <c r="N30" i="14"/>
  <c r="M30" i="14"/>
  <c r="J30" i="14"/>
  <c r="I30" i="14"/>
  <c r="F30" i="14"/>
  <c r="D30" i="14"/>
  <c r="C30" i="14"/>
  <c r="A30" i="14"/>
  <c r="N29" i="14"/>
  <c r="M29" i="14"/>
  <c r="J29" i="14"/>
  <c r="I29" i="14"/>
  <c r="F29" i="14"/>
  <c r="D29" i="14"/>
  <c r="C29" i="14"/>
  <c r="A29" i="14"/>
  <c r="N28" i="14"/>
  <c r="M28" i="14"/>
  <c r="J28" i="14"/>
  <c r="I28" i="14"/>
  <c r="F28" i="14"/>
  <c r="D28" i="14"/>
  <c r="C28" i="14"/>
  <c r="A28" i="14"/>
  <c r="N27" i="14"/>
  <c r="M27" i="14"/>
  <c r="J27" i="14"/>
  <c r="I27" i="14"/>
  <c r="F27" i="14"/>
  <c r="D27" i="14"/>
  <c r="C27" i="14"/>
  <c r="A27" i="14"/>
  <c r="N26" i="14"/>
  <c r="M26" i="14"/>
  <c r="J26" i="14"/>
  <c r="I26" i="14"/>
  <c r="F26" i="14"/>
  <c r="D26" i="14"/>
  <c r="C26" i="14"/>
  <c r="A26" i="14"/>
  <c r="N25" i="14"/>
  <c r="M25" i="14"/>
  <c r="J25" i="14"/>
  <c r="I25" i="14"/>
  <c r="F25" i="14"/>
  <c r="D25" i="14"/>
  <c r="C25" i="14"/>
  <c r="A25" i="14"/>
  <c r="N24" i="14"/>
  <c r="M24" i="14"/>
  <c r="J24" i="14"/>
  <c r="I24" i="14"/>
  <c r="F24" i="14"/>
  <c r="D24" i="14"/>
  <c r="C24" i="14"/>
  <c r="A24" i="14"/>
  <c r="N23" i="14"/>
  <c r="M23" i="14"/>
  <c r="J23" i="14"/>
  <c r="I23" i="14"/>
  <c r="F23" i="14"/>
  <c r="D23" i="14"/>
  <c r="C23" i="14"/>
  <c r="A23" i="14"/>
  <c r="N22" i="14"/>
  <c r="M22" i="14"/>
  <c r="J22" i="14"/>
  <c r="I22" i="14"/>
  <c r="F22" i="14"/>
  <c r="D22" i="14"/>
  <c r="C22" i="14"/>
  <c r="A22" i="14"/>
  <c r="N21" i="14"/>
  <c r="M21" i="14"/>
  <c r="J21" i="14"/>
  <c r="I21" i="14"/>
  <c r="F21" i="14"/>
  <c r="D21" i="14"/>
  <c r="C21" i="14"/>
  <c r="A21" i="14"/>
  <c r="N20" i="14"/>
  <c r="M20" i="14"/>
  <c r="J20" i="14"/>
  <c r="I20" i="14"/>
  <c r="F20" i="14"/>
  <c r="D20" i="14"/>
  <c r="C20" i="14"/>
  <c r="A20" i="14"/>
  <c r="N19" i="14"/>
  <c r="M19" i="14"/>
  <c r="J19" i="14"/>
  <c r="I19" i="14"/>
  <c r="F19" i="14"/>
  <c r="D19" i="14"/>
  <c r="C19" i="14"/>
  <c r="A19" i="14"/>
  <c r="N18" i="14"/>
  <c r="M18" i="14"/>
  <c r="J18" i="14"/>
  <c r="I18" i="14"/>
  <c r="F18" i="14"/>
  <c r="D18" i="14"/>
  <c r="C18" i="14"/>
  <c r="A18" i="14"/>
  <c r="N17" i="14"/>
  <c r="M17" i="14"/>
  <c r="J17" i="14"/>
  <c r="I17" i="14"/>
  <c r="F17" i="14"/>
  <c r="D17" i="14"/>
  <c r="C17" i="14"/>
  <c r="A17" i="14"/>
  <c r="N16" i="14"/>
  <c r="M16" i="14"/>
  <c r="J16" i="14"/>
  <c r="I16" i="14"/>
  <c r="F16" i="14"/>
  <c r="D16" i="14"/>
  <c r="C16" i="14"/>
  <c r="A16" i="14"/>
  <c r="N15" i="14"/>
  <c r="M15" i="14"/>
  <c r="J15" i="14"/>
  <c r="I15" i="14"/>
  <c r="F15" i="14"/>
  <c r="D15" i="14"/>
  <c r="C15" i="14"/>
  <c r="A15" i="14"/>
  <c r="N14" i="14"/>
  <c r="M14" i="14"/>
  <c r="J14" i="14"/>
  <c r="I14" i="14"/>
  <c r="F14" i="14"/>
  <c r="D14" i="14"/>
  <c r="C14" i="14"/>
  <c r="A14" i="14"/>
  <c r="N13" i="14"/>
  <c r="M13" i="14"/>
  <c r="J13" i="14"/>
  <c r="I13" i="14"/>
  <c r="F13" i="14"/>
  <c r="D13" i="14"/>
  <c r="C13" i="14"/>
  <c r="A13" i="14"/>
  <c r="N12" i="14"/>
  <c r="M12" i="14"/>
  <c r="J12" i="14"/>
  <c r="I12" i="14"/>
  <c r="F12" i="14"/>
  <c r="D12" i="14"/>
  <c r="C12" i="14"/>
  <c r="A12" i="14"/>
  <c r="N11" i="14"/>
  <c r="M11" i="14"/>
  <c r="J11" i="14"/>
  <c r="I11" i="14"/>
  <c r="F11" i="14"/>
  <c r="D11" i="14"/>
  <c r="C11" i="14"/>
  <c r="A11" i="14"/>
  <c r="N10" i="14"/>
  <c r="M10" i="14"/>
  <c r="J10" i="14"/>
  <c r="I10" i="14"/>
  <c r="F10" i="14"/>
  <c r="D10" i="14"/>
  <c r="C10" i="14"/>
  <c r="A10" i="14"/>
  <c r="N9" i="14"/>
  <c r="M9" i="14"/>
  <c r="J9" i="14"/>
  <c r="I9" i="14"/>
  <c r="F9" i="14"/>
  <c r="D9" i="14"/>
  <c r="C9" i="14"/>
  <c r="A9" i="14"/>
  <c r="N8" i="14"/>
  <c r="M8" i="14"/>
  <c r="J8" i="14"/>
  <c r="I8" i="14"/>
  <c r="F8" i="14"/>
  <c r="D8" i="14"/>
  <c r="C8" i="14"/>
  <c r="A8" i="14"/>
  <c r="N7" i="14"/>
  <c r="M7" i="14"/>
  <c r="J7" i="14"/>
  <c r="I7" i="14"/>
  <c r="F7" i="14"/>
  <c r="D7" i="14"/>
  <c r="C7" i="14"/>
  <c r="A7" i="14"/>
  <c r="N6" i="14"/>
  <c r="M6" i="14"/>
  <c r="J6" i="14"/>
  <c r="I6" i="14"/>
  <c r="F6" i="14"/>
  <c r="D6" i="14"/>
  <c r="C6" i="14"/>
  <c r="A6" i="14"/>
  <c r="N5" i="14"/>
  <c r="M5" i="14"/>
  <c r="J5" i="14"/>
  <c r="I5" i="14"/>
  <c r="F5" i="14"/>
  <c r="D5" i="14"/>
  <c r="C5" i="14"/>
  <c r="A5" i="14"/>
  <c r="N4" i="14"/>
  <c r="M4" i="14"/>
  <c r="J4" i="14"/>
  <c r="I4" i="14"/>
  <c r="F4" i="14"/>
  <c r="D4" i="14"/>
  <c r="C4" i="14"/>
  <c r="A4" i="14"/>
  <c r="N3" i="14"/>
  <c r="M3" i="14"/>
  <c r="J3" i="14"/>
  <c r="I3" i="14"/>
  <c r="F3" i="14"/>
  <c r="D3" i="14"/>
  <c r="C3" i="14"/>
  <c r="A3" i="14"/>
  <c r="N2" i="14"/>
  <c r="M2" i="14"/>
  <c r="J2" i="14"/>
  <c r="I2" i="14"/>
  <c r="F2" i="14"/>
  <c r="D2" i="14"/>
  <c r="C2" i="14"/>
  <c r="A2" i="14"/>
  <c r="F46" i="13"/>
  <c r="E46" i="13"/>
  <c r="D46" i="13"/>
  <c r="F45" i="13"/>
  <c r="E45" i="13"/>
  <c r="D45" i="13"/>
  <c r="F44" i="13"/>
  <c r="E44" i="13"/>
  <c r="D44" i="13"/>
  <c r="F43" i="13"/>
  <c r="E43" i="13"/>
  <c r="D43" i="13"/>
  <c r="F42" i="13"/>
  <c r="E42" i="13"/>
  <c r="D42" i="13"/>
  <c r="F41" i="13"/>
  <c r="E41" i="13"/>
  <c r="D41" i="13"/>
  <c r="F40" i="13"/>
  <c r="E40" i="13"/>
  <c r="D40" i="13"/>
  <c r="F39" i="13"/>
  <c r="E39" i="13"/>
  <c r="D39" i="13"/>
  <c r="F38" i="13"/>
  <c r="E38" i="13"/>
  <c r="D38" i="13"/>
  <c r="F37" i="13"/>
  <c r="E37" i="13"/>
  <c r="D37" i="13"/>
  <c r="F36" i="13"/>
  <c r="E36" i="13"/>
  <c r="D36" i="13"/>
  <c r="F35" i="13"/>
  <c r="E35" i="13"/>
  <c r="D35" i="13"/>
  <c r="F34" i="13"/>
  <c r="E34" i="13"/>
  <c r="D34" i="13"/>
  <c r="F33" i="13"/>
  <c r="E33" i="13"/>
  <c r="D33" i="13"/>
  <c r="F32" i="13"/>
  <c r="E32" i="13"/>
  <c r="D32" i="13"/>
  <c r="F31" i="13"/>
  <c r="E31" i="13"/>
  <c r="D31" i="13"/>
  <c r="F30" i="13"/>
  <c r="E30" i="13"/>
  <c r="D30" i="13"/>
  <c r="F29" i="13"/>
  <c r="E29" i="13"/>
  <c r="D29" i="13"/>
  <c r="F28" i="13"/>
  <c r="E28" i="13"/>
  <c r="D28" i="13"/>
  <c r="F27" i="13"/>
  <c r="E27" i="13"/>
  <c r="D27" i="13"/>
  <c r="F26" i="13"/>
  <c r="E26" i="13"/>
  <c r="D26" i="13"/>
  <c r="F25" i="13"/>
  <c r="E25" i="13"/>
  <c r="D25" i="13"/>
  <c r="F24" i="13"/>
  <c r="E24" i="13"/>
  <c r="D24" i="13"/>
  <c r="F23" i="13"/>
  <c r="E23" i="13"/>
  <c r="D23" i="13"/>
  <c r="F22" i="13"/>
  <c r="E22" i="13"/>
  <c r="D22" i="13"/>
  <c r="F21" i="13"/>
  <c r="E21" i="13"/>
  <c r="D21" i="13"/>
  <c r="F20" i="13"/>
  <c r="E20" i="13"/>
  <c r="D20" i="13"/>
  <c r="N19" i="13"/>
  <c r="F19" i="13"/>
  <c r="E19" i="13"/>
  <c r="D19" i="13"/>
  <c r="N18" i="13"/>
  <c r="F18" i="13"/>
  <c r="E18" i="13"/>
  <c r="D18" i="13"/>
  <c r="N17" i="13"/>
  <c r="F17" i="13"/>
  <c r="E17" i="13"/>
  <c r="D17" i="13"/>
  <c r="F16" i="13"/>
  <c r="E16" i="13"/>
  <c r="D16" i="13"/>
  <c r="F15" i="13"/>
  <c r="E15" i="13"/>
  <c r="D15" i="13"/>
  <c r="F14" i="13"/>
  <c r="E14" i="13"/>
  <c r="D14" i="13"/>
  <c r="F13" i="13"/>
  <c r="E13" i="13"/>
  <c r="D13" i="13"/>
  <c r="N12" i="13"/>
  <c r="F12" i="13"/>
  <c r="E12" i="13"/>
  <c r="D12" i="13"/>
  <c r="N11" i="13"/>
  <c r="F11" i="13"/>
  <c r="E11" i="13"/>
  <c r="D11" i="13"/>
  <c r="N10" i="13"/>
  <c r="F10" i="13"/>
  <c r="E10" i="13"/>
  <c r="D10" i="13"/>
  <c r="F9" i="13"/>
  <c r="E9" i="13"/>
  <c r="D9" i="13"/>
  <c r="F8" i="13"/>
  <c r="E8" i="13"/>
  <c r="D8" i="13"/>
  <c r="F7" i="13"/>
  <c r="E7" i="13"/>
  <c r="D7" i="13"/>
  <c r="F6" i="13"/>
  <c r="E6" i="13"/>
  <c r="D6" i="13"/>
  <c r="F5" i="13"/>
  <c r="E5" i="13"/>
  <c r="F4" i="13"/>
  <c r="E4" i="13"/>
  <c r="D4" i="13"/>
  <c r="F3" i="13"/>
  <c r="E3" i="13"/>
  <c r="D3" i="13"/>
  <c r="F2" i="13"/>
  <c r="E2" i="13"/>
  <c r="D2" i="13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77" i="10"/>
  <c r="F76" i="10"/>
  <c r="F75" i="10"/>
  <c r="F74" i="10"/>
  <c r="F73" i="10"/>
  <c r="F72" i="10"/>
  <c r="F71" i="10"/>
  <c r="F70" i="10"/>
  <c r="F69" i="10"/>
  <c r="F68" i="10"/>
  <c r="E49" i="10"/>
  <c r="E48" i="10"/>
  <c r="E47" i="10"/>
  <c r="E46" i="10"/>
  <c r="E45" i="10"/>
  <c r="E44" i="10"/>
  <c r="E43" i="10"/>
  <c r="E42" i="10"/>
  <c r="E41" i="10"/>
  <c r="C33" i="10"/>
  <c r="H31" i="10"/>
  <c r="H30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C7" i="10"/>
  <c r="J79" i="9"/>
  <c r="G79" i="9"/>
  <c r="J78" i="9"/>
  <c r="G78" i="9"/>
  <c r="J77" i="9"/>
  <c r="G77" i="9"/>
  <c r="J76" i="9"/>
  <c r="G76" i="9"/>
  <c r="J75" i="9"/>
  <c r="G75" i="9"/>
  <c r="J74" i="9"/>
  <c r="G74" i="9"/>
  <c r="J73" i="9"/>
  <c r="G73" i="9"/>
  <c r="J72" i="9"/>
  <c r="G72" i="9"/>
  <c r="J71" i="9"/>
  <c r="G71" i="9"/>
  <c r="J70" i="9"/>
  <c r="G70" i="9"/>
  <c r="J69" i="9"/>
  <c r="G69" i="9"/>
  <c r="J68" i="9"/>
  <c r="G68" i="9"/>
  <c r="J67" i="9"/>
  <c r="G67" i="9"/>
  <c r="J66" i="9"/>
  <c r="G66" i="9"/>
  <c r="J65" i="9"/>
  <c r="G65" i="9"/>
  <c r="J64" i="9"/>
  <c r="G64" i="9"/>
  <c r="J62" i="9"/>
  <c r="G62" i="9"/>
  <c r="J61" i="9"/>
  <c r="G61" i="9"/>
  <c r="J60" i="9"/>
  <c r="G60" i="9"/>
  <c r="J59" i="9"/>
  <c r="G59" i="9"/>
  <c r="J58" i="9"/>
  <c r="G58" i="9"/>
  <c r="J57" i="9"/>
  <c r="G57" i="9"/>
  <c r="J56" i="9"/>
  <c r="G56" i="9"/>
  <c r="J55" i="9"/>
  <c r="G55" i="9"/>
  <c r="J54" i="9"/>
  <c r="G54" i="9"/>
  <c r="J53" i="9"/>
  <c r="G53" i="9"/>
  <c r="J49" i="9"/>
  <c r="G49" i="9"/>
  <c r="J48" i="9"/>
  <c r="G48" i="9"/>
  <c r="J45" i="9"/>
  <c r="G45" i="9"/>
  <c r="J43" i="9"/>
  <c r="G43" i="9"/>
  <c r="J41" i="9"/>
  <c r="G41" i="9"/>
  <c r="J38" i="9"/>
  <c r="G38" i="9"/>
  <c r="J37" i="9"/>
  <c r="G37" i="9"/>
  <c r="J34" i="9"/>
  <c r="G34" i="9"/>
  <c r="J33" i="9"/>
  <c r="G33" i="9"/>
  <c r="J30" i="9"/>
  <c r="G30" i="9"/>
  <c r="J27" i="9"/>
  <c r="G27" i="9"/>
  <c r="J24" i="9"/>
  <c r="G24" i="9"/>
  <c r="J21" i="9"/>
  <c r="G21" i="9"/>
  <c r="J17" i="9"/>
  <c r="G17" i="9"/>
  <c r="J14" i="9"/>
  <c r="G14" i="9"/>
  <c r="J12" i="9"/>
  <c r="G12" i="9"/>
  <c r="J10" i="9"/>
  <c r="G10" i="9"/>
  <c r="J8" i="9"/>
  <c r="G8" i="9"/>
  <c r="J47" i="9"/>
  <c r="G47" i="9"/>
  <c r="J44" i="9"/>
  <c r="G44" i="9"/>
  <c r="J40" i="9"/>
  <c r="G40" i="9"/>
  <c r="J36" i="9"/>
  <c r="G36" i="9"/>
  <c r="J32" i="9"/>
  <c r="G32" i="9"/>
  <c r="J29" i="9"/>
  <c r="G29" i="9"/>
  <c r="J26" i="9"/>
  <c r="G26" i="9"/>
  <c r="J23" i="9"/>
  <c r="G23" i="9"/>
  <c r="J20" i="9"/>
  <c r="G20" i="9"/>
  <c r="J18" i="9"/>
  <c r="G18" i="9"/>
  <c r="J15" i="9"/>
  <c r="G15" i="9"/>
  <c r="J11" i="9"/>
  <c r="G11" i="9"/>
  <c r="J7" i="9"/>
  <c r="G7" i="9"/>
  <c r="J5" i="9"/>
  <c r="G5" i="9"/>
  <c r="J46" i="9"/>
  <c r="G46" i="9"/>
  <c r="J42" i="9"/>
  <c r="G42" i="9"/>
  <c r="J39" i="9"/>
  <c r="G39" i="9"/>
  <c r="J35" i="9"/>
  <c r="G35" i="9"/>
  <c r="J31" i="9"/>
  <c r="G31" i="9"/>
  <c r="J28" i="9"/>
  <c r="G28" i="9"/>
  <c r="J25" i="9"/>
  <c r="G25" i="9"/>
  <c r="J22" i="9"/>
  <c r="G22" i="9"/>
  <c r="J19" i="9"/>
  <c r="G19" i="9"/>
  <c r="J16" i="9"/>
  <c r="G16" i="9"/>
  <c r="J13" i="9"/>
  <c r="G13" i="9"/>
  <c r="J9" i="9"/>
  <c r="G9" i="9"/>
  <c r="J6" i="9"/>
  <c r="G6" i="9"/>
  <c r="J4" i="9"/>
  <c r="G4" i="9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D19" i="6"/>
  <c r="I2" i="3"/>
  <c r="H2" i="3"/>
  <c r="H964" i="14"/>
  <c r="K964" i="14"/>
  <c r="H963" i="14"/>
  <c r="K963" i="14"/>
  <c r="H962" i="14"/>
  <c r="K962" i="14"/>
  <c r="H961" i="14"/>
  <c r="K961" i="14"/>
  <c r="H960" i="14"/>
  <c r="L960" i="14"/>
  <c r="K960" i="14"/>
  <c r="H959" i="14"/>
  <c r="G959" i="14"/>
  <c r="L959" i="14"/>
  <c r="K959" i="14"/>
  <c r="H958" i="14"/>
  <c r="G958" i="14"/>
  <c r="L958" i="14"/>
  <c r="K958" i="14"/>
  <c r="H957" i="14"/>
  <c r="K957" i="14"/>
  <c r="H956" i="14"/>
  <c r="K956" i="14"/>
  <c r="H955" i="14"/>
  <c r="K955" i="14"/>
  <c r="H954" i="14"/>
  <c r="K954" i="14"/>
  <c r="H953" i="14"/>
  <c r="L953" i="14"/>
  <c r="K953" i="14"/>
  <c r="H952" i="14"/>
  <c r="L952" i="14"/>
  <c r="K952" i="14"/>
  <c r="H951" i="14"/>
  <c r="G951" i="14"/>
  <c r="L951" i="14"/>
  <c r="K951" i="14"/>
  <c r="H950" i="14"/>
  <c r="G950" i="14"/>
  <c r="L950" i="14"/>
  <c r="K950" i="14"/>
  <c r="H949" i="14"/>
  <c r="L949" i="14"/>
  <c r="K949" i="14"/>
  <c r="H948" i="14"/>
  <c r="L948" i="14"/>
  <c r="K948" i="14"/>
  <c r="H947" i="14"/>
  <c r="L947" i="14"/>
  <c r="K947" i="14"/>
  <c r="H946" i="14"/>
  <c r="K946" i="14"/>
  <c r="H945" i="14"/>
  <c r="L945" i="14"/>
  <c r="K945" i="14"/>
  <c r="H944" i="14"/>
  <c r="L944" i="14"/>
  <c r="K944" i="14"/>
  <c r="H943" i="14"/>
  <c r="L943" i="14"/>
  <c r="K943" i="14"/>
  <c r="H942" i="14"/>
  <c r="L942" i="14"/>
  <c r="K942" i="14"/>
  <c r="H941" i="14"/>
  <c r="L941" i="14"/>
  <c r="K941" i="14"/>
  <c r="H940" i="14"/>
  <c r="K940" i="14"/>
  <c r="H939" i="14"/>
  <c r="K939" i="14"/>
  <c r="H938" i="14"/>
  <c r="L938" i="14"/>
  <c r="K938" i="14"/>
  <c r="H937" i="14"/>
  <c r="K937" i="14"/>
  <c r="H936" i="14"/>
  <c r="G936" i="14"/>
  <c r="K936" i="14"/>
  <c r="H935" i="14"/>
  <c r="K935" i="14"/>
  <c r="H934" i="14"/>
  <c r="L934" i="14"/>
  <c r="K934" i="14"/>
  <c r="H933" i="14"/>
  <c r="K933" i="14"/>
  <c r="H932" i="14"/>
  <c r="G932" i="14"/>
  <c r="K932" i="14"/>
  <c r="H931" i="14"/>
  <c r="K931" i="14"/>
  <c r="H930" i="14"/>
  <c r="L930" i="14"/>
  <c r="K930" i="14"/>
  <c r="H929" i="14"/>
  <c r="K929" i="14"/>
  <c r="H928" i="14"/>
  <c r="G928" i="14"/>
  <c r="L928" i="14"/>
  <c r="K928" i="14"/>
  <c r="H927" i="14"/>
  <c r="L927" i="14"/>
  <c r="K927" i="14"/>
  <c r="H926" i="14"/>
  <c r="L926" i="14"/>
  <c r="K926" i="14"/>
  <c r="H925" i="14"/>
  <c r="K925" i="14"/>
  <c r="H924" i="14"/>
  <c r="G924" i="14"/>
  <c r="K924" i="14"/>
  <c r="H923" i="14"/>
  <c r="K923" i="14"/>
  <c r="H922" i="14"/>
  <c r="K922" i="14"/>
  <c r="H921" i="14"/>
  <c r="L921" i="14"/>
  <c r="K921" i="14"/>
  <c r="H920" i="14"/>
  <c r="K920" i="14"/>
  <c r="H919" i="14"/>
  <c r="L919" i="14"/>
  <c r="K919" i="14"/>
  <c r="H918" i="14"/>
  <c r="L918" i="14"/>
  <c r="K918" i="14"/>
  <c r="H917" i="14"/>
  <c r="L917" i="14"/>
  <c r="K917" i="14"/>
  <c r="H916" i="14"/>
  <c r="G916" i="14"/>
  <c r="L916" i="14"/>
  <c r="K916" i="14"/>
  <c r="H915" i="14"/>
  <c r="L915" i="14"/>
  <c r="K915" i="14"/>
  <c r="H914" i="14"/>
  <c r="L914" i="14"/>
  <c r="K914" i="14"/>
  <c r="H913" i="14"/>
  <c r="L913" i="14"/>
  <c r="K913" i="14"/>
  <c r="H912" i="14"/>
  <c r="G912" i="14"/>
  <c r="L912" i="14"/>
  <c r="K912" i="14"/>
  <c r="H911" i="14"/>
  <c r="L911" i="14"/>
  <c r="K911" i="14"/>
  <c r="H910" i="14"/>
  <c r="L910" i="14"/>
  <c r="K910" i="14"/>
  <c r="H909" i="14"/>
  <c r="L909" i="14"/>
  <c r="K909" i="14"/>
  <c r="H908" i="14"/>
  <c r="G908" i="14"/>
  <c r="L908" i="14"/>
  <c r="K908" i="14"/>
  <c r="H907" i="14"/>
  <c r="L907" i="14"/>
  <c r="K907" i="14"/>
  <c r="H906" i="14"/>
  <c r="L906" i="14"/>
  <c r="K906" i="14"/>
  <c r="H905" i="14"/>
  <c r="L905" i="14"/>
  <c r="K905" i="14"/>
  <c r="H904" i="14"/>
  <c r="L904" i="14"/>
  <c r="K904" i="14"/>
  <c r="H903" i="14"/>
  <c r="G903" i="14"/>
  <c r="L903" i="14"/>
  <c r="K903" i="14"/>
  <c r="H902" i="14"/>
  <c r="L902" i="14"/>
  <c r="K902" i="14"/>
  <c r="H901" i="14"/>
  <c r="G901" i="14"/>
  <c r="L901" i="14"/>
  <c r="K901" i="14"/>
  <c r="H900" i="14"/>
  <c r="L900" i="14"/>
  <c r="K900" i="14"/>
  <c r="H899" i="14"/>
  <c r="G899" i="14"/>
  <c r="L899" i="14"/>
  <c r="K899" i="14"/>
  <c r="H898" i="14"/>
  <c r="K898" i="14"/>
  <c r="H897" i="14"/>
  <c r="G897" i="14"/>
  <c r="K897" i="14"/>
  <c r="H896" i="14"/>
  <c r="L896" i="14"/>
  <c r="K896" i="14"/>
  <c r="H895" i="14"/>
  <c r="G895" i="14"/>
  <c r="L895" i="14"/>
  <c r="K895" i="14"/>
  <c r="H894" i="14"/>
  <c r="K894" i="14"/>
  <c r="H893" i="14"/>
  <c r="G893" i="14"/>
  <c r="K893" i="14"/>
  <c r="H892" i="14"/>
  <c r="L892" i="14"/>
  <c r="K892" i="14"/>
  <c r="H891" i="14"/>
  <c r="G891" i="14"/>
  <c r="L891" i="14"/>
  <c r="K891" i="14"/>
  <c r="H890" i="14"/>
  <c r="L890" i="14"/>
  <c r="K890" i="14"/>
  <c r="H889" i="14"/>
  <c r="G889" i="14"/>
  <c r="L889" i="14"/>
  <c r="K889" i="14"/>
  <c r="H888" i="14"/>
  <c r="L888" i="14"/>
  <c r="K888" i="14"/>
  <c r="H887" i="14"/>
  <c r="G887" i="14"/>
  <c r="L887" i="14"/>
  <c r="K887" i="14"/>
  <c r="H886" i="14"/>
  <c r="K886" i="14"/>
  <c r="H885" i="14"/>
  <c r="G885" i="14"/>
  <c r="K885" i="14"/>
  <c r="H884" i="14"/>
  <c r="K884" i="14"/>
  <c r="H883" i="14"/>
  <c r="G883" i="14"/>
  <c r="L883" i="14"/>
  <c r="K883" i="14"/>
  <c r="H882" i="14"/>
  <c r="G882" i="14"/>
  <c r="L882" i="14"/>
  <c r="K882" i="14"/>
  <c r="H881" i="14"/>
  <c r="G881" i="14"/>
  <c r="L881" i="14"/>
  <c r="K881" i="14"/>
  <c r="H880" i="14"/>
  <c r="G880" i="14"/>
  <c r="L880" i="14"/>
  <c r="K880" i="14"/>
  <c r="H879" i="14"/>
  <c r="G879" i="14"/>
  <c r="L879" i="14"/>
  <c r="K879" i="14"/>
  <c r="H878" i="14"/>
  <c r="G878" i="14"/>
  <c r="L878" i="14"/>
  <c r="K878" i="14"/>
  <c r="H877" i="14"/>
  <c r="G877" i="14"/>
  <c r="L877" i="14"/>
  <c r="K877" i="14"/>
  <c r="H876" i="14"/>
  <c r="L876" i="14"/>
  <c r="K876" i="14"/>
  <c r="H875" i="14"/>
  <c r="G875" i="14"/>
  <c r="L875" i="14"/>
  <c r="K875" i="14"/>
  <c r="H874" i="14"/>
  <c r="L874" i="14"/>
  <c r="K874" i="14"/>
  <c r="H873" i="14"/>
  <c r="L873" i="14"/>
  <c r="K873" i="14"/>
  <c r="H872" i="14"/>
  <c r="L872" i="14"/>
  <c r="K872" i="14"/>
  <c r="H871" i="14"/>
  <c r="L871" i="14"/>
  <c r="K871" i="14"/>
  <c r="H870" i="14"/>
  <c r="G870" i="14"/>
  <c r="L870" i="14"/>
  <c r="K870" i="14"/>
  <c r="H869" i="14"/>
  <c r="K869" i="14"/>
  <c r="H868" i="14"/>
  <c r="G868" i="14"/>
  <c r="K868" i="14"/>
  <c r="H867" i="14"/>
  <c r="L867" i="14"/>
  <c r="K867" i="14"/>
  <c r="H866" i="14"/>
  <c r="G866" i="14"/>
  <c r="K866" i="14"/>
  <c r="H865" i="14"/>
  <c r="L865" i="14"/>
  <c r="K865" i="14"/>
  <c r="H864" i="14"/>
  <c r="G864" i="14"/>
  <c r="L864" i="14"/>
  <c r="K864" i="14"/>
  <c r="H863" i="14"/>
  <c r="L863" i="14"/>
  <c r="K863" i="14"/>
  <c r="H862" i="14"/>
  <c r="G862" i="14"/>
  <c r="L862" i="14"/>
  <c r="K862" i="14"/>
  <c r="H861" i="14"/>
  <c r="L861" i="14"/>
  <c r="K861" i="14"/>
  <c r="H860" i="14"/>
  <c r="G860" i="14"/>
  <c r="L860" i="14"/>
  <c r="K860" i="14"/>
  <c r="H859" i="14"/>
  <c r="L859" i="14"/>
  <c r="K859" i="14"/>
  <c r="H858" i="14"/>
  <c r="G858" i="14"/>
  <c r="K858" i="14"/>
  <c r="H857" i="14"/>
  <c r="K857" i="14"/>
  <c r="H856" i="14"/>
  <c r="G856" i="14"/>
  <c r="L856" i="14"/>
  <c r="K856" i="14"/>
  <c r="H855" i="14"/>
  <c r="L855" i="14"/>
  <c r="K855" i="14"/>
  <c r="H854" i="14"/>
  <c r="G854" i="14"/>
  <c r="L854" i="14"/>
  <c r="K854" i="14"/>
  <c r="H853" i="14"/>
  <c r="L853" i="14"/>
  <c r="K853" i="14"/>
  <c r="H852" i="14"/>
  <c r="G852" i="14"/>
  <c r="L852" i="14"/>
  <c r="K852" i="14"/>
  <c r="H851" i="14"/>
  <c r="L851" i="14"/>
  <c r="K851" i="14"/>
  <c r="H850" i="14"/>
  <c r="G850" i="14"/>
  <c r="L850" i="14"/>
  <c r="K850" i="14"/>
  <c r="H849" i="14"/>
  <c r="L849" i="14"/>
  <c r="K849" i="14"/>
  <c r="H848" i="14"/>
  <c r="G848" i="14"/>
  <c r="L848" i="14"/>
  <c r="K848" i="14"/>
  <c r="H847" i="14"/>
  <c r="L847" i="14"/>
  <c r="K847" i="14"/>
  <c r="H846" i="14"/>
  <c r="G846" i="14"/>
  <c r="L846" i="14"/>
  <c r="K846" i="14"/>
  <c r="H845" i="14"/>
  <c r="L845" i="14"/>
  <c r="K845" i="14"/>
  <c r="H844" i="14"/>
  <c r="G844" i="14"/>
  <c r="L844" i="14"/>
  <c r="K844" i="14"/>
  <c r="H843" i="14"/>
  <c r="L843" i="14"/>
  <c r="K843" i="14"/>
  <c r="H842" i="14"/>
  <c r="G842" i="14"/>
  <c r="L842" i="14"/>
  <c r="K842" i="14"/>
  <c r="H841" i="14"/>
  <c r="L841" i="14"/>
  <c r="K841" i="14"/>
  <c r="H840" i="14"/>
  <c r="G840" i="14"/>
  <c r="L840" i="14"/>
  <c r="K840" i="14"/>
  <c r="H839" i="14"/>
  <c r="L839" i="14"/>
  <c r="K839" i="14"/>
  <c r="H838" i="14"/>
  <c r="G838" i="14"/>
  <c r="L838" i="14"/>
  <c r="K838" i="14"/>
  <c r="H837" i="14"/>
  <c r="L837" i="14"/>
  <c r="K837" i="14"/>
  <c r="H836" i="14"/>
  <c r="G836" i="14"/>
  <c r="L836" i="14"/>
  <c r="K836" i="14"/>
  <c r="H835" i="14"/>
  <c r="L835" i="14"/>
  <c r="K835" i="14"/>
  <c r="H834" i="14"/>
  <c r="G834" i="14"/>
  <c r="L834" i="14"/>
  <c r="K834" i="14"/>
  <c r="H833" i="14"/>
  <c r="K833" i="14"/>
  <c r="H832" i="14"/>
  <c r="G832" i="14"/>
  <c r="L832" i="14"/>
  <c r="K832" i="14"/>
  <c r="H831" i="14"/>
  <c r="L831" i="14"/>
  <c r="K831" i="14"/>
  <c r="H830" i="14"/>
  <c r="G830" i="14"/>
  <c r="L830" i="14"/>
  <c r="K830" i="14"/>
  <c r="H829" i="14"/>
  <c r="L829" i="14"/>
  <c r="K829" i="14"/>
  <c r="H828" i="14"/>
  <c r="G828" i="14"/>
  <c r="L828" i="14"/>
  <c r="K828" i="14"/>
  <c r="H827" i="14"/>
  <c r="L827" i="14"/>
  <c r="K827" i="14"/>
  <c r="H826" i="14"/>
  <c r="G826" i="14"/>
  <c r="L826" i="14"/>
  <c r="K826" i="14"/>
  <c r="H825" i="14"/>
  <c r="L825" i="14"/>
  <c r="K825" i="14"/>
  <c r="H824" i="14"/>
  <c r="G824" i="14"/>
  <c r="L824" i="14"/>
  <c r="K824" i="14"/>
  <c r="H823" i="14"/>
  <c r="L823" i="14"/>
  <c r="K823" i="14"/>
  <c r="H822" i="14"/>
  <c r="G822" i="14"/>
  <c r="L822" i="14"/>
  <c r="K822" i="14"/>
  <c r="H821" i="14"/>
  <c r="L821" i="14"/>
  <c r="K821" i="14"/>
  <c r="H820" i="14"/>
  <c r="G820" i="14"/>
  <c r="L820" i="14"/>
  <c r="K820" i="14"/>
  <c r="H819" i="14"/>
  <c r="L819" i="14"/>
  <c r="K819" i="14"/>
  <c r="H818" i="14"/>
  <c r="G818" i="14"/>
  <c r="L818" i="14"/>
  <c r="K818" i="14"/>
  <c r="H817" i="14"/>
  <c r="L817" i="14"/>
  <c r="K817" i="14"/>
  <c r="H816" i="14"/>
  <c r="G816" i="14"/>
  <c r="L816" i="14"/>
  <c r="K816" i="14"/>
  <c r="H815" i="14"/>
  <c r="L815" i="14"/>
  <c r="K815" i="14"/>
  <c r="H814" i="14"/>
  <c r="G814" i="14"/>
  <c r="L814" i="14"/>
  <c r="K814" i="14"/>
  <c r="H813" i="14"/>
  <c r="G813" i="14"/>
  <c r="L813" i="14"/>
  <c r="K813" i="14"/>
  <c r="H812" i="14"/>
  <c r="G812" i="14"/>
  <c r="L812" i="14"/>
  <c r="K812" i="14"/>
  <c r="H811" i="14"/>
  <c r="G811" i="14"/>
  <c r="L811" i="14"/>
  <c r="H810" i="14"/>
  <c r="G810" i="14"/>
  <c r="L810" i="14"/>
  <c r="H809" i="14"/>
  <c r="G809" i="14"/>
  <c r="L809" i="14"/>
  <c r="H808" i="14"/>
  <c r="G808" i="14"/>
  <c r="L808" i="14"/>
  <c r="H807" i="14"/>
  <c r="G807" i="14"/>
  <c r="L807" i="14"/>
  <c r="H806" i="14"/>
  <c r="G806" i="14"/>
  <c r="L806" i="14"/>
  <c r="H805" i="14"/>
  <c r="G805" i="14"/>
  <c r="L805" i="14"/>
  <c r="H804" i="14"/>
  <c r="G804" i="14"/>
  <c r="L804" i="14"/>
  <c r="H803" i="14"/>
  <c r="G803" i="14"/>
  <c r="L803" i="14"/>
  <c r="H802" i="14"/>
  <c r="G802" i="14"/>
  <c r="L802" i="14"/>
  <c r="H801" i="14"/>
  <c r="G801" i="14"/>
  <c r="H800" i="14"/>
  <c r="G800" i="14"/>
  <c r="H799" i="14"/>
  <c r="G799" i="14"/>
  <c r="L799" i="14"/>
  <c r="H798" i="14"/>
  <c r="G798" i="14"/>
  <c r="L798" i="14"/>
  <c r="H797" i="14"/>
  <c r="G797" i="14"/>
  <c r="L797" i="14"/>
  <c r="H796" i="14"/>
  <c r="G796" i="14"/>
  <c r="L796" i="14"/>
  <c r="H795" i="14"/>
  <c r="G795" i="14"/>
  <c r="L795" i="14"/>
  <c r="H794" i="14"/>
  <c r="G794" i="14"/>
  <c r="L794" i="14"/>
  <c r="H793" i="14"/>
  <c r="G793" i="14"/>
  <c r="L793" i="14"/>
  <c r="H792" i="14"/>
  <c r="G792" i="14"/>
  <c r="L792" i="14"/>
  <c r="H791" i="14"/>
  <c r="G791" i="14"/>
  <c r="L791" i="14"/>
  <c r="H790" i="14"/>
  <c r="G790" i="14"/>
  <c r="L790" i="14"/>
  <c r="H789" i="14"/>
  <c r="G789" i="14"/>
  <c r="L789" i="14"/>
  <c r="H788" i="14"/>
  <c r="G788" i="14"/>
  <c r="L788" i="14"/>
  <c r="H787" i="14"/>
  <c r="G787" i="14"/>
  <c r="L787" i="14"/>
  <c r="H786" i="14"/>
  <c r="G786" i="14"/>
  <c r="L786" i="14"/>
  <c r="H785" i="14"/>
  <c r="G785" i="14"/>
  <c r="L785" i="14"/>
  <c r="H784" i="14"/>
  <c r="L784" i="14"/>
  <c r="K784" i="14"/>
  <c r="H783" i="14"/>
  <c r="G783" i="14"/>
  <c r="L783" i="14"/>
  <c r="K783" i="14"/>
  <c r="H782" i="14"/>
  <c r="L782" i="14"/>
  <c r="K782" i="14"/>
  <c r="H781" i="14"/>
  <c r="G781" i="14"/>
  <c r="L781" i="14"/>
  <c r="K781" i="14"/>
  <c r="H780" i="14"/>
  <c r="L780" i="14"/>
  <c r="K780" i="14"/>
  <c r="H779" i="14"/>
  <c r="G779" i="14"/>
  <c r="L779" i="14"/>
  <c r="K779" i="14"/>
  <c r="H778" i="14"/>
  <c r="K778" i="14"/>
  <c r="H777" i="14"/>
  <c r="K777" i="14"/>
  <c r="H776" i="14"/>
  <c r="L776" i="14"/>
  <c r="K776" i="14"/>
  <c r="H775" i="14"/>
  <c r="L775" i="14"/>
  <c r="K775" i="14"/>
  <c r="H774" i="14"/>
  <c r="G774" i="14"/>
  <c r="L774" i="14"/>
  <c r="K774" i="14"/>
  <c r="H773" i="14"/>
  <c r="L773" i="14"/>
  <c r="K773" i="14"/>
  <c r="H772" i="14"/>
  <c r="G772" i="14"/>
  <c r="L772" i="14"/>
  <c r="K772" i="14"/>
  <c r="H771" i="14"/>
  <c r="K771" i="14"/>
  <c r="H770" i="14"/>
  <c r="G770" i="14"/>
  <c r="L770" i="14"/>
  <c r="K770" i="14"/>
  <c r="H769" i="14"/>
  <c r="L769" i="14"/>
  <c r="K769" i="14"/>
  <c r="H768" i="14"/>
  <c r="G768" i="14"/>
  <c r="L768" i="14"/>
  <c r="K768" i="14"/>
  <c r="H767" i="14"/>
  <c r="L767" i="14"/>
  <c r="K767" i="14"/>
  <c r="H766" i="14"/>
  <c r="G766" i="14"/>
  <c r="K766" i="14"/>
  <c r="H765" i="14"/>
  <c r="K765" i="14"/>
  <c r="H764" i="14"/>
  <c r="G764" i="14"/>
  <c r="L764" i="14"/>
  <c r="K764" i="14"/>
  <c r="H763" i="14"/>
  <c r="L763" i="14"/>
  <c r="K763" i="14"/>
  <c r="H762" i="14"/>
  <c r="G762" i="14"/>
  <c r="L762" i="14"/>
  <c r="K762" i="14"/>
  <c r="H761" i="14"/>
  <c r="L761" i="14"/>
  <c r="K761" i="14"/>
  <c r="H760" i="14"/>
  <c r="G760" i="14"/>
  <c r="L760" i="14"/>
  <c r="K760" i="14"/>
  <c r="H759" i="14"/>
  <c r="L759" i="14"/>
  <c r="K759" i="14"/>
  <c r="H758" i="14"/>
  <c r="G758" i="14"/>
  <c r="L758" i="14"/>
  <c r="K758" i="14"/>
  <c r="H757" i="14"/>
  <c r="G757" i="14"/>
  <c r="L757" i="14"/>
  <c r="H756" i="14"/>
  <c r="G756" i="14"/>
  <c r="L756" i="14"/>
  <c r="H755" i="14"/>
  <c r="G755" i="14"/>
  <c r="L755" i="14"/>
  <c r="H754" i="14"/>
  <c r="G754" i="14"/>
  <c r="L754" i="14"/>
  <c r="H753" i="14"/>
  <c r="G753" i="14"/>
  <c r="L753" i="14"/>
  <c r="H752" i="14"/>
  <c r="G752" i="14"/>
  <c r="L752" i="14"/>
  <c r="H751" i="14"/>
  <c r="G751" i="14"/>
  <c r="L751" i="14"/>
  <c r="H750" i="14"/>
  <c r="G750" i="14"/>
  <c r="L750" i="14"/>
  <c r="H749" i="14"/>
  <c r="G749" i="14"/>
  <c r="L749" i="14"/>
  <c r="H748" i="14"/>
  <c r="G748" i="14"/>
  <c r="L748" i="14"/>
  <c r="H747" i="14"/>
  <c r="G747" i="14"/>
  <c r="L747" i="14"/>
  <c r="H746" i="14"/>
  <c r="G746" i="14"/>
  <c r="L746" i="14"/>
  <c r="H745" i="14"/>
  <c r="G745" i="14"/>
  <c r="L745" i="14"/>
  <c r="H744" i="14"/>
  <c r="G744" i="14"/>
  <c r="L744" i="14"/>
  <c r="H743" i="14"/>
  <c r="G743" i="14"/>
  <c r="L743" i="14"/>
  <c r="H742" i="14"/>
  <c r="G742" i="14"/>
  <c r="L742" i="14"/>
  <c r="H741" i="14"/>
  <c r="G741" i="14"/>
  <c r="L741" i="14"/>
  <c r="H740" i="14"/>
  <c r="G740" i="14"/>
  <c r="L740" i="14"/>
  <c r="H739" i="14"/>
  <c r="G739" i="14"/>
  <c r="L739" i="14"/>
  <c r="H738" i="14"/>
  <c r="G738" i="14"/>
  <c r="L738" i="14"/>
  <c r="H737" i="14"/>
  <c r="G737" i="14"/>
  <c r="L737" i="14"/>
  <c r="H736" i="14"/>
  <c r="G736" i="14"/>
  <c r="L736" i="14"/>
  <c r="H735" i="14"/>
  <c r="G735" i="14"/>
  <c r="L735" i="14"/>
  <c r="H734" i="14"/>
  <c r="G734" i="14"/>
  <c r="L734" i="14"/>
  <c r="H733" i="14"/>
  <c r="G733" i="14"/>
  <c r="L733" i="14"/>
  <c r="H732" i="14"/>
  <c r="G732" i="14"/>
  <c r="H731" i="14"/>
  <c r="G731" i="14"/>
  <c r="L731" i="14"/>
  <c r="H730" i="14"/>
  <c r="L730" i="14"/>
  <c r="K730" i="14"/>
  <c r="H729" i="14"/>
  <c r="G729" i="14"/>
  <c r="L729" i="14"/>
  <c r="K729" i="14"/>
  <c r="H728" i="14"/>
  <c r="L728" i="14"/>
  <c r="K728" i="14"/>
  <c r="H727" i="14"/>
  <c r="G727" i="14"/>
  <c r="L727" i="14"/>
  <c r="K727" i="14"/>
  <c r="H726" i="14"/>
  <c r="L726" i="14"/>
  <c r="K726" i="14"/>
  <c r="H725" i="14"/>
  <c r="G725" i="14"/>
  <c r="L725" i="14"/>
  <c r="K725" i="14"/>
  <c r="H724" i="14"/>
  <c r="L724" i="14"/>
  <c r="K724" i="14"/>
  <c r="H723" i="14"/>
  <c r="G723" i="14"/>
  <c r="L723" i="14"/>
  <c r="K723" i="14"/>
  <c r="H722" i="14"/>
  <c r="L722" i="14"/>
  <c r="K722" i="14"/>
  <c r="H721" i="14"/>
  <c r="G721" i="14"/>
  <c r="L721" i="14"/>
  <c r="K721" i="14"/>
  <c r="H720" i="14"/>
  <c r="L720" i="14"/>
  <c r="K720" i="14"/>
  <c r="H719" i="14"/>
  <c r="G719" i="14"/>
  <c r="L719" i="14"/>
  <c r="K719" i="14"/>
  <c r="H718" i="14"/>
  <c r="L718" i="14"/>
  <c r="K718" i="14"/>
  <c r="H717" i="14"/>
  <c r="G717" i="14"/>
  <c r="L717" i="14"/>
  <c r="K717" i="14"/>
  <c r="H716" i="14"/>
  <c r="L716" i="14"/>
  <c r="K716" i="14"/>
  <c r="H715" i="14"/>
  <c r="G715" i="14"/>
  <c r="L715" i="14"/>
  <c r="K715" i="14"/>
  <c r="H714" i="14"/>
  <c r="L714" i="14"/>
  <c r="K714" i="14"/>
  <c r="H713" i="14"/>
  <c r="G713" i="14"/>
  <c r="L713" i="14"/>
  <c r="K713" i="14"/>
  <c r="H712" i="14"/>
  <c r="L712" i="14"/>
  <c r="K712" i="14"/>
  <c r="H711" i="14"/>
  <c r="G711" i="14"/>
  <c r="L711" i="14"/>
  <c r="K711" i="14"/>
  <c r="H710" i="14"/>
  <c r="K710" i="14"/>
  <c r="H709" i="14"/>
  <c r="G709" i="14"/>
  <c r="L709" i="14"/>
  <c r="K709" i="14"/>
  <c r="H708" i="14"/>
  <c r="L708" i="14"/>
  <c r="K708" i="14"/>
  <c r="H707" i="14"/>
  <c r="G707" i="14"/>
  <c r="L707" i="14"/>
  <c r="K707" i="14"/>
  <c r="H706" i="14"/>
  <c r="K706" i="14"/>
  <c r="H705" i="14"/>
  <c r="K705" i="14"/>
  <c r="H704" i="14"/>
  <c r="L704" i="14"/>
  <c r="K704" i="14"/>
  <c r="H703" i="14"/>
  <c r="G703" i="14"/>
  <c r="L703" i="14"/>
  <c r="H702" i="14"/>
  <c r="G702" i="14"/>
  <c r="L702" i="14"/>
  <c r="H701" i="14"/>
  <c r="G701" i="14"/>
  <c r="L701" i="14"/>
  <c r="H700" i="14"/>
  <c r="G700" i="14"/>
  <c r="L700" i="14"/>
  <c r="H699" i="14"/>
  <c r="G699" i="14"/>
  <c r="L699" i="14"/>
  <c r="H698" i="14"/>
  <c r="G698" i="14"/>
  <c r="L698" i="14"/>
  <c r="H697" i="14"/>
  <c r="G697" i="14"/>
  <c r="L697" i="14"/>
  <c r="H696" i="14"/>
  <c r="G696" i="14"/>
  <c r="L696" i="14"/>
  <c r="H695" i="14"/>
  <c r="G695" i="14"/>
  <c r="L695" i="14"/>
  <c r="H694" i="14"/>
  <c r="G694" i="14"/>
  <c r="L694" i="14"/>
  <c r="H693" i="14"/>
  <c r="G693" i="14"/>
  <c r="L693" i="14"/>
  <c r="H692" i="14"/>
  <c r="G692" i="14"/>
  <c r="L692" i="14"/>
  <c r="H691" i="14"/>
  <c r="G691" i="14"/>
  <c r="L691" i="14"/>
  <c r="H690" i="14"/>
  <c r="G690" i="14"/>
  <c r="L690" i="14"/>
  <c r="H689" i="14"/>
  <c r="G689" i="14"/>
  <c r="L689" i="14"/>
  <c r="H688" i="14"/>
  <c r="G688" i="14"/>
  <c r="L688" i="14"/>
  <c r="H687" i="14"/>
  <c r="G687" i="14"/>
  <c r="H686" i="14"/>
  <c r="G686" i="14"/>
  <c r="L685" i="14"/>
  <c r="L683" i="14"/>
  <c r="H682" i="14"/>
  <c r="G682" i="14"/>
  <c r="L682" i="14"/>
  <c r="H681" i="14"/>
  <c r="G681" i="14"/>
  <c r="L681" i="14"/>
  <c r="H680" i="14"/>
  <c r="G680" i="14"/>
  <c r="L680" i="14"/>
  <c r="H679" i="14"/>
  <c r="G679" i="14"/>
  <c r="L679" i="14"/>
  <c r="H678" i="14"/>
  <c r="G678" i="14"/>
  <c r="L678" i="14"/>
  <c r="H677" i="14"/>
  <c r="G677" i="14"/>
  <c r="L677" i="14"/>
  <c r="H676" i="14"/>
  <c r="G676" i="14"/>
  <c r="L676" i="14"/>
  <c r="K676" i="14"/>
  <c r="H675" i="14"/>
  <c r="G675" i="14"/>
  <c r="L675" i="14"/>
  <c r="K675" i="14"/>
  <c r="H674" i="14"/>
  <c r="G674" i="14"/>
  <c r="L674" i="14"/>
  <c r="K674" i="14"/>
  <c r="H673" i="14"/>
  <c r="G673" i="14"/>
  <c r="L673" i="14"/>
  <c r="K673" i="14"/>
  <c r="H672" i="14"/>
  <c r="L672" i="14"/>
  <c r="K672" i="14"/>
  <c r="H671" i="14"/>
  <c r="L671" i="14"/>
  <c r="K671" i="14"/>
  <c r="H670" i="14"/>
  <c r="L670" i="14"/>
  <c r="K670" i="14"/>
  <c r="H669" i="14"/>
  <c r="L669" i="14"/>
  <c r="K669" i="14"/>
  <c r="H668" i="14"/>
  <c r="G668" i="14"/>
  <c r="L668" i="14"/>
  <c r="K668" i="14"/>
  <c r="H667" i="14"/>
  <c r="L667" i="14"/>
  <c r="K667" i="14"/>
  <c r="H666" i="14"/>
  <c r="G666" i="14"/>
  <c r="L666" i="14"/>
  <c r="K666" i="14"/>
  <c r="H665" i="14"/>
  <c r="L665" i="14"/>
  <c r="K665" i="14"/>
  <c r="H664" i="14"/>
  <c r="G664" i="14"/>
  <c r="K664" i="14"/>
  <c r="H663" i="14"/>
  <c r="K663" i="14"/>
  <c r="H662" i="14"/>
  <c r="G662" i="14"/>
  <c r="K662" i="14"/>
  <c r="H661" i="14"/>
  <c r="L661" i="14"/>
  <c r="K661" i="14"/>
  <c r="H660" i="14"/>
  <c r="L660" i="14"/>
  <c r="K660" i="14"/>
  <c r="H659" i="14"/>
  <c r="L659" i="14"/>
  <c r="K659" i="14"/>
  <c r="H658" i="14"/>
  <c r="K658" i="14"/>
  <c r="H657" i="14"/>
  <c r="G657" i="14"/>
  <c r="K657" i="14"/>
  <c r="H656" i="14"/>
  <c r="L656" i="14"/>
  <c r="K656" i="14"/>
  <c r="H655" i="14"/>
  <c r="G655" i="14"/>
  <c r="L655" i="14"/>
  <c r="K655" i="14"/>
  <c r="H654" i="14"/>
  <c r="G654" i="14"/>
  <c r="L654" i="14"/>
  <c r="K654" i="14"/>
  <c r="H653" i="14"/>
  <c r="G653" i="14"/>
  <c r="L653" i="14"/>
  <c r="K653" i="14"/>
  <c r="H652" i="14"/>
  <c r="G652" i="14"/>
  <c r="L652" i="14"/>
  <c r="K652" i="14"/>
  <c r="H651" i="14"/>
  <c r="L651" i="14"/>
  <c r="K651" i="14"/>
  <c r="H650" i="14"/>
  <c r="G650" i="14"/>
  <c r="L650" i="14"/>
  <c r="K650" i="14"/>
  <c r="H649" i="14"/>
  <c r="L649" i="14"/>
  <c r="K649" i="14"/>
  <c r="H648" i="14"/>
  <c r="L648" i="14"/>
  <c r="K648" i="14"/>
  <c r="H647" i="14"/>
  <c r="K647" i="14"/>
  <c r="H646" i="14"/>
  <c r="L646" i="14"/>
  <c r="K646" i="14"/>
  <c r="H645" i="14"/>
  <c r="G645" i="14"/>
  <c r="L645" i="14"/>
  <c r="K645" i="14"/>
  <c r="H644" i="14"/>
  <c r="K644" i="14"/>
  <c r="H643" i="14"/>
  <c r="G643" i="14"/>
  <c r="L643" i="14"/>
  <c r="K643" i="14"/>
  <c r="H642" i="14"/>
  <c r="G642" i="14"/>
  <c r="L642" i="14"/>
  <c r="K642" i="14"/>
  <c r="H641" i="14"/>
  <c r="L641" i="14"/>
  <c r="K641" i="14"/>
  <c r="H640" i="14"/>
  <c r="G640" i="14"/>
  <c r="L640" i="14"/>
  <c r="K640" i="14"/>
  <c r="H639" i="14"/>
  <c r="L639" i="14"/>
  <c r="K639" i="14"/>
  <c r="H638" i="14"/>
  <c r="G638" i="14"/>
  <c r="L638" i="14"/>
  <c r="K638" i="14"/>
  <c r="H637" i="14"/>
  <c r="L637" i="14"/>
  <c r="K637" i="14"/>
  <c r="H636" i="14"/>
  <c r="G636" i="14"/>
  <c r="L636" i="14"/>
  <c r="K636" i="14"/>
  <c r="H635" i="14"/>
  <c r="L635" i="14"/>
  <c r="K635" i="14"/>
  <c r="H634" i="14"/>
  <c r="G634" i="14"/>
  <c r="L634" i="14"/>
  <c r="K634" i="14"/>
  <c r="H633" i="14"/>
  <c r="G633" i="14"/>
  <c r="L633" i="14"/>
  <c r="K633" i="14"/>
  <c r="H632" i="14"/>
  <c r="G632" i="14"/>
  <c r="L632" i="14"/>
  <c r="K632" i="14"/>
  <c r="H631" i="14"/>
  <c r="G631" i="14"/>
  <c r="L631" i="14"/>
  <c r="K631" i="14"/>
  <c r="H630" i="14"/>
  <c r="L630" i="14"/>
  <c r="K630" i="14"/>
  <c r="H629" i="14"/>
  <c r="G629" i="14"/>
  <c r="L629" i="14"/>
  <c r="K629" i="14"/>
  <c r="H628" i="14"/>
  <c r="L628" i="14"/>
  <c r="K628" i="14"/>
  <c r="H627" i="14"/>
  <c r="L627" i="14"/>
  <c r="K627" i="14"/>
  <c r="H626" i="14"/>
  <c r="L626" i="14"/>
  <c r="K626" i="14"/>
  <c r="H625" i="14"/>
  <c r="L625" i="14"/>
  <c r="K625" i="14"/>
  <c r="H624" i="14"/>
  <c r="G624" i="14"/>
  <c r="L624" i="14"/>
  <c r="K624" i="14"/>
  <c r="H623" i="14"/>
  <c r="L623" i="14"/>
  <c r="K623" i="14"/>
  <c r="H622" i="14"/>
  <c r="G622" i="14"/>
  <c r="L622" i="14"/>
  <c r="K622" i="14"/>
  <c r="H621" i="14"/>
  <c r="L621" i="14"/>
  <c r="K621" i="14"/>
  <c r="H620" i="14"/>
  <c r="G620" i="14"/>
  <c r="L620" i="14"/>
  <c r="K620" i="14"/>
  <c r="H619" i="14"/>
  <c r="L619" i="14"/>
  <c r="K619" i="14"/>
  <c r="H618" i="14"/>
  <c r="G618" i="14"/>
  <c r="L618" i="14"/>
  <c r="K618" i="14"/>
  <c r="H617" i="14"/>
  <c r="L617" i="14"/>
  <c r="K617" i="14"/>
  <c r="H616" i="14"/>
  <c r="G616" i="14"/>
  <c r="L616" i="14"/>
  <c r="K616" i="14"/>
  <c r="H615" i="14"/>
  <c r="L615" i="14"/>
  <c r="K615" i="14"/>
  <c r="H614" i="14"/>
  <c r="G614" i="14"/>
  <c r="L614" i="14"/>
  <c r="K614" i="14"/>
  <c r="H613" i="14"/>
  <c r="K613" i="14"/>
  <c r="H612" i="14"/>
  <c r="G612" i="14"/>
  <c r="K612" i="14"/>
  <c r="H611" i="14"/>
  <c r="K611" i="14"/>
  <c r="H610" i="14"/>
  <c r="G610" i="14"/>
  <c r="L610" i="14"/>
  <c r="K610" i="14"/>
  <c r="H609" i="14"/>
  <c r="L609" i="14"/>
  <c r="K609" i="14"/>
  <c r="H608" i="14"/>
  <c r="G608" i="14"/>
  <c r="L608" i="14"/>
  <c r="K608" i="14"/>
  <c r="H607" i="14"/>
  <c r="L607" i="14"/>
  <c r="K607" i="14"/>
  <c r="H606" i="14"/>
  <c r="G606" i="14"/>
  <c r="L606" i="14"/>
  <c r="K606" i="14"/>
  <c r="H605" i="14"/>
  <c r="L605" i="14"/>
  <c r="K605" i="14"/>
  <c r="H604" i="14"/>
  <c r="G604" i="14"/>
  <c r="K604" i="14"/>
  <c r="H603" i="14"/>
  <c r="K603" i="14"/>
  <c r="H602" i="14"/>
  <c r="G602" i="14"/>
  <c r="L602" i="14"/>
  <c r="K602" i="14"/>
  <c r="H601" i="14"/>
  <c r="L601" i="14"/>
  <c r="K601" i="14"/>
  <c r="H600" i="14"/>
  <c r="G600" i="14"/>
  <c r="L600" i="14"/>
  <c r="K600" i="14"/>
  <c r="H599" i="14"/>
  <c r="L599" i="14"/>
  <c r="K599" i="14"/>
  <c r="H598" i="14"/>
  <c r="G598" i="14"/>
  <c r="L598" i="14"/>
  <c r="K598" i="14"/>
  <c r="H597" i="14"/>
  <c r="G597" i="14"/>
  <c r="L597" i="14"/>
  <c r="K597" i="14"/>
  <c r="H596" i="14"/>
  <c r="G596" i="14"/>
  <c r="L596" i="14"/>
  <c r="K596" i="14"/>
  <c r="H595" i="14"/>
  <c r="G595" i="14"/>
  <c r="L595" i="14"/>
  <c r="K595" i="14"/>
  <c r="H594" i="14"/>
  <c r="K594" i="14"/>
  <c r="H593" i="14"/>
  <c r="G593" i="14"/>
  <c r="K593" i="14"/>
  <c r="H592" i="14"/>
  <c r="L592" i="14"/>
  <c r="K592" i="14"/>
  <c r="H591" i="14"/>
  <c r="G591" i="14"/>
  <c r="L591" i="14"/>
  <c r="K591" i="14"/>
  <c r="H590" i="14"/>
  <c r="L590" i="14"/>
  <c r="K590" i="14"/>
  <c r="H589" i="14"/>
  <c r="G589" i="14"/>
  <c r="L589" i="14"/>
  <c r="K589" i="14"/>
  <c r="H588" i="14"/>
  <c r="L588" i="14"/>
  <c r="K588" i="14"/>
  <c r="H587" i="14"/>
  <c r="G587" i="14"/>
  <c r="L587" i="14"/>
  <c r="K587" i="14"/>
  <c r="H586" i="14"/>
  <c r="L586" i="14"/>
  <c r="K586" i="14"/>
  <c r="H585" i="14"/>
  <c r="G585" i="14"/>
  <c r="L585" i="14"/>
  <c r="K585" i="14"/>
  <c r="H584" i="14"/>
  <c r="L584" i="14"/>
  <c r="K584" i="14"/>
  <c r="H583" i="14"/>
  <c r="G583" i="14"/>
  <c r="L583" i="14"/>
  <c r="K583" i="14"/>
  <c r="H582" i="14"/>
  <c r="L582" i="14"/>
  <c r="K582" i="14"/>
  <c r="H581" i="14"/>
  <c r="G581" i="14"/>
  <c r="L581" i="14"/>
  <c r="K581" i="14"/>
  <c r="H580" i="14"/>
  <c r="L580" i="14"/>
  <c r="K580" i="14"/>
  <c r="H579" i="14"/>
  <c r="G579" i="14"/>
  <c r="L579" i="14"/>
  <c r="K579" i="14"/>
  <c r="H578" i="14"/>
  <c r="L578" i="14"/>
  <c r="K578" i="14"/>
  <c r="H577" i="14"/>
  <c r="G577" i="14"/>
  <c r="L577" i="14"/>
  <c r="K577" i="14"/>
  <c r="H576" i="14"/>
  <c r="L576" i="14"/>
  <c r="K576" i="14"/>
  <c r="H575" i="14"/>
  <c r="G575" i="14"/>
  <c r="L575" i="14"/>
  <c r="K575" i="14"/>
  <c r="H574" i="14"/>
  <c r="L574" i="14"/>
  <c r="K574" i="14"/>
  <c r="H573" i="14"/>
  <c r="G573" i="14"/>
  <c r="L573" i="14"/>
  <c r="K573" i="14"/>
  <c r="H572" i="14"/>
  <c r="L572" i="14"/>
  <c r="K572" i="14"/>
  <c r="H571" i="14"/>
  <c r="G571" i="14"/>
  <c r="L571" i="14"/>
  <c r="K571" i="14"/>
  <c r="H570" i="14"/>
  <c r="L570" i="14"/>
  <c r="K570" i="14"/>
  <c r="H569" i="14"/>
  <c r="G569" i="14"/>
  <c r="L569" i="14"/>
  <c r="K569" i="14"/>
  <c r="H568" i="14"/>
  <c r="L568" i="14"/>
  <c r="K568" i="14"/>
  <c r="H567" i="14"/>
  <c r="G567" i="14"/>
  <c r="L567" i="14"/>
  <c r="K567" i="14"/>
  <c r="H566" i="14"/>
  <c r="L566" i="14"/>
  <c r="K566" i="14"/>
  <c r="H565" i="14"/>
  <c r="G565" i="14"/>
  <c r="L565" i="14"/>
  <c r="K565" i="14"/>
  <c r="H564" i="14"/>
  <c r="L564" i="14"/>
  <c r="K564" i="14"/>
  <c r="H563" i="14"/>
  <c r="G563" i="14"/>
  <c r="L563" i="14"/>
  <c r="K563" i="14"/>
  <c r="H562" i="14"/>
  <c r="L562" i="14"/>
  <c r="K562" i="14"/>
  <c r="H561" i="14"/>
  <c r="G561" i="14"/>
  <c r="L561" i="14"/>
  <c r="K561" i="14"/>
  <c r="H560" i="14"/>
  <c r="L560" i="14"/>
  <c r="K560" i="14"/>
  <c r="H559" i="14"/>
  <c r="G559" i="14"/>
  <c r="L559" i="14"/>
  <c r="K559" i="14"/>
  <c r="H558" i="14"/>
  <c r="L558" i="14"/>
  <c r="K558" i="14"/>
  <c r="H557" i="14"/>
  <c r="G557" i="14"/>
  <c r="L557" i="14"/>
  <c r="K557" i="14"/>
  <c r="H556" i="14"/>
  <c r="K556" i="14"/>
  <c r="H555" i="14"/>
  <c r="G555" i="14"/>
  <c r="K555" i="14"/>
  <c r="H554" i="14"/>
  <c r="K554" i="14"/>
  <c r="H553" i="14"/>
  <c r="G553" i="14"/>
  <c r="L553" i="14"/>
  <c r="K553" i="14"/>
  <c r="H552" i="14"/>
  <c r="L552" i="14"/>
  <c r="K552" i="14"/>
  <c r="H551" i="14"/>
  <c r="G551" i="14"/>
  <c r="L551" i="14"/>
  <c r="K551" i="14"/>
  <c r="H550" i="14"/>
  <c r="L550" i="14"/>
  <c r="K550" i="14"/>
  <c r="H549" i="14"/>
  <c r="G549" i="14"/>
  <c r="L549" i="14"/>
  <c r="K549" i="14"/>
  <c r="H548" i="14"/>
  <c r="L548" i="14"/>
  <c r="K548" i="14"/>
  <c r="H547" i="14"/>
  <c r="G547" i="14"/>
  <c r="L547" i="14"/>
  <c r="K547" i="14"/>
  <c r="H546" i="14"/>
  <c r="L546" i="14"/>
  <c r="K546" i="14"/>
  <c r="H545" i="14"/>
  <c r="G545" i="14"/>
  <c r="L545" i="14"/>
  <c r="K545" i="14"/>
  <c r="H544" i="14"/>
  <c r="L544" i="14"/>
  <c r="K544" i="14"/>
  <c r="H543" i="14"/>
  <c r="G543" i="14"/>
  <c r="L543" i="14"/>
  <c r="K543" i="14"/>
  <c r="H542" i="14"/>
  <c r="L542" i="14"/>
  <c r="K542" i="14"/>
  <c r="H541" i="14"/>
  <c r="G541" i="14"/>
  <c r="L541" i="14"/>
  <c r="K541" i="14"/>
  <c r="H540" i="14"/>
  <c r="L540" i="14"/>
  <c r="K540" i="14"/>
  <c r="H539" i="14"/>
  <c r="G539" i="14"/>
  <c r="L539" i="14"/>
  <c r="K539" i="14"/>
  <c r="H538" i="14"/>
  <c r="L538" i="14"/>
  <c r="K538" i="14"/>
  <c r="H537" i="14"/>
  <c r="G537" i="14"/>
  <c r="L537" i="14"/>
  <c r="K537" i="14"/>
  <c r="H536" i="14"/>
  <c r="L536" i="14"/>
  <c r="K536" i="14"/>
  <c r="H535" i="14"/>
  <c r="G535" i="14"/>
  <c r="L535" i="14"/>
  <c r="K535" i="14"/>
  <c r="H534" i="14"/>
  <c r="L534" i="14"/>
  <c r="K534" i="14"/>
  <c r="H533" i="14"/>
  <c r="G533" i="14"/>
  <c r="L533" i="14"/>
  <c r="K533" i="14"/>
  <c r="H532" i="14"/>
  <c r="L532" i="14"/>
  <c r="K532" i="14"/>
  <c r="H531" i="14"/>
  <c r="G531" i="14"/>
  <c r="L531" i="14"/>
  <c r="K531" i="14"/>
  <c r="H530" i="14"/>
  <c r="L530" i="14"/>
  <c r="K530" i="14"/>
  <c r="H529" i="14"/>
  <c r="G529" i="14"/>
  <c r="K529" i="14"/>
  <c r="H528" i="14"/>
  <c r="K528" i="14"/>
  <c r="H527" i="14"/>
  <c r="G527" i="14"/>
  <c r="L527" i="14"/>
  <c r="K527" i="14"/>
  <c r="H526" i="14"/>
  <c r="L526" i="14"/>
  <c r="K526" i="14"/>
  <c r="H525" i="14"/>
  <c r="G525" i="14"/>
  <c r="L525" i="14"/>
  <c r="K525" i="14"/>
  <c r="H524" i="14"/>
  <c r="L524" i="14"/>
  <c r="K524" i="14"/>
  <c r="H523" i="14"/>
  <c r="G523" i="14"/>
  <c r="L523" i="14"/>
  <c r="K523" i="14"/>
  <c r="H522" i="14"/>
  <c r="L522" i="14"/>
  <c r="K522" i="14"/>
  <c r="H521" i="14"/>
  <c r="G521" i="14"/>
  <c r="L521" i="14"/>
  <c r="K521" i="14"/>
  <c r="H520" i="14"/>
  <c r="L520" i="14"/>
  <c r="K520" i="14"/>
  <c r="H519" i="14"/>
  <c r="G519" i="14"/>
  <c r="L519" i="14"/>
  <c r="K519" i="14"/>
  <c r="H518" i="14"/>
  <c r="L518" i="14"/>
  <c r="K518" i="14"/>
  <c r="H517" i="14"/>
  <c r="G517" i="14"/>
  <c r="K517" i="14"/>
  <c r="H516" i="14"/>
  <c r="K516" i="14"/>
  <c r="H515" i="14"/>
  <c r="G515" i="14"/>
  <c r="L515" i="14"/>
  <c r="K515" i="14"/>
  <c r="H514" i="14"/>
  <c r="L514" i="14"/>
  <c r="K514" i="14"/>
  <c r="H513" i="14"/>
  <c r="G513" i="14"/>
  <c r="L513" i="14"/>
  <c r="K513" i="14"/>
  <c r="H512" i="14"/>
  <c r="L512" i="14"/>
  <c r="K512" i="14"/>
  <c r="H511" i="14"/>
  <c r="G511" i="14"/>
  <c r="L511" i="14"/>
  <c r="K511" i="14"/>
  <c r="H510" i="14"/>
  <c r="L510" i="14"/>
  <c r="K510" i="14"/>
  <c r="H509" i="14"/>
  <c r="G509" i="14"/>
  <c r="L509" i="14"/>
  <c r="K509" i="14"/>
  <c r="L506" i="14"/>
  <c r="H505" i="14"/>
  <c r="L505" i="14"/>
  <c r="K505" i="14"/>
  <c r="H504" i="14"/>
  <c r="G504" i="14"/>
  <c r="L504" i="14"/>
  <c r="K504" i="14"/>
  <c r="H503" i="14"/>
  <c r="L503" i="14"/>
  <c r="K503" i="14"/>
  <c r="H502" i="14"/>
  <c r="G502" i="14"/>
  <c r="L502" i="14"/>
  <c r="K502" i="14"/>
  <c r="H501" i="14"/>
  <c r="L501" i="14"/>
  <c r="K501" i="14"/>
  <c r="H500" i="14"/>
  <c r="G500" i="14"/>
  <c r="L500" i="14"/>
  <c r="K500" i="14"/>
  <c r="H499" i="14"/>
  <c r="L499" i="14"/>
  <c r="K499" i="14"/>
  <c r="H498" i="14"/>
  <c r="L498" i="14"/>
  <c r="K498" i="14"/>
  <c r="H497" i="14"/>
  <c r="L497" i="14"/>
  <c r="K497" i="14"/>
  <c r="H496" i="14"/>
  <c r="L496" i="14"/>
  <c r="K496" i="14"/>
  <c r="H495" i="14"/>
  <c r="G495" i="14"/>
  <c r="L495" i="14"/>
  <c r="K495" i="14"/>
  <c r="H494" i="14"/>
  <c r="L494" i="14"/>
  <c r="K494" i="14"/>
  <c r="H493" i="14"/>
  <c r="G493" i="14"/>
  <c r="L493" i="14"/>
  <c r="K493" i="14"/>
  <c r="H492" i="14"/>
  <c r="L492" i="14"/>
  <c r="K492" i="14"/>
  <c r="H491" i="14"/>
  <c r="G491" i="14"/>
  <c r="L491" i="14"/>
  <c r="K491" i="14"/>
  <c r="H490" i="14"/>
  <c r="L490" i="14"/>
  <c r="K490" i="14"/>
  <c r="H489" i="14"/>
  <c r="G489" i="14"/>
  <c r="L489" i="14"/>
  <c r="K489" i="14"/>
  <c r="H488" i="14"/>
  <c r="L488" i="14"/>
  <c r="K488" i="14"/>
  <c r="H487" i="14"/>
  <c r="G487" i="14"/>
  <c r="L487" i="14"/>
  <c r="K487" i="14"/>
  <c r="H486" i="14"/>
  <c r="L486" i="14"/>
  <c r="K486" i="14"/>
  <c r="H485" i="14"/>
  <c r="G485" i="14"/>
  <c r="L485" i="14"/>
  <c r="K485" i="14"/>
  <c r="H484" i="14"/>
  <c r="L484" i="14"/>
  <c r="K484" i="14"/>
  <c r="H483" i="14"/>
  <c r="L483" i="14"/>
  <c r="K483" i="14"/>
  <c r="H482" i="14"/>
  <c r="L482" i="14"/>
  <c r="K482" i="14"/>
  <c r="H481" i="14"/>
  <c r="L481" i="14"/>
  <c r="K481" i="14"/>
  <c r="H480" i="14"/>
  <c r="G480" i="14"/>
  <c r="L480" i="14"/>
  <c r="K480" i="14"/>
  <c r="H479" i="14"/>
  <c r="L479" i="14"/>
  <c r="K479" i="14"/>
  <c r="H478" i="14"/>
  <c r="G478" i="14"/>
  <c r="L478" i="14"/>
  <c r="K478" i="14"/>
  <c r="H477" i="14"/>
  <c r="G477" i="14"/>
  <c r="L477" i="14"/>
  <c r="K477" i="14"/>
  <c r="H476" i="14"/>
  <c r="G476" i="14"/>
  <c r="L476" i="14"/>
  <c r="K476" i="14"/>
  <c r="H475" i="14"/>
  <c r="G475" i="14"/>
  <c r="L475" i="14"/>
  <c r="K475" i="14"/>
  <c r="H474" i="14"/>
  <c r="L474" i="14"/>
  <c r="K474" i="14"/>
  <c r="H473" i="14"/>
  <c r="G473" i="14"/>
  <c r="L473" i="14"/>
  <c r="K473" i="14"/>
  <c r="H472" i="14"/>
  <c r="L472" i="14"/>
  <c r="K472" i="14"/>
  <c r="H471" i="14"/>
  <c r="G471" i="14"/>
  <c r="L471" i="14"/>
  <c r="K471" i="14"/>
  <c r="H470" i="14"/>
  <c r="L470" i="14"/>
  <c r="K470" i="14"/>
  <c r="H469" i="14"/>
  <c r="G469" i="14"/>
  <c r="L469" i="14"/>
  <c r="K469" i="14"/>
  <c r="H468" i="14"/>
  <c r="L468" i="14"/>
  <c r="K468" i="14"/>
  <c r="H467" i="14"/>
  <c r="G467" i="14"/>
  <c r="L467" i="14"/>
  <c r="K467" i="14"/>
  <c r="H466" i="14"/>
  <c r="L466" i="14"/>
  <c r="K466" i="14"/>
  <c r="H465" i="14"/>
  <c r="G465" i="14"/>
  <c r="L465" i="14"/>
  <c r="K465" i="14"/>
  <c r="H464" i="14"/>
  <c r="L464" i="14"/>
  <c r="K464" i="14"/>
  <c r="H463" i="14"/>
  <c r="G463" i="14"/>
  <c r="L463" i="14"/>
  <c r="K463" i="14"/>
  <c r="H462" i="14"/>
  <c r="G462" i="14"/>
  <c r="L462" i="14"/>
  <c r="K462" i="14"/>
  <c r="H461" i="14"/>
  <c r="G461" i="14"/>
  <c r="L461" i="14"/>
  <c r="K461" i="14"/>
  <c r="H460" i="14"/>
  <c r="G460" i="14"/>
  <c r="L460" i="14"/>
  <c r="K460" i="14"/>
  <c r="H459" i="14"/>
  <c r="L459" i="14"/>
  <c r="K459" i="14"/>
  <c r="H458" i="14"/>
  <c r="G458" i="14"/>
  <c r="L458" i="14"/>
  <c r="K458" i="14"/>
  <c r="H457" i="14"/>
  <c r="L457" i="14"/>
  <c r="K457" i="14"/>
  <c r="H456" i="14"/>
  <c r="G456" i="14"/>
  <c r="L456" i="14"/>
  <c r="K456" i="14"/>
  <c r="H455" i="14"/>
  <c r="L455" i="14"/>
  <c r="K455" i="14"/>
  <c r="H454" i="14"/>
  <c r="G454" i="14"/>
  <c r="L454" i="14"/>
  <c r="K454" i="14"/>
  <c r="H453" i="14"/>
  <c r="L453" i="14"/>
  <c r="K453" i="14"/>
  <c r="H452" i="14"/>
  <c r="G452" i="14"/>
  <c r="L452" i="14"/>
  <c r="K452" i="14"/>
  <c r="H451" i="14"/>
  <c r="L451" i="14"/>
  <c r="K451" i="14"/>
  <c r="H450" i="14"/>
  <c r="G450" i="14"/>
  <c r="L450" i="14"/>
  <c r="K450" i="14"/>
  <c r="H449" i="14"/>
  <c r="L449" i="14"/>
  <c r="K449" i="14"/>
  <c r="H448" i="14"/>
  <c r="G448" i="14"/>
  <c r="L448" i="14"/>
  <c r="K448" i="14"/>
  <c r="H447" i="14"/>
  <c r="L447" i="14"/>
  <c r="K447" i="14"/>
  <c r="H446" i="14"/>
  <c r="G446" i="14"/>
  <c r="L446" i="14"/>
  <c r="K446" i="14"/>
  <c r="H445" i="14"/>
  <c r="L445" i="14"/>
  <c r="K445" i="14"/>
  <c r="H444" i="14"/>
  <c r="G444" i="14"/>
  <c r="L444" i="14"/>
  <c r="K444" i="14"/>
  <c r="H443" i="14"/>
  <c r="L443" i="14"/>
  <c r="K443" i="14"/>
  <c r="H442" i="14"/>
  <c r="L442" i="14"/>
  <c r="K442" i="14"/>
  <c r="H441" i="14"/>
  <c r="L441" i="14"/>
  <c r="K441" i="14"/>
  <c r="H440" i="14"/>
  <c r="G440" i="14"/>
  <c r="L440" i="14"/>
  <c r="K440" i="14"/>
  <c r="H439" i="14"/>
  <c r="G439" i="14"/>
  <c r="L439" i="14"/>
  <c r="K439" i="14"/>
  <c r="H438" i="14"/>
  <c r="L438" i="14"/>
  <c r="K438" i="14"/>
  <c r="H437" i="14"/>
  <c r="L437" i="14"/>
  <c r="K437" i="14"/>
  <c r="H436" i="14"/>
  <c r="G436" i="14"/>
  <c r="L436" i="14"/>
  <c r="K436" i="14"/>
  <c r="H435" i="14"/>
  <c r="G435" i="14"/>
  <c r="L435" i="14"/>
  <c r="K435" i="14"/>
  <c r="H434" i="14"/>
  <c r="L434" i="14"/>
  <c r="K434" i="14"/>
  <c r="H433" i="14"/>
  <c r="L433" i="14"/>
  <c r="K433" i="14"/>
  <c r="H432" i="14"/>
  <c r="G432" i="14"/>
  <c r="L432" i="14"/>
  <c r="K432" i="14"/>
  <c r="H431" i="14"/>
  <c r="G431" i="14"/>
  <c r="L431" i="14"/>
  <c r="K431" i="14"/>
  <c r="H430" i="14"/>
  <c r="L430" i="14"/>
  <c r="K430" i="14"/>
  <c r="H429" i="14"/>
  <c r="L429" i="14"/>
  <c r="K429" i="14"/>
  <c r="H428" i="14"/>
  <c r="G428" i="14"/>
  <c r="L428" i="14"/>
  <c r="K428" i="14"/>
  <c r="H427" i="14"/>
  <c r="L427" i="14"/>
  <c r="K427" i="14"/>
  <c r="H426" i="14"/>
  <c r="L426" i="14"/>
  <c r="K426" i="14"/>
  <c r="H425" i="14"/>
  <c r="L425" i="14"/>
  <c r="K425" i="14"/>
  <c r="H424" i="14"/>
  <c r="G424" i="14"/>
  <c r="L424" i="14"/>
  <c r="K424" i="14"/>
  <c r="H423" i="14"/>
  <c r="G423" i="14"/>
  <c r="L423" i="14"/>
  <c r="K423" i="14"/>
  <c r="H422" i="14"/>
  <c r="L422" i="14"/>
  <c r="K422" i="14"/>
  <c r="H421" i="14"/>
  <c r="G421" i="14"/>
  <c r="L421" i="14"/>
  <c r="K421" i="14"/>
  <c r="H420" i="14"/>
  <c r="L420" i="14"/>
  <c r="K420" i="14"/>
  <c r="H419" i="14"/>
  <c r="G419" i="14"/>
  <c r="L419" i="14"/>
  <c r="K419" i="14"/>
  <c r="H418" i="14"/>
  <c r="L418" i="14"/>
  <c r="K418" i="14"/>
  <c r="H417" i="14"/>
  <c r="G417" i="14"/>
  <c r="L417" i="14"/>
  <c r="K417" i="14"/>
  <c r="H416" i="14"/>
  <c r="L416" i="14"/>
  <c r="K416" i="14"/>
  <c r="H415" i="14"/>
  <c r="G415" i="14"/>
  <c r="L415" i="14"/>
  <c r="K415" i="14"/>
  <c r="H414" i="14"/>
  <c r="L414" i="14"/>
  <c r="K414" i="14"/>
  <c r="H413" i="14"/>
  <c r="G413" i="14"/>
  <c r="L413" i="14"/>
  <c r="K413" i="14"/>
  <c r="H412" i="14"/>
  <c r="L412" i="14"/>
  <c r="K412" i="14"/>
  <c r="H411" i="14"/>
  <c r="G411" i="14"/>
  <c r="L411" i="14"/>
  <c r="K411" i="14"/>
  <c r="H410" i="14"/>
  <c r="L410" i="14"/>
  <c r="K410" i="14"/>
  <c r="H409" i="14"/>
  <c r="G409" i="14"/>
  <c r="K409" i="14"/>
  <c r="H408" i="14"/>
  <c r="L408" i="14"/>
  <c r="K408" i="14"/>
  <c r="H407" i="14"/>
  <c r="G407" i="14"/>
  <c r="K407" i="14"/>
  <c r="H406" i="14"/>
  <c r="L406" i="14"/>
  <c r="K406" i="14"/>
  <c r="H405" i="14"/>
  <c r="G405" i="14"/>
  <c r="L405" i="14"/>
  <c r="K405" i="14"/>
  <c r="H404" i="14"/>
  <c r="L404" i="14"/>
  <c r="K404" i="14"/>
  <c r="H403" i="14"/>
  <c r="G403" i="14"/>
  <c r="K403" i="14"/>
  <c r="H402" i="14"/>
  <c r="K402" i="14"/>
  <c r="H401" i="14"/>
  <c r="G401" i="14"/>
  <c r="K401" i="14"/>
  <c r="H400" i="14"/>
  <c r="G400" i="14"/>
  <c r="L400" i="14"/>
  <c r="K400" i="14"/>
  <c r="H399" i="14"/>
  <c r="L399" i="14"/>
  <c r="K399" i="14"/>
  <c r="H398" i="14"/>
  <c r="G398" i="14"/>
  <c r="L398" i="14"/>
  <c r="K398" i="14"/>
  <c r="H397" i="14"/>
  <c r="L397" i="14"/>
  <c r="K397" i="14"/>
  <c r="H396" i="14"/>
  <c r="G396" i="14"/>
  <c r="L396" i="14"/>
  <c r="K396" i="14"/>
  <c r="H395" i="14"/>
  <c r="L395" i="14"/>
  <c r="K395" i="14"/>
  <c r="H394" i="14"/>
  <c r="G394" i="14"/>
  <c r="L394" i="14"/>
  <c r="K394" i="14"/>
  <c r="H393" i="14"/>
  <c r="L393" i="14"/>
  <c r="K393" i="14"/>
  <c r="H392" i="14"/>
  <c r="G392" i="14"/>
  <c r="L392" i="14"/>
  <c r="K392" i="14"/>
  <c r="H391" i="14"/>
  <c r="L391" i="14"/>
  <c r="K391" i="14"/>
  <c r="H390" i="14"/>
  <c r="G390" i="14"/>
  <c r="L390" i="14"/>
  <c r="K390" i="14"/>
  <c r="H389" i="14"/>
  <c r="L389" i="14"/>
  <c r="K389" i="14"/>
  <c r="H388" i="14"/>
  <c r="G388" i="14"/>
  <c r="L388" i="14"/>
  <c r="K388" i="14"/>
  <c r="H387" i="14"/>
  <c r="L387" i="14"/>
  <c r="K387" i="14"/>
  <c r="H386" i="14"/>
  <c r="G386" i="14"/>
  <c r="L386" i="14"/>
  <c r="K386" i="14"/>
  <c r="H385" i="14"/>
  <c r="L385" i="14"/>
  <c r="K385" i="14"/>
  <c r="H384" i="14"/>
  <c r="G384" i="14"/>
  <c r="L384" i="14"/>
  <c r="K384" i="14"/>
  <c r="H383" i="14"/>
  <c r="L383" i="14"/>
  <c r="K383" i="14"/>
  <c r="H382" i="14"/>
  <c r="G382" i="14"/>
  <c r="L382" i="14"/>
  <c r="K382" i="14"/>
  <c r="H381" i="14"/>
  <c r="K381" i="14"/>
  <c r="H380" i="14"/>
  <c r="L380" i="14"/>
  <c r="K380" i="14"/>
  <c r="H379" i="14"/>
  <c r="K379" i="14"/>
  <c r="H378" i="14"/>
  <c r="K378" i="14"/>
  <c r="H377" i="14"/>
  <c r="K377" i="14"/>
  <c r="H376" i="14"/>
  <c r="L376" i="14"/>
  <c r="K376" i="14"/>
  <c r="H375" i="14"/>
  <c r="L375" i="14"/>
  <c r="K375" i="14"/>
  <c r="H374" i="14"/>
  <c r="L374" i="14"/>
  <c r="K374" i="14"/>
  <c r="H373" i="14"/>
  <c r="K373" i="14"/>
  <c r="H372" i="14"/>
  <c r="K372" i="14"/>
  <c r="H371" i="14"/>
  <c r="K371" i="14"/>
  <c r="H370" i="14"/>
  <c r="G370" i="14"/>
  <c r="K370" i="14"/>
  <c r="H369" i="14"/>
  <c r="K369" i="14"/>
  <c r="H368" i="14"/>
  <c r="K368" i="14"/>
  <c r="H367" i="14"/>
  <c r="L367" i="14"/>
  <c r="K367" i="14"/>
  <c r="H366" i="14"/>
  <c r="G366" i="14"/>
  <c r="L366" i="14"/>
  <c r="K366" i="14"/>
  <c r="H365" i="14"/>
  <c r="L365" i="14"/>
  <c r="K365" i="14"/>
  <c r="H364" i="14"/>
  <c r="L364" i="14"/>
  <c r="K364" i="14"/>
  <c r="H363" i="14"/>
  <c r="G363" i="14"/>
  <c r="L363" i="14"/>
  <c r="K363" i="14"/>
  <c r="H362" i="14"/>
  <c r="G362" i="14"/>
  <c r="L362" i="14"/>
  <c r="K362" i="14"/>
  <c r="H361" i="14"/>
  <c r="K361" i="14"/>
  <c r="H360" i="14"/>
  <c r="K360" i="14"/>
  <c r="H359" i="14"/>
  <c r="K359" i="14"/>
  <c r="H358" i="14"/>
  <c r="G358" i="14"/>
  <c r="K358" i="14"/>
  <c r="H357" i="14"/>
  <c r="K357" i="14"/>
  <c r="H356" i="14"/>
  <c r="K356" i="14"/>
  <c r="H355" i="14"/>
  <c r="K355" i="14"/>
  <c r="H354" i="14"/>
  <c r="G354" i="14"/>
  <c r="K354" i="14"/>
  <c r="H353" i="14"/>
  <c r="K353" i="14"/>
  <c r="H352" i="14"/>
  <c r="K352" i="14"/>
  <c r="H351" i="14"/>
  <c r="K351" i="14"/>
  <c r="H350" i="14"/>
  <c r="G350" i="14"/>
  <c r="K350" i="14"/>
  <c r="H349" i="14"/>
  <c r="K349" i="14"/>
  <c r="H348" i="14"/>
  <c r="G348" i="14"/>
  <c r="K348" i="14"/>
  <c r="H347" i="14"/>
  <c r="K347" i="14"/>
  <c r="H346" i="14"/>
  <c r="G346" i="14"/>
  <c r="K346" i="14"/>
  <c r="H345" i="14"/>
  <c r="K345" i="14"/>
  <c r="H344" i="14"/>
  <c r="K344" i="14"/>
  <c r="H343" i="14"/>
  <c r="K343" i="14"/>
  <c r="H342" i="14"/>
  <c r="G342" i="14"/>
  <c r="K342" i="14"/>
  <c r="H341" i="14"/>
  <c r="K341" i="14"/>
  <c r="H340" i="14"/>
  <c r="G340" i="14"/>
  <c r="K340" i="14"/>
  <c r="H339" i="14"/>
  <c r="K339" i="14"/>
  <c r="H338" i="14"/>
  <c r="G338" i="14"/>
  <c r="K338" i="14"/>
  <c r="H337" i="14"/>
  <c r="K337" i="14"/>
  <c r="H336" i="14"/>
  <c r="G336" i="14"/>
  <c r="K336" i="14"/>
  <c r="H335" i="14"/>
  <c r="K335" i="14"/>
  <c r="H334" i="14"/>
  <c r="G334" i="14"/>
  <c r="K334" i="14"/>
  <c r="H333" i="14"/>
  <c r="K333" i="14"/>
  <c r="H332" i="14"/>
  <c r="G332" i="14"/>
  <c r="K332" i="14"/>
  <c r="H331" i="14"/>
  <c r="K331" i="14"/>
  <c r="H330" i="14"/>
  <c r="G330" i="14"/>
  <c r="K330" i="14"/>
  <c r="H329" i="14"/>
  <c r="K329" i="14"/>
  <c r="H328" i="14"/>
  <c r="G328" i="14"/>
  <c r="K328" i="14"/>
  <c r="H327" i="14"/>
  <c r="K327" i="14"/>
  <c r="H326" i="14"/>
  <c r="G326" i="14"/>
  <c r="K326" i="14"/>
  <c r="H325" i="14"/>
  <c r="K325" i="14"/>
  <c r="H324" i="14"/>
  <c r="G324" i="14"/>
  <c r="K324" i="14"/>
  <c r="H323" i="14"/>
  <c r="K323" i="14"/>
  <c r="H322" i="14"/>
  <c r="G322" i="14"/>
  <c r="K322" i="14"/>
  <c r="H321" i="14"/>
  <c r="K321" i="14"/>
  <c r="H320" i="14"/>
  <c r="G320" i="14"/>
  <c r="K320" i="14"/>
  <c r="H319" i="14"/>
  <c r="K319" i="14"/>
  <c r="H318" i="14"/>
  <c r="G318" i="14"/>
  <c r="K318" i="14"/>
  <c r="H317" i="14"/>
  <c r="K317" i="14"/>
  <c r="H316" i="14"/>
  <c r="G316" i="14"/>
  <c r="K316" i="14"/>
  <c r="H315" i="14"/>
  <c r="K315" i="14"/>
  <c r="H314" i="14"/>
  <c r="G314" i="14"/>
  <c r="K314" i="14"/>
  <c r="H313" i="14"/>
  <c r="K313" i="14"/>
  <c r="H312" i="14"/>
  <c r="G312" i="14"/>
  <c r="K312" i="14"/>
  <c r="H311" i="14"/>
  <c r="K311" i="14"/>
  <c r="H310" i="14"/>
  <c r="G310" i="14"/>
  <c r="K310" i="14"/>
  <c r="H309" i="14"/>
  <c r="K309" i="14"/>
  <c r="H308" i="14"/>
  <c r="G308" i="14"/>
  <c r="K308" i="14"/>
  <c r="H307" i="14"/>
  <c r="K307" i="14"/>
  <c r="H306" i="14"/>
  <c r="G306" i="14"/>
  <c r="K306" i="14"/>
  <c r="H305" i="14"/>
  <c r="K305" i="14"/>
  <c r="H304" i="14"/>
  <c r="G304" i="14"/>
  <c r="K304" i="14"/>
  <c r="H303" i="14"/>
  <c r="K303" i="14"/>
  <c r="H302" i="14"/>
  <c r="G302" i="14"/>
  <c r="K302" i="14"/>
  <c r="H301" i="14"/>
  <c r="K301" i="14"/>
  <c r="H300" i="14"/>
  <c r="G300" i="14"/>
  <c r="K300" i="14"/>
  <c r="H299" i="14"/>
  <c r="K299" i="14"/>
  <c r="H298" i="14"/>
  <c r="G298" i="14"/>
  <c r="K298" i="14"/>
  <c r="H297" i="14"/>
  <c r="K297" i="14"/>
  <c r="H296" i="14"/>
  <c r="G296" i="14"/>
  <c r="K296" i="14"/>
  <c r="H295" i="14"/>
  <c r="K295" i="14"/>
  <c r="H294" i="14"/>
  <c r="G294" i="14"/>
  <c r="K294" i="14"/>
  <c r="H293" i="14"/>
  <c r="K293" i="14"/>
  <c r="H292" i="14"/>
  <c r="G292" i="14"/>
  <c r="K292" i="14"/>
  <c r="H291" i="14"/>
  <c r="K291" i="14"/>
  <c r="H290" i="14"/>
  <c r="G290" i="14"/>
  <c r="K290" i="14"/>
  <c r="H289" i="14"/>
  <c r="K289" i="14"/>
  <c r="H288" i="14"/>
  <c r="G288" i="14"/>
  <c r="L288" i="14"/>
  <c r="K288" i="14"/>
  <c r="H287" i="14"/>
  <c r="K287" i="14"/>
  <c r="H286" i="14"/>
  <c r="G286" i="14"/>
  <c r="L286" i="14"/>
  <c r="K286" i="14"/>
  <c r="H285" i="14"/>
  <c r="L285" i="14"/>
  <c r="K285" i="14"/>
  <c r="H284" i="14"/>
  <c r="G284" i="14"/>
  <c r="L284" i="14"/>
  <c r="K284" i="14"/>
  <c r="H283" i="14"/>
  <c r="K283" i="14"/>
  <c r="H282" i="14"/>
  <c r="K282" i="14"/>
  <c r="H281" i="14"/>
  <c r="K281" i="14"/>
  <c r="H280" i="14"/>
  <c r="K280" i="14"/>
  <c r="H279" i="14"/>
  <c r="G279" i="14"/>
  <c r="K279" i="14"/>
  <c r="H278" i="14"/>
  <c r="K278" i="14"/>
  <c r="H277" i="14"/>
  <c r="G277" i="14"/>
  <c r="K277" i="14"/>
  <c r="H276" i="14"/>
  <c r="K276" i="14"/>
  <c r="H275" i="14"/>
  <c r="G275" i="14"/>
  <c r="K275" i="14"/>
  <c r="H274" i="14"/>
  <c r="K274" i="14"/>
  <c r="H273" i="14"/>
  <c r="G273" i="14"/>
  <c r="K273" i="14"/>
  <c r="H272" i="14"/>
  <c r="L272" i="14"/>
  <c r="K272" i="14"/>
  <c r="H271" i="14"/>
  <c r="G271" i="14"/>
  <c r="K271" i="14"/>
  <c r="H270" i="14"/>
  <c r="K270" i="14"/>
  <c r="H269" i="14"/>
  <c r="G269" i="14"/>
  <c r="K269" i="14"/>
  <c r="H268" i="14"/>
  <c r="K268" i="14"/>
  <c r="H267" i="14"/>
  <c r="G267" i="14"/>
  <c r="K267" i="14"/>
  <c r="H266" i="14"/>
  <c r="K266" i="14"/>
  <c r="H265" i="14"/>
  <c r="G265" i="14"/>
  <c r="K265" i="14"/>
  <c r="H264" i="14"/>
  <c r="K264" i="14"/>
  <c r="H263" i="14"/>
  <c r="G263" i="14"/>
  <c r="K263" i="14"/>
  <c r="H262" i="14"/>
  <c r="K262" i="14"/>
  <c r="H261" i="14"/>
  <c r="G261" i="14"/>
  <c r="K261" i="14"/>
  <c r="H260" i="14"/>
  <c r="K260" i="14"/>
  <c r="H259" i="14"/>
  <c r="G259" i="14"/>
  <c r="K259" i="14"/>
  <c r="H258" i="14"/>
  <c r="K258" i="14"/>
  <c r="H257" i="14"/>
  <c r="G257" i="14"/>
  <c r="K257" i="14"/>
  <c r="H256" i="14"/>
  <c r="K256" i="14"/>
  <c r="H255" i="14"/>
  <c r="G255" i="14"/>
  <c r="K255" i="14"/>
  <c r="H254" i="14"/>
  <c r="K254" i="14"/>
  <c r="H253" i="14"/>
  <c r="G253" i="14"/>
  <c r="K253" i="14"/>
  <c r="H252" i="14"/>
  <c r="K252" i="14"/>
  <c r="H251" i="14"/>
  <c r="G251" i="14"/>
  <c r="K251" i="14"/>
  <c r="H250" i="14"/>
  <c r="K250" i="14"/>
  <c r="H249" i="14"/>
  <c r="G249" i="14"/>
  <c r="K249" i="14"/>
  <c r="H248" i="14"/>
  <c r="L248" i="14"/>
  <c r="K248" i="14"/>
  <c r="H247" i="14"/>
  <c r="G247" i="14"/>
  <c r="K247" i="14"/>
  <c r="H246" i="14"/>
  <c r="K246" i="14"/>
  <c r="H245" i="14"/>
  <c r="G245" i="14"/>
  <c r="K245" i="14"/>
  <c r="H244" i="14"/>
  <c r="K244" i="14"/>
  <c r="H243" i="14"/>
  <c r="G243" i="14"/>
  <c r="K243" i="14"/>
  <c r="H242" i="14"/>
  <c r="K242" i="14"/>
  <c r="H241" i="14"/>
  <c r="G241" i="14"/>
  <c r="K241" i="14"/>
  <c r="H240" i="14"/>
  <c r="K240" i="14"/>
  <c r="H239" i="14"/>
  <c r="G239" i="14"/>
  <c r="K239" i="14"/>
  <c r="H238" i="14"/>
  <c r="L238" i="14"/>
  <c r="K238" i="14"/>
  <c r="H237" i="14"/>
  <c r="G237" i="14"/>
  <c r="K237" i="14"/>
  <c r="H236" i="14"/>
  <c r="K236" i="14"/>
  <c r="H235" i="14"/>
  <c r="K235" i="14"/>
  <c r="H234" i="14"/>
  <c r="K234" i="14"/>
  <c r="H233" i="14"/>
  <c r="G233" i="14"/>
  <c r="K233" i="14"/>
  <c r="H232" i="14"/>
  <c r="G232" i="14"/>
  <c r="K232" i="14"/>
  <c r="H231" i="14"/>
  <c r="K231" i="14"/>
  <c r="H230" i="14"/>
  <c r="K230" i="14"/>
  <c r="H229" i="14"/>
  <c r="G229" i="14"/>
  <c r="K229" i="14"/>
  <c r="H228" i="14"/>
  <c r="G228" i="14"/>
  <c r="K228" i="14"/>
  <c r="H227" i="14"/>
  <c r="K227" i="14"/>
  <c r="H226" i="14"/>
  <c r="K226" i="14"/>
  <c r="H225" i="14"/>
  <c r="K225" i="14"/>
  <c r="H224" i="14"/>
  <c r="K224" i="14"/>
  <c r="H223" i="14"/>
  <c r="K223" i="14"/>
  <c r="H222" i="14"/>
  <c r="G222" i="14"/>
  <c r="K222" i="14"/>
  <c r="H221" i="14"/>
  <c r="G221" i="14"/>
  <c r="K221" i="14"/>
  <c r="H220" i="14"/>
  <c r="K220" i="14"/>
  <c r="H219" i="14"/>
  <c r="K219" i="14"/>
  <c r="H218" i="14"/>
  <c r="G218" i="14"/>
  <c r="K218" i="14"/>
  <c r="H217" i="14"/>
  <c r="G217" i="14"/>
  <c r="K217" i="14"/>
  <c r="H216" i="14"/>
  <c r="K216" i="14"/>
  <c r="H215" i="14"/>
  <c r="K215" i="14"/>
  <c r="H214" i="14"/>
  <c r="G214" i="14"/>
  <c r="K214" i="14"/>
  <c r="H213" i="14"/>
  <c r="G213" i="14"/>
  <c r="K213" i="14"/>
  <c r="H212" i="14"/>
  <c r="K212" i="14"/>
  <c r="H211" i="14"/>
  <c r="K211" i="14"/>
  <c r="H210" i="14"/>
  <c r="G210" i="14"/>
  <c r="K210" i="14"/>
  <c r="H209" i="14"/>
  <c r="G209" i="14"/>
  <c r="K209" i="14"/>
  <c r="H208" i="14"/>
  <c r="K208" i="14"/>
  <c r="H207" i="14"/>
  <c r="K207" i="14"/>
  <c r="H206" i="14"/>
  <c r="G206" i="14"/>
  <c r="K206" i="14"/>
  <c r="H205" i="14"/>
  <c r="G205" i="14"/>
  <c r="L205" i="14"/>
  <c r="K205" i="14"/>
  <c r="H204" i="14"/>
  <c r="L204" i="14"/>
  <c r="K204" i="14"/>
  <c r="H203" i="14"/>
  <c r="G203" i="14"/>
  <c r="L203" i="14"/>
  <c r="K203" i="14"/>
  <c r="H202" i="14"/>
  <c r="K202" i="14"/>
  <c r="H201" i="14"/>
  <c r="G201" i="14"/>
  <c r="K201" i="14"/>
  <c r="H200" i="14"/>
  <c r="K200" i="14"/>
  <c r="H199" i="14"/>
  <c r="G199" i="14"/>
  <c r="K199" i="14"/>
  <c r="H198" i="14"/>
  <c r="G198" i="14"/>
  <c r="K198" i="14"/>
  <c r="H197" i="14"/>
  <c r="G197" i="14"/>
  <c r="K197" i="14"/>
  <c r="H196" i="14"/>
  <c r="G196" i="14"/>
  <c r="L196" i="14"/>
  <c r="K196" i="14"/>
  <c r="H195" i="14"/>
  <c r="K195" i="14"/>
  <c r="H194" i="14"/>
  <c r="G194" i="14"/>
  <c r="K194" i="14"/>
  <c r="H193" i="14"/>
  <c r="L193" i="14"/>
  <c r="K193" i="14"/>
  <c r="H192" i="14"/>
  <c r="G192" i="14"/>
  <c r="K192" i="14"/>
  <c r="H191" i="14"/>
  <c r="L191" i="14"/>
  <c r="K191" i="14"/>
  <c r="H190" i="14"/>
  <c r="G190" i="14"/>
  <c r="K190" i="14"/>
  <c r="H189" i="14"/>
  <c r="K189" i="14"/>
  <c r="H188" i="14"/>
  <c r="G188" i="14"/>
  <c r="K188" i="14"/>
  <c r="H187" i="14"/>
  <c r="K187" i="14"/>
  <c r="H186" i="14"/>
  <c r="K186" i="14"/>
  <c r="H185" i="14"/>
  <c r="K185" i="14"/>
  <c r="H184" i="14"/>
  <c r="G184" i="14"/>
  <c r="K184" i="14"/>
  <c r="H183" i="14"/>
  <c r="G183" i="14"/>
  <c r="K183" i="14"/>
  <c r="H182" i="14"/>
  <c r="K182" i="14"/>
  <c r="H181" i="14"/>
  <c r="G181" i="14"/>
  <c r="K181" i="14"/>
  <c r="H180" i="14"/>
  <c r="K180" i="14"/>
  <c r="H179" i="14"/>
  <c r="G179" i="14"/>
  <c r="K179" i="14"/>
  <c r="H178" i="14"/>
  <c r="K178" i="14"/>
  <c r="H177" i="14"/>
  <c r="G177" i="14"/>
  <c r="K177" i="14"/>
  <c r="H176" i="14"/>
  <c r="K176" i="14"/>
  <c r="H175" i="14"/>
  <c r="G175" i="14"/>
  <c r="K175" i="14"/>
  <c r="H174" i="14"/>
  <c r="K174" i="14"/>
  <c r="H173" i="14"/>
  <c r="G173" i="14"/>
  <c r="K173" i="14"/>
  <c r="H172" i="14"/>
  <c r="K172" i="14"/>
  <c r="H171" i="14"/>
  <c r="G171" i="14"/>
  <c r="K171" i="14"/>
  <c r="H170" i="14"/>
  <c r="K170" i="14"/>
  <c r="H169" i="14"/>
  <c r="G169" i="14"/>
  <c r="L169" i="14"/>
  <c r="K169" i="14"/>
  <c r="H168" i="14"/>
  <c r="L168" i="14"/>
  <c r="K168" i="14"/>
  <c r="H167" i="14"/>
  <c r="G167" i="14"/>
  <c r="L167" i="14"/>
  <c r="K167" i="14"/>
  <c r="H166" i="14"/>
  <c r="L166" i="14"/>
  <c r="K166" i="14"/>
  <c r="H165" i="14"/>
  <c r="G165" i="14"/>
  <c r="L165" i="14"/>
  <c r="K165" i="14"/>
  <c r="H164" i="14"/>
  <c r="L164" i="14"/>
  <c r="K164" i="14"/>
  <c r="H163" i="14"/>
  <c r="G163" i="14"/>
  <c r="L163" i="14"/>
  <c r="K163" i="14"/>
  <c r="H162" i="14"/>
  <c r="K162" i="14"/>
  <c r="H161" i="14"/>
  <c r="G161" i="14"/>
  <c r="K161" i="14"/>
  <c r="H160" i="14"/>
  <c r="K160" i="14"/>
  <c r="H159" i="14"/>
  <c r="G159" i="14"/>
  <c r="K159" i="14"/>
  <c r="H158" i="14"/>
  <c r="K158" i="14"/>
  <c r="H157" i="14"/>
  <c r="G157" i="14"/>
  <c r="K157" i="14"/>
  <c r="H156" i="14"/>
  <c r="K156" i="14"/>
  <c r="H155" i="14"/>
  <c r="G155" i="14"/>
  <c r="K155" i="14"/>
  <c r="H154" i="14"/>
  <c r="K154" i="14"/>
  <c r="H153" i="14"/>
  <c r="G153" i="14"/>
  <c r="K153" i="14"/>
  <c r="H152" i="14"/>
  <c r="K152" i="14"/>
  <c r="H151" i="14"/>
  <c r="G151" i="14"/>
  <c r="K151" i="14"/>
  <c r="H150" i="14"/>
  <c r="K150" i="14"/>
  <c r="H149" i="14"/>
  <c r="G149" i="14"/>
  <c r="K149" i="14"/>
  <c r="H148" i="14"/>
  <c r="K148" i="14"/>
  <c r="H147" i="14"/>
  <c r="G147" i="14"/>
  <c r="K147" i="14"/>
  <c r="H146" i="14"/>
  <c r="K146" i="14"/>
  <c r="H145" i="14"/>
  <c r="K145" i="14"/>
  <c r="H144" i="14"/>
  <c r="K144" i="14"/>
  <c r="H143" i="14"/>
  <c r="G143" i="14"/>
  <c r="K143" i="14"/>
  <c r="H142" i="14"/>
  <c r="K142" i="14"/>
  <c r="H141" i="14"/>
  <c r="G141" i="14"/>
  <c r="K141" i="14"/>
  <c r="H140" i="14"/>
  <c r="G140" i="14"/>
  <c r="K140" i="14"/>
  <c r="H139" i="14"/>
  <c r="G139" i="14"/>
  <c r="K139" i="14"/>
  <c r="H138" i="14"/>
  <c r="G138" i="14"/>
  <c r="K138" i="14"/>
  <c r="H137" i="14"/>
  <c r="G137" i="14"/>
  <c r="K137" i="14"/>
  <c r="H136" i="14"/>
  <c r="G136" i="14"/>
  <c r="K136" i="14"/>
  <c r="H135" i="14"/>
  <c r="G135" i="14"/>
  <c r="K135" i="14"/>
  <c r="H134" i="14"/>
  <c r="G134" i="14"/>
  <c r="K134" i="14"/>
  <c r="H133" i="14"/>
  <c r="G133" i="14"/>
  <c r="K133" i="14"/>
  <c r="H132" i="14"/>
  <c r="K132" i="14"/>
  <c r="H131" i="14"/>
  <c r="K131" i="14"/>
  <c r="H130" i="14"/>
  <c r="K130" i="14"/>
  <c r="H129" i="14"/>
  <c r="K129" i="14"/>
  <c r="H128" i="14"/>
  <c r="K128" i="14"/>
  <c r="H127" i="14"/>
  <c r="K127" i="14"/>
  <c r="H126" i="14"/>
  <c r="K126" i="14"/>
  <c r="H125" i="14"/>
  <c r="G125" i="14"/>
  <c r="K125" i="14"/>
  <c r="H124" i="14"/>
  <c r="G124" i="14"/>
  <c r="K124" i="14"/>
  <c r="H123" i="14"/>
  <c r="G123" i="14"/>
  <c r="K123" i="14"/>
  <c r="H122" i="14"/>
  <c r="G122" i="14"/>
  <c r="K122" i="14"/>
  <c r="H121" i="14"/>
  <c r="G121" i="14"/>
  <c r="L121" i="14"/>
  <c r="K121" i="14"/>
  <c r="H120" i="14"/>
  <c r="G120" i="14"/>
  <c r="L120" i="14"/>
  <c r="K120" i="14"/>
  <c r="H119" i="14"/>
  <c r="G119" i="14"/>
  <c r="L119" i="14"/>
  <c r="K119" i="14"/>
  <c r="H118" i="14"/>
  <c r="G118" i="14"/>
  <c r="K118" i="14"/>
  <c r="H117" i="14"/>
  <c r="G117" i="14"/>
  <c r="K117" i="14"/>
  <c r="H116" i="14"/>
  <c r="G116" i="14"/>
  <c r="K116" i="14"/>
  <c r="H115" i="14"/>
  <c r="G115" i="14"/>
  <c r="K115" i="14"/>
  <c r="H114" i="14"/>
  <c r="G114" i="14"/>
  <c r="K114" i="14"/>
  <c r="H113" i="14"/>
  <c r="G113" i="14"/>
  <c r="K113" i="14"/>
  <c r="H112" i="14"/>
  <c r="G112" i="14"/>
  <c r="L112" i="14"/>
  <c r="K112" i="14"/>
  <c r="H111" i="14"/>
  <c r="G111" i="14"/>
  <c r="L111" i="14"/>
  <c r="K111" i="14"/>
  <c r="H110" i="14"/>
  <c r="G110" i="14"/>
  <c r="L110" i="14"/>
  <c r="K110" i="14"/>
  <c r="H109" i="14"/>
  <c r="G109" i="14"/>
  <c r="L109" i="14"/>
  <c r="K109" i="14"/>
  <c r="H108" i="14"/>
  <c r="G108" i="14"/>
  <c r="L108" i="14"/>
  <c r="K108" i="14"/>
  <c r="H107" i="14"/>
  <c r="G107" i="14"/>
  <c r="L107" i="14"/>
  <c r="K107" i="14"/>
  <c r="H106" i="14"/>
  <c r="G106" i="14"/>
  <c r="L106" i="14"/>
  <c r="K106" i="14"/>
  <c r="H105" i="14"/>
  <c r="G105" i="14"/>
  <c r="L105" i="14"/>
  <c r="K105" i="14"/>
  <c r="H104" i="14"/>
  <c r="G104" i="14"/>
  <c r="L104" i="14"/>
  <c r="K104" i="14"/>
  <c r="H103" i="14"/>
  <c r="G103" i="14"/>
  <c r="L103" i="14"/>
  <c r="K103" i="14"/>
  <c r="H102" i="14"/>
  <c r="G102" i="14"/>
  <c r="L102" i="14"/>
  <c r="K102" i="14"/>
  <c r="H101" i="14"/>
  <c r="G101" i="14"/>
  <c r="L101" i="14"/>
  <c r="K101" i="14"/>
  <c r="H100" i="14"/>
  <c r="G100" i="14"/>
  <c r="K100" i="14"/>
  <c r="H99" i="14"/>
  <c r="G99" i="14"/>
  <c r="K99" i="14"/>
  <c r="H98" i="14"/>
  <c r="G98" i="14"/>
  <c r="K98" i="14"/>
  <c r="H97" i="14"/>
  <c r="G97" i="14"/>
  <c r="K97" i="14"/>
  <c r="H96" i="14"/>
  <c r="G96" i="14"/>
  <c r="K96" i="14"/>
  <c r="H95" i="14"/>
  <c r="G95" i="14"/>
  <c r="K95" i="14"/>
  <c r="H94" i="14"/>
  <c r="G94" i="14"/>
  <c r="K94" i="14"/>
  <c r="H93" i="14"/>
  <c r="G93" i="14"/>
  <c r="K93" i="14"/>
  <c r="H92" i="14"/>
  <c r="G92" i="14"/>
  <c r="K92" i="14"/>
  <c r="H91" i="14"/>
  <c r="K91" i="14"/>
  <c r="H90" i="14"/>
  <c r="K90" i="14"/>
  <c r="H89" i="14"/>
  <c r="K89" i="14"/>
  <c r="H88" i="14"/>
  <c r="G88" i="14"/>
  <c r="K88" i="14"/>
  <c r="H87" i="14"/>
  <c r="K87" i="14"/>
  <c r="H86" i="14"/>
  <c r="G86" i="14"/>
  <c r="K86" i="14"/>
  <c r="H85" i="14"/>
  <c r="G85" i="14"/>
  <c r="L85" i="14"/>
  <c r="K85" i="14"/>
  <c r="H84" i="14"/>
  <c r="L84" i="14"/>
  <c r="K84" i="14"/>
  <c r="H83" i="14"/>
  <c r="G83" i="14"/>
  <c r="L83" i="14"/>
  <c r="K83" i="14"/>
  <c r="H82" i="14"/>
  <c r="L82" i="14"/>
  <c r="K82" i="14"/>
  <c r="H81" i="14"/>
  <c r="G81" i="14"/>
  <c r="L81" i="14"/>
  <c r="K81" i="14"/>
  <c r="H80" i="14"/>
  <c r="L80" i="14"/>
  <c r="K80" i="14"/>
  <c r="H79" i="14"/>
  <c r="G79" i="14"/>
  <c r="L79" i="14"/>
  <c r="K79" i="14"/>
  <c r="H78" i="14"/>
  <c r="L78" i="14"/>
  <c r="K78" i="14"/>
  <c r="H77" i="14"/>
  <c r="G77" i="14"/>
  <c r="L77" i="14"/>
  <c r="K77" i="14"/>
  <c r="H76" i="14"/>
  <c r="K76" i="14"/>
  <c r="H75" i="14"/>
  <c r="G75" i="14"/>
  <c r="K75" i="14"/>
  <c r="H74" i="14"/>
  <c r="K74" i="14"/>
  <c r="H73" i="14"/>
  <c r="K73" i="14"/>
  <c r="H72" i="14"/>
  <c r="K72" i="14"/>
  <c r="H71" i="14"/>
  <c r="G71" i="14"/>
  <c r="K71" i="14"/>
  <c r="H70" i="14"/>
  <c r="G70" i="14"/>
  <c r="L70" i="14"/>
  <c r="K70" i="14"/>
  <c r="H69" i="14"/>
  <c r="L69" i="14"/>
  <c r="K69" i="14"/>
  <c r="H68" i="14"/>
  <c r="G68" i="14"/>
  <c r="L68" i="14"/>
  <c r="K68" i="14"/>
  <c r="H67" i="14"/>
  <c r="L67" i="14"/>
  <c r="K67" i="14"/>
  <c r="H66" i="14"/>
  <c r="G66" i="14"/>
  <c r="L66" i="14"/>
  <c r="K66" i="14"/>
  <c r="H65" i="14"/>
  <c r="G65" i="14"/>
  <c r="L65" i="14"/>
  <c r="K65" i="14"/>
  <c r="H64" i="14"/>
  <c r="G64" i="14"/>
  <c r="K64" i="14"/>
  <c r="H63" i="14"/>
  <c r="K63" i="14"/>
  <c r="H62" i="14"/>
  <c r="G62" i="14"/>
  <c r="K62" i="14"/>
  <c r="H61" i="14"/>
  <c r="K61" i="14"/>
  <c r="H60" i="14"/>
  <c r="K60" i="14"/>
  <c r="H59" i="14"/>
  <c r="K59" i="14"/>
  <c r="H58" i="14"/>
  <c r="G58" i="14"/>
  <c r="K58" i="14"/>
  <c r="H57" i="14"/>
  <c r="K57" i="14"/>
  <c r="H56" i="14"/>
  <c r="G56" i="14"/>
  <c r="K56" i="14"/>
  <c r="H55" i="14"/>
  <c r="K55" i="14"/>
  <c r="H54" i="14"/>
  <c r="K54" i="14"/>
  <c r="H53" i="14"/>
  <c r="G53" i="14"/>
  <c r="K53" i="14"/>
  <c r="H52" i="14"/>
  <c r="G52" i="14"/>
  <c r="L52" i="14"/>
  <c r="K52" i="14"/>
  <c r="H51" i="14"/>
  <c r="L51" i="14"/>
  <c r="K51" i="14"/>
  <c r="H50" i="14"/>
  <c r="L50" i="14"/>
  <c r="K50" i="14"/>
  <c r="H49" i="14"/>
  <c r="G49" i="14"/>
  <c r="K49" i="14"/>
  <c r="H48" i="14"/>
  <c r="G48" i="14"/>
  <c r="K48" i="14"/>
  <c r="H47" i="14"/>
  <c r="K47" i="14"/>
  <c r="H46" i="14"/>
  <c r="K46" i="14"/>
  <c r="H45" i="14"/>
  <c r="G45" i="14"/>
  <c r="K45" i="14"/>
  <c r="H44" i="14"/>
  <c r="K44" i="14"/>
  <c r="H43" i="14"/>
  <c r="G43" i="14"/>
  <c r="K43" i="14"/>
  <c r="H42" i="14"/>
  <c r="K42" i="14"/>
  <c r="H41" i="14"/>
  <c r="G41" i="14"/>
  <c r="K41" i="14"/>
  <c r="H40" i="14"/>
  <c r="K40" i="14"/>
  <c r="H39" i="14"/>
  <c r="G39" i="14"/>
  <c r="K39" i="14"/>
  <c r="H38" i="14"/>
  <c r="K38" i="14"/>
  <c r="H37" i="14"/>
  <c r="G37" i="14"/>
  <c r="L37" i="14"/>
  <c r="K37" i="14"/>
  <c r="H36" i="14"/>
  <c r="L36" i="14"/>
  <c r="K36" i="14"/>
  <c r="H35" i="14"/>
  <c r="G35" i="14"/>
  <c r="L35" i="14"/>
  <c r="K35" i="14"/>
  <c r="H34" i="14"/>
  <c r="K34" i="14"/>
  <c r="H33" i="14"/>
  <c r="K33" i="14"/>
  <c r="H32" i="14"/>
  <c r="G32" i="14"/>
  <c r="K32" i="14"/>
  <c r="H31" i="14"/>
  <c r="K31" i="14"/>
  <c r="H30" i="14"/>
  <c r="K30" i="14"/>
  <c r="H29" i="14"/>
  <c r="K29" i="14"/>
  <c r="H28" i="14"/>
  <c r="K28" i="14"/>
  <c r="H27" i="14"/>
  <c r="G27" i="14"/>
  <c r="K27" i="14"/>
  <c r="H26" i="14"/>
  <c r="G26" i="14"/>
  <c r="K26" i="14"/>
  <c r="H25" i="14"/>
  <c r="K25" i="14"/>
  <c r="H24" i="14"/>
  <c r="K24" i="14"/>
  <c r="H23" i="14"/>
  <c r="K23" i="14"/>
  <c r="H22" i="14"/>
  <c r="L22" i="14"/>
  <c r="K22" i="14"/>
  <c r="H21" i="14"/>
  <c r="G21" i="14"/>
  <c r="L21" i="14"/>
  <c r="K21" i="14"/>
  <c r="H20" i="14"/>
  <c r="L20" i="14"/>
  <c r="K20" i="14"/>
  <c r="H19" i="14"/>
  <c r="G19" i="14"/>
  <c r="K19" i="14"/>
  <c r="H18" i="14"/>
  <c r="G18" i="14"/>
  <c r="K18" i="14"/>
  <c r="H17" i="14"/>
  <c r="G17" i="14"/>
  <c r="K17" i="14"/>
  <c r="H16" i="14"/>
  <c r="G16" i="14"/>
  <c r="K16" i="14"/>
  <c r="H15" i="14"/>
  <c r="G15" i="14"/>
  <c r="K15" i="14"/>
  <c r="H14" i="14"/>
  <c r="G14" i="14"/>
  <c r="K14" i="14"/>
  <c r="H13" i="14"/>
  <c r="G13" i="14"/>
  <c r="K13" i="14"/>
  <c r="H12" i="14"/>
  <c r="K12" i="14"/>
  <c r="H11" i="14"/>
  <c r="G11" i="14"/>
  <c r="K11" i="14"/>
  <c r="H10" i="14"/>
  <c r="G10" i="14"/>
  <c r="K10" i="14"/>
  <c r="H9" i="14"/>
  <c r="G9" i="14"/>
  <c r="K9" i="14"/>
  <c r="H8" i="14"/>
  <c r="H7" i="14"/>
  <c r="G7" i="14"/>
  <c r="K7" i="14"/>
  <c r="H6" i="14"/>
  <c r="K6" i="14"/>
  <c r="H5" i="14"/>
  <c r="G5" i="14"/>
  <c r="K5" i="14"/>
  <c r="H4" i="14"/>
  <c r="K4" i="14"/>
  <c r="H3" i="14"/>
  <c r="G3" i="14"/>
  <c r="K3" i="14"/>
  <c r="H2" i="14"/>
  <c r="G2" i="14"/>
  <c r="L869" i="14" l="1"/>
  <c r="L287" i="14"/>
  <c r="L663" i="14"/>
  <c r="L778" i="14"/>
  <c r="L868" i="14"/>
  <c r="L897" i="14"/>
  <c r="L957" i="14"/>
  <c r="L964" i="14"/>
  <c r="L237" i="14"/>
  <c r="L516" i="14"/>
  <c r="L556" i="14"/>
  <c r="L644" i="14"/>
  <c r="L662" i="14"/>
  <c r="L777" i="14"/>
  <c r="L801" i="14"/>
  <c r="L935" i="14"/>
  <c r="L192" i="14"/>
  <c r="L710" i="14"/>
  <c r="L771" i="14"/>
  <c r="L517" i="14"/>
  <c r="L403" i="14"/>
  <c r="L925" i="14"/>
  <c r="L162" i="14"/>
  <c r="L381" i="14"/>
  <c r="L554" i="14"/>
  <c r="L594" i="14"/>
  <c r="L613" i="14"/>
  <c r="L687" i="14"/>
  <c r="L706" i="14"/>
  <c r="L800" i="14"/>
  <c r="L924" i="14"/>
  <c r="L933" i="14"/>
  <c r="L955" i="14"/>
  <c r="L962" i="14"/>
  <c r="L937" i="14"/>
  <c r="L833" i="14"/>
  <c r="L936" i="14"/>
  <c r="L858" i="14"/>
  <c r="L161" i="14"/>
  <c r="L195" i="14"/>
  <c r="L283" i="14"/>
  <c r="L289" i="14"/>
  <c r="L402" i="14"/>
  <c r="L529" i="14"/>
  <c r="L593" i="14"/>
  <c r="L604" i="14"/>
  <c r="L612" i="14"/>
  <c r="L732" i="14"/>
  <c r="L766" i="14"/>
  <c r="L857" i="14"/>
  <c r="L886" i="14"/>
  <c r="L894" i="14"/>
  <c r="L923" i="14"/>
  <c r="L932" i="14"/>
  <c r="L940" i="14"/>
  <c r="L555" i="14"/>
  <c r="L956" i="14"/>
  <c r="L963" i="14"/>
  <c r="L236" i="14"/>
  <c r="L194" i="14"/>
  <c r="L250" i="14"/>
  <c r="L274" i="14"/>
  <c r="L282" i="14"/>
  <c r="L401" i="14"/>
  <c r="L409" i="14"/>
  <c r="L658" i="14"/>
  <c r="L686" i="14"/>
  <c r="L705" i="14"/>
  <c r="L885" i="14"/>
  <c r="L893" i="14"/>
  <c r="L931" i="14"/>
  <c r="L939" i="14"/>
  <c r="L954" i="14"/>
  <c r="L961" i="14"/>
  <c r="L884" i="14"/>
  <c r="L407" i="14"/>
  <c r="L664" i="14"/>
  <c r="L929" i="14"/>
  <c r="L898" i="14"/>
  <c r="L920" i="14"/>
  <c r="L866" i="14"/>
  <c r="L249" i="14"/>
  <c r="L273" i="14"/>
  <c r="L281" i="14"/>
  <c r="L528" i="14"/>
  <c r="L603" i="14"/>
  <c r="L611" i="14"/>
  <c r="L657" i="14"/>
  <c r="L765" i="14"/>
  <c r="L922" i="14"/>
  <c r="L946" i="14"/>
  <c r="E962" i="14"/>
  <c r="E958" i="14"/>
  <c r="E954" i="14"/>
  <c r="E950" i="14"/>
  <c r="E946" i="14"/>
  <c r="E942" i="14"/>
  <c r="E938" i="14"/>
  <c r="E934" i="14"/>
  <c r="E930" i="14"/>
  <c r="E926" i="14"/>
  <c r="E922" i="14"/>
  <c r="E918" i="14"/>
  <c r="E914" i="14"/>
  <c r="E910" i="14"/>
  <c r="E906" i="14"/>
  <c r="E902" i="14"/>
  <c r="E898" i="14"/>
  <c r="E894" i="14"/>
  <c r="E890" i="14"/>
  <c r="E886" i="14"/>
  <c r="E882" i="14"/>
  <c r="E878" i="14"/>
  <c r="E874" i="14"/>
  <c r="E870" i="14"/>
  <c r="E866" i="14"/>
  <c r="E862" i="14"/>
  <c r="E858" i="14"/>
  <c r="E854" i="14"/>
  <c r="E850" i="14"/>
  <c r="E846" i="14"/>
  <c r="E842" i="14"/>
  <c r="E838" i="14"/>
  <c r="E834" i="14"/>
  <c r="E830" i="14"/>
  <c r="E826" i="14"/>
  <c r="E822" i="14"/>
  <c r="E818" i="14"/>
  <c r="E814" i="14"/>
  <c r="E810" i="14"/>
  <c r="E806" i="14"/>
  <c r="E802" i="14"/>
  <c r="E798" i="14"/>
  <c r="E794" i="14"/>
  <c r="E790" i="14"/>
  <c r="E786" i="14"/>
  <c r="E782" i="14"/>
  <c r="E778" i="14"/>
  <c r="E774" i="14"/>
  <c r="E770" i="14"/>
  <c r="E766" i="14"/>
  <c r="E762" i="14"/>
  <c r="E758" i="14"/>
  <c r="E754" i="14"/>
  <c r="E750" i="14"/>
  <c r="E746" i="14"/>
  <c r="E742" i="14"/>
  <c r="E738" i="14"/>
  <c r="E734" i="14"/>
  <c r="E730" i="14"/>
  <c r="E726" i="14"/>
  <c r="E722" i="14"/>
  <c r="E718" i="14"/>
  <c r="E714" i="14"/>
  <c r="E710" i="14"/>
  <c r="E706" i="14"/>
  <c r="E702" i="14"/>
  <c r="E698" i="14"/>
  <c r="E694" i="14"/>
  <c r="E690" i="14"/>
  <c r="E686" i="14"/>
  <c r="E682" i="14"/>
  <c r="E678" i="14"/>
  <c r="E674" i="14"/>
  <c r="E670" i="14"/>
  <c r="E666" i="14"/>
  <c r="E662" i="14"/>
  <c r="E658" i="14"/>
  <c r="E654" i="14"/>
  <c r="E650" i="14"/>
  <c r="E646" i="14"/>
  <c r="E642" i="14"/>
  <c r="E638" i="14"/>
  <c r="E634" i="14"/>
  <c r="E630" i="14"/>
  <c r="E626" i="14"/>
  <c r="E622" i="14"/>
  <c r="E618" i="14"/>
  <c r="E614" i="14"/>
  <c r="E610" i="14"/>
  <c r="E606" i="14"/>
  <c r="E602" i="14"/>
  <c r="E598" i="14"/>
  <c r="E594" i="14"/>
  <c r="E590" i="14"/>
  <c r="E586" i="14"/>
  <c r="E582" i="14"/>
  <c r="E578" i="14"/>
  <c r="E574" i="14"/>
  <c r="E570" i="14"/>
  <c r="E566" i="14"/>
  <c r="E562" i="14"/>
  <c r="E558" i="14"/>
  <c r="E554" i="14"/>
  <c r="E550" i="14"/>
  <c r="E546" i="14"/>
  <c r="E542" i="14"/>
  <c r="E538" i="14"/>
  <c r="E534" i="14"/>
  <c r="E530" i="14"/>
  <c r="E526" i="14"/>
  <c r="E522" i="14"/>
  <c r="E518" i="14"/>
  <c r="E514" i="14"/>
  <c r="E510" i="14"/>
  <c r="E506" i="14"/>
  <c r="E502" i="14"/>
  <c r="E498" i="14"/>
  <c r="E494" i="14"/>
  <c r="E490" i="14"/>
  <c r="E486" i="14"/>
  <c r="E482" i="14"/>
  <c r="E478" i="14"/>
  <c r="E474" i="14"/>
  <c r="E470" i="14"/>
  <c r="E466" i="14"/>
  <c r="E462" i="14"/>
  <c r="E458" i="14"/>
  <c r="E454" i="14"/>
  <c r="E450" i="14"/>
  <c r="E446" i="14"/>
  <c r="E442" i="14"/>
  <c r="E438" i="14"/>
  <c r="E434" i="14"/>
  <c r="E430" i="14"/>
  <c r="E426" i="14"/>
  <c r="E422" i="14"/>
  <c r="E418" i="14"/>
  <c r="E414" i="14"/>
  <c r="E410" i="14"/>
  <c r="E406" i="14"/>
  <c r="E402" i="14"/>
  <c r="E398" i="14"/>
  <c r="E394" i="14"/>
  <c r="E390" i="14"/>
  <c r="E386" i="14"/>
  <c r="E382" i="14"/>
  <c r="E374" i="14"/>
  <c r="E366" i="14"/>
  <c r="E362" i="14"/>
  <c r="E286" i="14"/>
  <c r="E282" i="14"/>
  <c r="E274" i="14"/>
  <c r="E250" i="14"/>
  <c r="E238" i="14"/>
  <c r="E194" i="14"/>
  <c r="E166" i="14"/>
  <c r="E162" i="14"/>
  <c r="E109" i="14"/>
  <c r="E105" i="14"/>
  <c r="E85" i="14"/>
  <c r="E81" i="14"/>
  <c r="E77" i="14"/>
  <c r="E69" i="14"/>
  <c r="E65" i="14"/>
  <c r="E37" i="14"/>
  <c r="E21" i="14"/>
  <c r="E961" i="14"/>
  <c r="E957" i="14"/>
  <c r="E953" i="14"/>
  <c r="E949" i="14"/>
  <c r="E945" i="14"/>
  <c r="E941" i="14"/>
  <c r="E937" i="14"/>
  <c r="E933" i="14"/>
  <c r="E929" i="14"/>
  <c r="E925" i="14"/>
  <c r="E921" i="14"/>
  <c r="E917" i="14"/>
  <c r="E913" i="14"/>
  <c r="E909" i="14"/>
  <c r="E905" i="14"/>
  <c r="E901" i="14"/>
  <c r="E897" i="14"/>
  <c r="E893" i="14"/>
  <c r="E889" i="14"/>
  <c r="E885" i="14"/>
  <c r="E881" i="14"/>
  <c r="E877" i="14"/>
  <c r="E873" i="14"/>
  <c r="E869" i="14"/>
  <c r="E865" i="14"/>
  <c r="E861" i="14"/>
  <c r="E857" i="14"/>
  <c r="E853" i="14"/>
  <c r="E849" i="14"/>
  <c r="E845" i="14"/>
  <c r="E841" i="14"/>
  <c r="E837" i="14"/>
  <c r="E833" i="14"/>
  <c r="E829" i="14"/>
  <c r="E825" i="14"/>
  <c r="E821" i="14"/>
  <c r="E817" i="14"/>
  <c r="E813" i="14"/>
  <c r="E809" i="14"/>
  <c r="E805" i="14"/>
  <c r="E801" i="14"/>
  <c r="E797" i="14"/>
  <c r="E793" i="14"/>
  <c r="E789" i="14"/>
  <c r="E785" i="14"/>
  <c r="E781" i="14"/>
  <c r="E777" i="14"/>
  <c r="E773" i="14"/>
  <c r="E769" i="14"/>
  <c r="E765" i="14"/>
  <c r="E761" i="14"/>
  <c r="E757" i="14"/>
  <c r="E753" i="14"/>
  <c r="E749" i="14"/>
  <c r="E745" i="14"/>
  <c r="E741" i="14"/>
  <c r="E737" i="14"/>
  <c r="E733" i="14"/>
  <c r="E729" i="14"/>
  <c r="E725" i="14"/>
  <c r="E721" i="14"/>
  <c r="E717" i="14"/>
  <c r="E713" i="14"/>
  <c r="E709" i="14"/>
  <c r="E705" i="14"/>
  <c r="E701" i="14"/>
  <c r="E697" i="14"/>
  <c r="E693" i="14"/>
  <c r="E689" i="14"/>
  <c r="E685" i="14"/>
  <c r="E681" i="14"/>
  <c r="E677" i="14"/>
  <c r="E673" i="14"/>
  <c r="E669" i="14"/>
  <c r="E665" i="14"/>
  <c r="E661" i="14"/>
  <c r="E657" i="14"/>
  <c r="E653" i="14"/>
  <c r="E649" i="14"/>
  <c r="E645" i="14"/>
  <c r="E641" i="14"/>
  <c r="E637" i="14"/>
  <c r="E633" i="14"/>
  <c r="E629" i="14"/>
  <c r="E625" i="14"/>
  <c r="E621" i="14"/>
  <c r="E617" i="14"/>
  <c r="E613" i="14"/>
  <c r="E609" i="14"/>
  <c r="E605" i="14"/>
  <c r="E601" i="14"/>
  <c r="E597" i="14"/>
  <c r="E593" i="14"/>
  <c r="E589" i="14"/>
  <c r="E585" i="14"/>
  <c r="E581" i="14"/>
  <c r="E577" i="14"/>
  <c r="E573" i="14"/>
  <c r="E569" i="14"/>
  <c r="E565" i="14"/>
  <c r="E561" i="14"/>
  <c r="E557" i="14"/>
  <c r="E553" i="14"/>
  <c r="E549" i="14"/>
  <c r="E545" i="14"/>
  <c r="E541" i="14"/>
  <c r="E537" i="14"/>
  <c r="E533" i="14"/>
  <c r="E529" i="14"/>
  <c r="E525" i="14"/>
  <c r="E521" i="14"/>
  <c r="E517" i="14"/>
  <c r="E513" i="14"/>
  <c r="E509" i="14"/>
  <c r="E505" i="14"/>
  <c r="E501" i="14"/>
  <c r="E497" i="14"/>
  <c r="E493" i="14"/>
  <c r="E489" i="14"/>
  <c r="E485" i="14"/>
  <c r="E481" i="14"/>
  <c r="E477" i="14"/>
  <c r="E473" i="14"/>
  <c r="E469" i="14"/>
  <c r="E465" i="14"/>
  <c r="E461" i="14"/>
  <c r="E457" i="14"/>
  <c r="E453" i="14"/>
  <c r="E445" i="14"/>
  <c r="E441" i="14"/>
  <c r="E437" i="14"/>
  <c r="E433" i="14"/>
  <c r="E429" i="14"/>
  <c r="E425" i="14"/>
  <c r="E421" i="14"/>
  <c r="E417" i="14"/>
  <c r="E413" i="14"/>
  <c r="E409" i="14"/>
  <c r="E405" i="14"/>
  <c r="E401" i="14"/>
  <c r="E397" i="14"/>
  <c r="E393" i="14"/>
  <c r="E389" i="14"/>
  <c r="E385" i="14"/>
  <c r="E381" i="14"/>
  <c r="E365" i="14"/>
  <c r="E289" i="14"/>
  <c r="E285" i="14"/>
  <c r="E281" i="14"/>
  <c r="E273" i="14"/>
  <c r="E249" i="14"/>
  <c r="E237" i="14"/>
  <c r="E205" i="14"/>
  <c r="E193" i="14"/>
  <c r="E169" i="14"/>
  <c r="E165" i="14"/>
  <c r="E161" i="14"/>
  <c r="E121" i="14"/>
  <c r="E112" i="14"/>
  <c r="E108" i="14"/>
  <c r="E104" i="14"/>
  <c r="E84" i="14"/>
  <c r="E80" i="14"/>
  <c r="E68" i="14"/>
  <c r="E52" i="14"/>
  <c r="E36" i="14"/>
  <c r="E964" i="14"/>
  <c r="E960" i="14"/>
  <c r="E956" i="14"/>
  <c r="E952" i="14"/>
  <c r="E948" i="14"/>
  <c r="E944" i="14"/>
  <c r="E940" i="14"/>
  <c r="E936" i="14"/>
  <c r="E932" i="14"/>
  <c r="E928" i="14"/>
  <c r="E924" i="14"/>
  <c r="E920" i="14"/>
  <c r="E916" i="14"/>
  <c r="E912" i="14"/>
  <c r="E908" i="14"/>
  <c r="E904" i="14"/>
  <c r="E900" i="14"/>
  <c r="E896" i="14"/>
  <c r="E892" i="14"/>
  <c r="E888" i="14"/>
  <c r="E884" i="14"/>
  <c r="E880" i="14"/>
  <c r="E876" i="14"/>
  <c r="E872" i="14"/>
  <c r="E868" i="14"/>
  <c r="E864" i="14"/>
  <c r="E860" i="14"/>
  <c r="E856" i="14"/>
  <c r="E852" i="14"/>
  <c r="E848" i="14"/>
  <c r="E844" i="14"/>
  <c r="E840" i="14"/>
  <c r="E836" i="14"/>
  <c r="E832" i="14"/>
  <c r="E828" i="14"/>
  <c r="E824" i="14"/>
  <c r="E820" i="14"/>
  <c r="E816" i="14"/>
  <c r="E812" i="14"/>
  <c r="E808" i="14"/>
  <c r="E804" i="14"/>
  <c r="E800" i="14"/>
  <c r="E796" i="14"/>
  <c r="E792" i="14"/>
  <c r="E788" i="14"/>
  <c r="E784" i="14"/>
  <c r="E780" i="14"/>
  <c r="E776" i="14"/>
  <c r="E772" i="14"/>
  <c r="E768" i="14"/>
  <c r="E764" i="14"/>
  <c r="E760" i="14"/>
  <c r="E756" i="14"/>
  <c r="E752" i="14"/>
  <c r="E748" i="14"/>
  <c r="E744" i="14"/>
  <c r="E740" i="14"/>
  <c r="E736" i="14"/>
  <c r="E732" i="14"/>
  <c r="E728" i="14"/>
  <c r="E724" i="14"/>
  <c r="E720" i="14"/>
  <c r="E716" i="14"/>
  <c r="E712" i="14"/>
  <c r="E708" i="14"/>
  <c r="E704" i="14"/>
  <c r="E700" i="14"/>
  <c r="E696" i="14"/>
  <c r="E692" i="14"/>
  <c r="E688" i="14"/>
  <c r="E684" i="14"/>
  <c r="E680" i="14"/>
  <c r="E676" i="14"/>
  <c r="E672" i="14"/>
  <c r="E668" i="14"/>
  <c r="E664" i="14"/>
  <c r="E660" i="14"/>
  <c r="E656" i="14"/>
  <c r="E652" i="14"/>
  <c r="E644" i="14"/>
  <c r="E640" i="14"/>
  <c r="E636" i="14"/>
  <c r="E632" i="14"/>
  <c r="E628" i="14"/>
  <c r="E624" i="14"/>
  <c r="E620" i="14"/>
  <c r="E616" i="14"/>
  <c r="E612" i="14"/>
  <c r="E608" i="14"/>
  <c r="E604" i="14"/>
  <c r="E600" i="14"/>
  <c r="E596" i="14"/>
  <c r="E592" i="14"/>
  <c r="E588" i="14"/>
  <c r="E584" i="14"/>
  <c r="E580" i="14"/>
  <c r="E576" i="14"/>
  <c r="E572" i="14"/>
  <c r="E568" i="14"/>
  <c r="E564" i="14"/>
  <c r="E560" i="14"/>
  <c r="E556" i="14"/>
  <c r="E552" i="14"/>
  <c r="E548" i="14"/>
  <c r="E544" i="14"/>
  <c r="E540" i="14"/>
  <c r="E536" i="14"/>
  <c r="E532" i="14"/>
  <c r="E528" i="14"/>
  <c r="E524" i="14"/>
  <c r="E520" i="14"/>
  <c r="E516" i="14"/>
  <c r="E512" i="14"/>
  <c r="E504" i="14"/>
  <c r="E500" i="14"/>
  <c r="E496" i="14"/>
  <c r="E492" i="14"/>
  <c r="E488" i="14"/>
  <c r="E484" i="14"/>
  <c r="E480" i="14"/>
  <c r="E476" i="14"/>
  <c r="E472" i="14"/>
  <c r="E468" i="14"/>
  <c r="E464" i="14"/>
  <c r="E460" i="14"/>
  <c r="E456" i="14"/>
  <c r="E452" i="14"/>
  <c r="E448" i="14"/>
  <c r="E444" i="14"/>
  <c r="E440" i="14"/>
  <c r="E436" i="14"/>
  <c r="E432" i="14"/>
  <c r="E428" i="14"/>
  <c r="E424" i="14"/>
  <c r="E420" i="14"/>
  <c r="E416" i="14"/>
  <c r="E412" i="14"/>
  <c r="E408" i="14"/>
  <c r="E404" i="14"/>
  <c r="E400" i="14"/>
  <c r="E396" i="14"/>
  <c r="E392" i="14"/>
  <c r="E388" i="14"/>
  <c r="E384" i="14"/>
  <c r="E380" i="14"/>
  <c r="E376" i="14"/>
  <c r="E364" i="14"/>
  <c r="E288" i="14"/>
  <c r="E284" i="14"/>
  <c r="E272" i="14"/>
  <c r="E248" i="14"/>
  <c r="E236" i="14"/>
  <c r="E204" i="14"/>
  <c r="E196" i="14"/>
  <c r="E192" i="14"/>
  <c r="E168" i="14"/>
  <c r="E164" i="14"/>
  <c r="E120" i="14"/>
  <c r="E111" i="14"/>
  <c r="E107" i="14"/>
  <c r="E103" i="14"/>
  <c r="E83" i="14"/>
  <c r="E79" i="14"/>
  <c r="E67" i="14"/>
  <c r="E51" i="14"/>
  <c r="E963" i="14"/>
  <c r="E959" i="14"/>
  <c r="E955" i="14"/>
  <c r="E951" i="14"/>
  <c r="E947" i="14"/>
  <c r="E943" i="14"/>
  <c r="E939" i="14"/>
  <c r="E935" i="14"/>
  <c r="E931" i="14"/>
  <c r="E927" i="14"/>
  <c r="E923" i="14"/>
  <c r="E919" i="14"/>
  <c r="E915" i="14"/>
  <c r="E911" i="14"/>
  <c r="E907" i="14"/>
  <c r="E903" i="14"/>
  <c r="E899" i="14"/>
  <c r="E895" i="14"/>
  <c r="E891" i="14"/>
  <c r="E887" i="14"/>
  <c r="E883" i="14"/>
  <c r="E879" i="14"/>
  <c r="E875" i="14"/>
  <c r="E871" i="14"/>
  <c r="E867" i="14"/>
  <c r="E863" i="14"/>
  <c r="E859" i="14"/>
  <c r="E855" i="14"/>
  <c r="E851" i="14"/>
  <c r="E847" i="14"/>
  <c r="E843" i="14"/>
  <c r="E839" i="14"/>
  <c r="E835" i="14"/>
  <c r="E831" i="14"/>
  <c r="E827" i="14"/>
  <c r="E823" i="14"/>
  <c r="E819" i="14"/>
  <c r="E815" i="14"/>
  <c r="E811" i="14"/>
  <c r="E807" i="14"/>
  <c r="E803" i="14"/>
  <c r="E799" i="14"/>
  <c r="E795" i="14"/>
  <c r="E791" i="14"/>
  <c r="E787" i="14"/>
  <c r="E783" i="14"/>
  <c r="E779" i="14"/>
  <c r="E775" i="14"/>
  <c r="E771" i="14"/>
  <c r="E767" i="14"/>
  <c r="E763" i="14"/>
  <c r="E759" i="14"/>
  <c r="E755" i="14"/>
  <c r="E751" i="14"/>
  <c r="E747" i="14"/>
  <c r="E743" i="14"/>
  <c r="E739" i="14"/>
  <c r="E735" i="14"/>
  <c r="E731" i="14"/>
  <c r="E727" i="14"/>
  <c r="E723" i="14"/>
  <c r="E719" i="14"/>
  <c r="E715" i="14"/>
  <c r="E711" i="14"/>
  <c r="E707" i="14"/>
  <c r="E703" i="14"/>
  <c r="E699" i="14"/>
  <c r="E695" i="14"/>
  <c r="E691" i="14"/>
  <c r="E687" i="14"/>
  <c r="E683" i="14"/>
  <c r="E679" i="14"/>
  <c r="E675" i="14"/>
  <c r="E671" i="14"/>
  <c r="E667" i="14"/>
  <c r="E663" i="14"/>
  <c r="E659" i="14"/>
  <c r="E655" i="14"/>
  <c r="E651" i="14"/>
  <c r="E643" i="14"/>
  <c r="E639" i="14"/>
  <c r="E635" i="14"/>
  <c r="E631" i="14"/>
  <c r="E627" i="14"/>
  <c r="E623" i="14"/>
  <c r="E619" i="14"/>
  <c r="E615" i="14"/>
  <c r="E611" i="14"/>
  <c r="E607" i="14"/>
  <c r="E603" i="14"/>
  <c r="E599" i="14"/>
  <c r="E595" i="14"/>
  <c r="E591" i="14"/>
  <c r="E587" i="14"/>
  <c r="E583" i="14"/>
  <c r="E579" i="14"/>
  <c r="E575" i="14"/>
  <c r="E571" i="14"/>
  <c r="E567" i="14"/>
  <c r="E563" i="14"/>
  <c r="E559" i="14"/>
  <c r="E555" i="14"/>
  <c r="E551" i="14"/>
  <c r="E547" i="14"/>
  <c r="E543" i="14"/>
  <c r="E539" i="14"/>
  <c r="E535" i="14"/>
  <c r="E531" i="14"/>
  <c r="E527" i="14"/>
  <c r="E523" i="14"/>
  <c r="E519" i="14"/>
  <c r="E515" i="14"/>
  <c r="E511" i="14"/>
  <c r="E507" i="14"/>
  <c r="E503" i="14"/>
  <c r="E499" i="14"/>
  <c r="E495" i="14"/>
  <c r="E491" i="14"/>
  <c r="E487" i="14"/>
  <c r="E483" i="14"/>
  <c r="E479" i="14"/>
  <c r="E475" i="14"/>
  <c r="E471" i="14"/>
  <c r="E467" i="14"/>
  <c r="E463" i="14"/>
  <c r="E459" i="14"/>
  <c r="E455" i="14"/>
  <c r="E451" i="14"/>
  <c r="E447" i="14"/>
  <c r="E443" i="14"/>
  <c r="E439" i="14"/>
  <c r="E435" i="14"/>
  <c r="E431" i="14"/>
  <c r="E427" i="14"/>
  <c r="E423" i="14"/>
  <c r="E419" i="14"/>
  <c r="E415" i="14"/>
  <c r="E411" i="14"/>
  <c r="E407" i="14"/>
  <c r="E403" i="14"/>
  <c r="E399" i="14"/>
  <c r="E395" i="14"/>
  <c r="E391" i="14"/>
  <c r="E387" i="14"/>
  <c r="E383" i="14"/>
  <c r="E375" i="14"/>
  <c r="E367" i="14"/>
  <c r="E363" i="14"/>
  <c r="E287" i="14"/>
  <c r="E283" i="14"/>
  <c r="E203" i="14"/>
  <c r="E195" i="14"/>
  <c r="E191" i="14"/>
  <c r="E167" i="14"/>
  <c r="E163" i="14"/>
  <c r="E119" i="14"/>
  <c r="E110" i="14"/>
  <c r="E106" i="14"/>
  <c r="E102" i="14"/>
  <c r="E82" i="14"/>
  <c r="E78" i="14"/>
  <c r="E70" i="14"/>
  <c r="E66" i="14"/>
  <c r="E50" i="14"/>
  <c r="E22" i="14"/>
  <c r="C5" i="13"/>
  <c r="C4" i="13"/>
  <c r="C3" i="13"/>
  <c r="C2" i="13"/>
  <c r="C8" i="13"/>
  <c r="C7" i="13"/>
  <c r="C6" i="13"/>
  <c r="C9" i="13"/>
  <c r="C14" i="13"/>
  <c r="C13" i="13"/>
  <c r="C12" i="13"/>
  <c r="C11" i="13"/>
  <c r="C10" i="13"/>
  <c r="E35" i="14"/>
  <c r="C46" i="13"/>
  <c r="C45" i="13"/>
  <c r="C44" i="13"/>
  <c r="C43" i="13"/>
  <c r="C38" i="13"/>
  <c r="C35" i="13"/>
  <c r="C34" i="13"/>
  <c r="C41" i="13"/>
  <c r="C37" i="13"/>
  <c r="C40" i="13"/>
  <c r="C39" i="13"/>
  <c r="C36" i="13"/>
  <c r="C33" i="13"/>
  <c r="C42" i="13"/>
  <c r="C31" i="13"/>
  <c r="C30" i="13"/>
  <c r="C29" i="13"/>
  <c r="C28" i="13"/>
  <c r="C26" i="13"/>
  <c r="C23" i="13"/>
  <c r="C22" i="13"/>
  <c r="C19" i="13"/>
  <c r="C16" i="13"/>
  <c r="C18" i="13"/>
  <c r="C15" i="13"/>
  <c r="C27" i="13"/>
  <c r="C24" i="13"/>
  <c r="C21" i="13"/>
  <c r="C32" i="13"/>
  <c r="C25" i="13"/>
  <c r="C20" i="13"/>
  <c r="C17" i="13"/>
  <c r="E73" i="14"/>
  <c r="E75" i="14"/>
  <c r="E290" i="14"/>
  <c r="E170" i="14"/>
  <c r="E76" i="14"/>
  <c r="E74" i="14"/>
  <c r="E292" i="14"/>
  <c r="E172" i="14"/>
  <c r="E72" i="14"/>
  <c r="E291" i="14"/>
  <c r="E171" i="14"/>
  <c r="E71" i="14"/>
  <c r="E60" i="14"/>
  <c r="E48" i="14"/>
  <c r="E11" i="14"/>
  <c r="L7" i="14"/>
  <c r="L6" i="14"/>
  <c r="E23" i="14"/>
  <c r="E276" i="14"/>
  <c r="E252" i="14"/>
  <c r="E240" i="14"/>
  <c r="E59" i="14"/>
  <c r="E47" i="14"/>
  <c r="E12" i="14"/>
  <c r="L4" i="14"/>
  <c r="E8" i="14"/>
  <c r="E370" i="14"/>
  <c r="E116" i="14"/>
  <c r="E92" i="14"/>
  <c r="E44" i="14"/>
  <c r="E32" i="14"/>
  <c r="E88" i="14"/>
  <c r="E31" i="14"/>
  <c r="E19" i="14"/>
  <c r="L2" i="14"/>
  <c r="E115" i="14"/>
  <c r="E184" i="14"/>
  <c r="E160" i="14"/>
  <c r="E148" i="14"/>
  <c r="E39" i="14"/>
  <c r="E348" i="14"/>
  <c r="E180" i="14"/>
  <c r="E89" i="14"/>
  <c r="E123" i="14"/>
  <c r="E99" i="14"/>
  <c r="E156" i="14"/>
  <c r="E132" i="14"/>
  <c r="E40" i="14"/>
  <c r="E28" i="14"/>
  <c r="E309" i="14"/>
  <c r="E225" i="14"/>
  <c r="E213" i="14"/>
  <c r="E189" i="14"/>
  <c r="E177" i="14"/>
  <c r="E153" i="14"/>
  <c r="E141" i="14"/>
  <c r="E129" i="14"/>
  <c r="E27" i="14"/>
  <c r="E38" i="14"/>
  <c r="E26" i="14"/>
  <c r="E24" i="14"/>
  <c r="E275" i="14"/>
  <c r="E251" i="14"/>
  <c r="E239" i="14"/>
  <c r="E95" i="14"/>
  <c r="L5" i="14"/>
  <c r="E10" i="14"/>
  <c r="E9" i="14"/>
  <c r="E356" i="14"/>
  <c r="E320" i="14"/>
  <c r="E308" i="14"/>
  <c r="E296" i="14"/>
  <c r="E224" i="14"/>
  <c r="E212" i="14"/>
  <c r="E200" i="14"/>
  <c r="E188" i="14"/>
  <c r="E176" i="14"/>
  <c r="E152" i="14"/>
  <c r="E140" i="14"/>
  <c r="E368" i="14"/>
  <c r="E199" i="14"/>
  <c r="E208" i="14"/>
  <c r="E100" i="14"/>
  <c r="E64" i="14"/>
  <c r="E16" i="14"/>
  <c r="L3" i="14"/>
  <c r="E350" i="14"/>
  <c r="E338" i="14"/>
  <c r="E326" i="14"/>
  <c r="E14" i="14"/>
  <c r="E371" i="14"/>
  <c r="E334" i="14"/>
  <c r="E226" i="14"/>
  <c r="E190" i="14"/>
  <c r="E154" i="14"/>
  <c r="E130" i="14"/>
  <c r="E128" i="14"/>
  <c r="E56" i="14"/>
  <c r="E55" i="14"/>
  <c r="E54" i="14"/>
  <c r="E42" i="14"/>
  <c r="E29" i="14"/>
  <c r="E17" i="14"/>
  <c r="E63" i="14"/>
  <c r="E15" i="14"/>
  <c r="E314" i="14"/>
  <c r="E302" i="14"/>
  <c r="E266" i="14"/>
  <c r="E254" i="14"/>
  <c r="E230" i="14"/>
  <c r="E218" i="14"/>
  <c r="E206" i="14"/>
  <c r="E182" i="14"/>
  <c r="E158" i="14"/>
  <c r="E146" i="14"/>
  <c r="E134" i="14"/>
  <c r="E122" i="14"/>
  <c r="E98" i="14"/>
  <c r="E86" i="14"/>
  <c r="E62" i="14"/>
  <c r="E61" i="14"/>
  <c r="E49" i="14"/>
  <c r="E13" i="14"/>
  <c r="E359" i="14"/>
  <c r="E323" i="14"/>
  <c r="E311" i="14"/>
  <c r="E263" i="14"/>
  <c r="E227" i="14"/>
  <c r="E215" i="14"/>
  <c r="E179" i="14"/>
  <c r="E155" i="14"/>
  <c r="E143" i="14"/>
  <c r="E131" i="14"/>
  <c r="E118" i="14"/>
  <c r="E94" i="14"/>
  <c r="E58" i="14"/>
  <c r="E46" i="14"/>
  <c r="E34" i="14"/>
  <c r="E369" i="14"/>
  <c r="E117" i="14"/>
  <c r="E93" i="14"/>
  <c r="E57" i="14"/>
  <c r="E45" i="14"/>
  <c r="E33" i="14"/>
  <c r="E211" i="14"/>
  <c r="E187" i="14"/>
  <c r="E175" i="14"/>
  <c r="E151" i="14"/>
  <c r="E139" i="14"/>
  <c r="E127" i="14"/>
  <c r="E91" i="14"/>
  <c r="E43" i="14"/>
  <c r="E222" i="14"/>
  <c r="E210" i="14"/>
  <c r="E198" i="14"/>
  <c r="E174" i="14"/>
  <c r="E138" i="14"/>
  <c r="E126" i="14"/>
  <c r="E114" i="14"/>
  <c r="E90" i="14"/>
  <c r="E30" i="14"/>
  <c r="E18" i="14"/>
  <c r="E353" i="14"/>
  <c r="E341" i="14"/>
  <c r="E329" i="14"/>
  <c r="E317" i="14"/>
  <c r="E293" i="14"/>
  <c r="E269" i="14"/>
  <c r="E233" i="14"/>
  <c r="E221" i="14"/>
  <c r="E197" i="14"/>
  <c r="E185" i="14"/>
  <c r="E173" i="14"/>
  <c r="E149" i="14"/>
  <c r="E137" i="14"/>
  <c r="E125" i="14"/>
  <c r="E53" i="14"/>
  <c r="E41" i="14"/>
  <c r="E183" i="14"/>
  <c r="E147" i="14"/>
  <c r="E87" i="14"/>
  <c r="E253" i="14"/>
  <c r="E241" i="14"/>
  <c r="E181" i="14"/>
  <c r="E145" i="14"/>
  <c r="E133" i="14"/>
  <c r="E97" i="14"/>
  <c r="E25" i="14"/>
  <c r="E344" i="14"/>
  <c r="E339" i="14"/>
  <c r="E299" i="14"/>
  <c r="E300" i="14"/>
  <c r="E260" i="14"/>
  <c r="E242" i="14"/>
  <c r="E332" i="14"/>
  <c r="E347" i="14"/>
  <c r="E209" i="14"/>
  <c r="E232" i="14"/>
  <c r="E255" i="14"/>
  <c r="E335" i="14"/>
  <c r="E216" i="14"/>
  <c r="E231" i="14"/>
  <c r="E257" i="14"/>
  <c r="E259" i="14"/>
  <c r="E313" i="14"/>
  <c r="E357" i="14"/>
  <c r="E271" i="14"/>
  <c r="E264" i="14"/>
  <c r="E324" i="14"/>
  <c r="E307" i="14"/>
  <c r="E328" i="14"/>
  <c r="E354" i="14"/>
  <c r="E234" i="14"/>
  <c r="E343" i="14"/>
  <c r="E144" i="14"/>
  <c r="E223" i="14"/>
  <c r="E301" i="14"/>
  <c r="E278" i="14"/>
  <c r="E279" i="14"/>
  <c r="E321" i="14"/>
  <c r="E327" i="14"/>
  <c r="E349" i="14"/>
  <c r="E319" i="14"/>
  <c r="E336" i="14"/>
  <c r="E295" i="14"/>
  <c r="E325" i="14"/>
  <c r="E340" i="14"/>
  <c r="E360" i="14"/>
  <c r="E244" i="14"/>
  <c r="E256" i="14"/>
  <c r="E261" i="14"/>
  <c r="E267" i="14"/>
  <c r="E361" i="14"/>
  <c r="E96" i="14"/>
  <c r="E135" i="14"/>
  <c r="E142" i="14"/>
  <c r="E150" i="14"/>
  <c r="E159" i="14"/>
  <c r="E186" i="14"/>
  <c r="E214" i="14"/>
  <c r="E235" i="14"/>
  <c r="E304" i="14"/>
  <c r="E333" i="14"/>
  <c r="E342" i="14"/>
  <c r="E358" i="14"/>
  <c r="E124" i="14"/>
  <c r="E136" i="14"/>
  <c r="E157" i="14"/>
  <c r="E178" i="14"/>
  <c r="E202" i="14"/>
  <c r="E207" i="14"/>
  <c r="E219" i="14"/>
  <c r="E220" i="14"/>
  <c r="E229" i="14"/>
  <c r="E246" i="14"/>
  <c r="E265" i="14"/>
  <c r="E280" i="14"/>
  <c r="E315" i="14"/>
  <c r="E352" i="14"/>
  <c r="E372" i="14"/>
  <c r="E305" i="14"/>
  <c r="E245" i="14"/>
  <c r="E247" i="14"/>
  <c r="E268" i="14"/>
  <c r="E277" i="14"/>
  <c r="E294" i="14"/>
  <c r="E298" i="14"/>
  <c r="E312" i="14"/>
  <c r="E316" i="14"/>
  <c r="E322" i="14"/>
  <c r="E330" i="14"/>
  <c r="E258" i="14"/>
  <c r="E243" i="14"/>
  <c r="E345" i="14"/>
  <c r="E303" i="14"/>
  <c r="E201" i="14"/>
  <c r="E228" i="14"/>
  <c r="E262" i="14"/>
  <c r="E318" i="14"/>
  <c r="E351" i="14"/>
  <c r="E217" i="14"/>
  <c r="E270" i="14"/>
  <c r="E306" i="14"/>
  <c r="E331" i="14"/>
  <c r="E297" i="14"/>
  <c r="E310" i="14"/>
  <c r="E337" i="14"/>
  <c r="E346" i="14"/>
  <c r="E355" i="14"/>
  <c r="E373" i="14"/>
  <c r="L178" i="14"/>
  <c r="L177" i="14"/>
  <c r="L176" i="14"/>
  <c r="E3" i="14"/>
  <c r="E4" i="14"/>
  <c r="E5" i="14"/>
  <c r="E6" i="14"/>
  <c r="E7" i="14"/>
  <c r="L38" i="14"/>
  <c r="L34" i="14"/>
  <c r="L31" i="14"/>
  <c r="L25" i="14"/>
  <c r="L19" i="14"/>
  <c r="L18" i="14"/>
  <c r="L13" i="14"/>
  <c r="L8" i="14"/>
  <c r="L33" i="14"/>
  <c r="L32" i="14"/>
  <c r="L27" i="14"/>
  <c r="L23" i="14"/>
  <c r="L16" i="14"/>
  <c r="L10" i="14"/>
  <c r="L379" i="14"/>
  <c r="L378" i="14"/>
  <c r="L373" i="14"/>
  <c r="L372" i="14"/>
  <c r="L371" i="14"/>
  <c r="L370" i="14"/>
  <c r="L369" i="14"/>
  <c r="L368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0" i="14"/>
  <c r="L279" i="14"/>
  <c r="L278" i="14"/>
  <c r="L277" i="14"/>
  <c r="L276" i="14"/>
  <c r="L275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47" i="14"/>
  <c r="L246" i="14"/>
  <c r="L245" i="14"/>
  <c r="L244" i="14"/>
  <c r="L243" i="14"/>
  <c r="L242" i="14"/>
  <c r="L241" i="14"/>
  <c r="L240" i="14"/>
  <c r="L239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2" i="14"/>
  <c r="L201" i="14"/>
  <c r="L200" i="14"/>
  <c r="L199" i="14"/>
  <c r="L198" i="14"/>
  <c r="L197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61" i="14"/>
  <c r="L59" i="14"/>
  <c r="L58" i="14"/>
  <c r="L57" i="14"/>
  <c r="L56" i="14"/>
  <c r="L54" i="14"/>
  <c r="L45" i="14"/>
  <c r="L44" i="14"/>
  <c r="L42" i="14"/>
  <c r="L41" i="14"/>
  <c r="L40" i="14"/>
  <c r="L39" i="14"/>
  <c r="L29" i="14"/>
  <c r="L28" i="14"/>
  <c r="L24" i="14"/>
  <c r="L14" i="14"/>
  <c r="L11" i="14"/>
  <c r="L175" i="14"/>
  <c r="L174" i="14"/>
  <c r="L173" i="14"/>
  <c r="L172" i="14"/>
  <c r="L171" i="14"/>
  <c r="L170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18" i="14"/>
  <c r="L117" i="14"/>
  <c r="L116" i="14"/>
  <c r="L115" i="14"/>
  <c r="L114" i="14"/>
  <c r="L113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76" i="14"/>
  <c r="L75" i="14"/>
  <c r="L74" i="14"/>
  <c r="L73" i="14"/>
  <c r="L72" i="14"/>
  <c r="L71" i="14"/>
  <c r="L64" i="14"/>
  <c r="L63" i="14"/>
  <c r="L62" i="14"/>
  <c r="L60" i="14"/>
  <c r="L55" i="14"/>
  <c r="L53" i="14"/>
  <c r="L49" i="14"/>
  <c r="L48" i="14"/>
  <c r="L47" i="14"/>
  <c r="L46" i="14"/>
  <c r="L43" i="14"/>
  <c r="L30" i="14"/>
  <c r="L26" i="14"/>
  <c r="L17" i="14"/>
  <c r="L15" i="14"/>
  <c r="L12" i="14"/>
  <c r="L9" i="14"/>
  <c r="K2" i="14"/>
  <c r="K8" i="14"/>
  <c r="H683" i="14"/>
  <c r="G684" i="14"/>
  <c r="H685" i="14"/>
  <c r="K683" i="14"/>
  <c r="E648" i="14"/>
  <c r="E647" i="14"/>
  <c r="K684" i="14"/>
  <c r="K508" i="14"/>
  <c r="H508" i="14"/>
  <c r="L647" i="14"/>
  <c r="L377" i="14"/>
  <c r="G377" i="14"/>
  <c r="K507" i="14"/>
  <c r="H507" i="14"/>
  <c r="L508" i="14"/>
  <c r="G683" i="14"/>
  <c r="H684" i="14"/>
  <c r="G685" i="14"/>
  <c r="K685" i="14"/>
  <c r="E508" i="14"/>
  <c r="K506" i="14"/>
  <c r="H506" i="14"/>
  <c r="L507" i="14"/>
  <c r="L684" i="14"/>
  <c r="E379" i="14"/>
  <c r="E378" i="14"/>
  <c r="E377" i="14"/>
  <c r="G427" i="14"/>
  <c r="G402" i="14"/>
  <c r="G672" i="14"/>
  <c r="G185" i="14"/>
  <c r="G87" i="14"/>
  <c r="G132" i="14"/>
  <c r="G641" i="14"/>
  <c r="G61" i="14"/>
  <c r="G90" i="14"/>
  <c r="G28" i="14"/>
  <c r="G30" i="14"/>
  <c r="G31" i="14"/>
  <c r="G36" i="14"/>
  <c r="G78" i="14"/>
  <c r="G51" i="14"/>
  <c r="G73" i="14"/>
  <c r="G34" i="14"/>
  <c r="G57" i="14"/>
  <c r="G91" i="14"/>
  <c r="G40" i="14"/>
  <c r="G47" i="14"/>
  <c r="G55" i="14"/>
  <c r="G44" i="14"/>
  <c r="G74" i="14"/>
  <c r="G82" i="14"/>
  <c r="G142" i="14"/>
  <c r="G371" i="14"/>
  <c r="G144" i="14"/>
  <c r="G145" i="14"/>
  <c r="G344" i="14"/>
  <c r="G960" i="14"/>
  <c r="G915" i="14"/>
  <c r="G920" i="14"/>
  <c r="G962" i="14"/>
  <c r="G952" i="14"/>
  <c r="G954" i="14"/>
  <c r="G33" i="14"/>
  <c r="G54" i="14"/>
  <c r="G72" i="14"/>
  <c r="G130" i="14"/>
  <c r="G131" i="14"/>
  <c r="G12" i="14"/>
  <c r="G20" i="14"/>
  <c r="G22" i="14"/>
  <c r="G76" i="14"/>
  <c r="G150" i="14"/>
  <c r="G158" i="14"/>
  <c r="G166" i="14"/>
  <c r="G174" i="14"/>
  <c r="G4" i="14"/>
  <c r="G38" i="14"/>
  <c r="G80" i="14"/>
  <c r="G126" i="14"/>
  <c r="G129" i="14"/>
  <c r="G25" i="14"/>
  <c r="G42" i="14"/>
  <c r="G69" i="14"/>
  <c r="G84" i="14"/>
  <c r="G148" i="14"/>
  <c r="G156" i="14"/>
  <c r="G164" i="14"/>
  <c r="G172" i="14"/>
  <c r="G180" i="14"/>
  <c r="G46" i="14"/>
  <c r="G63" i="14"/>
  <c r="G67" i="14"/>
  <c r="G24" i="14"/>
  <c r="G50" i="14"/>
  <c r="G128" i="14"/>
  <c r="G146" i="14"/>
  <c r="G154" i="14"/>
  <c r="G162" i="14"/>
  <c r="G170" i="14"/>
  <c r="G178" i="14"/>
  <c r="G182" i="14"/>
  <c r="G6" i="14"/>
  <c r="G8" i="14"/>
  <c r="G29" i="14"/>
  <c r="G60" i="14"/>
  <c r="G89" i="14"/>
  <c r="G186" i="14"/>
  <c r="G23" i="14"/>
  <c r="G59" i="14"/>
  <c r="G127" i="14"/>
  <c r="G152" i="14"/>
  <c r="G160" i="14"/>
  <c r="G168" i="14"/>
  <c r="G176" i="14"/>
  <c r="G187" i="14"/>
  <c r="G193" i="14"/>
  <c r="G208" i="14"/>
  <c r="G227" i="14"/>
  <c r="G234" i="14"/>
  <c r="G281" i="14"/>
  <c r="G285" i="14"/>
  <c r="G311" i="14"/>
  <c r="G313" i="14"/>
  <c r="G331" i="14"/>
  <c r="G357" i="14"/>
  <c r="G379" i="14"/>
  <c r="G200" i="14"/>
  <c r="G207" i="14"/>
  <c r="G212" i="14"/>
  <c r="G224" i="14"/>
  <c r="G226" i="14"/>
  <c r="G231" i="14"/>
  <c r="G242" i="14"/>
  <c r="G250" i="14"/>
  <c r="G258" i="14"/>
  <c r="G266" i="14"/>
  <c r="G274" i="14"/>
  <c r="G293" i="14"/>
  <c r="G319" i="14"/>
  <c r="G321" i="14"/>
  <c r="G339" i="14"/>
  <c r="G347" i="14"/>
  <c r="G360" i="14"/>
  <c r="G364" i="14"/>
  <c r="G372" i="14"/>
  <c r="J44" i="13"/>
  <c r="J36" i="13"/>
  <c r="J28" i="13"/>
  <c r="J43" i="13"/>
  <c r="J35" i="13"/>
  <c r="J27" i="13"/>
  <c r="J42" i="13"/>
  <c r="J34" i="13"/>
  <c r="J26" i="13"/>
  <c r="J41" i="13"/>
  <c r="J33" i="13"/>
  <c r="J25" i="13"/>
  <c r="E20" i="14"/>
  <c r="J40" i="13"/>
  <c r="J32" i="13"/>
  <c r="J39" i="13"/>
  <c r="J31" i="13"/>
  <c r="J46" i="13"/>
  <c r="J38" i="13"/>
  <c r="J30" i="13"/>
  <c r="J22" i="13"/>
  <c r="J45" i="13"/>
  <c r="J37" i="13"/>
  <c r="J29" i="13"/>
  <c r="J18" i="13"/>
  <c r="J9" i="13"/>
  <c r="J17" i="13"/>
  <c r="J21" i="13"/>
  <c r="J16" i="13"/>
  <c r="J7" i="13"/>
  <c r="J24" i="13"/>
  <c r="J23" i="13"/>
  <c r="J20" i="13"/>
  <c r="J15" i="13"/>
  <c r="J12" i="13"/>
  <c r="J6" i="13"/>
  <c r="J14" i="13"/>
  <c r="J5" i="13"/>
  <c r="J19" i="13"/>
  <c r="J13" i="13"/>
  <c r="J4" i="13"/>
  <c r="J11" i="13"/>
  <c r="J2" i="13"/>
  <c r="J8" i="13"/>
  <c r="J10" i="13"/>
  <c r="J3" i="13"/>
  <c r="G189" i="14"/>
  <c r="G211" i="14"/>
  <c r="G216" i="14"/>
  <c r="G230" i="14"/>
  <c r="G236" i="14"/>
  <c r="G283" i="14"/>
  <c r="G301" i="14"/>
  <c r="G327" i="14"/>
  <c r="G329" i="14"/>
  <c r="G195" i="14"/>
  <c r="G215" i="14"/>
  <c r="G220" i="14"/>
  <c r="G240" i="14"/>
  <c r="G248" i="14"/>
  <c r="G256" i="14"/>
  <c r="G264" i="14"/>
  <c r="G272" i="14"/>
  <c r="G280" i="14"/>
  <c r="G291" i="14"/>
  <c r="G309" i="14"/>
  <c r="G335" i="14"/>
  <c r="G337" i="14"/>
  <c r="G345" i="14"/>
  <c r="G365" i="14"/>
  <c r="G369" i="14"/>
  <c r="I45" i="13"/>
  <c r="I37" i="13"/>
  <c r="I29" i="13"/>
  <c r="I44" i="13"/>
  <c r="I36" i="13"/>
  <c r="I28" i="13"/>
  <c r="I43" i="13"/>
  <c r="I35" i="13"/>
  <c r="I27" i="13"/>
  <c r="I42" i="13"/>
  <c r="I34" i="13"/>
  <c r="I26" i="13"/>
  <c r="I41" i="13"/>
  <c r="I33" i="13"/>
  <c r="I40" i="13"/>
  <c r="I32" i="13"/>
  <c r="E101" i="14"/>
  <c r="I39" i="13"/>
  <c r="I31" i="13"/>
  <c r="I23" i="13"/>
  <c r="I46" i="13"/>
  <c r="I38" i="13"/>
  <c r="I30" i="13"/>
  <c r="I18" i="13"/>
  <c r="I10" i="13"/>
  <c r="I17" i="13"/>
  <c r="I11" i="13"/>
  <c r="I8" i="13"/>
  <c r="I22" i="13"/>
  <c r="I21" i="13"/>
  <c r="I16" i="13"/>
  <c r="I7" i="13"/>
  <c r="I24" i="13"/>
  <c r="I20" i="13"/>
  <c r="I15" i="13"/>
  <c r="I12" i="13"/>
  <c r="I6" i="13"/>
  <c r="I25" i="13"/>
  <c r="I14" i="13"/>
  <c r="I5" i="13"/>
  <c r="I19" i="13"/>
  <c r="I13" i="13"/>
  <c r="I4" i="13"/>
  <c r="I3" i="13"/>
  <c r="I2" i="13"/>
  <c r="I9" i="13"/>
  <c r="G39" i="13"/>
  <c r="G31" i="13"/>
  <c r="G46" i="13"/>
  <c r="G38" i="13"/>
  <c r="G30" i="13"/>
  <c r="G45" i="13"/>
  <c r="G37" i="13"/>
  <c r="G29" i="13"/>
  <c r="G44" i="13"/>
  <c r="G36" i="13"/>
  <c r="G28" i="13"/>
  <c r="G43" i="13"/>
  <c r="G35" i="13"/>
  <c r="G42" i="13"/>
  <c r="G34" i="13"/>
  <c r="E113" i="14"/>
  <c r="G41" i="13"/>
  <c r="G33" i="13"/>
  <c r="G25" i="13"/>
  <c r="G40" i="13"/>
  <c r="G32" i="13"/>
  <c r="G14" i="13"/>
  <c r="G26" i="13"/>
  <c r="G19" i="13"/>
  <c r="G13" i="13"/>
  <c r="G27" i="13"/>
  <c r="G18" i="13"/>
  <c r="G10" i="13"/>
  <c r="G9" i="13"/>
  <c r="G17" i="13"/>
  <c r="G11" i="13"/>
  <c r="G8" i="13"/>
  <c r="G24" i="13"/>
  <c r="G23" i="13"/>
  <c r="G22" i="13"/>
  <c r="G21" i="13"/>
  <c r="G16" i="13"/>
  <c r="G7" i="13"/>
  <c r="G20" i="13"/>
  <c r="G15" i="13"/>
  <c r="G12" i="13"/>
  <c r="G5" i="13"/>
  <c r="G6" i="13"/>
  <c r="G2" i="13"/>
  <c r="G3" i="13"/>
  <c r="G4" i="13"/>
  <c r="G202" i="14"/>
  <c r="G219" i="14"/>
  <c r="G299" i="14"/>
  <c r="G317" i="14"/>
  <c r="G343" i="14"/>
  <c r="G349" i="14"/>
  <c r="G368" i="14"/>
  <c r="E2" i="14"/>
  <c r="K43" i="13"/>
  <c r="K35" i="13"/>
  <c r="K27" i="13"/>
  <c r="K42" i="13"/>
  <c r="K34" i="13"/>
  <c r="K26" i="13"/>
  <c r="K41" i="13"/>
  <c r="K33" i="13"/>
  <c r="K25" i="13"/>
  <c r="K40" i="13"/>
  <c r="K32" i="13"/>
  <c r="K24" i="13"/>
  <c r="K39" i="13"/>
  <c r="K31" i="13"/>
  <c r="K46" i="13"/>
  <c r="K38" i="13"/>
  <c r="K30" i="13"/>
  <c r="K45" i="13"/>
  <c r="K37" i="13"/>
  <c r="K29" i="13"/>
  <c r="K21" i="13"/>
  <c r="K44" i="13"/>
  <c r="K36" i="13"/>
  <c r="K28" i="13"/>
  <c r="K17" i="13"/>
  <c r="K11" i="13"/>
  <c r="K8" i="13"/>
  <c r="K16" i="13"/>
  <c r="K23" i="13"/>
  <c r="K22" i="13"/>
  <c r="K20" i="13"/>
  <c r="K15" i="13"/>
  <c r="K12" i="13"/>
  <c r="K6" i="13"/>
  <c r="K14" i="13"/>
  <c r="K5" i="13"/>
  <c r="K19" i="13"/>
  <c r="K13" i="13"/>
  <c r="K4" i="13"/>
  <c r="K3" i="13"/>
  <c r="K18" i="13"/>
  <c r="K10" i="13"/>
  <c r="K7" i="13"/>
  <c r="K9" i="13"/>
  <c r="K2" i="13"/>
  <c r="G191" i="14"/>
  <c r="G204" i="14"/>
  <c r="G223" i="14"/>
  <c r="G225" i="14"/>
  <c r="G235" i="14"/>
  <c r="G238" i="14"/>
  <c r="G246" i="14"/>
  <c r="G254" i="14"/>
  <c r="G262" i="14"/>
  <c r="G270" i="14"/>
  <c r="G278" i="14"/>
  <c r="G282" i="14"/>
  <c r="G289" i="14"/>
  <c r="G307" i="14"/>
  <c r="G325" i="14"/>
  <c r="G351" i="14"/>
  <c r="G353" i="14"/>
  <c r="G361" i="14"/>
  <c r="G373" i="14"/>
  <c r="G378" i="14"/>
  <c r="G381" i="14"/>
  <c r="G287" i="14"/>
  <c r="G295" i="14"/>
  <c r="G297" i="14"/>
  <c r="G315" i="14"/>
  <c r="G333" i="14"/>
  <c r="G367" i="14"/>
  <c r="G374" i="14"/>
  <c r="G376" i="14"/>
  <c r="G380" i="14"/>
  <c r="G244" i="14"/>
  <c r="G252" i="14"/>
  <c r="G260" i="14"/>
  <c r="G268" i="14"/>
  <c r="G276" i="14"/>
  <c r="G303" i="14"/>
  <c r="G305" i="14"/>
  <c r="G323" i="14"/>
  <c r="G341" i="14"/>
  <c r="G352" i="14"/>
  <c r="G355" i="14"/>
  <c r="G356" i="14"/>
  <c r="G359" i="14"/>
  <c r="G375" i="14"/>
  <c r="G397" i="14"/>
  <c r="G414" i="14"/>
  <c r="G433" i="14"/>
  <c r="G438" i="14"/>
  <c r="G479" i="14"/>
  <c r="G483" i="14"/>
  <c r="G499" i="14"/>
  <c r="G626" i="14"/>
  <c r="G630" i="14"/>
  <c r="G387" i="14"/>
  <c r="G404" i="14"/>
  <c r="G420" i="14"/>
  <c r="G437" i="14"/>
  <c r="G443" i="14"/>
  <c r="G447" i="14"/>
  <c r="G455" i="14"/>
  <c r="G470" i="14"/>
  <c r="G484" i="14"/>
  <c r="G492" i="14"/>
  <c r="G512" i="14"/>
  <c r="G520" i="14"/>
  <c r="G528" i="14"/>
  <c r="G536" i="14"/>
  <c r="G544" i="14"/>
  <c r="G552" i="14"/>
  <c r="G560" i="14"/>
  <c r="G568" i="14"/>
  <c r="G576" i="14"/>
  <c r="G584" i="14"/>
  <c r="G592" i="14"/>
  <c r="G599" i="14"/>
  <c r="G607" i="14"/>
  <c r="G615" i="14"/>
  <c r="G623" i="14"/>
  <c r="G627" i="14"/>
  <c r="G393" i="14"/>
  <c r="G410" i="14"/>
  <c r="G505" i="14"/>
  <c r="G628" i="14"/>
  <c r="G383" i="14"/>
  <c r="G399" i="14"/>
  <c r="G416" i="14"/>
  <c r="G422" i="14"/>
  <c r="G445" i="14"/>
  <c r="G453" i="14"/>
  <c r="G468" i="14"/>
  <c r="G490" i="14"/>
  <c r="G506" i="14"/>
  <c r="G510" i="14"/>
  <c r="G518" i="14"/>
  <c r="G526" i="14"/>
  <c r="G534" i="14"/>
  <c r="G542" i="14"/>
  <c r="G550" i="14"/>
  <c r="G558" i="14"/>
  <c r="G566" i="14"/>
  <c r="G574" i="14"/>
  <c r="G582" i="14"/>
  <c r="G590" i="14"/>
  <c r="G605" i="14"/>
  <c r="G613" i="14"/>
  <c r="G621" i="14"/>
  <c r="G635" i="14"/>
  <c r="G389" i="14"/>
  <c r="G406" i="14"/>
  <c r="G442" i="14"/>
  <c r="G503" i="14"/>
  <c r="G507" i="14"/>
  <c r="G395" i="14"/>
  <c r="G412" i="14"/>
  <c r="G426" i="14"/>
  <c r="G451" i="14"/>
  <c r="G459" i="14"/>
  <c r="G466" i="14"/>
  <c r="G474" i="14"/>
  <c r="G488" i="14"/>
  <c r="G496" i="14"/>
  <c r="G508" i="14"/>
  <c r="G516" i="14"/>
  <c r="G524" i="14"/>
  <c r="G532" i="14"/>
  <c r="G540" i="14"/>
  <c r="G548" i="14"/>
  <c r="G556" i="14"/>
  <c r="G564" i="14"/>
  <c r="G572" i="14"/>
  <c r="G580" i="14"/>
  <c r="G588" i="14"/>
  <c r="G603" i="14"/>
  <c r="G611" i="14"/>
  <c r="G619" i="14"/>
  <c r="G385" i="14"/>
  <c r="G418" i="14"/>
  <c r="G425" i="14"/>
  <c r="G430" i="14"/>
  <c r="G481" i="14"/>
  <c r="G497" i="14"/>
  <c r="G501" i="14"/>
  <c r="G637" i="14"/>
  <c r="G391" i="14"/>
  <c r="G408" i="14"/>
  <c r="G429" i="14"/>
  <c r="G434" i="14"/>
  <c r="G441" i="14"/>
  <c r="G449" i="14"/>
  <c r="G457" i="14"/>
  <c r="G464" i="14"/>
  <c r="G472" i="14"/>
  <c r="G482" i="14"/>
  <c r="G486" i="14"/>
  <c r="G494" i="14"/>
  <c r="G498" i="14"/>
  <c r="G514" i="14"/>
  <c r="G522" i="14"/>
  <c r="G530" i="14"/>
  <c r="G538" i="14"/>
  <c r="G546" i="14"/>
  <c r="G554" i="14"/>
  <c r="G562" i="14"/>
  <c r="G570" i="14"/>
  <c r="G578" i="14"/>
  <c r="G586" i="14"/>
  <c r="G594" i="14"/>
  <c r="G601" i="14"/>
  <c r="G609" i="14"/>
  <c r="G617" i="14"/>
  <c r="G625" i="14"/>
  <c r="G661" i="14"/>
  <c r="G782" i="14"/>
  <c r="G886" i="14"/>
  <c r="G894" i="14"/>
  <c r="G902" i="14"/>
  <c r="G906" i="14"/>
  <c r="G644" i="14"/>
  <c r="G647" i="14"/>
  <c r="G667" i="14"/>
  <c r="G705" i="14"/>
  <c r="G712" i="14"/>
  <c r="G714" i="14"/>
  <c r="G722" i="14"/>
  <c r="G730" i="14"/>
  <c r="G763" i="14"/>
  <c r="G771" i="14"/>
  <c r="G817" i="14"/>
  <c r="G825" i="14"/>
  <c r="G833" i="14"/>
  <c r="G841" i="14"/>
  <c r="G849" i="14"/>
  <c r="G857" i="14"/>
  <c r="G865" i="14"/>
  <c r="G659" i="14"/>
  <c r="G670" i="14"/>
  <c r="G776" i="14"/>
  <c r="G780" i="14"/>
  <c r="G884" i="14"/>
  <c r="G892" i="14"/>
  <c r="G900" i="14"/>
  <c r="E449" i="14"/>
  <c r="H46" i="13"/>
  <c r="H38" i="13"/>
  <c r="H30" i="13"/>
  <c r="H45" i="13"/>
  <c r="H37" i="13"/>
  <c r="H29" i="13"/>
  <c r="H44" i="13"/>
  <c r="H36" i="13"/>
  <c r="H28" i="13"/>
  <c r="H43" i="13"/>
  <c r="H35" i="13"/>
  <c r="H27" i="13"/>
  <c r="H42" i="13"/>
  <c r="H34" i="13"/>
  <c r="H41" i="13"/>
  <c r="H33" i="13"/>
  <c r="H40" i="13"/>
  <c r="H32" i="13"/>
  <c r="H24" i="13"/>
  <c r="H39" i="13"/>
  <c r="H31" i="13"/>
  <c r="H26" i="13"/>
  <c r="H19" i="13"/>
  <c r="H13" i="13"/>
  <c r="H18" i="13"/>
  <c r="H9" i="13"/>
  <c r="H17" i="13"/>
  <c r="H11" i="13"/>
  <c r="H8" i="13"/>
  <c r="H23" i="13"/>
  <c r="H22" i="13"/>
  <c r="H21" i="13"/>
  <c r="H16" i="13"/>
  <c r="H7" i="13"/>
  <c r="H20" i="13"/>
  <c r="H15" i="13"/>
  <c r="H12" i="13"/>
  <c r="H6" i="13"/>
  <c r="H25" i="13"/>
  <c r="H14" i="13"/>
  <c r="H10" i="13"/>
  <c r="H4" i="13"/>
  <c r="H3" i="13"/>
  <c r="H2" i="13"/>
  <c r="H5" i="13"/>
  <c r="G639" i="14"/>
  <c r="G648" i="14"/>
  <c r="G663" i="14"/>
  <c r="G671" i="14"/>
  <c r="G720" i="14"/>
  <c r="G728" i="14"/>
  <c r="G761" i="14"/>
  <c r="G769" i="14"/>
  <c r="G815" i="14"/>
  <c r="G823" i="14"/>
  <c r="G831" i="14"/>
  <c r="G839" i="14"/>
  <c r="G847" i="14"/>
  <c r="G855" i="14"/>
  <c r="G863" i="14"/>
  <c r="G871" i="14"/>
  <c r="G907" i="14"/>
  <c r="G656" i="14"/>
  <c r="G704" i="14"/>
  <c r="G708" i="14"/>
  <c r="G778" i="14"/>
  <c r="G872" i="14"/>
  <c r="G876" i="14"/>
  <c r="G890" i="14"/>
  <c r="G898" i="14"/>
  <c r="G910" i="14"/>
  <c r="G917" i="14"/>
  <c r="G918" i="14"/>
  <c r="G922" i="14"/>
  <c r="G938" i="14"/>
  <c r="G649" i="14"/>
  <c r="G660" i="14"/>
  <c r="G718" i="14"/>
  <c r="G726" i="14"/>
  <c r="G759" i="14"/>
  <c r="G767" i="14"/>
  <c r="G775" i="14"/>
  <c r="G821" i="14"/>
  <c r="G829" i="14"/>
  <c r="G837" i="14"/>
  <c r="G845" i="14"/>
  <c r="G853" i="14"/>
  <c r="G861" i="14"/>
  <c r="G869" i="14"/>
  <c r="G873" i="14"/>
  <c r="G651" i="14"/>
  <c r="G665" i="14"/>
  <c r="G706" i="14"/>
  <c r="G710" i="14"/>
  <c r="G784" i="14"/>
  <c r="G874" i="14"/>
  <c r="G888" i="14"/>
  <c r="G896" i="14"/>
  <c r="G904" i="14"/>
  <c r="G646" i="14"/>
  <c r="G658" i="14"/>
  <c r="G669" i="14"/>
  <c r="G716" i="14"/>
  <c r="G724" i="14"/>
  <c r="G765" i="14"/>
  <c r="G773" i="14"/>
  <c r="G777" i="14"/>
  <c r="G819" i="14"/>
  <c r="G827" i="14"/>
  <c r="G835" i="14"/>
  <c r="G843" i="14"/>
  <c r="G851" i="14"/>
  <c r="G859" i="14"/>
  <c r="G867" i="14"/>
  <c r="G905" i="14"/>
  <c r="G911" i="14"/>
  <c r="G925" i="14"/>
  <c r="G953" i="14"/>
  <c r="G913" i="14"/>
  <c r="G914" i="14"/>
  <c r="G949" i="14"/>
  <c r="G931" i="14"/>
  <c r="G934" i="14"/>
  <c r="G935" i="14"/>
  <c r="G929" i="14"/>
  <c r="G930" i="14"/>
  <c r="G955" i="14"/>
  <c r="G933" i="14"/>
  <c r="G940" i="14"/>
  <c r="G941" i="14"/>
  <c r="G943" i="14"/>
  <c r="G944" i="14"/>
  <c r="G945" i="14"/>
  <c r="G946" i="14"/>
  <c r="G919" i="14"/>
  <c r="G956" i="14"/>
  <c r="G964" i="14"/>
  <c r="G909" i="14"/>
  <c r="G923" i="14"/>
  <c r="G926" i="14"/>
  <c r="G927" i="14"/>
  <c r="G939" i="14"/>
  <c r="G942" i="14"/>
  <c r="G961" i="14"/>
  <c r="G963" i="14"/>
  <c r="G921" i="14"/>
  <c r="G937" i="14"/>
  <c r="G948" i="14"/>
  <c r="G957" i="14"/>
  <c r="O10" i="13" l="1"/>
  <c r="R10" i="13"/>
  <c r="Q10" i="13"/>
  <c r="P10" i="13"/>
  <c r="R12" i="13"/>
  <c r="P12" i="13"/>
  <c r="Q12" i="13"/>
  <c r="O12" i="13"/>
  <c r="R11" i="13"/>
  <c r="P11" i="13"/>
  <c r="O11" i="13"/>
  <c r="Q11" i="13"/>
  <c r="D5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0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======
ID#AAAA-V5RTj0
Isabel Lima    (2023-10-17 13:15:57)
Coeficiente médio de luminância do pavimento.</t>
        </r>
      </text>
    </comment>
  </commentList>
</comments>
</file>

<file path=xl/sharedStrings.xml><?xml version="1.0" encoding="utf-8"?>
<sst xmlns="http://schemas.openxmlformats.org/spreadsheetml/2006/main" count="4608" uniqueCount="680">
  <si>
    <t>Estruturas</t>
  </si>
  <si>
    <t>Definição</t>
  </si>
  <si>
    <t>V1</t>
  </si>
  <si>
    <t>V2</t>
  </si>
  <si>
    <t xml:space="preserve">V3 </t>
  </si>
  <si>
    <t>V4</t>
  </si>
  <si>
    <t>V5</t>
  </si>
  <si>
    <t>Observação</t>
  </si>
  <si>
    <t>Fornecedor L1</t>
  </si>
  <si>
    <t>Conexled</t>
  </si>
  <si>
    <t>Não possui orçamento</t>
  </si>
  <si>
    <t>Fornecedor L2</t>
  </si>
  <si>
    <t>Ilumatic</t>
  </si>
  <si>
    <t>Fornecedor L3</t>
  </si>
  <si>
    <t>Juganu</t>
  </si>
  <si>
    <t>Possui orçamento, definir qual classe melhor atende</t>
  </si>
  <si>
    <t>Fornecedor L4</t>
  </si>
  <si>
    <t>Philips</t>
  </si>
  <si>
    <t>Fornecedor L5</t>
  </si>
  <si>
    <t>Repume</t>
  </si>
  <si>
    <t>Fornecedor L6</t>
  </si>
  <si>
    <t>Tecnowatt</t>
  </si>
  <si>
    <t>Fornecedor L7</t>
  </si>
  <si>
    <t>Unicoba</t>
  </si>
  <si>
    <t>Fornecedor L8</t>
  </si>
  <si>
    <t>SX Lighting</t>
  </si>
  <si>
    <t>ID</t>
  </si>
  <si>
    <t>Padrão</t>
  </si>
  <si>
    <t>Logradouro</t>
  </si>
  <si>
    <t>latitude</t>
  </si>
  <si>
    <t>longitude</t>
  </si>
  <si>
    <t>Classificação ciclovia</t>
  </si>
  <si>
    <t>Classificação pedonal</t>
  </si>
  <si>
    <t>Tipo de lâmpada</t>
  </si>
  <si>
    <t>Potencia da lâmpada</t>
  </si>
  <si>
    <t>Potencia 2o nivel</t>
  </si>
  <si>
    <t>POT TOTAL MALHA</t>
  </si>
  <si>
    <t>Largura Passeio 1</t>
  </si>
  <si>
    <t>Largura Via 1</t>
  </si>
  <si>
    <t>largura Passeio Central 1</t>
  </si>
  <si>
    <t>largura Passeio Central 2</t>
  </si>
  <si>
    <t>Largura Via 2</t>
  </si>
  <si>
    <t>largura Passeio 2</t>
  </si>
  <si>
    <t>largura Canteiro Central</t>
  </si>
  <si>
    <t>largura Ciclovia 1</t>
  </si>
  <si>
    <t>largura Ciclovia 2</t>
  </si>
  <si>
    <t>estacionamento 1</t>
  </si>
  <si>
    <t>estacionamento 2</t>
  </si>
  <si>
    <t>posteacao</t>
  </si>
  <si>
    <t>Tipo de estrutura</t>
  </si>
  <si>
    <t>qtd de Lampadas IP Princ</t>
  </si>
  <si>
    <t>distancia Poste a via</t>
  </si>
  <si>
    <t>projecao do braço</t>
  </si>
  <si>
    <t>Pendor</t>
  </si>
  <si>
    <t>Altura de Instalação</t>
  </si>
  <si>
    <t>Projeção Vertical</t>
  </si>
  <si>
    <t>Exclusivo</t>
  </si>
  <si>
    <t>Quantidade de pontos inspecionados IP Veic</t>
  </si>
  <si>
    <t>qtd de Lampadas IP 2o nivel</t>
  </si>
  <si>
    <t>Tipo de posteação 2o nivel</t>
  </si>
  <si>
    <t>Distanciamento 2o nivel</t>
  </si>
  <si>
    <t>Altura da luminaria 2o nivel</t>
  </si>
  <si>
    <t>Projecao 2o nivel</t>
  </si>
  <si>
    <t>Distancia poste-via 2o nivel</t>
  </si>
  <si>
    <t>Quantidade de pontos inspecionados IP Sec</t>
  </si>
  <si>
    <t>informacoes Adicionais</t>
  </si>
  <si>
    <t>Emed - Norma</t>
  </si>
  <si>
    <t>U - Norma</t>
  </si>
  <si>
    <t>Luminância Média Exigida</t>
  </si>
  <si>
    <t>Uo Uniformidade Global Exigida</t>
  </si>
  <si>
    <t>Uniformidade Longitudinal Exigida</t>
  </si>
  <si>
    <t>Incremento Linear Exigido</t>
  </si>
  <si>
    <t>Atendimento pleno à norma</t>
  </si>
  <si>
    <t>Excesso de iluminância média IV</t>
  </si>
  <si>
    <t>Excesso de Uniformidade IV</t>
  </si>
  <si>
    <t>Excesso de luminância média IV</t>
  </si>
  <si>
    <t>Iluminância Média</t>
  </si>
  <si>
    <t>Luminância Média</t>
  </si>
  <si>
    <t>Uniformidade Longitudinal</t>
  </si>
  <si>
    <t>Incremento Linear (TI)</t>
  </si>
  <si>
    <t>EIR</t>
  </si>
  <si>
    <t>ATENDE TUDO - RUA SIMU</t>
  </si>
  <si>
    <t>Atende à Iluminância Média</t>
  </si>
  <si>
    <t>Atende à Uniformidade Global Miníma</t>
  </si>
  <si>
    <t>Atende à Luminância Média</t>
  </si>
  <si>
    <t>Classe IV</t>
  </si>
  <si>
    <t>Classe IP</t>
  </si>
  <si>
    <t>Excesso de iluminância média P1</t>
  </si>
  <si>
    <t>Iluminância mínima horizontal E (lux)</t>
  </si>
  <si>
    <t>Iluminância Média (Exigida)</t>
  </si>
  <si>
    <t>Atende à NBR 5101 - TUDO SIMU</t>
  </si>
  <si>
    <t>Atende à Iluminância mínima horizontal</t>
  </si>
  <si>
    <t>Excesso de iluminância média P2</t>
  </si>
  <si>
    <t>Fator de Uniformidade</t>
  </si>
  <si>
    <t>Iluminância mínima horizontal E (lux) exigida</t>
  </si>
  <si>
    <t>Atende à NBR 5101 - TUDO SIMU P2</t>
  </si>
  <si>
    <t>Fornecedor</t>
  </si>
  <si>
    <t>Código Luminária 1</t>
  </si>
  <si>
    <t>Luminária Simulada (IP Principal)</t>
  </si>
  <si>
    <t>Código Luminária 2</t>
  </si>
  <si>
    <t>Luminária Simulada (IP Secundário)</t>
  </si>
  <si>
    <t>Pontos por poste (IP Principal)</t>
  </si>
  <si>
    <t xml:space="preserve"> Potência simulada - IP Principal (W)</t>
  </si>
  <si>
    <t xml:space="preserve"> Potência simulada - IP Secundário (W)</t>
  </si>
  <si>
    <t>Fluxo Luminoso - IP Principal (lm)</t>
  </si>
  <si>
    <t>Fluxo Luminoso - IP Secundário (lm)</t>
  </si>
  <si>
    <t>Ângulo antigo</t>
  </si>
  <si>
    <t>Ângulo Simulado</t>
  </si>
  <si>
    <t>Braço Antigo</t>
  </si>
  <si>
    <t>Braço Novo</t>
  </si>
  <si>
    <t>Projeção com alteração</t>
  </si>
  <si>
    <t>Altura de luminária com alteração</t>
  </si>
  <si>
    <t>Correção de Ponto Escuro (CPE)</t>
  </si>
  <si>
    <t>Quantidade de pontos adicionados para via de veículo</t>
  </si>
  <si>
    <t>Quantidade de pontos adicionados para via de pedestres</t>
  </si>
  <si>
    <t>Observação CPE  (Reduçao entre postes e/ou Tipo de Posteação)</t>
  </si>
  <si>
    <t>obs conferência</t>
  </si>
  <si>
    <t>rev conferência</t>
  </si>
  <si>
    <t>IP PRINC SIM</t>
  </si>
  <si>
    <t>IP SEC SIM</t>
  </si>
  <si>
    <t>TOTAL SIMULADO</t>
  </si>
  <si>
    <t>Eficientização</t>
  </si>
  <si>
    <t>Estrutura</t>
  </si>
  <si>
    <t>Simulação</t>
  </si>
  <si>
    <t xml:space="preserve">Conferência </t>
  </si>
  <si>
    <t>Considerar na Extrapolação</t>
  </si>
  <si>
    <t>Inspeção</t>
  </si>
  <si>
    <t>eficientização</t>
  </si>
  <si>
    <t>PVP</t>
  </si>
  <si>
    <t>C5</t>
  </si>
  <si>
    <t>-</t>
  </si>
  <si>
    <t>P6</t>
  </si>
  <si>
    <t>LED</t>
  </si>
  <si>
    <t>Não</t>
  </si>
  <si>
    <t>Sim</t>
  </si>
  <si>
    <t>Médio II</t>
  </si>
  <si>
    <t>PV</t>
  </si>
  <si>
    <t>C4</t>
  </si>
  <si>
    <t>Médio I</t>
  </si>
  <si>
    <t>P5</t>
  </si>
  <si>
    <t>Longo II</t>
  </si>
  <si>
    <t>Curto II</t>
  </si>
  <si>
    <t>V3</t>
  </si>
  <si>
    <t>C3</t>
  </si>
  <si>
    <t>C1</t>
  </si>
  <si>
    <t>APC</t>
  </si>
  <si>
    <t>P4</t>
  </si>
  <si>
    <t>Longo I</t>
  </si>
  <si>
    <t>P3</t>
  </si>
  <si>
    <t>C2</t>
  </si>
  <si>
    <t>Curto I</t>
  </si>
  <si>
    <t>AB</t>
  </si>
  <si>
    <t>P.48</t>
  </si>
  <si>
    <t>PH</t>
  </si>
  <si>
    <t>ENEL</t>
  </si>
  <si>
    <t>PM-R 0650</t>
  </si>
  <si>
    <t>PM-R 0068</t>
  </si>
  <si>
    <t>cerci</t>
  </si>
  <si>
    <t>Curto</t>
  </si>
  <si>
    <t>Médio</t>
  </si>
  <si>
    <t>Longo</t>
  </si>
  <si>
    <t>Afonsinho Altino Diniz</t>
  </si>
  <si>
    <t>12 de Outubro</t>
  </si>
  <si>
    <t>Máximo</t>
  </si>
  <si>
    <t>África</t>
  </si>
  <si>
    <t>Mínimo</t>
  </si>
  <si>
    <t>Alcidia Calazans Lima</t>
  </si>
  <si>
    <t>Abauna</t>
  </si>
  <si>
    <t>Américo Renê Gianetti</t>
  </si>
  <si>
    <t>Alemanha</t>
  </si>
  <si>
    <t>Ásia</t>
  </si>
  <si>
    <t>Álvares Cabral</t>
  </si>
  <si>
    <t>Faixa 1</t>
  </si>
  <si>
    <t>Assaré</t>
  </si>
  <si>
    <t>Ana Batista da Cruz</t>
  </si>
  <si>
    <t>Faixa 2</t>
  </si>
  <si>
    <t>Atalaia</t>
  </si>
  <si>
    <t>Antônio Braz</t>
  </si>
  <si>
    <t>Faixa 3</t>
  </si>
  <si>
    <t>Baldim</t>
  </si>
  <si>
    <t>Ataíde Eneas Orzil</t>
  </si>
  <si>
    <t>Faixa 4</t>
  </si>
  <si>
    <t>Cassimiro de Abreu</t>
  </si>
  <si>
    <t>Belarmina Mônica Ferreira</t>
  </si>
  <si>
    <t>Davis Dani Viana</t>
  </si>
  <si>
    <t>Bromélia</t>
  </si>
  <si>
    <t>Djalma Andrade</t>
  </si>
  <si>
    <t>Catulo da Paixão Cearense</t>
  </si>
  <si>
    <t>do Serro</t>
  </si>
  <si>
    <t>da Argentina</t>
  </si>
  <si>
    <t>Francisco Viana Santos</t>
  </si>
  <si>
    <t>da Bolívia</t>
  </si>
  <si>
    <t>Gonçalves Dias</t>
  </si>
  <si>
    <t>das Andorinhas</t>
  </si>
  <si>
    <t>Gov. Bias Fortes</t>
  </si>
  <si>
    <t>das Azaléias</t>
  </si>
  <si>
    <t>Holanda</t>
  </si>
  <si>
    <t>Décio Araújo</t>
  </si>
  <si>
    <t>Irã</t>
  </si>
  <si>
    <t>do Haiti</t>
  </si>
  <si>
    <t>Irlanda</t>
  </si>
  <si>
    <t>dos Uirapurus</t>
  </si>
  <si>
    <t>Joaquim Lourenço de Oliveira</t>
  </si>
  <si>
    <t>Dr. Ari Teixeira da Costa</t>
  </si>
  <si>
    <t>José de Alencar</t>
  </si>
  <si>
    <t>Edmundo Alves da Silva</t>
  </si>
  <si>
    <t>José Theotônio Laporte</t>
  </si>
  <si>
    <t>Eldorado</t>
  </si>
  <si>
    <t>Lagoa Santa</t>
  </si>
  <si>
    <t>G</t>
  </si>
  <si>
    <t>Machado de Assis</t>
  </si>
  <si>
    <t>Geraldo Teixeira da Costa</t>
  </si>
  <si>
    <t>Mandaguari</t>
  </si>
  <si>
    <t>Gervázio Lara</t>
  </si>
  <si>
    <t>Maria do Carmo da Silva</t>
  </si>
  <si>
    <t>Gil de Carvalho</t>
  </si>
  <si>
    <t>Nova Jerusalém</t>
  </si>
  <si>
    <t>Guaraciaba</t>
  </si>
  <si>
    <t>Pará</t>
  </si>
  <si>
    <t>Iacaiaca</t>
  </si>
  <si>
    <t>Paraná</t>
  </si>
  <si>
    <t>Inácio Loiola de Oliveira</t>
  </si>
  <si>
    <t>Paulo Duarte</t>
  </si>
  <si>
    <t>Irmã Ágda</t>
  </si>
  <si>
    <t>Polônia</t>
  </si>
  <si>
    <t>Ivete Aparecida Brant de Matos Reis</t>
  </si>
  <si>
    <t>Prof. Alfredo Balena</t>
  </si>
  <si>
    <t>João Batista Lima</t>
  </si>
  <si>
    <t>Rodésia</t>
  </si>
  <si>
    <t>João Elias Hanum</t>
  </si>
  <si>
    <t>Sabará</t>
  </si>
  <si>
    <t>José Antunes</t>
  </si>
  <si>
    <t>São Francisco de Assis</t>
  </si>
  <si>
    <t>José Augusto Gonçalves</t>
  </si>
  <si>
    <t>Suécia</t>
  </si>
  <si>
    <t>José C. Ferreira</t>
  </si>
  <si>
    <t>Juqueri</t>
  </si>
  <si>
    <t>Juquiá</t>
  </si>
  <si>
    <t>Jurupana</t>
  </si>
  <si>
    <t>Juventino Augusto dos Santos</t>
  </si>
  <si>
    <t>Maria Angélica Ximenes</t>
  </si>
  <si>
    <t>Maria da Piedade Vieira</t>
  </si>
  <si>
    <t>Mariana Paiva Branco</t>
  </si>
  <si>
    <t>Mário Silva</t>
  </si>
  <si>
    <t>Moreira Maia</t>
  </si>
  <si>
    <t>N</t>
  </si>
  <si>
    <t>Nossa Sra. Aparecida</t>
  </si>
  <si>
    <t>Nossa Sra. Da Conceição</t>
  </si>
  <si>
    <t>Olegário Maciel</t>
  </si>
  <si>
    <t>Pará de Minas</t>
  </si>
  <si>
    <t>Pindaré</t>
  </si>
  <si>
    <t>Pirajá</t>
  </si>
  <si>
    <t>Pres. Washington Luís</t>
  </si>
  <si>
    <t>Prof. Djalma Guimaraes</t>
  </si>
  <si>
    <t>Quinze de Novembro</t>
  </si>
  <si>
    <t>Redelvim Andrade</t>
  </si>
  <si>
    <t>Rubéns Soares Viana</t>
  </si>
  <si>
    <t>São Geraldo</t>
  </si>
  <si>
    <t>São José</t>
  </si>
  <si>
    <t>Totó Marcelino</t>
  </si>
  <si>
    <t>Três</t>
  </si>
  <si>
    <t>Ubajara</t>
  </si>
  <si>
    <t>Venâncio Pereira dos Santos</t>
  </si>
  <si>
    <t>Veronica de Araújo</t>
  </si>
  <si>
    <t>Vicente Lovalho</t>
  </si>
  <si>
    <t>Leila Diniz</t>
  </si>
  <si>
    <t>C0</t>
  </si>
  <si>
    <t>M6</t>
  </si>
  <si>
    <t>PC</t>
  </si>
  <si>
    <t>Consideração</t>
  </si>
  <si>
    <t xml:space="preserve">Braços de Iluminação Pública </t>
  </si>
  <si>
    <t>Projeção [m]</t>
  </si>
  <si>
    <t>Altura de instalação [m]</t>
  </si>
  <si>
    <t>Altura do braço [m]</t>
  </si>
  <si>
    <t>Altura da luminária [m]</t>
  </si>
  <si>
    <t>OBS</t>
  </si>
  <si>
    <t>Suporte I</t>
  </si>
  <si>
    <t>Mesma da inspeção</t>
  </si>
  <si>
    <t>Suporte II</t>
  </si>
  <si>
    <t>Suporte III</t>
  </si>
  <si>
    <t>Suporte IV</t>
  </si>
  <si>
    <t>Pedonal</t>
  </si>
  <si>
    <t>Somente segundo nível</t>
  </si>
  <si>
    <t>Projeção H</t>
  </si>
  <si>
    <t>Projeção V</t>
  </si>
  <si>
    <t>Ângulo de inclinação</t>
  </si>
  <si>
    <t>Altura de instalação do braço</t>
  </si>
  <si>
    <t xml:space="preserve">Altura da luminária </t>
  </si>
  <si>
    <t>Referências</t>
  </si>
  <si>
    <t>Poste 7,5 m</t>
  </si>
  <si>
    <t>Poste 10,5 m</t>
  </si>
  <si>
    <t>Poste 12 m</t>
  </si>
  <si>
    <t>Braço reto</t>
  </si>
  <si>
    <t>CALCULADO (15º)</t>
  </si>
  <si>
    <t>CEMIG</t>
  </si>
  <si>
    <t>SEM REFERÊNCIA</t>
  </si>
  <si>
    <t>Código</t>
  </si>
  <si>
    <t>Descrição</t>
  </si>
  <si>
    <t>Altura de Montagem da Luminária</t>
  </si>
  <si>
    <t>Projeção horizontal</t>
  </si>
  <si>
    <t>Adição de Pontos</t>
  </si>
  <si>
    <t>Adição de poste compartilhado com distribuição de energia</t>
  </si>
  <si>
    <t>Utilizar a mesma da via</t>
  </si>
  <si>
    <t>Via de veículo</t>
  </si>
  <si>
    <t>APEA</t>
  </si>
  <si>
    <t>Adição de poste exclusivo para iluminação pública com RDA</t>
  </si>
  <si>
    <t>APES-1</t>
  </si>
  <si>
    <t>Adição de poste exclusivo para iluminação pública com RDS e 1 luminária</t>
  </si>
  <si>
    <t>APES-2</t>
  </si>
  <si>
    <t>Adição de poste exclusivo para iluminação pública com RDS e 2 luminária</t>
  </si>
  <si>
    <t>APES-3</t>
  </si>
  <si>
    <t>Adição de poste exclusivo para iluminação pública com RDS e 3 luminária</t>
  </si>
  <si>
    <t>APES-4</t>
  </si>
  <si>
    <t>Adição de poste exclusivo para iluminação pública com RDS e 4 luminária</t>
  </si>
  <si>
    <t>ABS-L1</t>
  </si>
  <si>
    <t>Adição de braço segundo nível (Leve I)</t>
  </si>
  <si>
    <t>Segundo nível</t>
  </si>
  <si>
    <t>ABS-L2</t>
  </si>
  <si>
    <t>Adição de braço segundo nível (Leve II)</t>
  </si>
  <si>
    <t>APS</t>
  </si>
  <si>
    <t>Adição poste segundo nível</t>
  </si>
  <si>
    <t>TS</t>
  </si>
  <si>
    <t>Troca de Suporte</t>
  </si>
  <si>
    <t>APS/APC</t>
  </si>
  <si>
    <t>Adição de Poste Segundo nível com Adição de Poste compartilhado com distribuição</t>
  </si>
  <si>
    <t>Para APC - Utilizar mesma da via
Para APP - 4.0</t>
  </si>
  <si>
    <t>Para APC - Utilizar mesma da via
Para APP - 0</t>
  </si>
  <si>
    <t>Segundo nível e Via de veículo</t>
  </si>
  <si>
    <t>APS/APE</t>
  </si>
  <si>
    <t>Adição de Poste Segundo nível com Adição de Poste exclusivo</t>
  </si>
  <si>
    <t>Para APE - Utilizar mesma da via
Para APP - 4.0</t>
  </si>
  <si>
    <t>Para APE - Utilizar mesma da via
Para APP - 0</t>
  </si>
  <si>
    <t>ABS-L1/APC</t>
  </si>
  <si>
    <t>Adição de Braço Segundo nível com Adição de Poste compartilhado com distribuição</t>
  </si>
  <si>
    <t>Para APC - Utilizar mesma da via
Para ABS - 6,0</t>
  </si>
  <si>
    <t>Para APC - Utilizar mesma da via
Para ABS - 0,5</t>
  </si>
  <si>
    <t>ABS/APEA</t>
  </si>
  <si>
    <t>Adição de Braço Segundo nível com Adição de Poste exclusivo com RDA</t>
  </si>
  <si>
    <t>ABS/APES-1</t>
  </si>
  <si>
    <t>Adição de Braço Segundo nível com Adição de poste exclusivo para iluminação pública com RDS e 1 luminária</t>
  </si>
  <si>
    <t>ABS/APES-2</t>
  </si>
  <si>
    <t>Adição de Braço Segundo nível com Adição de poste exclusivo para iluminação pública com RDS e 2 luminária</t>
  </si>
  <si>
    <t>ABS/APES-3</t>
  </si>
  <si>
    <t>Adição de Braço Segundo nível com Adição de poste exclusivo para iluminação pública com RDS e 3 luminária</t>
  </si>
  <si>
    <t>ABS/APES-4</t>
  </si>
  <si>
    <t>Adição de Braço Segundo nível com Adição de poste exclusivo para iluminação pública com RDS e 4 luminária</t>
  </si>
  <si>
    <t>Adição de Braço</t>
  </si>
  <si>
    <t>Orçamento</t>
  </si>
  <si>
    <t>Total geral</t>
  </si>
  <si>
    <t>Potência [W]</t>
  </si>
  <si>
    <t xml:space="preserve">Código </t>
  </si>
  <si>
    <t>Utilização</t>
  </si>
  <si>
    <t>Luminária</t>
  </si>
  <si>
    <t>Fluxo Luminoso [lm]</t>
  </si>
  <si>
    <t>Eficiência (lm/W)</t>
  </si>
  <si>
    <t>Luminaria Considerada</t>
  </si>
  <si>
    <t>Valor</t>
  </si>
  <si>
    <t>Fotometria</t>
  </si>
  <si>
    <t>Estimado/Orçado</t>
  </si>
  <si>
    <t xml:space="preserve"> SL VT 9.1 17W</t>
  </si>
  <si>
    <t>Viária</t>
  </si>
  <si>
    <t>LEDSTAR</t>
  </si>
  <si>
    <t>LUM LED SL VT 9.1 17W</t>
  </si>
  <si>
    <t>Ok</t>
  </si>
  <si>
    <t>Orçado</t>
  </si>
  <si>
    <t xml:space="preserve"> SL VT 9.1 28W</t>
  </si>
  <si>
    <t>LUM LED SL VT 9.1 28W</t>
  </si>
  <si>
    <t xml:space="preserve"> SL VT 9.1 35W</t>
  </si>
  <si>
    <t>LUM LED SL VT 9.1 35W</t>
  </si>
  <si>
    <t xml:space="preserve"> SL VT 9.1 44W</t>
  </si>
  <si>
    <t>LUM LED SL VT 9.1 44W</t>
  </si>
  <si>
    <t xml:space="preserve"> SL VT 9.1 52W</t>
  </si>
  <si>
    <t>LUM LED SL VT 9.1 52W</t>
  </si>
  <si>
    <t xml:space="preserve"> SL VT 9.1 65W</t>
  </si>
  <si>
    <t>LUM LED SL VT 9.1 65W</t>
  </si>
  <si>
    <t xml:space="preserve"> SL VT 9.1 72W</t>
  </si>
  <si>
    <t>LUM LED SL VT 9.1 72W</t>
  </si>
  <si>
    <t xml:space="preserve"> SL VT 9.1 85W</t>
  </si>
  <si>
    <t>LUM LED SL VT 9.1 85W</t>
  </si>
  <si>
    <t xml:space="preserve"> SL VT 9.1 100W</t>
  </si>
  <si>
    <t>LUM LED SL VT 9.1 100W</t>
  </si>
  <si>
    <t xml:space="preserve"> SL VT 9.1 120W</t>
  </si>
  <si>
    <t>LUM LED SL VT 9.1 120W</t>
  </si>
  <si>
    <t xml:space="preserve"> SL VT 9.1 140W</t>
  </si>
  <si>
    <t>LUM LED SL VT 9.1 140W</t>
  </si>
  <si>
    <t xml:space="preserve"> SL VT 9.1 155W</t>
  </si>
  <si>
    <t>LUM LED SL VT 9.1 155W</t>
  </si>
  <si>
    <t xml:space="preserve"> SL VT 9.1 170W</t>
  </si>
  <si>
    <t>LUM LED SL VT 9.1 170W</t>
  </si>
  <si>
    <t xml:space="preserve"> SL VT 9.1 200W</t>
  </si>
  <si>
    <t>LUM LED SL VT 9.1 200W</t>
  </si>
  <si>
    <t xml:space="preserve"> SL VT 9.3 22W</t>
  </si>
  <si>
    <t>LUM LED SL VT 9.3 22W</t>
  </si>
  <si>
    <t xml:space="preserve"> SL VT 9.3 30W</t>
  </si>
  <si>
    <t>LUM LED SL VT 9.3 30W</t>
  </si>
  <si>
    <t xml:space="preserve"> SL VT 9.3 40W</t>
  </si>
  <si>
    <t>LUM LED SL VT 9.3 40W</t>
  </si>
  <si>
    <t xml:space="preserve"> SL VT 9.3 50W</t>
  </si>
  <si>
    <t>LUM LED SL VT 9.3 50W</t>
  </si>
  <si>
    <t xml:space="preserve"> SL VT 9.3 58W</t>
  </si>
  <si>
    <t>LUM LED SL VT 9.3 58W</t>
  </si>
  <si>
    <t xml:space="preserve"> SL VT 9.3 70W</t>
  </si>
  <si>
    <t>LUM LED SL VT 9.3 70W</t>
  </si>
  <si>
    <t xml:space="preserve"> SL VT 9.3 80W</t>
  </si>
  <si>
    <t>LUM LED SL VT 9.3 80W</t>
  </si>
  <si>
    <t xml:space="preserve"> SL VT 9.3 90W</t>
  </si>
  <si>
    <t>LUM LED SL VT 9.3 90W</t>
  </si>
  <si>
    <t xml:space="preserve"> SL VT 9.3 105W</t>
  </si>
  <si>
    <t>LUM LED SL VT 9.3 105W</t>
  </si>
  <si>
    <t xml:space="preserve"> SL VT 9.3 120W</t>
  </si>
  <si>
    <t>LUM LED SL VT 9.3 120W</t>
  </si>
  <si>
    <t xml:space="preserve"> SL VT 9.3 145W</t>
  </si>
  <si>
    <t>LUM LED SL VT 9.3 145W</t>
  </si>
  <si>
    <t xml:space="preserve"> SL VT 9.3 160W</t>
  </si>
  <si>
    <t>LUM LED SL VT 9.3 160W</t>
  </si>
  <si>
    <t xml:space="preserve"> SL VT 9.3 185W</t>
  </si>
  <si>
    <t>LUM LED SL VT 9.3 185W</t>
  </si>
  <si>
    <t xml:space="preserve"> SL VT 9.3 200W</t>
  </si>
  <si>
    <t>LUM LED SL VT 9.3 200W</t>
  </si>
  <si>
    <t xml:space="preserve"> SL VT 9.6 30W</t>
  </si>
  <si>
    <t>LUM LED SL VT 9.6 30W</t>
  </si>
  <si>
    <t xml:space="preserve"> SL VT 9.6 37W</t>
  </si>
  <si>
    <t>LUM LED SL VT 9.6 37W</t>
  </si>
  <si>
    <t xml:space="preserve"> SL VT 9.6 40W</t>
  </si>
  <si>
    <t>LUM LED SL VT 9.6 40W</t>
  </si>
  <si>
    <t xml:space="preserve"> SL VT 9.6 46W</t>
  </si>
  <si>
    <t>LUM LED SL VT 9.6 46W</t>
  </si>
  <si>
    <t xml:space="preserve"> SL VT 9.6 55W</t>
  </si>
  <si>
    <t>LUM LED SL VT 9.6 55W</t>
  </si>
  <si>
    <t xml:space="preserve"> SL VT 9.6 70W</t>
  </si>
  <si>
    <t>LUM LED SL VT 9.6 70W</t>
  </si>
  <si>
    <t xml:space="preserve"> SL VT 9.6 80W</t>
  </si>
  <si>
    <t>LUM LED SL VT 9.6 80W</t>
  </si>
  <si>
    <t xml:space="preserve"> SL VT 9.6 90W</t>
  </si>
  <si>
    <t>LUM LED SL VT 9.6 90W</t>
  </si>
  <si>
    <t xml:space="preserve"> SL VT 9.6 105W</t>
  </si>
  <si>
    <t>LUM LED SL VT 9.6 105W</t>
  </si>
  <si>
    <t xml:space="preserve"> SL VT 9.6 120W</t>
  </si>
  <si>
    <t>LUM LED SL VT 9.6 120W</t>
  </si>
  <si>
    <t xml:space="preserve"> SL VT 9.6 125W</t>
  </si>
  <si>
    <t>LUM LED SL VT 9.6 125W</t>
  </si>
  <si>
    <t xml:space="preserve"> SL VT 9.6 145W</t>
  </si>
  <si>
    <t>LUM LED SL VT 9.6 145W</t>
  </si>
  <si>
    <t xml:space="preserve"> SL VT 9.6 150W</t>
  </si>
  <si>
    <t>LUM LED SL VT 9.6 150W</t>
  </si>
  <si>
    <t xml:space="preserve"> SL VT 9.6 160W</t>
  </si>
  <si>
    <t>LUM LED SL VT 9.6 160W</t>
  </si>
  <si>
    <t xml:space="preserve"> SL VT 9.6 175W</t>
  </si>
  <si>
    <t>LUM LED SL VT 9.6 175W</t>
  </si>
  <si>
    <t xml:space="preserve"> SL VT 9.6 190W</t>
  </si>
  <si>
    <t>LUM LED SL VT 9.6 190W</t>
  </si>
  <si>
    <t xml:space="preserve"> SL VT 9.6 215W</t>
  </si>
  <si>
    <t>LUM LED SL VT 9.6 215W</t>
  </si>
  <si>
    <t xml:space="preserve"> SL VT 9.6 240W</t>
  </si>
  <si>
    <t>LUM LED SL VT 9.6 240W</t>
  </si>
  <si>
    <t>Luminaria Considerada (Valor)</t>
  </si>
  <si>
    <t>SX-INEVO020HF</t>
  </si>
  <si>
    <t>SX LIGHTING</t>
  </si>
  <si>
    <t>SXINEVO020K40L12CZF7PHF</t>
  </si>
  <si>
    <t>SX-INEVO030HF</t>
  </si>
  <si>
    <t>SXINEVO030K40L12CZF7PHF</t>
  </si>
  <si>
    <t>SX-INEVO040HF</t>
  </si>
  <si>
    <t>SXINEVO040K40L12CZF7PHF</t>
  </si>
  <si>
    <t>SX-INEVO050HF</t>
  </si>
  <si>
    <t>SXINEVO050K40L12CZF7PHF</t>
  </si>
  <si>
    <t>SX-INEVO060HF</t>
  </si>
  <si>
    <t>SXINEVO060K40L12CZF7PHF</t>
  </si>
  <si>
    <t>SX-INLPP070HF</t>
  </si>
  <si>
    <t>SXINLPP070K40L12CZF7PHF</t>
  </si>
  <si>
    <t>SX-INLPP080HF</t>
  </si>
  <si>
    <t>SXINLPP080K40L12CZF7PHF</t>
  </si>
  <si>
    <t>SX-INLPP090HF</t>
  </si>
  <si>
    <t>SXINLPP090K40L12CZF7PHF</t>
  </si>
  <si>
    <t>SX-INLPP120HF</t>
  </si>
  <si>
    <t>SXINLPP120K40L12CZF7PHF</t>
  </si>
  <si>
    <t>SX-INLPP150HF</t>
  </si>
  <si>
    <t>SXINLPP150K40L12CZF7PHF</t>
  </si>
  <si>
    <t>SX-INLPE150HF</t>
  </si>
  <si>
    <t>SXINLPE150K40L12CZF7PHF</t>
  </si>
  <si>
    <t xml:space="preserve">TAUTAGGTFRRTTNDL_27W_35IBBR
</t>
  </si>
  <si>
    <t>TECNOWATT</t>
  </si>
  <si>
    <t>TAUTAGGTFRRTTNDL_27W_35IBBR
S1-10C1MUN6.5</t>
  </si>
  <si>
    <t xml:space="preserve">SIGSAGPTLRRSSNDL_30W_38IBBRS
</t>
  </si>
  <si>
    <t>SIGSAGPTLRRSSNDL_30W_38IBBRS
1-10C1MUN6.5</t>
  </si>
  <si>
    <t xml:space="preserve">SIGSAGPTLRRSSNDL_40W_50IBBRS
</t>
  </si>
  <si>
    <t>SIGSAGPTLRRSSNDL_40W_50IBBRS
1-10C1MUN6.5</t>
  </si>
  <si>
    <t xml:space="preserve">SIGSAGPTLRRSSNDL_50W_61IBBRS
</t>
  </si>
  <si>
    <t>SIGSAGPTLRRSSNDL_50W_61IBBRS
1-10C1MUN6.5</t>
  </si>
  <si>
    <t xml:space="preserve">SIGSAGPTLRRSSNDL_60W_73IBBRS
</t>
  </si>
  <si>
    <t>SIGSAGPTLRRSSNDL_60W_73IBBRS
1-10C1MUN6.5</t>
  </si>
  <si>
    <t xml:space="preserve">SIGSAGPTLRRSSNDL_68W_83IBBRS
</t>
  </si>
  <si>
    <t>SIGSAGPTLRRSSNDL_68W_83IBBRS
1-10C1MUN6.5</t>
  </si>
  <si>
    <t xml:space="preserve">SIGMAGPTLRRSMNDL_80W_56IBBR
</t>
  </si>
  <si>
    <t>SIGMAGPTLRRSMNDL_80W_56IBBR
S1-10C1MUN6.5</t>
  </si>
  <si>
    <t xml:space="preserve">SIGSAGPTLRRSSNDL_90W112IBBRS
</t>
  </si>
  <si>
    <t>SIGSAGPTLRRSSNDL_90W112IBBRS
1-10C1MUN6.5</t>
  </si>
  <si>
    <t xml:space="preserve">SIGSAGPTLRRSSNDL100W125IBBRS
</t>
  </si>
  <si>
    <t>SIGSAGPTLRRSSNDL100W125IBBRS
1-10C1MUN6.5</t>
  </si>
  <si>
    <t xml:space="preserve">SIGMAGPTLRRSMNDL120W_82IBBR
</t>
  </si>
  <si>
    <t>SIGMAGPTLRRSMNDL120W_82IBBR
S1-10C1MUN6.5</t>
  </si>
  <si>
    <t xml:space="preserve">SIGMAGPTLRRSMNDL150W102IBBR
</t>
  </si>
  <si>
    <t>SIGMAGPTLRRSMNDL150W102IBBR
S1-10C1MUN6.5</t>
  </si>
  <si>
    <t>TAUMAGPTLRRTMNDL183W_95IBB</t>
  </si>
  <si>
    <t>TAUMAGPTLRRTMNDL183W_95IBB
RS1-10C1MUN6.5</t>
  </si>
  <si>
    <t>TAUMAGGTFRRTMNDL200W105IB</t>
  </si>
  <si>
    <t>TAUMAGGTFRRTMNDL200W105IB
BRS1-10C1MUN6.5</t>
  </si>
  <si>
    <t>Valores Orçados</t>
  </si>
  <si>
    <t>Potência</t>
  </si>
  <si>
    <t>ORCHIS</t>
  </si>
  <si>
    <t>Valor (R$/W)</t>
  </si>
  <si>
    <t>A</t>
  </si>
  <si>
    <t>B</t>
  </si>
  <si>
    <t>Valores Estimados</t>
  </si>
  <si>
    <t>J.20.3</t>
  </si>
  <si>
    <t>J.30.3</t>
  </si>
  <si>
    <t>J.40.3</t>
  </si>
  <si>
    <t>J.50.3</t>
  </si>
  <si>
    <t>J.60.3</t>
  </si>
  <si>
    <t>J.70.3</t>
  </si>
  <si>
    <t>J.80.3</t>
  </si>
  <si>
    <t>J.90.3</t>
  </si>
  <si>
    <t>J.100.3</t>
  </si>
  <si>
    <t>J.120.2</t>
  </si>
  <si>
    <t>J.175.3</t>
  </si>
  <si>
    <t>J.200.3</t>
  </si>
  <si>
    <t>Comparação</t>
  </si>
  <si>
    <t>LAELIA</t>
  </si>
  <si>
    <t>JLED-LOTUS</t>
  </si>
  <si>
    <t>J.20.2</t>
  </si>
  <si>
    <t>J.30.1</t>
  </si>
  <si>
    <t>J.40.2</t>
  </si>
  <si>
    <t>J.50.2</t>
  </si>
  <si>
    <t>J.60.2</t>
  </si>
  <si>
    <t>J.70.2</t>
  </si>
  <si>
    <t>J.80.2</t>
  </si>
  <si>
    <t>J.90.2</t>
  </si>
  <si>
    <t>J.100.2</t>
  </si>
  <si>
    <t>Marca</t>
  </si>
  <si>
    <t>CONEXLED</t>
  </si>
  <si>
    <t>C.29</t>
  </si>
  <si>
    <t>CLU-M30K50IES2</t>
  </si>
  <si>
    <t>C.59</t>
  </si>
  <si>
    <t>CLU-M60K50IES2</t>
  </si>
  <si>
    <t>C.76</t>
  </si>
  <si>
    <t>CLG-J80K50CF90</t>
  </si>
  <si>
    <t>C.89</t>
  </si>
  <si>
    <t>CLG-J100K50CF90</t>
  </si>
  <si>
    <t>C.92</t>
  </si>
  <si>
    <t>CLU-M90K50IES2</t>
  </si>
  <si>
    <t>C.139</t>
  </si>
  <si>
    <t>CLU-M150K50IES</t>
  </si>
  <si>
    <t>C.165</t>
  </si>
  <si>
    <t>CLG-J150K50CF90</t>
  </si>
  <si>
    <t>C.168</t>
  </si>
  <si>
    <t>CLU-M200K50IES2</t>
  </si>
  <si>
    <t>C.179</t>
  </si>
  <si>
    <t>CLG-J200K50CF60</t>
  </si>
  <si>
    <t>C.217</t>
  </si>
  <si>
    <t>CLU-M250K50IES2</t>
  </si>
  <si>
    <t>PHILIPS</t>
  </si>
  <si>
    <t>BRP220 LED54-5S/NW 48W DME NEMA7P</t>
  </si>
  <si>
    <t>P.60.1</t>
  </si>
  <si>
    <t>BRP220 LED65-5S/NW 60W DME NEMA7P</t>
  </si>
  <si>
    <t>P.60.2</t>
  </si>
  <si>
    <t>BRP371 A LED70-5S2/NW 60W DME NEMA7P</t>
  </si>
  <si>
    <t>P.60</t>
  </si>
  <si>
    <t>BRP220 LED54-5S/NW 60W DMB P1 SRG</t>
  </si>
  <si>
    <t>P.70</t>
  </si>
  <si>
    <t>BRP371 A LED83-5S2/NW 70W DME NEMA7P</t>
  </si>
  <si>
    <t>P.88</t>
  </si>
  <si>
    <t>BRP371 A LED106-4S_NW 88W DW1</t>
  </si>
  <si>
    <t>P.90</t>
  </si>
  <si>
    <t>BRP371 A LED105-5S_NW 90W DME</t>
  </si>
  <si>
    <t>P.140</t>
  </si>
  <si>
    <t>P.150.1</t>
  </si>
  <si>
    <t>BRP371 A LED168-5S2/NW 150W DME</t>
  </si>
  <si>
    <t>P.150.2</t>
  </si>
  <si>
    <t xml:space="preserve">BRP692 A LED195-4S/CW 150W DW1 </t>
  </si>
  <si>
    <t>P.150.3</t>
  </si>
  <si>
    <t>P.180</t>
  </si>
  <si>
    <t>BWP352 LED194/NW 180W 220-240V DM2 MP1</t>
  </si>
  <si>
    <t>P.190.1</t>
  </si>
  <si>
    <t>BRP492 A LED247-4S/NW 190W DW1 P7 0-10</t>
  </si>
  <si>
    <t>P.200</t>
  </si>
  <si>
    <t xml:space="preserve">BRP372 A LED226-5S NW 200W DME </t>
  </si>
  <si>
    <t>P.210.1</t>
  </si>
  <si>
    <t>BRP492 A LED273-4S/NW 210W DW1 P7 0-10</t>
  </si>
  <si>
    <t>P.210.2</t>
  </si>
  <si>
    <t>P.230.1</t>
  </si>
  <si>
    <t xml:space="preserve">BRP372 A LED260-5S NW 230W DME </t>
  </si>
  <si>
    <t xml:space="preserve">BRP493 A LED299-4S CW 230W DW1 </t>
  </si>
  <si>
    <t>P.230.3</t>
  </si>
  <si>
    <t>P.250.1</t>
  </si>
  <si>
    <t>BRP493 A LED325-4S NW 250W DW1</t>
  </si>
  <si>
    <t>P.250.2</t>
  </si>
  <si>
    <t>P.270.1</t>
  </si>
  <si>
    <t>BRP493 A LED351-4S NW 270W DW1</t>
  </si>
  <si>
    <t>Nível de complexidade</t>
  </si>
  <si>
    <t>Classes IP</t>
  </si>
  <si>
    <t>Posteação</t>
  </si>
  <si>
    <t>Distanciamento</t>
  </si>
  <si>
    <t>Largura Via</t>
  </si>
  <si>
    <t>Altura</t>
  </si>
  <si>
    <t>Projeção</t>
  </si>
  <si>
    <t>Faixas</t>
  </si>
  <si>
    <t>CC</t>
  </si>
  <si>
    <t>I</t>
  </si>
  <si>
    <t>PU-SCC</t>
  </si>
  <si>
    <t>II</t>
  </si>
  <si>
    <t>III</t>
  </si>
  <si>
    <t>PBA-SCC</t>
  </si>
  <si>
    <t>PBF-SCC</t>
  </si>
  <si>
    <t>PU-CCC</t>
  </si>
  <si>
    <t>PBA-CCC</t>
  </si>
  <si>
    <t>PBF-CCC</t>
  </si>
  <si>
    <t>ABNT NBR 5101:2024 (Vias de pedestres)</t>
  </si>
  <si>
    <t>ABNT NBR 5101:2024 (Áreas de Conflito)</t>
  </si>
  <si>
    <t>Classe de Iluminação</t>
  </si>
  <si>
    <t>Iluminância Média Mínima
Emed,min [lux]</t>
  </si>
  <si>
    <t>Iluminância Vertical Mínima*
[lux]</t>
  </si>
  <si>
    <t>Fator de Uniformidade Mínimo
Umin</t>
  </si>
  <si>
    <t>Luminância Média Mínima
Lmed [cd/m²]</t>
  </si>
  <si>
    <t>Uniformidade Global Mínima
Uo</t>
  </si>
  <si>
    <t>Uniformidade Longitudinal Mínima
UL</t>
  </si>
  <si>
    <t>fTI %
&lt;=</t>
  </si>
  <si>
    <t>EIR
&gt;=</t>
  </si>
  <si>
    <t>P1</t>
  </si>
  <si>
    <t>P2</t>
  </si>
  <si>
    <t>*Se houver necessidade de reconhecimento facial</t>
  </si>
  <si>
    <t>ABNT NBR 5101:2024 (Tráfego Motorizado)</t>
  </si>
  <si>
    <t>M1</t>
  </si>
  <si>
    <t>M2</t>
  </si>
  <si>
    <t>M3</t>
  </si>
  <si>
    <t>M4</t>
  </si>
  <si>
    <t>M5</t>
  </si>
  <si>
    <t>q0</t>
  </si>
  <si>
    <t>(cd/m²)/lx</t>
  </si>
  <si>
    <t>Potência Mais Recorrente</t>
  </si>
  <si>
    <t>Potência Média</t>
  </si>
  <si>
    <t>Potência Típica</t>
  </si>
  <si>
    <t>UNICOBA</t>
  </si>
  <si>
    <t>Considerar</t>
  </si>
  <si>
    <t>Potência Atual</t>
  </si>
  <si>
    <t>Código da Luminária</t>
  </si>
  <si>
    <t>Potência Proposta</t>
  </si>
  <si>
    <t>Tipo de CPE</t>
  </si>
  <si>
    <t>Aumento de pontos proposto (via de veículos)</t>
  </si>
  <si>
    <t>Aumento de pontos proposto (segundo nível)</t>
  </si>
  <si>
    <t>Número de logradouros</t>
  </si>
  <si>
    <t>SX-INLPP0100HF</t>
  </si>
  <si>
    <t>Sum of Número de logradouros</t>
  </si>
  <si>
    <t/>
  </si>
  <si>
    <t>Total Geral</t>
  </si>
  <si>
    <t>(vazio)</t>
  </si>
  <si>
    <t>Rótulos de Linha</t>
  </si>
  <si>
    <t>Média de  Potência simulada - IP Principal (W)</t>
  </si>
  <si>
    <t>Potência Reator</t>
  </si>
  <si>
    <t>PVVP</t>
  </si>
  <si>
    <t>Altura da luminária</t>
  </si>
  <si>
    <t>Distância entre postes</t>
  </si>
  <si>
    <t>Faixas de Rodagem via C</t>
  </si>
  <si>
    <t>Unilateral</t>
  </si>
  <si>
    <t>Canteiro central</t>
  </si>
  <si>
    <t>Braço</t>
  </si>
  <si>
    <t xml:space="preserve"> -</t>
  </si>
  <si>
    <t>Penelope</t>
  </si>
  <si>
    <t>Observações</t>
  </si>
  <si>
    <t>Classificação viária (Análise do Cadastro)</t>
  </si>
  <si>
    <t>Alexandre</t>
  </si>
  <si>
    <t>ok</t>
  </si>
  <si>
    <t>Concluído estrutura</t>
  </si>
  <si>
    <t>Concluído simulação</t>
  </si>
  <si>
    <t>Avenida Caio Martins</t>
  </si>
  <si>
    <t>Rodovia Engenheiro Idsel Costa Martins</t>
  </si>
  <si>
    <t>Avenida Bento Gonçalves</t>
  </si>
  <si>
    <t>Avenida André Faveli</t>
  </si>
  <si>
    <t>0.5 - Projeção do braço segundo nível</t>
  </si>
  <si>
    <r>
      <t>(7.5)</t>
    </r>
    <r>
      <rPr>
        <sz val="11"/>
        <color rgb="FFFF0000"/>
        <rFont val="Calibri"/>
        <family val="2"/>
        <scheme val="minor"/>
      </rPr>
      <t xml:space="preserve"> 2.00</t>
    </r>
  </si>
  <si>
    <r>
      <t xml:space="preserve">(V) </t>
    </r>
    <r>
      <rPr>
        <sz val="11"/>
        <color rgb="FFFF0000"/>
        <rFont val="Calibri"/>
        <family val="2"/>
        <scheme val="minor"/>
      </rPr>
      <t>PVP</t>
    </r>
  </si>
  <si>
    <t>Verificado que a estrutura predominante é PVP / Corrigido a distancia do poste a via de 0.70 para 3, não foi considerado inicialmente o estacionamento de 2.30.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</si>
</sst>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??_-;_-@"/>
    <numFmt numFmtId="165" formatCode="0.0%"/>
    <numFmt numFmtId="166" formatCode="0.0"/>
    <numFmt numFmtId="167" formatCode="_-&quot;R$&quot;\ * #,##0.00_-;\-&quot;R$&quot;\ * #,##0.00_-;_-&quot;R$&quot;\ * &quot;-&quot;??_-;_-@"/>
    <numFmt numFmtId="168" formatCode="&quot;R$&quot;\ #,##0.00"/>
    <numFmt numFmtId="169" formatCode="_-* #,##0.00_-;\-* #,##0.00_-;_-* &quot;-&quot;??_-;_-@"/>
  </numFmts>
  <fonts count="2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FFFF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0"/>
      <color rgb="FF3F3F3F"/>
      <name val="Arial"/>
      <family val="2"/>
    </font>
    <font>
      <b/>
      <sz val="12"/>
      <color rgb="FFFF0000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  <fill>
      <patternFill patternType="solid">
        <fgColor rgb="FF8EAADB"/>
        <bgColor rgb="FF8EAADB"/>
      </patternFill>
    </fill>
    <fill>
      <patternFill patternType="solid">
        <fgColor rgb="FFC55A11"/>
        <bgColor rgb="FFC55A11"/>
      </patternFill>
    </fill>
    <fill>
      <patternFill patternType="solid">
        <fgColor rgb="FF3F3F3F"/>
        <bgColor rgb="FF3F3F3F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A5A5A5"/>
        <bgColor rgb="FFA5A5A5"/>
      </patternFill>
    </fill>
    <fill>
      <patternFill patternType="solid">
        <fgColor rgb="FFD0CECE"/>
        <bgColor rgb="FFD0CECE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theme="6"/>
      </patternFill>
    </fill>
    <fill>
      <patternFill patternType="solid">
        <fgColor rgb="FFFFFF00"/>
        <bgColor rgb="FF8EAADB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FFFFFF"/>
      </left>
      <right/>
      <top style="thin">
        <color rgb="FF999999"/>
      </top>
      <bottom/>
      <diagonal/>
    </border>
    <border>
      <left style="thin">
        <color rgb="FFFFFFFF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999999"/>
      </right>
      <top style="thin">
        <color rgb="FFFFFFFF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FFFFFF"/>
      </top>
      <bottom style="thin">
        <color rgb="FF999999"/>
      </bottom>
      <diagonal/>
    </border>
    <border>
      <left style="thin">
        <color rgb="FFFFFFFF"/>
      </left>
      <right/>
      <top style="thin">
        <color rgb="FFFFFFFF"/>
      </top>
      <bottom style="thin">
        <color rgb="FF999999"/>
      </bottom>
      <diagonal/>
    </border>
    <border>
      <left style="thin">
        <color rgb="FFFFFFFF"/>
      </left>
      <right style="thin">
        <color rgb="FF999999"/>
      </right>
      <top style="thin">
        <color rgb="FFFFFFFF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5" fillId="0" borderId="0" xfId="0" applyFont="1"/>
    <xf numFmtId="0" fontId="6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164" fontId="8" fillId="10" borderId="3" xfId="0" applyNumberFormat="1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2" fontId="8" fillId="0" borderId="3" xfId="0" applyNumberFormat="1" applyFont="1" applyBorder="1" applyAlignment="1">
      <alignment horizontal="center" vertical="center"/>
    </xf>
    <xf numFmtId="2" fontId="8" fillId="13" borderId="3" xfId="0" applyNumberFormat="1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165" fontId="8" fillId="14" borderId="3" xfId="0" applyNumberFormat="1" applyFont="1" applyFill="1" applyBorder="1" applyAlignment="1">
      <alignment horizontal="center" vertical="center"/>
    </xf>
    <xf numFmtId="2" fontId="8" fillId="6" borderId="3" xfId="0" applyNumberFormat="1" applyFont="1" applyFill="1" applyBorder="1" applyAlignment="1">
      <alignment horizontal="center" vertical="center"/>
    </xf>
    <xf numFmtId="1" fontId="8" fillId="6" borderId="3" xfId="0" applyNumberFormat="1" applyFont="1" applyFill="1" applyBorder="1" applyAlignment="1">
      <alignment horizontal="center" vertical="center"/>
    </xf>
    <xf numFmtId="2" fontId="8" fillId="14" borderId="3" xfId="0" applyNumberFormat="1" applyFont="1" applyFill="1" applyBorder="1" applyAlignment="1">
      <alignment horizontal="center" vertical="center"/>
    </xf>
    <xf numFmtId="9" fontId="8" fillId="14" borderId="3" xfId="0" applyNumberFormat="1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1" fontId="8" fillId="15" borderId="3" xfId="0" applyNumberFormat="1" applyFont="1" applyFill="1" applyBorder="1" applyAlignment="1">
      <alignment horizontal="center" vertical="center"/>
    </xf>
    <xf numFmtId="166" fontId="8" fillId="15" borderId="3" xfId="0" applyNumberFormat="1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2" fontId="6" fillId="11" borderId="3" xfId="0" applyNumberFormat="1" applyFont="1" applyFill="1" applyBorder="1" applyAlignment="1">
      <alignment horizontal="center" vertical="center"/>
    </xf>
    <xf numFmtId="10" fontId="6" fillId="11" borderId="3" xfId="0" applyNumberFormat="1" applyFont="1" applyFill="1" applyBorder="1" applyAlignment="1">
      <alignment horizontal="center" vertical="center"/>
    </xf>
    <xf numFmtId="167" fontId="8" fillId="8" borderId="3" xfId="0" applyNumberFormat="1" applyFont="1" applyFill="1" applyBorder="1" applyAlignment="1">
      <alignment horizontal="center" vertical="center"/>
    </xf>
    <xf numFmtId="167" fontId="8" fillId="12" borderId="3" xfId="0" applyNumberFormat="1" applyFont="1" applyFill="1" applyBorder="1" applyAlignment="1">
      <alignment horizontal="center" vertical="center"/>
    </xf>
    <xf numFmtId="10" fontId="5" fillId="0" borderId="0" xfId="0" applyNumberFormat="1" applyFont="1"/>
    <xf numFmtId="0" fontId="8" fillId="16" borderId="3" xfId="0" applyFont="1" applyFill="1" applyBorder="1" applyAlignment="1">
      <alignment horizontal="center" vertical="center" wrapText="1"/>
    </xf>
    <xf numFmtId="2" fontId="5" fillId="3" borderId="3" xfId="0" applyNumberFormat="1" applyFont="1" applyFill="1" applyBorder="1" applyAlignment="1">
      <alignment horizontal="center"/>
    </xf>
    <xf numFmtId="0" fontId="5" fillId="0" borderId="3" xfId="0" applyFont="1" applyBorder="1"/>
    <xf numFmtId="0" fontId="5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2" fontId="5" fillId="17" borderId="3" xfId="0" applyNumberFormat="1" applyFont="1" applyFill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1" fontId="5" fillId="0" borderId="13" xfId="0" applyNumberFormat="1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0" xfId="0" applyFont="1" applyAlignment="1">
      <alignment horizontal="left"/>
    </xf>
    <xf numFmtId="0" fontId="9" fillId="0" borderId="0" xfId="0" applyFont="1"/>
    <xf numFmtId="3" fontId="9" fillId="0" borderId="0" xfId="0" applyNumberFormat="1" applyFont="1"/>
    <xf numFmtId="168" fontId="9" fillId="0" borderId="0" xfId="0" applyNumberFormat="1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9" fontId="9" fillId="0" borderId="3" xfId="0" applyNumberFormat="1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68" fontId="11" fillId="0" borderId="0" xfId="0" applyNumberFormat="1" applyFont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center" vertical="center"/>
    </xf>
    <xf numFmtId="168" fontId="12" fillId="2" borderId="3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3" fontId="9" fillId="0" borderId="3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169" fontId="10" fillId="0" borderId="3" xfId="0" applyNumberFormat="1" applyFont="1" applyBorder="1" applyAlignment="1">
      <alignment horizontal="center" vertical="center"/>
    </xf>
    <xf numFmtId="168" fontId="11" fillId="6" borderId="3" xfId="0" applyNumberFormat="1" applyFont="1" applyFill="1" applyBorder="1" applyAlignment="1">
      <alignment horizontal="center" vertical="center"/>
    </xf>
    <xf numFmtId="168" fontId="9" fillId="0" borderId="3" xfId="0" applyNumberFormat="1" applyFont="1" applyBorder="1" applyAlignment="1">
      <alignment horizontal="center" vertical="center"/>
    </xf>
    <xf numFmtId="0" fontId="9" fillId="6" borderId="3" xfId="0" applyFont="1" applyFill="1" applyBorder="1"/>
    <xf numFmtId="2" fontId="9" fillId="6" borderId="3" xfId="0" applyNumberFormat="1" applyFont="1" applyFill="1" applyBorder="1" applyAlignment="1">
      <alignment horizontal="center"/>
    </xf>
    <xf numFmtId="168" fontId="9" fillId="6" borderId="3" xfId="0" applyNumberFormat="1" applyFont="1" applyFill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3" fontId="12" fillId="2" borderId="21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67" fontId="15" fillId="0" borderId="3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67" fontId="15" fillId="0" borderId="0" xfId="0" applyNumberFormat="1" applyFont="1" applyAlignment="1">
      <alignment horizontal="center" vertical="center"/>
    </xf>
    <xf numFmtId="2" fontId="5" fillId="0" borderId="3" xfId="0" applyNumberFormat="1" applyFont="1" applyBorder="1"/>
    <xf numFmtId="0" fontId="6" fillId="2" borderId="22" xfId="0" applyFont="1" applyFill="1" applyBorder="1" applyAlignment="1">
      <alignment horizontal="center"/>
    </xf>
    <xf numFmtId="168" fontId="11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7" fillId="2" borderId="3" xfId="0" applyFont="1" applyFill="1" applyBorder="1" applyAlignment="1">
      <alignment horizontal="center" vertical="center"/>
    </xf>
    <xf numFmtId="2" fontId="5" fillId="0" borderId="3" xfId="0" quotePrefix="1" applyNumberFormat="1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18" fillId="0" borderId="0" xfId="0" applyFont="1"/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19" fillId="14" borderId="27" xfId="0" applyFont="1" applyFill="1" applyBorder="1" applyAlignment="1">
      <alignment horizontal="center" vertical="center"/>
    </xf>
    <xf numFmtId="2" fontId="19" fillId="0" borderId="27" xfId="0" applyNumberFormat="1" applyFont="1" applyBorder="1" applyAlignment="1">
      <alignment horizontal="center" vertical="center"/>
    </xf>
    <xf numFmtId="2" fontId="19" fillId="14" borderId="27" xfId="0" applyNumberFormat="1" applyFont="1" applyFill="1" applyBorder="1" applyAlignment="1">
      <alignment horizontal="center" vertical="center"/>
    </xf>
    <xf numFmtId="0" fontId="19" fillId="15" borderId="27" xfId="0" applyFont="1" applyFill="1" applyBorder="1" applyAlignment="1">
      <alignment horizontal="center" vertical="center"/>
    </xf>
    <xf numFmtId="0" fontId="18" fillId="18" borderId="0" xfId="0" applyFont="1" applyFill="1"/>
    <xf numFmtId="0" fontId="5" fillId="18" borderId="0" xfId="0" applyFont="1" applyFill="1" applyAlignment="1">
      <alignment horizontal="center" vertical="center"/>
    </xf>
    <xf numFmtId="1" fontId="5" fillId="18" borderId="0" xfId="0" applyNumberFormat="1" applyFont="1" applyFill="1" applyAlignment="1">
      <alignment horizontal="center" vertical="center"/>
    </xf>
    <xf numFmtId="2" fontId="5" fillId="18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pivotButton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0" fontId="8" fillId="14" borderId="27" xfId="0" applyFont="1" applyFill="1" applyBorder="1" applyAlignment="1">
      <alignment horizontal="center" vertical="center"/>
    </xf>
    <xf numFmtId="9" fontId="8" fillId="14" borderId="27" xfId="0" applyNumberFormat="1" applyFont="1" applyFill="1" applyBorder="1" applyAlignment="1">
      <alignment horizontal="center" vertical="center"/>
    </xf>
    <xf numFmtId="0" fontId="20" fillId="19" borderId="3" xfId="0" applyFont="1" applyFill="1" applyBorder="1" applyAlignment="1">
      <alignment horizontal="center" vertical="center" wrapText="1"/>
    </xf>
    <xf numFmtId="0" fontId="21" fillId="0" borderId="0" xfId="0" applyFont="1"/>
    <xf numFmtId="0" fontId="8" fillId="20" borderId="3" xfId="0" applyFont="1" applyFill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2" fontId="24" fillId="0" borderId="3" xfId="0" applyNumberFormat="1" applyFont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8" fillId="19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1" borderId="0" xfId="0" applyFill="1" applyAlignment="1">
      <alignment horizontal="center"/>
    </xf>
    <xf numFmtId="0" fontId="4" fillId="22" borderId="0" xfId="0" applyFont="1" applyFill="1" applyAlignment="1">
      <alignment horizontal="center"/>
    </xf>
    <xf numFmtId="0" fontId="2" fillId="22" borderId="0" xfId="0" applyFont="1" applyFill="1" applyAlignment="1">
      <alignment horizontal="center"/>
    </xf>
    <xf numFmtId="0" fontId="3" fillId="2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8" fillId="5" borderId="21" xfId="0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2" fontId="24" fillId="0" borderId="28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0" borderId="2" xfId="0" applyFont="1" applyBorder="1"/>
    <xf numFmtId="0" fontId="5" fillId="0" borderId="5" xfId="0" applyFont="1" applyBorder="1" applyAlignment="1">
      <alignment horizontal="center" vertical="center"/>
    </xf>
    <xf numFmtId="0" fontId="7" fillId="0" borderId="6" xfId="0" applyFont="1" applyBorder="1"/>
    <xf numFmtId="0" fontId="6" fillId="2" borderId="1" xfId="0" applyFont="1" applyFill="1" applyBorder="1" applyAlignment="1">
      <alignment horizontal="center" vertical="center"/>
    </xf>
    <xf numFmtId="0" fontId="7" fillId="0" borderId="4" xfId="0" applyFont="1" applyBorder="1"/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vertical="center"/>
    </xf>
    <xf numFmtId="0" fontId="7" fillId="0" borderId="25" xfId="0" applyFont="1" applyBorder="1"/>
    <xf numFmtId="0" fontId="7" fillId="0" borderId="26" xfId="0" applyFont="1" applyBorder="1"/>
    <xf numFmtId="0" fontId="5" fillId="0" borderId="1" xfId="0" applyFont="1" applyBorder="1" applyAlignment="1">
      <alignment horizontal="left" vertical="center"/>
    </xf>
    <xf numFmtId="0" fontId="26" fillId="0" borderId="27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22" fillId="21" borderId="27" xfId="0" applyFont="1" applyFill="1" applyBorder="1" applyAlignment="1">
      <alignment horizontal="center" vertical="center"/>
    </xf>
    <xf numFmtId="0" fontId="23" fillId="21" borderId="2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52"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4B4B"/>
          <bgColor rgb="FFFF4B4B"/>
        </patternFill>
      </fill>
    </dxf>
    <dxf>
      <font>
        <b/>
      </font>
      <fill>
        <patternFill patternType="solid">
          <fgColor rgb="FFA8D08D"/>
          <bgColor rgb="FFA8D08D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ont>
        <b/>
      </font>
      <fill>
        <patternFill patternType="solid">
          <fgColor rgb="FFFFC000"/>
          <bgColor rgb="FFFFC000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4B4B"/>
          <bgColor rgb="FFFF4B4B"/>
        </patternFill>
      </fill>
    </dxf>
    <dxf>
      <font>
        <b/>
      </font>
      <fill>
        <patternFill patternType="solid">
          <fgColor rgb="FFA8D08D"/>
          <bgColor rgb="FFA8D08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AnáliseFornecedores!$C$4:$C$5</c:f>
              <c:numCache>
                <c:formatCode>General</c:formatCode>
                <c:ptCount val="2"/>
                <c:pt idx="0">
                  <c:v>120</c:v>
                </c:pt>
                <c:pt idx="1">
                  <c:v>150</c:v>
                </c:pt>
              </c:numCache>
            </c:numRef>
          </c:xVal>
          <c:yVal>
            <c:numRef>
              <c:f>AnáliseFornecedores!$D$4:$D$5</c:f>
              <c:numCache>
                <c:formatCode>_-"R$"\ * #,##0.00_-;\-"R$"\ * #,##0.00_-;_-"R$"\ * "-"??_-;_-@</c:formatCode>
                <c:ptCount val="2"/>
                <c:pt idx="0">
                  <c:v>1373.6163280000001</c:v>
                </c:pt>
                <c:pt idx="1">
                  <c:v>1417.6163280000001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272-40CC-AFA5-CDB4CB879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163472"/>
        <c:axId val="316219193"/>
      </c:scatterChart>
      <c:valAx>
        <c:axId val="11991634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16219193"/>
        <c:crosses val="autoZero"/>
        <c:crossBetween val="midCat"/>
      </c:valAx>
      <c:valAx>
        <c:axId val="3162191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9916347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AnáliseFornecedores!$C$30:$C$31</c:f>
              <c:numCache>
                <c:formatCode>General</c:formatCode>
                <c:ptCount val="2"/>
                <c:pt idx="0">
                  <c:v>80</c:v>
                </c:pt>
                <c:pt idx="1">
                  <c:v>100</c:v>
                </c:pt>
              </c:numCache>
            </c:numRef>
          </c:xVal>
          <c:yVal>
            <c:numRef>
              <c:f>AnáliseFornecedores!$D$30:$D$31</c:f>
              <c:numCache>
                <c:formatCode>_-"R$"\ * #,##0.00_-;\-"R$"\ * #,##0.00_-;_-"R$"\ * "-"??_-;_-@</c:formatCode>
                <c:ptCount val="2"/>
                <c:pt idx="0">
                  <c:v>960.08941199999992</c:v>
                </c:pt>
                <c:pt idx="1">
                  <c:v>987.00275999999997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89-44C3-BBCE-3E0478446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285450"/>
        <c:axId val="1978837608"/>
      </c:scatterChart>
      <c:valAx>
        <c:axId val="7942854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78837608"/>
        <c:crosses val="autoZero"/>
        <c:crossBetween val="midCat"/>
      </c:valAx>
      <c:valAx>
        <c:axId val="19788376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&quot;R$&quot;\ * #,##0.00_-;\-&quot;R$&quot;\ * #,##0.00_-;_-&quot;R$&quot;\ * &quot;-&quot;??_-;_-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79428545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AnáliseFornecedores!$C$56:$C$62</c:f>
              <c:numCache>
                <c:formatCode>General</c:formatCode>
                <c:ptCount val="7"/>
                <c:pt idx="0">
                  <c:v>51</c:v>
                </c:pt>
                <c:pt idx="1">
                  <c:v>101</c:v>
                </c:pt>
                <c:pt idx="2">
                  <c:v>110</c:v>
                </c:pt>
                <c:pt idx="3">
                  <c:v>149</c:v>
                </c:pt>
                <c:pt idx="4">
                  <c:v>159</c:v>
                </c:pt>
                <c:pt idx="5">
                  <c:v>194</c:v>
                </c:pt>
                <c:pt idx="6">
                  <c:v>247</c:v>
                </c:pt>
              </c:numCache>
            </c:numRef>
          </c:xVal>
          <c:yVal>
            <c:numRef>
              <c:f>AnáliseFornecedores!$D$56:$D$62</c:f>
              <c:numCache>
                <c:formatCode>"R$"\ #,##0.00</c:formatCode>
                <c:ptCount val="7"/>
                <c:pt idx="0">
                  <c:v>650.38</c:v>
                </c:pt>
                <c:pt idx="1">
                  <c:v>779.88</c:v>
                </c:pt>
                <c:pt idx="2">
                  <c:v>1143.46</c:v>
                </c:pt>
                <c:pt idx="3">
                  <c:v>919.11</c:v>
                </c:pt>
                <c:pt idx="4">
                  <c:v>1221.51</c:v>
                </c:pt>
                <c:pt idx="5">
                  <c:v>1202.21</c:v>
                </c:pt>
                <c:pt idx="6">
                  <c:v>1334.86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66-481E-9254-C630B691D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235950"/>
        <c:axId val="1337688714"/>
      </c:scatterChart>
      <c:valAx>
        <c:axId val="15862359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37688714"/>
        <c:crosses val="autoZero"/>
        <c:crossBetween val="midCat"/>
      </c:valAx>
      <c:valAx>
        <c:axId val="1337688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R$&quot;\ 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8623595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AnáliseFornecedores!$C$82:$C$93</c:f>
              <c:numCache>
                <c:formatCode>General</c:formatCode>
                <c:ptCount val="12"/>
                <c:pt idx="0">
                  <c:v>22</c:v>
                </c:pt>
                <c:pt idx="1">
                  <c:v>30</c:v>
                </c:pt>
                <c:pt idx="2">
                  <c:v>38</c:v>
                </c:pt>
                <c:pt idx="3">
                  <c:v>55</c:v>
                </c:pt>
                <c:pt idx="4">
                  <c:v>57</c:v>
                </c:pt>
                <c:pt idx="5">
                  <c:v>68</c:v>
                </c:pt>
                <c:pt idx="6">
                  <c:v>80</c:v>
                </c:pt>
                <c:pt idx="7">
                  <c:v>100</c:v>
                </c:pt>
                <c:pt idx="8">
                  <c:v>114</c:v>
                </c:pt>
                <c:pt idx="9">
                  <c:v>120</c:v>
                </c:pt>
                <c:pt idx="10">
                  <c:v>130</c:v>
                </c:pt>
                <c:pt idx="11">
                  <c:v>170</c:v>
                </c:pt>
              </c:numCache>
            </c:numRef>
          </c:xVal>
          <c:yVal>
            <c:numRef>
              <c:f>AnáliseFornecedores!$D$82:$D$93</c:f>
              <c:numCache>
                <c:formatCode>"R$"\ #,##0.00</c:formatCode>
                <c:ptCount val="12"/>
                <c:pt idx="0">
                  <c:v>486.71</c:v>
                </c:pt>
                <c:pt idx="1">
                  <c:v>494.63</c:v>
                </c:pt>
                <c:pt idx="2">
                  <c:v>494.63</c:v>
                </c:pt>
                <c:pt idx="3">
                  <c:v>508.35</c:v>
                </c:pt>
                <c:pt idx="4">
                  <c:v>486.05</c:v>
                </c:pt>
                <c:pt idx="5">
                  <c:v>508.38</c:v>
                </c:pt>
                <c:pt idx="6">
                  <c:v>832.54</c:v>
                </c:pt>
                <c:pt idx="7">
                  <c:v>835.22</c:v>
                </c:pt>
                <c:pt idx="8">
                  <c:v>996.32</c:v>
                </c:pt>
                <c:pt idx="9">
                  <c:v>772.09</c:v>
                </c:pt>
                <c:pt idx="10">
                  <c:v>1498.29</c:v>
                </c:pt>
                <c:pt idx="11">
                  <c:v>1280.6099999999999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5E-4CD8-8FA1-36D840646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2700747"/>
        <c:axId val="23463880"/>
      </c:scatterChart>
      <c:valAx>
        <c:axId val="17727007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3463880"/>
        <c:crosses val="autoZero"/>
        <c:crossBetween val="midCat"/>
      </c:valAx>
      <c:valAx>
        <c:axId val="23463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&quot;R$&quot;\ 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77270074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</xdr:colOff>
      <xdr:row>1</xdr:row>
      <xdr:rowOff>38100</xdr:rowOff>
    </xdr:from>
    <xdr:ext cx="4324350" cy="2981325"/>
    <xdr:graphicFrame macro="">
      <xdr:nvGraphicFramePr>
        <xdr:cNvPr id="1517758898" name="Chart 1">
          <a:extLst>
            <a:ext uri="{FF2B5EF4-FFF2-40B4-BE49-F238E27FC236}">
              <a16:creationId xmlns:a16="http://schemas.microsoft.com/office/drawing/2014/main" id="{00000000-0008-0000-0900-0000B22977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533400</xdr:colOff>
      <xdr:row>21</xdr:row>
      <xdr:rowOff>123825</xdr:rowOff>
    </xdr:from>
    <xdr:ext cx="4343400" cy="2952750"/>
    <xdr:graphicFrame macro="">
      <xdr:nvGraphicFramePr>
        <xdr:cNvPr id="2093626765" name="Chart 2">
          <a:extLst>
            <a:ext uri="{FF2B5EF4-FFF2-40B4-BE49-F238E27FC236}">
              <a16:creationId xmlns:a16="http://schemas.microsoft.com/office/drawing/2014/main" id="{00000000-0008-0000-0900-00008D35C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0</xdr:colOff>
      <xdr:row>50</xdr:row>
      <xdr:rowOff>0</xdr:rowOff>
    </xdr:from>
    <xdr:ext cx="4324350" cy="2943225"/>
    <xdr:graphicFrame macro="">
      <xdr:nvGraphicFramePr>
        <xdr:cNvPr id="307680357" name="Chart 3">
          <a:extLst>
            <a:ext uri="{FF2B5EF4-FFF2-40B4-BE49-F238E27FC236}">
              <a16:creationId xmlns:a16="http://schemas.microsoft.com/office/drawing/2014/main" id="{00000000-0008-0000-0900-000065D45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10</xdr:col>
      <xdr:colOff>466725</xdr:colOff>
      <xdr:row>77</xdr:row>
      <xdr:rowOff>171450</xdr:rowOff>
    </xdr:from>
    <xdr:ext cx="4286250" cy="2914650"/>
    <xdr:graphicFrame macro="">
      <xdr:nvGraphicFramePr>
        <xdr:cNvPr id="1533963295" name="Chart 4">
          <a:extLst>
            <a:ext uri="{FF2B5EF4-FFF2-40B4-BE49-F238E27FC236}">
              <a16:creationId xmlns:a16="http://schemas.microsoft.com/office/drawing/2014/main" id="{00000000-0008-0000-0900-00001F6C6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</xdr:row>
      <xdr:rowOff>133350</xdr:rowOff>
    </xdr:from>
    <xdr:ext cx="3686175" cy="22002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3503865" y="2682720"/>
          <a:ext cx="3684270" cy="219456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 Se o nível da classe for mantido, há uma tolerância maior na uniformidade longitudinal; dois fatores orientativos passam a ser obrigatórios, porém com tolerância maior. De forma geral, não deve haver problemas para o atendimento da nova norma nesse caso.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* Caso seja constadada a necessidade de mudança de nível de classe, terá que ser simulado novamente para atender aos novos requisitos.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 número de requisitos aumenta, mas há uma tolerância maior.</a:t>
          </a: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nco%20de%20dados%20(2)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 (2)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o jr" refreshedDate="46084.435490277778" createdVersion="8" refreshedVersion="8" minRefreshableVersion="3" recordCount="1522" xr:uid="{00000000-000A-0000-FFFF-FFFF00000000}">
  <cacheSource type="worksheet">
    <worksheetSource ref="A1:O1048576" sheet="Base"/>
  </cacheSource>
  <cacheFields count="15">
    <cacheField name="Logradouro" numFmtId="0">
      <sharedItems containsBlank="1"/>
    </cacheField>
    <cacheField name="Considerar" numFmtId="0">
      <sharedItems containsBlank="1" count="3">
        <s v="Sim"/>
        <s v="Não"/>
        <m/>
      </sharedItems>
    </cacheField>
    <cacheField name="Potência Atual" numFmtId="0">
      <sharedItems containsString="0" containsBlank="1" containsNumber="1" containsInteger="1" minValue="50" maxValue="300" count="8">
        <n v="99"/>
        <n v="50"/>
        <n v="250"/>
        <n v="100"/>
        <n v="150"/>
        <n v="70"/>
        <n v="300"/>
        <m/>
      </sharedItems>
    </cacheField>
    <cacheField name="Classe de Iluminação" numFmtId="0">
      <sharedItems containsBlank="1" count="6">
        <s v="C1"/>
        <s v="C5"/>
        <s v="C4"/>
        <s v="C2"/>
        <s v="C3"/>
        <m/>
      </sharedItems>
    </cacheField>
    <cacheField name="Fornecedor" numFmtId="0">
      <sharedItems containsBlank="1" count="5">
        <s v="LEDSTAR"/>
        <s v="SX LIGHTING"/>
        <s v="TECNOWATT"/>
        <m/>
        <e v="#N/A" u="1"/>
      </sharedItems>
    </cacheField>
    <cacheField name="Código da Luminária" numFmtId="0">
      <sharedItems containsBlank="1" count="79">
        <s v=" SL VT 9.1 120W"/>
        <s v="SX-INLPP120HF"/>
        <s v="SIGMAGPTLRRSMNDL120W_82IBBR_x000a_"/>
        <s v=" SL VT 9.1 28W"/>
        <s v="SX-INEVO030HF"/>
        <s v="SIGSAGPTLRRSSNDL_30W_38IBBRS_x000a_"/>
        <s v=" SL VT 9.1 35W"/>
        <s v="SX-INEVO040HF"/>
        <s v="SIGSAGPTLRRSSNDL_40W_50IBBRS_x000a_"/>
        <s v=" SL VT 9.1 44W"/>
        <s v=" SL VT 9.1 65W"/>
        <s v="SX-INEVO050HF"/>
        <s v="SIGSAGPTLRRSSNDL_60W_73IBBRS_x000a_"/>
        <s v="SIGSAGPTLRRSSNDL_50W_61IBBRS_x000a_"/>
        <s v=" SL VT 9.3 200W"/>
        <s v="SX-INLPP090HF"/>
        <s v="SX-INEVO020HF"/>
        <s v="SX-INLPP070HF"/>
        <s v=" SL VT 9.1 52W"/>
        <s v=" SL VT 9.1 100W"/>
        <s v="SIGSAGPTLRRSSNDL100W125IBBRS_x000a_"/>
        <s v="SX-INEVO060HF"/>
        <s v="SIGSAGPTLRRSSNDL_68W_83IBBRS_x000a_"/>
        <s v=" SL VT 9.1 17W"/>
        <s v=" SL VT 9.1 155W"/>
        <s v="SX-INLPE150HF"/>
        <s v="SIGMAGPTLRRSMNDL150W102IBBR_x000a_"/>
        <s v=" SL VT 9.1 72W"/>
        <s v=" SL VT 9.6 215W"/>
        <s v="TAUMAGPTLRRTMNDL183W_95IBB"/>
        <s v=" SL VT 9.1 140W"/>
        <s v="SX-INLPP150HF"/>
        <s v=" SL VT 9.6 120W"/>
        <s v=" SL VT 9.1 200W"/>
        <s v=" SL VT 9.1 170W"/>
        <s v=" SL VT 9.1 85W"/>
        <s v="SX-INLPP080HF"/>
        <s v="SIGMAGPTLRRSMNDL_80W_56IBBR_x000a_"/>
        <s v=" SL VT 9.3 105W"/>
        <s v=" SL VT 9.6 190W"/>
        <s v="SIGSAGPTLRRSSNDL_90W112IBBRS_x000a_"/>
        <m/>
        <s v=" SL VT 9.3 90W" u="1"/>
        <s v=" SL VT 9.3 120W" u="1"/>
        <s v="SX-INLPP0100HF" u="1"/>
        <s v="p.33" u="1"/>
        <s v="t.36.1" u="1"/>
        <s v="u.45" u="1"/>
        <s v="p.48" u="1"/>
        <s v="t.51.1" u="1"/>
        <s v="u.52" u="1"/>
        <s v="p.41" u="1"/>
        <s v="p.24" u="1"/>
        <s v="t.22.1" u="1"/>
        <s v="u.28" u="1"/>
        <s v="t.30.1" u="1"/>
        <s v="p.136" u="1"/>
        <s v="t.117.1" u="1"/>
        <s v="u.106" u="1"/>
        <s v="u.36" u="1"/>
        <s v="p.61" u="1"/>
        <s v="T.82.1" u="1"/>
        <s v="u.87" u="1"/>
        <s v="p.70" u="1"/>
        <s v="u.70" u="1"/>
        <s v="p.55" u="1"/>
        <s v="t.60.2" u="1"/>
        <s v="t.60.1" u="1"/>
        <s v="t.30.2" u="1"/>
        <s v="p.83" u="1"/>
        <s v="t.40.1" u="1"/>
        <s v="t.68.1" u="1"/>
        <s v="p.100" u="1"/>
        <s v="t.145.1" u="1"/>
        <s v="p.92" u="1"/>
        <s v="p.113" u="1"/>
        <s v="u.140" u="1"/>
        <s v="P.27" u="1"/>
        <s v="t.89.1" u="1"/>
      </sharedItems>
    </cacheField>
    <cacheField name="Potência Proposta" numFmtId="0">
      <sharedItems containsString="0" containsBlank="1" containsNumber="1" minValue="17" maxValue="215" count="34">
        <n v="120"/>
        <n v="28"/>
        <n v="31"/>
        <n v="30"/>
        <n v="35"/>
        <n v="39"/>
        <n v="40"/>
        <n v="44"/>
        <n v="65"/>
        <n v="50"/>
        <n v="60"/>
        <n v="200"/>
        <n v="90"/>
        <n v="22.5"/>
        <n v="70"/>
        <n v="52"/>
        <n v="100"/>
        <n v="68"/>
        <n v="17"/>
        <n v="155"/>
        <n v="146"/>
        <n v="150"/>
        <n v="72"/>
        <n v="215"/>
        <n v="183"/>
        <n v="140"/>
        <n v="137"/>
        <n v="170"/>
        <n v="85"/>
        <n v="79"/>
        <n v="80"/>
        <n v="105"/>
        <n v="190"/>
        <m/>
      </sharedItems>
    </cacheField>
    <cacheField name="Braço Antigo" numFmtId="0">
      <sharedItems containsBlank="1" containsMixedTypes="1" containsNumber="1" containsInteger="1" minValue="0" maxValue="0" count="7">
        <s v="Médio II"/>
        <s v="Curto I"/>
        <s v="Curto II"/>
        <s v="Médio I"/>
        <s v="Longo I"/>
        <m/>
        <n v="0" u="1"/>
      </sharedItems>
    </cacheField>
    <cacheField name="Braço Novo" numFmtId="0">
      <sharedItems containsBlank="1" count="8">
        <s v=""/>
        <s v="Longo II"/>
        <s v="Longo I"/>
        <s v="Médio I"/>
        <s v="Médio II"/>
        <s v="Curto I"/>
        <s v="Curto II"/>
        <m/>
      </sharedItems>
    </cacheField>
    <cacheField name="Tipo de CPE" numFmtId="0">
      <sharedItems containsBlank="1" count="7">
        <s v=""/>
        <s v="APEA"/>
        <s v="APES-2"/>
        <s v="ABS-L2"/>
        <m/>
        <s v="APC" u="1"/>
        <s v="Sim" u="1"/>
      </sharedItems>
    </cacheField>
    <cacheField name="Quantidade de pontos inspecionados IP Veic" numFmtId="0">
      <sharedItems containsString="0" containsBlank="1" containsNumber="1" containsInteger="1" minValue="0" maxValue="8" count="7">
        <n v="2"/>
        <n v="3"/>
        <n v="4"/>
        <n v="8"/>
        <n v="0"/>
        <n v="6"/>
        <m/>
      </sharedItems>
    </cacheField>
    <cacheField name="Quantidade de pontos inspecionados IP Sec" numFmtId="0">
      <sharedItems containsString="0" containsBlank="1" containsNumber="1" containsInteger="1" minValue="0" maxValue="0" count="2">
        <n v="0"/>
        <m/>
      </sharedItems>
    </cacheField>
    <cacheField name="Aumento de pontos proposto (via de veículos)" numFmtId="0">
      <sharedItems containsBlank="1" containsMixedTypes="1" containsNumber="1" containsInteger="1" minValue="1" maxValue="1" count="3">
        <s v=""/>
        <n v="1"/>
        <m/>
      </sharedItems>
    </cacheField>
    <cacheField name="Aumento de pontos proposto (segundo nível)" numFmtId="0">
      <sharedItems containsBlank="1" containsMixedTypes="1" containsNumber="1" containsInteger="1" minValue="1" maxValue="2" count="4">
        <s v=""/>
        <n v="2"/>
        <m/>
        <n v="1" u="1"/>
      </sharedItems>
    </cacheField>
    <cacheField name="Número de logradouros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o jr" refreshedDate="46084.485786458332" createdVersion="8" refreshedVersion="8" minRefreshableVersion="3" recordCount="997" xr:uid="{00000000-000A-0000-FFFF-FFFF01000000}">
  <cacheSource type="worksheet">
    <worksheetSource ref="F1:DO1048576" sheet="Simulações"/>
  </cacheSource>
  <cacheFields count="114">
    <cacheField name="ID" numFmtId="0">
      <sharedItems containsString="0" containsBlank="1" containsNumber="1" containsInteger="1" minValue="1" maxValue="321"/>
    </cacheField>
    <cacheField name="Padrão" numFmtId="0">
      <sharedItems containsBlank="1"/>
    </cacheField>
    <cacheField name="Logradouro" numFmtId="0">
      <sharedItems containsBlank="1"/>
    </cacheField>
    <cacheField name="latitude" numFmtId="0">
      <sharedItems containsString="0" containsBlank="1" containsNumber="1" minValue="-30.080141390000001" maxValue="-29.981011720000001"/>
    </cacheField>
    <cacheField name="longitude" numFmtId="0">
      <sharedItems containsString="0" containsBlank="1" containsNumber="1" minValue="-50.233502999999999" maxValue="-50.122660000000003"/>
    </cacheField>
    <cacheField name="Classificação viária" numFmtId="0">
      <sharedItems containsBlank="1"/>
    </cacheField>
    <cacheField name="Classificação ciclovia" numFmtId="0">
      <sharedItems containsBlank="1" count="3">
        <s v="-"/>
        <s v="P3"/>
        <m/>
      </sharedItems>
    </cacheField>
    <cacheField name="Classificação pedonal" numFmtId="0">
      <sharedItems containsBlank="1" containsMixedTypes="1" containsNumber="1" containsInteger="1" minValue="0" maxValue="0"/>
    </cacheField>
    <cacheField name="Tipo de lâmpada" numFmtId="0">
      <sharedItems containsBlank="1"/>
    </cacheField>
    <cacheField name="Potencia da lâmpada" numFmtId="0">
      <sharedItems containsString="0" containsBlank="1" containsNumber="1" containsInteger="1" minValue="50" maxValue="300"/>
    </cacheField>
    <cacheField name="Potência Reator" numFmtId="0">
      <sharedItems containsString="0" containsBlank="1" containsNumber="1" containsInteger="1" minValue="0" maxValue="30"/>
    </cacheField>
    <cacheField name="Potencia 2o nivel" numFmtId="0">
      <sharedItems containsString="0" containsBlank="1" containsNumber="1" containsInteger="1" minValue="0" maxValue="0"/>
    </cacheField>
    <cacheField name="POT TOTAL MALHA" numFmtId="0">
      <sharedItems containsString="0" containsBlank="1" containsNumber="1" containsInteger="1" minValue="0" maxValue="2000"/>
    </cacheField>
    <cacheField name="Faixas de Rodagem" numFmtId="0">
      <sharedItems containsString="0" containsBlank="1" containsNumber="1" containsInteger="1" minValue="1" maxValue="2"/>
    </cacheField>
    <cacheField name="Largura Passeio 1" numFmtId="0">
      <sharedItems containsString="0" containsBlank="1" containsNumber="1" minValue="0" maxValue="6"/>
    </cacheField>
    <cacheField name="Largura Via 1" numFmtId="0">
      <sharedItems containsString="0" containsBlank="1" containsNumber="1" minValue="2.5" maxValue="12"/>
    </cacheField>
    <cacheField name="largura Passeio Central 1" numFmtId="0">
      <sharedItems containsNonDate="0" containsString="0" containsBlank="1"/>
    </cacheField>
    <cacheField name="largura Passeio Central 2" numFmtId="0">
      <sharedItems containsNonDate="0" containsString="0" containsBlank="1"/>
    </cacheField>
    <cacheField name="Largura Via 2" numFmtId="0">
      <sharedItems containsString="0" containsBlank="1" containsNumber="1" containsInteger="1" minValue="0" maxValue="5"/>
    </cacheField>
    <cacheField name="largura Passeio 2" numFmtId="0">
      <sharedItems containsString="0" containsBlank="1" containsNumber="1" minValue="0" maxValue="6"/>
    </cacheField>
    <cacheField name="largura Canteiro Central" numFmtId="0">
      <sharedItems containsString="0" containsBlank="1" containsNumber="1" minValue="0" maxValue="28"/>
    </cacheField>
    <cacheField name="largura Ciclovia 1" numFmtId="0">
      <sharedItems containsString="0" containsBlank="1" containsNumber="1" minValue="0" maxValue="2.5"/>
    </cacheField>
    <cacheField name="largura Ciclovia 2" numFmtId="0">
      <sharedItems containsString="0" containsBlank="1" containsNumber="1" minValue="0" maxValue="2.5"/>
    </cacheField>
    <cacheField name="estacionamento 1" numFmtId="0">
      <sharedItems containsString="0" containsBlank="1" containsNumber="1" minValue="0" maxValue="7.3"/>
    </cacheField>
    <cacheField name="estacionamento 2" numFmtId="0">
      <sharedItems containsString="0" containsBlank="1" containsNumber="1" minValue="0" maxValue="8.1999999999999993"/>
    </cacheField>
    <cacheField name="posteacao" numFmtId="0">
      <sharedItems containsBlank="1"/>
    </cacheField>
    <cacheField name="Tipo de estrutura" numFmtId="0">
      <sharedItems containsBlank="1"/>
    </cacheField>
    <cacheField name="distancia entre postes" numFmtId="0">
      <sharedItems containsString="0" containsBlank="1" containsNumber="1" minValue="13.1" maxValue="72.5"/>
    </cacheField>
    <cacheField name="altura da luminaria" numFmtId="0">
      <sharedItems containsBlank="1" containsMixedTypes="1" containsNumber="1" minValue="0" maxValue="10.35"/>
    </cacheField>
    <cacheField name="qtd de Lampadas IP Princ" numFmtId="0">
      <sharedItems containsString="0" containsBlank="1" containsNumber="1" containsInteger="1" minValue="0" maxValue="4"/>
    </cacheField>
    <cacheField name="distancia Poste a via" numFmtId="0">
      <sharedItems containsString="0" containsBlank="1" containsNumber="1" minValue="0" maxValue="14.5"/>
    </cacheField>
    <cacheField name="projecao do braço" numFmtId="0">
      <sharedItems containsString="0" containsBlank="1" containsNumber="1" minValue="0" maxValue="3"/>
    </cacheField>
    <cacheField name="Pendor" numFmtId="0">
      <sharedItems containsString="0" containsBlank="1" containsNumber="1" minValue="-11.5" maxValue="2.5999999999999996"/>
    </cacheField>
    <cacheField name="Altura de Instalação" numFmtId="0">
      <sharedItems containsBlank="1"/>
    </cacheField>
    <cacheField name="Projeção Vertical" numFmtId="0">
      <sharedItems containsBlank="1"/>
    </cacheField>
    <cacheField name="Exclusivo" numFmtId="0">
      <sharedItems containsBlank="1"/>
    </cacheField>
    <cacheField name="Quantidade de pontos inspecionados IP Veic" numFmtId="0">
      <sharedItems containsString="0" containsBlank="1" containsNumber="1" containsInteger="1" minValue="0" maxValue="8"/>
    </cacheField>
    <cacheField name="qtd de Lampadas IP 2o nivel" numFmtId="0">
      <sharedItems containsString="0" containsBlank="1" containsNumber="1" containsInteger="1" minValue="0" maxValue="0"/>
    </cacheField>
    <cacheField name="Tipo de posteação 2o nivel" numFmtId="0">
      <sharedItems containsString="0" containsBlank="1" containsNumber="1" containsInteger="1" minValue="0" maxValue="0"/>
    </cacheField>
    <cacheField name="Distanciamento 2o nivel" numFmtId="0">
      <sharedItems containsString="0" containsBlank="1" containsNumber="1" containsInteger="1" minValue="0" maxValue="0"/>
    </cacheField>
    <cacheField name="Altura da luminaria 2o nivel" numFmtId="0">
      <sharedItems containsString="0" containsBlank="1" containsNumber="1" containsInteger="1" minValue="0" maxValue="0"/>
    </cacheField>
    <cacheField name="Projecao 2o nivel" numFmtId="0">
      <sharedItems containsString="0" containsBlank="1" containsNumber="1" containsInteger="1" minValue="0" maxValue="0"/>
    </cacheField>
    <cacheField name="Distancia poste-via 2o nivel" numFmtId="0">
      <sharedItems containsBlank="1"/>
    </cacheField>
    <cacheField name="Quantidade de pontos inspecionados IP Sec" numFmtId="0">
      <sharedItems containsString="0" containsBlank="1" containsNumber="1" containsInteger="1" minValue="0" maxValue="0"/>
    </cacheField>
    <cacheField name="informacoes Adicionais" numFmtId="0">
      <sharedItems containsNonDate="0" containsString="0" containsBlank="1"/>
    </cacheField>
    <cacheField name="Emed - Norma" numFmtId="0">
      <sharedItems containsString="0" containsBlank="1" containsNumber="1" minValue="7.5" maxValue="30"/>
    </cacheField>
    <cacheField name="U - Norma" numFmtId="0">
      <sharedItems containsString="0" containsBlank="1" containsNumber="1" minValue="0.18" maxValue="0.38"/>
    </cacheField>
    <cacheField name="Luminância Média Exigida" numFmtId="0">
      <sharedItems containsBlank="1"/>
    </cacheField>
    <cacheField name="Uo Uniformidade Global Exigida" numFmtId="0">
      <sharedItems containsString="0" containsBlank="1" containsNumber="1" minValue="0.18" maxValue="0.38"/>
    </cacheField>
    <cacheField name="Uniformidade Longitudinal Exigida" numFmtId="0">
      <sharedItems containsBlank="1"/>
    </cacheField>
    <cacheField name="Incremento Linear Exigido" numFmtId="0">
      <sharedItems containsString="0" containsBlank="1" containsNumber="1" containsInteger="1" minValue="14" maxValue="16"/>
    </cacheField>
    <cacheField name="Atendimento pleno à norma" numFmtId="0">
      <sharedItems containsBlank="1"/>
    </cacheField>
    <cacheField name="Excesso de iluminância média IV" numFmtId="0">
      <sharedItems containsBlank="1" containsMixedTypes="1" containsNumber="1" minValue="-4.0000000000000036E-2" maxValue="2.158666666666667"/>
    </cacheField>
    <cacheField name="Excesso de Uniformidade IV" numFmtId="0">
      <sharedItems containsBlank="1" containsMixedTypes="1" containsNumber="1" minValue="-0.11111111111111105" maxValue="421.22222222222223"/>
    </cacheField>
    <cacheField name="Excesso de luminância média IV" numFmtId="0">
      <sharedItems containsBlank="1"/>
    </cacheField>
    <cacheField name="Iluminância Média" numFmtId="0">
      <sharedItems containsBlank="1" containsMixedTypes="1" containsNumber="1" minValue="7.46" maxValue="37.49"/>
    </cacheField>
    <cacheField name="Fator de Uniformidade" numFmtId="0">
      <sharedItems containsString="0" containsBlank="1" containsNumber="1" minValue="0.16" maxValue="76"/>
    </cacheField>
    <cacheField name="Luminância Média" numFmtId="0">
      <sharedItems containsNonDate="0" containsString="0" containsBlank="1"/>
    </cacheField>
    <cacheField name="Uniformidade Longitudinal" numFmtId="0">
      <sharedItems containsNonDate="0" containsString="0" containsBlank="1"/>
    </cacheField>
    <cacheField name="Incremento Linear (TI)" numFmtId="0">
      <sharedItems containsNonDate="0" containsString="0" containsBlank="1"/>
    </cacheField>
    <cacheField name="EIR" numFmtId="0">
      <sharedItems containsNonDate="0" containsString="0" containsBlank="1"/>
    </cacheField>
    <cacheField name="ATENDE TUDO - RUA SIMU" numFmtId="0">
      <sharedItems containsBlank="1"/>
    </cacheField>
    <cacheField name="Atende à Iluminância Média" numFmtId="0">
      <sharedItems containsBlank="1"/>
    </cacheField>
    <cacheField name="Atende à Uniformidade Global Miníma" numFmtId="0">
      <sharedItems containsBlank="1"/>
    </cacheField>
    <cacheField name="Atende à Luminância Média" numFmtId="0">
      <sharedItems containsBlank="1"/>
    </cacheField>
    <cacheField name="Classe IV" numFmtId="0">
      <sharedItems containsBlank="1"/>
    </cacheField>
    <cacheField name="Classe IP" numFmtId="0">
      <sharedItems containsBlank="1" containsMixedTypes="1" containsNumber="1" containsInteger="1" minValue="0" maxValue="0"/>
    </cacheField>
    <cacheField name="Excesso de iluminância média P1" numFmtId="0">
      <sharedItems containsBlank="1" containsMixedTypes="1" containsNumber="1" minValue="0" maxValue="16.09"/>
    </cacheField>
    <cacheField name="Iluminância Média2" numFmtId="0">
      <sharedItems containsBlank="1" containsMixedTypes="1" containsNumber="1" minValue="3" maxValue="51.27"/>
    </cacheField>
    <cacheField name="Iluminância mínima horizontal E (lux)" numFmtId="0">
      <sharedItems containsBlank="1" containsMixedTypes="1" containsNumber="1" minValue="0.6" maxValue="36.35"/>
    </cacheField>
    <cacheField name="Iluminância Média (Exigida)" numFmtId="0">
      <sharedItems containsBlank="1" containsMixedTypes="1" containsNumber="1" minValue="3" maxValue="7.5"/>
    </cacheField>
    <cacheField name="Iluminância mínima horizontal E (lux)2" numFmtId="0">
      <sharedItems containsBlank="1" containsMixedTypes="1" containsNumber="1" minValue="0.6" maxValue="1.5"/>
    </cacheField>
    <cacheField name="Atende à NBR 5101 - TUDO SIMU" numFmtId="0">
      <sharedItems containsBlank="1"/>
    </cacheField>
    <cacheField name="Atende à Iluminância Média2" numFmtId="0">
      <sharedItems containsBlank="1"/>
    </cacheField>
    <cacheField name="Atende à Iluminância mínima horizontal" numFmtId="0">
      <sharedItems containsBlank="1"/>
    </cacheField>
    <cacheField name="Classe IP2" numFmtId="0">
      <sharedItems containsBlank="1" containsMixedTypes="1" containsNumber="1" containsInteger="1" minValue="0" maxValue="0"/>
    </cacheField>
    <cacheField name="Excesso de iluminância média P2" numFmtId="0">
      <sharedItems containsBlank="1" containsMixedTypes="1" containsNumber="1" minValue="-7.9999999999998961E-3" maxValue="13.840000000000002"/>
    </cacheField>
    <cacheField name="Iluminância Média3" numFmtId="0">
      <sharedItems containsBlank="1" containsMixedTypes="1" containsNumber="1" minValue="3" maxValue="53.26"/>
    </cacheField>
    <cacheField name="Iluminância mínima horizontal E (lux)3" numFmtId="0">
      <sharedItems containsBlank="1" containsMixedTypes="1" containsNumber="1" minValue="0.6" maxValue="31.7"/>
    </cacheField>
    <cacheField name="Iluminância Média (Exigida)2" numFmtId="0">
      <sharedItems containsBlank="1" containsMixedTypes="1" containsNumber="1" minValue="3" maxValue="7.5"/>
    </cacheField>
    <cacheField name="Iluminância mínima horizontal E (lux) exigida" numFmtId="0">
      <sharedItems containsBlank="1" containsMixedTypes="1" containsNumber="1" minValue="0.6" maxValue="1.5"/>
    </cacheField>
    <cacheField name="Atende à NBR 5101 - TUDO SIMU P2" numFmtId="0">
      <sharedItems containsBlank="1"/>
    </cacheField>
    <cacheField name="Atende à Iluminância Média3" numFmtId="0">
      <sharedItems containsBlank="1"/>
    </cacheField>
    <cacheField name="Atende à Iluminância mínima horizontal2" numFmtId="0">
      <sharedItems containsBlank="1"/>
    </cacheField>
    <cacheField name="Fornecedor" numFmtId="0">
      <sharedItems containsBlank="1" count="4">
        <s v="LEDSTAR"/>
        <s v="SX LIGHTING"/>
        <s v="TECNOWATT"/>
        <m/>
      </sharedItems>
    </cacheField>
    <cacheField name="Código Luminária 1" numFmtId="0">
      <sharedItems containsBlank="1"/>
    </cacheField>
    <cacheField name="Luminária Simulada (IP Principal)" numFmtId="0">
      <sharedItems containsBlank="1"/>
    </cacheField>
    <cacheField name="Código Luminária 2" numFmtId="0">
      <sharedItems containsBlank="1"/>
    </cacheField>
    <cacheField name="Luminária Simulada (IP Secundário)" numFmtId="0">
      <sharedItems containsBlank="1" containsMixedTypes="1" containsNumber="1" containsInteger="1" minValue="0" maxValue="0"/>
    </cacheField>
    <cacheField name="Pontos por poste (IP Principal)" numFmtId="0">
      <sharedItems containsString="0" containsBlank="1" containsNumber="1" containsInteger="1" minValue="0" maxValue="4"/>
    </cacheField>
    <cacheField name=" Potência simulada - IP Principal (W)" numFmtId="0">
      <sharedItems containsString="0" containsBlank="1" containsNumber="1" minValue="17" maxValue="215"/>
    </cacheField>
    <cacheField name=" Potência simulada - IP Secundário (W)" numFmtId="0">
      <sharedItems containsBlank="1" containsMixedTypes="1" containsNumber="1" containsInteger="1" minValue="0" maxValue="0"/>
    </cacheField>
    <cacheField name="Fluxo Luminoso - IP Principal (lm)" numFmtId="0">
      <sharedItems containsString="0" containsBlank="1" containsNumber="1" minValue="2929.66" maxValue="32740.2"/>
    </cacheField>
    <cacheField name="Fluxo Luminoso - IP Secundário (lm)" numFmtId="0">
      <sharedItems containsBlank="1" containsMixedTypes="1" containsNumber="1" containsInteger="1" minValue="0" maxValue="0"/>
    </cacheField>
    <cacheField name="Ângulo antigo" numFmtId="0">
      <sharedItems containsString="0" containsBlank="1" containsNumber="1" containsInteger="1" minValue="0" maxValue="0"/>
    </cacheField>
    <cacheField name="Ângulo Simulado" numFmtId="0">
      <sharedItems containsString="0" containsBlank="1" containsNumber="1" minValue="2" maxValue="10"/>
    </cacheField>
    <cacheField name="Braço Antigo" numFmtId="0">
      <sharedItems containsBlank="1"/>
    </cacheField>
    <cacheField name="Braço Novo" numFmtId="0">
      <sharedItems containsBlank="1"/>
    </cacheField>
    <cacheField name="Projeção com alteração" numFmtId="0">
      <sharedItems containsBlank="1" containsMixedTypes="1" containsNumber="1" minValue="1.2" maxValue="3.5"/>
    </cacheField>
    <cacheField name="Altura de luminária com alteração" numFmtId="0">
      <sharedItems containsBlank="1" containsMixedTypes="1" containsNumber="1" minValue="6.5" maxValue="8.5"/>
    </cacheField>
    <cacheField name="Correção de Ponto Escuro (CPE)" numFmtId="0">
      <sharedItems containsBlank="1"/>
    </cacheField>
    <cacheField name="Quantidade de pontos adicionados para via de veículo" numFmtId="0">
      <sharedItems containsString="0" containsBlank="1" containsNumber="1" containsInteger="1" minValue="1" maxValue="1"/>
    </cacheField>
    <cacheField name="Quantidade de pontos adicionados para via de pedestres" numFmtId="0">
      <sharedItems containsString="0" containsBlank="1" containsNumber="1" containsInteger="1" minValue="2" maxValue="2"/>
    </cacheField>
    <cacheField name="Observação CPE  (Reduçao entre postes e/ou Tipo de Posteação)" numFmtId="0">
      <sharedItems containsBlank="1"/>
    </cacheField>
    <cacheField name="obs conferência" numFmtId="0">
      <sharedItems containsNonDate="0" containsString="0" containsBlank="1"/>
    </cacheField>
    <cacheField name="rev conferência" numFmtId="0">
      <sharedItems containsNonDate="0" containsString="0" containsBlank="1"/>
    </cacheField>
    <cacheField name="IP PRINC SIM" numFmtId="0">
      <sharedItems containsString="0" containsBlank="1" containsNumber="1" minValue="17" maxValue="215"/>
    </cacheField>
    <cacheField name="IP SEC SIM" numFmtId="0">
      <sharedItems containsString="0" containsBlank="1" containsNumber="1" containsInteger="1" minValue="50" maxValue="300"/>
    </cacheField>
    <cacheField name="TOTAL SIMULADO" numFmtId="0">
      <sharedItems containsString="0" containsBlank="1" containsNumber="1" minValue="0" maxValue="1280"/>
    </cacheField>
    <cacheField name="Eficientização" numFmtId="0">
      <sharedItems containsString="0" containsBlank="1" containsNumber="1" minValue="-3" maxValue="0.91"/>
    </cacheField>
    <cacheField name="Simulação" numFmtId="0">
      <sharedItems containsNonDate="0" containsString="0" containsBlank="1"/>
    </cacheField>
    <cacheField name="Conferência " numFmtId="0">
      <sharedItems containsNonDate="0" containsString="0" containsBlank="1"/>
    </cacheField>
    <cacheField name="Considerar na Extrapolação" numFmtId="0">
      <sharedItems containsBlank="1"/>
    </cacheField>
    <cacheField name="Inspeçã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o jr" refreshedDate="46084.485817824076" createdVersion="8" refreshedVersion="8" minRefreshableVersion="3" recordCount="963" xr:uid="{00000000-000A-0000-FFFF-FFFF02000000}">
  <cacheSource type="worksheet">
    <worksheetSource ref="F1:DO25" sheet="Simulações"/>
  </cacheSource>
  <cacheFields count="114">
    <cacheField name="ID" numFmtId="0">
      <sharedItems containsSemiMixedTypes="0" containsString="0" containsNumber="1" containsInteger="1" minValue="1" maxValue="321"/>
    </cacheField>
    <cacheField name="Padrão" numFmtId="0">
      <sharedItems/>
    </cacheField>
    <cacheField name="Logradouro" numFmtId="0">
      <sharedItems/>
    </cacheField>
    <cacheField name="latitude" numFmtId="0">
      <sharedItems containsSemiMixedTypes="0" containsString="0" containsNumber="1" minValue="-30.080141390000001" maxValue="-29.981011720000001"/>
    </cacheField>
    <cacheField name="longitude" numFmtId="0">
      <sharedItems containsSemiMixedTypes="0" containsString="0" containsNumber="1" minValue="-50.233502999999999" maxValue="-50.122660000000003"/>
    </cacheField>
    <cacheField name="Classificação viária" numFmtId="0">
      <sharedItems count="5">
        <s v="C1"/>
        <s v="C5"/>
        <s v="C4"/>
        <s v="C2"/>
        <s v="C3"/>
      </sharedItems>
    </cacheField>
    <cacheField name="Classificação ciclovia" numFmtId="0">
      <sharedItems containsBlank="1"/>
    </cacheField>
    <cacheField name="Classificação pedonal" numFmtId="0">
      <sharedItems containsMixedTypes="1" containsNumber="1" containsInteger="1" minValue="0" maxValue="0" count="4">
        <s v="P5"/>
        <s v="P6"/>
        <n v="0"/>
        <s v="P4"/>
      </sharedItems>
    </cacheField>
    <cacheField name="Tipo de lâmpada" numFmtId="0">
      <sharedItems/>
    </cacheField>
    <cacheField name="Potencia da lâmpada" numFmtId="0">
      <sharedItems containsSemiMixedTypes="0" containsString="0" containsNumber="1" containsInteger="1" minValue="50" maxValue="300"/>
    </cacheField>
    <cacheField name="Potência Reator" numFmtId="0">
      <sharedItems containsSemiMixedTypes="0" containsString="0" containsNumber="1" containsInteger="1" minValue="0" maxValue="30"/>
    </cacheField>
    <cacheField name="Potencia 2o nivel" numFmtId="0">
      <sharedItems containsSemiMixedTypes="0" containsString="0" containsNumber="1" containsInteger="1" minValue="0" maxValue="0"/>
    </cacheField>
    <cacheField name="POT TOTAL MALHA" numFmtId="0">
      <sharedItems containsSemiMixedTypes="0" containsString="0" containsNumber="1" containsInteger="1" minValue="0" maxValue="2000"/>
    </cacheField>
    <cacheField name="Faixas de Rodagem" numFmtId="2">
      <sharedItems containsSemiMixedTypes="0" containsString="0" containsNumber="1" containsInteger="1" minValue="1" maxValue="2"/>
    </cacheField>
    <cacheField name="Largura Passeio 1" numFmtId="2">
      <sharedItems containsSemiMixedTypes="0" containsString="0" containsNumber="1" minValue="0" maxValue="6"/>
    </cacheField>
    <cacheField name="Largura Via 1" numFmtId="2">
      <sharedItems containsSemiMixedTypes="0" containsString="0" containsNumber="1" minValue="2.5" maxValue="12"/>
    </cacheField>
    <cacheField name="largura Passeio Central 1" numFmtId="0">
      <sharedItems containsNonDate="0" containsString="0" containsBlank="1"/>
    </cacheField>
    <cacheField name="largura Passeio Central 2" numFmtId="0">
      <sharedItems containsNonDate="0" containsString="0" containsBlank="1"/>
    </cacheField>
    <cacheField name="Largura Via 2" numFmtId="0">
      <sharedItems containsSemiMixedTypes="0" containsString="0" containsNumber="1" containsInteger="1" minValue="0" maxValue="5"/>
    </cacheField>
    <cacheField name="largura Passeio 2" numFmtId="0">
      <sharedItems containsSemiMixedTypes="0" containsString="0" containsNumber="1" minValue="0" maxValue="6"/>
    </cacheField>
    <cacheField name="largura Canteiro Central" numFmtId="0">
      <sharedItems containsSemiMixedTypes="0" containsString="0" containsNumber="1" minValue="0" maxValue="28"/>
    </cacheField>
    <cacheField name="largura Ciclovia 1" numFmtId="0">
      <sharedItems containsSemiMixedTypes="0" containsString="0" containsNumber="1" minValue="0" maxValue="2.5"/>
    </cacheField>
    <cacheField name="largura Ciclovia 2" numFmtId="0">
      <sharedItems containsSemiMixedTypes="0" containsString="0" containsNumber="1" minValue="0" maxValue="2.5"/>
    </cacheField>
    <cacheField name="estacionamento 1" numFmtId="0">
      <sharedItems containsSemiMixedTypes="0" containsString="0" containsNumber="1" minValue="0" maxValue="7.3"/>
    </cacheField>
    <cacheField name="estacionamento 2" numFmtId="0">
      <sharedItems containsSemiMixedTypes="0" containsString="0" containsNumber="1" minValue="0" maxValue="8.1999999999999993"/>
    </cacheField>
    <cacheField name="posteacao" numFmtId="0">
      <sharedItems/>
    </cacheField>
    <cacheField name="Tipo de estrutura" numFmtId="0">
      <sharedItems/>
    </cacheField>
    <cacheField name="distancia entre postes" numFmtId="0">
      <sharedItems containsSemiMixedTypes="0" containsString="0" containsNumber="1" minValue="13.1" maxValue="72.5"/>
    </cacheField>
    <cacheField name="altura da luminaria" numFmtId="0">
      <sharedItems containsMixedTypes="1" containsNumber="1" minValue="0" maxValue="10.35"/>
    </cacheField>
    <cacheField name="qtd de Lampadas IP Princ" numFmtId="0">
      <sharedItems containsSemiMixedTypes="0" containsString="0" containsNumber="1" containsInteger="1" minValue="0" maxValue="4"/>
    </cacheField>
    <cacheField name="distancia Poste a via" numFmtId="0">
      <sharedItems containsSemiMixedTypes="0" containsString="0" containsNumber="1" minValue="0" maxValue="14.5"/>
    </cacheField>
    <cacheField name="projecao do braço" numFmtId="0">
      <sharedItems containsSemiMixedTypes="0" containsString="0" containsNumber="1" minValue="0" maxValue="3"/>
    </cacheField>
    <cacheField name="Pendor" numFmtId="2">
      <sharedItems containsSemiMixedTypes="0" containsString="0" containsNumber="1" minValue="-11.5" maxValue="2.5999999999999996"/>
    </cacheField>
    <cacheField name="Altura de Instalação" numFmtId="0">
      <sharedItems containsBlank="1"/>
    </cacheField>
    <cacheField name="Projeção Vertical" numFmtId="0">
      <sharedItems containsBlank="1"/>
    </cacheField>
    <cacheField name="Exclusivo" numFmtId="0">
      <sharedItems/>
    </cacheField>
    <cacheField name="Quantidade de pontos inspecionados IP Veic" numFmtId="2">
      <sharedItems containsSemiMixedTypes="0" containsString="0" containsNumber="1" containsInteger="1" minValue="0" maxValue="8"/>
    </cacheField>
    <cacheField name="qtd de Lampadas IP 2o nivel" numFmtId="2">
      <sharedItems containsSemiMixedTypes="0" containsString="0" containsNumber="1" containsInteger="1" minValue="0" maxValue="0"/>
    </cacheField>
    <cacheField name="Tipo de posteação 2o nivel" numFmtId="2">
      <sharedItems containsSemiMixedTypes="0" containsString="0" containsNumber="1" containsInteger="1" minValue="0" maxValue="0"/>
    </cacheField>
    <cacheField name="Distanciamento 2o nivel" numFmtId="2">
      <sharedItems containsSemiMixedTypes="0" containsString="0" containsNumber="1" containsInteger="1" minValue="0" maxValue="0"/>
    </cacheField>
    <cacheField name="Altura da luminaria 2o nivel" numFmtId="2">
      <sharedItems containsSemiMixedTypes="0" containsString="0" containsNumber="1" containsInteger="1" minValue="0" maxValue="0"/>
    </cacheField>
    <cacheField name="Projecao 2o nivel" numFmtId="2">
      <sharedItems containsSemiMixedTypes="0" containsString="0" containsNumber="1" containsInteger="1" minValue="0" maxValue="0"/>
    </cacheField>
    <cacheField name="Distancia poste-via 2o nivel" numFmtId="2">
      <sharedItems/>
    </cacheField>
    <cacheField name="Quantidade de pontos inspecionados IP Sec" numFmtId="2">
      <sharedItems containsSemiMixedTypes="0" containsString="0" containsNumber="1" containsInteger="1" minValue="0" maxValue="0"/>
    </cacheField>
    <cacheField name="informacoes Adicionais" numFmtId="2">
      <sharedItems containsNonDate="0" containsString="0" containsBlank="1"/>
    </cacheField>
    <cacheField name="Emed - Norma" numFmtId="2">
      <sharedItems containsSemiMixedTypes="0" containsString="0" containsNumber="1" minValue="7.5" maxValue="30"/>
    </cacheField>
    <cacheField name="U - Norma" numFmtId="2">
      <sharedItems containsSemiMixedTypes="0" containsString="0" containsNumber="1" minValue="0.18" maxValue="0.38"/>
    </cacheField>
    <cacheField name="Luminância Média Exigida" numFmtId="2">
      <sharedItems/>
    </cacheField>
    <cacheField name="Uo Uniformidade Global Exigida" numFmtId="2">
      <sharedItems containsSemiMixedTypes="0" containsString="0" containsNumber="1" minValue="0.18" maxValue="0.38"/>
    </cacheField>
    <cacheField name="Uniformidade Longitudinal Exigida" numFmtId="2">
      <sharedItems/>
    </cacheField>
    <cacheField name="Incremento Linear Exigido" numFmtId="2">
      <sharedItems containsSemiMixedTypes="0" containsString="0" containsNumber="1" containsInteger="1" minValue="14" maxValue="16"/>
    </cacheField>
    <cacheField name="Atendimento pleno à norma" numFmtId="0">
      <sharedItems/>
    </cacheField>
    <cacheField name="Excesso de iluminância média IV" numFmtId="165">
      <sharedItems containsMixedTypes="1" containsNumber="1" minValue="-4.0000000000000036E-2" maxValue="2.158666666666667"/>
    </cacheField>
    <cacheField name="Excesso de Uniformidade IV" numFmtId="165">
      <sharedItems containsMixedTypes="1" containsNumber="1" minValue="-0.11111111111111105" maxValue="421.22222222222223"/>
    </cacheField>
    <cacheField name="Excesso de luminância média IV" numFmtId="165">
      <sharedItems/>
    </cacheField>
    <cacheField name="Iluminância Média" numFmtId="2">
      <sharedItems containsMixedTypes="1" containsNumber="1" minValue="7.46" maxValue="37.49"/>
    </cacheField>
    <cacheField name="Fator de Uniformidade" numFmtId="2">
      <sharedItems containsSemiMixedTypes="0" containsString="0" containsNumber="1" minValue="0.16" maxValue="76"/>
    </cacheField>
    <cacheField name="Luminância Média" numFmtId="2">
      <sharedItems containsNonDate="0" containsString="0" containsBlank="1"/>
    </cacheField>
    <cacheField name="Uniformidade Longitudinal" numFmtId="2">
      <sharedItems containsNonDate="0" containsString="0" containsBlank="1"/>
    </cacheField>
    <cacheField name="Incremento Linear (TI)" numFmtId="1">
      <sharedItems containsNonDate="0" containsString="0" containsBlank="1"/>
    </cacheField>
    <cacheField name="EIR" numFmtId="2">
      <sharedItems containsNonDate="0" containsString="0" containsBlank="1"/>
    </cacheField>
    <cacheField name="ATENDE TUDO - RUA SIMU" numFmtId="0">
      <sharedItems/>
    </cacheField>
    <cacheField name="Atende à Iluminância Média" numFmtId="0">
      <sharedItems/>
    </cacheField>
    <cacheField name="Atende à Uniformidade Global Miníma" numFmtId="0">
      <sharedItems/>
    </cacheField>
    <cacheField name="Atende à Luminância Média" numFmtId="0">
      <sharedItems/>
    </cacheField>
    <cacheField name="Classe IV" numFmtId="2">
      <sharedItems/>
    </cacheField>
    <cacheField name="Classe IP" numFmtId="2">
      <sharedItems containsMixedTypes="1" containsNumber="1" containsInteger="1" minValue="0" maxValue="0"/>
    </cacheField>
    <cacheField name="Excesso de iluminância média P1" numFmtId="9">
      <sharedItems containsMixedTypes="1" containsNumber="1" minValue="0" maxValue="16.09"/>
    </cacheField>
    <cacheField name="Iluminância Média2" numFmtId="0">
      <sharedItems containsBlank="1" containsMixedTypes="1" containsNumber="1" minValue="3" maxValue="51.27"/>
    </cacheField>
    <cacheField name="Iluminância mínima horizontal E (lux)" numFmtId="0">
      <sharedItems containsBlank="1" containsMixedTypes="1" containsNumber="1" minValue="0.6" maxValue="36.35"/>
    </cacheField>
    <cacheField name="Iluminância Média (Exigida)" numFmtId="2">
      <sharedItems containsMixedTypes="1" containsNumber="1" minValue="3" maxValue="7.5"/>
    </cacheField>
    <cacheField name="Iluminância mínima horizontal E (lux)2" numFmtId="2">
      <sharedItems containsMixedTypes="1" containsNumber="1" minValue="0.6" maxValue="1.5"/>
    </cacheField>
    <cacheField name="Atende à NBR 5101 - TUDO SIMU" numFmtId="0">
      <sharedItems/>
    </cacheField>
    <cacheField name="Atende à Iluminância Média2" numFmtId="0">
      <sharedItems/>
    </cacheField>
    <cacheField name="Atende à Iluminância mínima horizontal" numFmtId="0">
      <sharedItems/>
    </cacheField>
    <cacheField name="Classe IP2" numFmtId="2">
      <sharedItems containsMixedTypes="1" containsNumber="1" containsInteger="1" minValue="0" maxValue="0"/>
    </cacheField>
    <cacheField name="Excesso de iluminância média P2" numFmtId="9">
      <sharedItems containsMixedTypes="1" containsNumber="1" minValue="-7.9999999999998961E-3" maxValue="13.840000000000002"/>
    </cacheField>
    <cacheField name="Iluminância Média3" numFmtId="0">
      <sharedItems containsBlank="1" containsMixedTypes="1" containsNumber="1" minValue="3" maxValue="53.26"/>
    </cacheField>
    <cacheField name="Iluminância mínima horizontal E (lux)3" numFmtId="0">
      <sharedItems containsBlank="1" containsMixedTypes="1" containsNumber="1" minValue="0.6" maxValue="31.7"/>
    </cacheField>
    <cacheField name="Iluminância Média (Exigida)2" numFmtId="0">
      <sharedItems containsMixedTypes="1" containsNumber="1" minValue="3" maxValue="7.5"/>
    </cacheField>
    <cacheField name="Iluminância mínima horizontal E (lux) exigida" numFmtId="0">
      <sharedItems containsMixedTypes="1" containsNumber="1" minValue="0.6" maxValue="1.5"/>
    </cacheField>
    <cacheField name="Atende à NBR 5101 - TUDO SIMU P2" numFmtId="0">
      <sharedItems/>
    </cacheField>
    <cacheField name="Atende à Iluminância Média3" numFmtId="0">
      <sharedItems/>
    </cacheField>
    <cacheField name="Atende à Iluminância mínima horizontal2" numFmtId="0">
      <sharedItems/>
    </cacheField>
    <cacheField name="Fornecedor" numFmtId="0">
      <sharedItems count="3">
        <s v="LEDSTAR"/>
        <s v="SX LIGHTING"/>
        <s v="TECNOWATT"/>
      </sharedItems>
    </cacheField>
    <cacheField name="Código Luminária 1" numFmtId="0">
      <sharedItems/>
    </cacheField>
    <cacheField name="Luminária Simulada (IP Principal)" numFmtId="0">
      <sharedItems/>
    </cacheField>
    <cacheField name="Código Luminária 2" numFmtId="0">
      <sharedItems containsBlank="1"/>
    </cacheField>
    <cacheField name="Luminária Simulada (IP Secundário)" numFmtId="0">
      <sharedItems containsMixedTypes="1" containsNumber="1" containsInteger="1" minValue="0" maxValue="0"/>
    </cacheField>
    <cacheField name="Pontos por poste (IP Principal)" numFmtId="1">
      <sharedItems containsSemiMixedTypes="0" containsString="0" containsNumber="1" containsInteger="1" minValue="0" maxValue="4"/>
    </cacheField>
    <cacheField name=" Potência simulada - IP Principal (W)" numFmtId="0">
      <sharedItems containsSemiMixedTypes="0" containsString="0" containsNumber="1" minValue="17" maxValue="215"/>
    </cacheField>
    <cacheField name=" Potência simulada - IP Secundário (W)" numFmtId="0">
      <sharedItems containsMixedTypes="1" containsNumber="1" containsInteger="1" minValue="0" maxValue="0"/>
    </cacheField>
    <cacheField name="Fluxo Luminoso - IP Principal (lm)" numFmtId="0">
      <sharedItems containsSemiMixedTypes="0" containsString="0" containsNumber="1" minValue="2929.66" maxValue="32740.2"/>
    </cacheField>
    <cacheField name="Fluxo Luminoso - IP Secundário (lm)" numFmtId="0">
      <sharedItems containsMixedTypes="1" containsNumber="1" containsInteger="1" minValue="0" maxValue="0"/>
    </cacheField>
    <cacheField name="Ângulo antigo" numFmtId="0">
      <sharedItems containsSemiMixedTypes="0" containsString="0" containsNumber="1" containsInteger="1" minValue="0" maxValue="0"/>
    </cacheField>
    <cacheField name="Ângulo Simulado" numFmtId="0">
      <sharedItems containsString="0" containsBlank="1" containsNumber="1" minValue="2" maxValue="10"/>
    </cacheField>
    <cacheField name="Braço Antigo" numFmtId="0">
      <sharedItems/>
    </cacheField>
    <cacheField name="Braço Novo" numFmtId="0">
      <sharedItems containsBlank="1"/>
    </cacheField>
    <cacheField name="Projeção com alteração" numFmtId="0">
      <sharedItems containsBlank="1" containsMixedTypes="1" containsNumber="1" minValue="1.2" maxValue="3.5"/>
    </cacheField>
    <cacheField name="Altura de luminária com alteração" numFmtId="166">
      <sharedItems containsBlank="1" containsMixedTypes="1" containsNumber="1" minValue="6.5" maxValue="8.5"/>
    </cacheField>
    <cacheField name="Correção de Ponto Escuro (CPE)" numFmtId="0">
      <sharedItems containsBlank="1"/>
    </cacheField>
    <cacheField name="Quantidade de pontos adicionados para via de veículo" numFmtId="0">
      <sharedItems containsString="0" containsBlank="1" containsNumber="1" containsInteger="1" minValue="1" maxValue="1"/>
    </cacheField>
    <cacheField name="Quantidade de pontos adicionados para via de pedestres" numFmtId="0">
      <sharedItems containsString="0" containsBlank="1" containsNumber="1" containsInteger="1" minValue="2" maxValue="2"/>
    </cacheField>
    <cacheField name="Observação CPE  (Reduçao entre postes e/ou Tipo de Posteação)" numFmtId="0">
      <sharedItems containsBlank="1"/>
    </cacheField>
    <cacheField name="obs conferência" numFmtId="0">
      <sharedItems containsNonDate="0" containsString="0" containsBlank="1"/>
    </cacheField>
    <cacheField name="rev conferência" numFmtId="0">
      <sharedItems containsNonDate="0" containsString="0" containsBlank="1"/>
    </cacheField>
    <cacheField name="IP PRINC SIM" numFmtId="0">
      <sharedItems containsSemiMixedTypes="0" containsString="0" containsNumber="1" minValue="17" maxValue="215"/>
    </cacheField>
    <cacheField name="IP SEC SIM" numFmtId="2">
      <sharedItems containsSemiMixedTypes="0" containsString="0" containsNumber="1" containsInteger="1" minValue="50" maxValue="300"/>
    </cacheField>
    <cacheField name="TOTAL SIMULADO" numFmtId="0">
      <sharedItems containsSemiMixedTypes="0" containsString="0" containsNumber="1" minValue="0" maxValue="1280"/>
    </cacheField>
    <cacheField name="Eficientização" numFmtId="10">
      <sharedItems containsSemiMixedTypes="0" containsString="0" containsNumber="1" minValue="-3" maxValue="0.91"/>
    </cacheField>
    <cacheField name="Simulação" numFmtId="167">
      <sharedItems containsNonDate="0" containsString="0" containsBlank="1"/>
    </cacheField>
    <cacheField name="Conferência " numFmtId="0">
      <sharedItems containsNonDate="0" containsString="0" containsBlank="1"/>
    </cacheField>
    <cacheField name="Considerar na Extrapolação" numFmtId="0">
      <sharedItems/>
    </cacheField>
    <cacheField name="Inspeçã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2">
  <r>
    <s v="Avenida Beira-Mar, 1577"/>
    <x v="0"/>
    <x v="0"/>
    <x v="0"/>
    <x v="0"/>
    <x v="0"/>
    <x v="0"/>
    <x v="0"/>
    <x v="0"/>
    <x v="0"/>
    <x v="0"/>
    <x v="0"/>
    <x v="0"/>
    <x v="0"/>
    <n v="1"/>
  </r>
  <r>
    <s v="Avenida Beira-Mar, 1577"/>
    <x v="0"/>
    <x v="0"/>
    <x v="0"/>
    <x v="1"/>
    <x v="1"/>
    <x v="0"/>
    <x v="0"/>
    <x v="0"/>
    <x v="0"/>
    <x v="0"/>
    <x v="0"/>
    <x v="0"/>
    <x v="0"/>
    <n v="1"/>
  </r>
  <r>
    <s v="Avenida Beira-Mar, 1577"/>
    <x v="0"/>
    <x v="0"/>
    <x v="0"/>
    <x v="2"/>
    <x v="2"/>
    <x v="0"/>
    <x v="0"/>
    <x v="1"/>
    <x v="0"/>
    <x v="0"/>
    <x v="0"/>
    <x v="0"/>
    <x v="0"/>
    <n v="1"/>
  </r>
  <r>
    <s v="Avenida Beira-Mar, 500 [Q]"/>
    <x v="0"/>
    <x v="0"/>
    <x v="0"/>
    <x v="0"/>
    <x v="0"/>
    <x v="0"/>
    <x v="1"/>
    <x v="1"/>
    <x v="0"/>
    <x v="1"/>
    <x v="0"/>
    <x v="0"/>
    <x v="0"/>
    <n v="1"/>
  </r>
  <r>
    <s v="Avenida Beira-Mar, 500 [Q]"/>
    <x v="0"/>
    <x v="0"/>
    <x v="0"/>
    <x v="1"/>
    <x v="1"/>
    <x v="0"/>
    <x v="1"/>
    <x v="2"/>
    <x v="0"/>
    <x v="1"/>
    <x v="0"/>
    <x v="0"/>
    <x v="0"/>
    <n v="1"/>
  </r>
  <r>
    <s v="Avenida Beira-Mar, 500 [Q]"/>
    <x v="0"/>
    <x v="0"/>
    <x v="0"/>
    <x v="2"/>
    <x v="2"/>
    <x v="0"/>
    <x v="1"/>
    <x v="1"/>
    <x v="0"/>
    <x v="1"/>
    <x v="0"/>
    <x v="0"/>
    <x v="0"/>
    <n v="1"/>
  </r>
  <r>
    <s v="Condominio Maritimo "/>
    <x v="1"/>
    <x v="1"/>
    <x v="1"/>
    <x v="0"/>
    <x v="3"/>
    <x v="1"/>
    <x v="0"/>
    <x v="0"/>
    <x v="0"/>
    <x v="0"/>
    <x v="0"/>
    <x v="0"/>
    <x v="0"/>
    <n v="1"/>
  </r>
  <r>
    <s v="Condominio Maritimo "/>
    <x v="1"/>
    <x v="1"/>
    <x v="1"/>
    <x v="1"/>
    <x v="4"/>
    <x v="2"/>
    <x v="0"/>
    <x v="0"/>
    <x v="0"/>
    <x v="0"/>
    <x v="0"/>
    <x v="0"/>
    <x v="0"/>
    <n v="1"/>
  </r>
  <r>
    <s v="Condominio Maritimo "/>
    <x v="1"/>
    <x v="1"/>
    <x v="1"/>
    <x v="2"/>
    <x v="5"/>
    <x v="3"/>
    <x v="0"/>
    <x v="0"/>
    <x v="0"/>
    <x v="0"/>
    <x v="0"/>
    <x v="0"/>
    <x v="0"/>
    <n v="1"/>
  </r>
  <r>
    <s v="Marina Park Residence"/>
    <x v="1"/>
    <x v="1"/>
    <x v="1"/>
    <x v="0"/>
    <x v="6"/>
    <x v="4"/>
    <x v="2"/>
    <x v="0"/>
    <x v="0"/>
    <x v="0"/>
    <x v="0"/>
    <x v="0"/>
    <x v="0"/>
    <n v="1"/>
  </r>
  <r>
    <s v="Marina Park Residence"/>
    <x v="1"/>
    <x v="1"/>
    <x v="1"/>
    <x v="1"/>
    <x v="4"/>
    <x v="2"/>
    <x v="2"/>
    <x v="0"/>
    <x v="0"/>
    <x v="0"/>
    <x v="0"/>
    <x v="0"/>
    <x v="0"/>
    <n v="1"/>
  </r>
  <r>
    <s v="Marina Park Residence"/>
    <x v="1"/>
    <x v="1"/>
    <x v="1"/>
    <x v="2"/>
    <x v="5"/>
    <x v="3"/>
    <x v="2"/>
    <x v="0"/>
    <x v="0"/>
    <x v="0"/>
    <x v="0"/>
    <x v="0"/>
    <x v="0"/>
    <n v="1"/>
  </r>
  <r>
    <s v="Avenida Central Jardim do Eden, 497"/>
    <x v="0"/>
    <x v="2"/>
    <x v="1"/>
    <x v="0"/>
    <x v="6"/>
    <x v="4"/>
    <x v="2"/>
    <x v="0"/>
    <x v="0"/>
    <x v="2"/>
    <x v="0"/>
    <x v="0"/>
    <x v="0"/>
    <n v="1"/>
  </r>
  <r>
    <s v="Avenida Central Jardim do Eden, 497"/>
    <x v="0"/>
    <x v="2"/>
    <x v="1"/>
    <x v="1"/>
    <x v="7"/>
    <x v="5"/>
    <x v="2"/>
    <x v="0"/>
    <x v="0"/>
    <x v="2"/>
    <x v="0"/>
    <x v="0"/>
    <x v="0"/>
    <n v="1"/>
  </r>
  <r>
    <s v="Avenida Central Jardim do Eden, 497"/>
    <x v="0"/>
    <x v="2"/>
    <x v="1"/>
    <x v="2"/>
    <x v="8"/>
    <x v="6"/>
    <x v="2"/>
    <x v="0"/>
    <x v="0"/>
    <x v="2"/>
    <x v="0"/>
    <x v="0"/>
    <x v="0"/>
    <n v="1"/>
  </r>
  <r>
    <s v="Rua A-Tres Boca-de-Leao, 220"/>
    <x v="0"/>
    <x v="3"/>
    <x v="1"/>
    <x v="0"/>
    <x v="6"/>
    <x v="4"/>
    <x v="2"/>
    <x v="0"/>
    <x v="0"/>
    <x v="0"/>
    <x v="0"/>
    <x v="0"/>
    <x v="0"/>
    <n v="1"/>
  </r>
  <r>
    <s v="Rua A-Tres Boca-de-Leao, 220"/>
    <x v="0"/>
    <x v="3"/>
    <x v="1"/>
    <x v="1"/>
    <x v="4"/>
    <x v="2"/>
    <x v="2"/>
    <x v="0"/>
    <x v="0"/>
    <x v="0"/>
    <x v="0"/>
    <x v="0"/>
    <x v="0"/>
    <n v="1"/>
  </r>
  <r>
    <s v="Rua A-Tres Boca-de-Leao, 220"/>
    <x v="0"/>
    <x v="3"/>
    <x v="1"/>
    <x v="2"/>
    <x v="5"/>
    <x v="3"/>
    <x v="2"/>
    <x v="0"/>
    <x v="0"/>
    <x v="0"/>
    <x v="0"/>
    <x v="0"/>
    <x v="0"/>
    <n v="1"/>
  </r>
  <r>
    <s v="Marina Park Residence"/>
    <x v="1"/>
    <x v="1"/>
    <x v="2"/>
    <x v="0"/>
    <x v="9"/>
    <x v="7"/>
    <x v="0"/>
    <x v="0"/>
    <x v="0"/>
    <x v="0"/>
    <x v="0"/>
    <x v="0"/>
    <x v="0"/>
    <n v="1"/>
  </r>
  <r>
    <s v="Marina Park Residence"/>
    <x v="1"/>
    <x v="1"/>
    <x v="2"/>
    <x v="1"/>
    <x v="7"/>
    <x v="5"/>
    <x v="0"/>
    <x v="0"/>
    <x v="0"/>
    <x v="0"/>
    <x v="0"/>
    <x v="0"/>
    <x v="0"/>
    <n v="1"/>
  </r>
  <r>
    <s v="Marina Park Residence"/>
    <x v="1"/>
    <x v="1"/>
    <x v="2"/>
    <x v="2"/>
    <x v="8"/>
    <x v="6"/>
    <x v="0"/>
    <x v="0"/>
    <x v="0"/>
    <x v="0"/>
    <x v="0"/>
    <x v="0"/>
    <x v="0"/>
    <n v="1"/>
  </r>
  <r>
    <s v="Rua R Seis, 57"/>
    <x v="0"/>
    <x v="3"/>
    <x v="1"/>
    <x v="0"/>
    <x v="3"/>
    <x v="1"/>
    <x v="2"/>
    <x v="0"/>
    <x v="0"/>
    <x v="0"/>
    <x v="0"/>
    <x v="0"/>
    <x v="0"/>
    <n v="1"/>
  </r>
  <r>
    <s v="Rua R Seis, 57"/>
    <x v="0"/>
    <x v="3"/>
    <x v="1"/>
    <x v="1"/>
    <x v="4"/>
    <x v="2"/>
    <x v="2"/>
    <x v="0"/>
    <x v="0"/>
    <x v="0"/>
    <x v="0"/>
    <x v="0"/>
    <x v="0"/>
    <n v="1"/>
  </r>
  <r>
    <s v="Rua R Seis, 57"/>
    <x v="0"/>
    <x v="3"/>
    <x v="1"/>
    <x v="2"/>
    <x v="5"/>
    <x v="3"/>
    <x v="2"/>
    <x v="0"/>
    <x v="0"/>
    <x v="0"/>
    <x v="0"/>
    <x v="0"/>
    <x v="0"/>
    <n v="1"/>
  </r>
  <r>
    <s v="Condominio Maritimo "/>
    <x v="1"/>
    <x v="1"/>
    <x v="1"/>
    <x v="0"/>
    <x v="3"/>
    <x v="1"/>
    <x v="0"/>
    <x v="0"/>
    <x v="0"/>
    <x v="0"/>
    <x v="0"/>
    <x v="0"/>
    <x v="0"/>
    <n v="1"/>
  </r>
  <r>
    <s v="Condominio Maritimo "/>
    <x v="1"/>
    <x v="1"/>
    <x v="1"/>
    <x v="1"/>
    <x v="4"/>
    <x v="2"/>
    <x v="0"/>
    <x v="0"/>
    <x v="0"/>
    <x v="0"/>
    <x v="0"/>
    <x v="0"/>
    <x v="0"/>
    <n v="1"/>
  </r>
  <r>
    <s v="Condominio Maritimo "/>
    <x v="1"/>
    <x v="1"/>
    <x v="1"/>
    <x v="2"/>
    <x v="5"/>
    <x v="3"/>
    <x v="0"/>
    <x v="0"/>
    <x v="0"/>
    <x v="0"/>
    <x v="0"/>
    <x v="0"/>
    <x v="0"/>
    <n v="1"/>
  </r>
  <r>
    <s v="Rua Olavo Nunes, 12"/>
    <x v="0"/>
    <x v="3"/>
    <x v="1"/>
    <x v="0"/>
    <x v="3"/>
    <x v="1"/>
    <x v="2"/>
    <x v="0"/>
    <x v="0"/>
    <x v="0"/>
    <x v="0"/>
    <x v="0"/>
    <x v="0"/>
    <n v="1"/>
  </r>
  <r>
    <s v="Rua Olavo Nunes, 12"/>
    <x v="0"/>
    <x v="3"/>
    <x v="1"/>
    <x v="1"/>
    <x v="4"/>
    <x v="2"/>
    <x v="2"/>
    <x v="0"/>
    <x v="0"/>
    <x v="0"/>
    <x v="0"/>
    <x v="0"/>
    <x v="0"/>
    <n v="1"/>
  </r>
  <r>
    <s v="Rua Olavo Nunes, 12"/>
    <x v="0"/>
    <x v="3"/>
    <x v="1"/>
    <x v="2"/>
    <x v="5"/>
    <x v="3"/>
    <x v="2"/>
    <x v="0"/>
    <x v="0"/>
    <x v="0"/>
    <x v="0"/>
    <x v="0"/>
    <x v="0"/>
    <n v="1"/>
  </r>
  <r>
    <s v="Rua Creta, 55"/>
    <x v="0"/>
    <x v="3"/>
    <x v="1"/>
    <x v="0"/>
    <x v="6"/>
    <x v="4"/>
    <x v="2"/>
    <x v="0"/>
    <x v="0"/>
    <x v="0"/>
    <x v="0"/>
    <x v="0"/>
    <x v="0"/>
    <n v="1"/>
  </r>
  <r>
    <s v="Rua Creta, 55"/>
    <x v="0"/>
    <x v="3"/>
    <x v="1"/>
    <x v="1"/>
    <x v="4"/>
    <x v="2"/>
    <x v="2"/>
    <x v="0"/>
    <x v="0"/>
    <x v="0"/>
    <x v="0"/>
    <x v="0"/>
    <x v="0"/>
    <n v="1"/>
  </r>
  <r>
    <s v="Rua Creta, 55"/>
    <x v="0"/>
    <x v="3"/>
    <x v="1"/>
    <x v="2"/>
    <x v="5"/>
    <x v="3"/>
    <x v="2"/>
    <x v="0"/>
    <x v="0"/>
    <x v="0"/>
    <x v="0"/>
    <x v="0"/>
    <x v="0"/>
    <n v="1"/>
  </r>
  <r>
    <s v="Rua Almirante Tamandare, 874"/>
    <x v="0"/>
    <x v="3"/>
    <x v="2"/>
    <x v="0"/>
    <x v="10"/>
    <x v="8"/>
    <x v="2"/>
    <x v="0"/>
    <x v="0"/>
    <x v="0"/>
    <x v="0"/>
    <x v="0"/>
    <x v="0"/>
    <n v="1"/>
  </r>
  <r>
    <s v="Rua Almirante Tamandare, 874"/>
    <x v="0"/>
    <x v="3"/>
    <x v="2"/>
    <x v="1"/>
    <x v="11"/>
    <x v="9"/>
    <x v="2"/>
    <x v="0"/>
    <x v="0"/>
    <x v="0"/>
    <x v="0"/>
    <x v="0"/>
    <x v="0"/>
    <n v="1"/>
  </r>
  <r>
    <s v="Rua Almirante Tamandare, 874"/>
    <x v="0"/>
    <x v="3"/>
    <x v="2"/>
    <x v="2"/>
    <x v="12"/>
    <x v="10"/>
    <x v="2"/>
    <x v="0"/>
    <x v="0"/>
    <x v="0"/>
    <x v="0"/>
    <x v="0"/>
    <x v="0"/>
    <n v="1"/>
  </r>
  <r>
    <s v="Rua A-Seis dos Jasmins, 128"/>
    <x v="0"/>
    <x v="3"/>
    <x v="1"/>
    <x v="0"/>
    <x v="6"/>
    <x v="4"/>
    <x v="2"/>
    <x v="0"/>
    <x v="0"/>
    <x v="0"/>
    <x v="0"/>
    <x v="0"/>
    <x v="0"/>
    <n v="1"/>
  </r>
  <r>
    <s v="Rua A-Seis dos Jasmins, 128"/>
    <x v="0"/>
    <x v="3"/>
    <x v="1"/>
    <x v="1"/>
    <x v="4"/>
    <x v="2"/>
    <x v="2"/>
    <x v="0"/>
    <x v="0"/>
    <x v="0"/>
    <x v="0"/>
    <x v="0"/>
    <x v="0"/>
    <n v="1"/>
  </r>
  <r>
    <s v="Rua A-Seis dos Jasmins, 128"/>
    <x v="0"/>
    <x v="3"/>
    <x v="1"/>
    <x v="2"/>
    <x v="5"/>
    <x v="3"/>
    <x v="2"/>
    <x v="0"/>
    <x v="0"/>
    <x v="0"/>
    <x v="0"/>
    <x v="0"/>
    <x v="0"/>
    <n v="1"/>
  </r>
  <r>
    <s v="Rua Hildebrando Pinheiro Veloso, 1170"/>
    <x v="0"/>
    <x v="1"/>
    <x v="1"/>
    <x v="0"/>
    <x v="6"/>
    <x v="4"/>
    <x v="2"/>
    <x v="0"/>
    <x v="0"/>
    <x v="0"/>
    <x v="0"/>
    <x v="0"/>
    <x v="0"/>
    <n v="1"/>
  </r>
  <r>
    <s v="Rua Hildebrando Pinheiro Veloso, 1170"/>
    <x v="0"/>
    <x v="1"/>
    <x v="1"/>
    <x v="1"/>
    <x v="7"/>
    <x v="5"/>
    <x v="2"/>
    <x v="0"/>
    <x v="0"/>
    <x v="0"/>
    <x v="0"/>
    <x v="0"/>
    <x v="0"/>
    <n v="1"/>
  </r>
  <r>
    <s v="Rua Hildebrando Pinheiro Veloso, 1170"/>
    <x v="0"/>
    <x v="1"/>
    <x v="1"/>
    <x v="2"/>
    <x v="8"/>
    <x v="6"/>
    <x v="2"/>
    <x v="0"/>
    <x v="0"/>
    <x v="0"/>
    <x v="0"/>
    <x v="0"/>
    <x v="0"/>
    <n v="1"/>
  </r>
  <r>
    <s v="Rua Sete de Setembro, 2721"/>
    <x v="0"/>
    <x v="3"/>
    <x v="1"/>
    <x v="0"/>
    <x v="6"/>
    <x v="4"/>
    <x v="2"/>
    <x v="0"/>
    <x v="0"/>
    <x v="0"/>
    <x v="0"/>
    <x v="0"/>
    <x v="0"/>
    <n v="1"/>
  </r>
  <r>
    <s v="Rua Sete de Setembro, 2721"/>
    <x v="0"/>
    <x v="3"/>
    <x v="1"/>
    <x v="1"/>
    <x v="7"/>
    <x v="5"/>
    <x v="2"/>
    <x v="0"/>
    <x v="0"/>
    <x v="0"/>
    <x v="0"/>
    <x v="0"/>
    <x v="0"/>
    <n v="1"/>
  </r>
  <r>
    <s v="Rua Sete de Setembro, 2721"/>
    <x v="0"/>
    <x v="3"/>
    <x v="1"/>
    <x v="2"/>
    <x v="8"/>
    <x v="6"/>
    <x v="2"/>
    <x v="0"/>
    <x v="0"/>
    <x v="0"/>
    <x v="0"/>
    <x v="0"/>
    <x v="0"/>
    <n v="1"/>
  </r>
  <r>
    <s v="Rua Octavio Rodolfo dos Santos, 2080"/>
    <x v="0"/>
    <x v="4"/>
    <x v="1"/>
    <x v="0"/>
    <x v="9"/>
    <x v="7"/>
    <x v="2"/>
    <x v="0"/>
    <x v="0"/>
    <x v="0"/>
    <x v="0"/>
    <x v="0"/>
    <x v="0"/>
    <n v="1"/>
  </r>
  <r>
    <s v="Rua Octavio Rodolfo dos Santos, 2080"/>
    <x v="0"/>
    <x v="4"/>
    <x v="1"/>
    <x v="1"/>
    <x v="7"/>
    <x v="5"/>
    <x v="2"/>
    <x v="0"/>
    <x v="0"/>
    <x v="0"/>
    <x v="0"/>
    <x v="0"/>
    <x v="0"/>
    <n v="1"/>
  </r>
  <r>
    <s v="Rua Octavio Rodolfo dos Santos, 2080"/>
    <x v="0"/>
    <x v="4"/>
    <x v="1"/>
    <x v="2"/>
    <x v="13"/>
    <x v="9"/>
    <x v="2"/>
    <x v="0"/>
    <x v="0"/>
    <x v="0"/>
    <x v="0"/>
    <x v="0"/>
    <x v="0"/>
    <n v="1"/>
  </r>
  <r>
    <s v="Avenida Fernandes Bastos, 3933"/>
    <x v="0"/>
    <x v="3"/>
    <x v="0"/>
    <x v="0"/>
    <x v="14"/>
    <x v="11"/>
    <x v="2"/>
    <x v="0"/>
    <x v="0"/>
    <x v="0"/>
    <x v="0"/>
    <x v="0"/>
    <x v="0"/>
    <n v="1"/>
  </r>
  <r>
    <s v="Avenida Fernandes Bastos, 3933"/>
    <x v="0"/>
    <x v="3"/>
    <x v="0"/>
    <x v="1"/>
    <x v="15"/>
    <x v="12"/>
    <x v="2"/>
    <x v="0"/>
    <x v="1"/>
    <x v="0"/>
    <x v="0"/>
    <x v="1"/>
    <x v="0"/>
    <n v="1"/>
  </r>
  <r>
    <s v="Avenida Fernandes Bastos, 3933"/>
    <x v="0"/>
    <x v="3"/>
    <x v="0"/>
    <x v="2"/>
    <x v="2"/>
    <x v="0"/>
    <x v="2"/>
    <x v="0"/>
    <x v="1"/>
    <x v="0"/>
    <x v="0"/>
    <x v="1"/>
    <x v="0"/>
    <n v="1"/>
  </r>
  <r>
    <s v="Rua Santa Maria, 172"/>
    <x v="0"/>
    <x v="3"/>
    <x v="1"/>
    <x v="0"/>
    <x v="3"/>
    <x v="1"/>
    <x v="2"/>
    <x v="0"/>
    <x v="0"/>
    <x v="0"/>
    <x v="0"/>
    <x v="0"/>
    <x v="0"/>
    <n v="1"/>
  </r>
  <r>
    <s v="Rua Santa Maria, 172"/>
    <x v="0"/>
    <x v="3"/>
    <x v="1"/>
    <x v="1"/>
    <x v="16"/>
    <x v="13"/>
    <x v="2"/>
    <x v="0"/>
    <x v="0"/>
    <x v="0"/>
    <x v="0"/>
    <x v="0"/>
    <x v="0"/>
    <n v="1"/>
  </r>
  <r>
    <s v="Rua Santa Maria, 172"/>
    <x v="0"/>
    <x v="3"/>
    <x v="1"/>
    <x v="2"/>
    <x v="5"/>
    <x v="3"/>
    <x v="2"/>
    <x v="0"/>
    <x v="0"/>
    <x v="0"/>
    <x v="0"/>
    <x v="0"/>
    <x v="0"/>
    <n v="1"/>
  </r>
  <r>
    <s v="Estrada Estancia Velha, 1"/>
    <x v="0"/>
    <x v="3"/>
    <x v="1"/>
    <x v="0"/>
    <x v="3"/>
    <x v="1"/>
    <x v="2"/>
    <x v="0"/>
    <x v="0"/>
    <x v="0"/>
    <x v="0"/>
    <x v="0"/>
    <x v="0"/>
    <n v="1"/>
  </r>
  <r>
    <s v="Estrada Estancia Velha, 1"/>
    <x v="0"/>
    <x v="3"/>
    <x v="1"/>
    <x v="1"/>
    <x v="4"/>
    <x v="2"/>
    <x v="2"/>
    <x v="0"/>
    <x v="0"/>
    <x v="0"/>
    <x v="0"/>
    <x v="0"/>
    <x v="0"/>
    <n v="1"/>
  </r>
  <r>
    <s v="Estrada Estancia Velha, 1"/>
    <x v="0"/>
    <x v="3"/>
    <x v="1"/>
    <x v="2"/>
    <x v="5"/>
    <x v="3"/>
    <x v="2"/>
    <x v="0"/>
    <x v="0"/>
    <x v="0"/>
    <x v="0"/>
    <x v="0"/>
    <x v="0"/>
    <n v="1"/>
  </r>
  <r>
    <s v="Rua Wadir Azevedo Fonseca, 690"/>
    <x v="0"/>
    <x v="4"/>
    <x v="1"/>
    <x v="0"/>
    <x v="6"/>
    <x v="4"/>
    <x v="2"/>
    <x v="0"/>
    <x v="0"/>
    <x v="0"/>
    <x v="0"/>
    <x v="0"/>
    <x v="0"/>
    <n v="1"/>
  </r>
  <r>
    <s v="Rua Wadir Azevedo Fonseca, 690"/>
    <x v="0"/>
    <x v="4"/>
    <x v="1"/>
    <x v="1"/>
    <x v="4"/>
    <x v="2"/>
    <x v="2"/>
    <x v="0"/>
    <x v="0"/>
    <x v="0"/>
    <x v="0"/>
    <x v="0"/>
    <x v="0"/>
    <n v="1"/>
  </r>
  <r>
    <s v="Rua Wadir Azevedo Fonseca, 690"/>
    <x v="0"/>
    <x v="4"/>
    <x v="1"/>
    <x v="2"/>
    <x v="5"/>
    <x v="3"/>
    <x v="2"/>
    <x v="0"/>
    <x v="0"/>
    <x v="0"/>
    <x v="0"/>
    <x v="0"/>
    <x v="0"/>
    <n v="1"/>
  </r>
  <r>
    <s v="Rua Joao Arthur Kirsh, 330"/>
    <x v="0"/>
    <x v="5"/>
    <x v="1"/>
    <x v="0"/>
    <x v="6"/>
    <x v="4"/>
    <x v="1"/>
    <x v="0"/>
    <x v="0"/>
    <x v="0"/>
    <x v="0"/>
    <x v="0"/>
    <x v="0"/>
    <n v="1"/>
  </r>
  <r>
    <s v="Rua Joao Arthur Kirsh, 330"/>
    <x v="0"/>
    <x v="5"/>
    <x v="1"/>
    <x v="1"/>
    <x v="4"/>
    <x v="2"/>
    <x v="1"/>
    <x v="0"/>
    <x v="0"/>
    <x v="0"/>
    <x v="0"/>
    <x v="0"/>
    <x v="0"/>
    <n v="1"/>
  </r>
  <r>
    <s v="Rua Joao Arthur Kirsh, 330"/>
    <x v="0"/>
    <x v="5"/>
    <x v="1"/>
    <x v="2"/>
    <x v="5"/>
    <x v="3"/>
    <x v="1"/>
    <x v="0"/>
    <x v="0"/>
    <x v="0"/>
    <x v="0"/>
    <x v="0"/>
    <x v="0"/>
    <n v="1"/>
  </r>
  <r>
    <s v="Rua Vinte e Quatro de Setembro, 833"/>
    <x v="0"/>
    <x v="1"/>
    <x v="2"/>
    <x v="0"/>
    <x v="10"/>
    <x v="8"/>
    <x v="0"/>
    <x v="0"/>
    <x v="0"/>
    <x v="0"/>
    <x v="0"/>
    <x v="0"/>
    <x v="0"/>
    <n v="1"/>
  </r>
  <r>
    <s v="Rua Vinte e Quatro de Setembro, 833"/>
    <x v="0"/>
    <x v="1"/>
    <x v="2"/>
    <x v="1"/>
    <x v="17"/>
    <x v="14"/>
    <x v="0"/>
    <x v="0"/>
    <x v="0"/>
    <x v="0"/>
    <x v="0"/>
    <x v="0"/>
    <x v="0"/>
    <n v="1"/>
  </r>
  <r>
    <s v="Rua Vinte e Quatro de Setembro, 833"/>
    <x v="0"/>
    <x v="1"/>
    <x v="2"/>
    <x v="2"/>
    <x v="12"/>
    <x v="10"/>
    <x v="0"/>
    <x v="0"/>
    <x v="0"/>
    <x v="0"/>
    <x v="0"/>
    <x v="0"/>
    <x v="0"/>
    <n v="1"/>
  </r>
  <r>
    <s v="Rua Vinte e Quatro de Setembro, 959"/>
    <x v="0"/>
    <x v="1"/>
    <x v="2"/>
    <x v="0"/>
    <x v="18"/>
    <x v="15"/>
    <x v="0"/>
    <x v="0"/>
    <x v="0"/>
    <x v="0"/>
    <x v="0"/>
    <x v="0"/>
    <x v="0"/>
    <n v="1"/>
  </r>
  <r>
    <s v="Rua Vinte e Quatro de Setembro, 959"/>
    <x v="0"/>
    <x v="1"/>
    <x v="2"/>
    <x v="1"/>
    <x v="11"/>
    <x v="9"/>
    <x v="0"/>
    <x v="0"/>
    <x v="0"/>
    <x v="0"/>
    <x v="0"/>
    <x v="0"/>
    <x v="0"/>
    <n v="1"/>
  </r>
  <r>
    <s v="Rua Vinte e Quatro de Setembro, 959"/>
    <x v="0"/>
    <x v="1"/>
    <x v="2"/>
    <x v="2"/>
    <x v="8"/>
    <x v="6"/>
    <x v="0"/>
    <x v="0"/>
    <x v="0"/>
    <x v="0"/>
    <x v="0"/>
    <x v="0"/>
    <x v="0"/>
    <n v="1"/>
  </r>
  <r>
    <s v="Rua R, 451"/>
    <x v="0"/>
    <x v="4"/>
    <x v="1"/>
    <x v="0"/>
    <x v="3"/>
    <x v="1"/>
    <x v="2"/>
    <x v="0"/>
    <x v="0"/>
    <x v="0"/>
    <x v="0"/>
    <x v="0"/>
    <x v="0"/>
    <n v="1"/>
  </r>
  <r>
    <s v="Rua R, 451"/>
    <x v="0"/>
    <x v="4"/>
    <x v="1"/>
    <x v="1"/>
    <x v="4"/>
    <x v="2"/>
    <x v="2"/>
    <x v="0"/>
    <x v="0"/>
    <x v="0"/>
    <x v="0"/>
    <x v="0"/>
    <x v="0"/>
    <n v="1"/>
  </r>
  <r>
    <s v="Rua R, 451"/>
    <x v="0"/>
    <x v="4"/>
    <x v="1"/>
    <x v="2"/>
    <x v="5"/>
    <x v="3"/>
    <x v="2"/>
    <x v="0"/>
    <x v="0"/>
    <x v="0"/>
    <x v="0"/>
    <x v="0"/>
    <x v="0"/>
    <n v="1"/>
  </r>
  <r>
    <s v="Rua Tuiuti, 1032"/>
    <x v="0"/>
    <x v="4"/>
    <x v="1"/>
    <x v="0"/>
    <x v="3"/>
    <x v="1"/>
    <x v="2"/>
    <x v="0"/>
    <x v="0"/>
    <x v="0"/>
    <x v="0"/>
    <x v="0"/>
    <x v="0"/>
    <n v="1"/>
  </r>
  <r>
    <s v="Rua Tuiuti, 1032"/>
    <x v="0"/>
    <x v="4"/>
    <x v="1"/>
    <x v="1"/>
    <x v="16"/>
    <x v="13"/>
    <x v="2"/>
    <x v="0"/>
    <x v="0"/>
    <x v="0"/>
    <x v="0"/>
    <x v="0"/>
    <x v="0"/>
    <n v="1"/>
  </r>
  <r>
    <s v="Rua Tuiuti, 1032"/>
    <x v="0"/>
    <x v="4"/>
    <x v="1"/>
    <x v="2"/>
    <x v="5"/>
    <x v="3"/>
    <x v="2"/>
    <x v="0"/>
    <x v="0"/>
    <x v="0"/>
    <x v="0"/>
    <x v="0"/>
    <x v="0"/>
    <n v="1"/>
  </r>
  <r>
    <s v="Avenida Militao Almeida, 703"/>
    <x v="0"/>
    <x v="1"/>
    <x v="0"/>
    <x v="0"/>
    <x v="19"/>
    <x v="16"/>
    <x v="0"/>
    <x v="0"/>
    <x v="0"/>
    <x v="2"/>
    <x v="0"/>
    <x v="0"/>
    <x v="0"/>
    <n v="1"/>
  </r>
  <r>
    <s v="Avenida Militao Almeida, 703"/>
    <x v="0"/>
    <x v="1"/>
    <x v="0"/>
    <x v="1"/>
    <x v="15"/>
    <x v="12"/>
    <x v="0"/>
    <x v="0"/>
    <x v="0"/>
    <x v="2"/>
    <x v="0"/>
    <x v="0"/>
    <x v="0"/>
    <n v="1"/>
  </r>
  <r>
    <s v="Avenida Militao Almeida, 703"/>
    <x v="0"/>
    <x v="1"/>
    <x v="0"/>
    <x v="2"/>
    <x v="20"/>
    <x v="16"/>
    <x v="0"/>
    <x v="0"/>
    <x v="0"/>
    <x v="2"/>
    <x v="0"/>
    <x v="0"/>
    <x v="0"/>
    <n v="1"/>
  </r>
  <r>
    <s v="Avenida Emancipacao, 1747"/>
    <x v="0"/>
    <x v="1"/>
    <x v="0"/>
    <x v="0"/>
    <x v="14"/>
    <x v="11"/>
    <x v="0"/>
    <x v="2"/>
    <x v="0"/>
    <x v="2"/>
    <x v="0"/>
    <x v="0"/>
    <x v="0"/>
    <n v="1"/>
  </r>
  <r>
    <s v="Avenida Emancipacao, 1747"/>
    <x v="0"/>
    <x v="1"/>
    <x v="0"/>
    <x v="1"/>
    <x v="15"/>
    <x v="12"/>
    <x v="0"/>
    <x v="0"/>
    <x v="2"/>
    <x v="2"/>
    <x v="0"/>
    <x v="1"/>
    <x v="0"/>
    <n v="1"/>
  </r>
  <r>
    <s v="Avenida Emancipacao, 1747"/>
    <x v="0"/>
    <x v="1"/>
    <x v="0"/>
    <x v="2"/>
    <x v="2"/>
    <x v="0"/>
    <x v="0"/>
    <x v="0"/>
    <x v="2"/>
    <x v="2"/>
    <x v="0"/>
    <x v="1"/>
    <x v="0"/>
    <n v="1"/>
  </r>
  <r>
    <s v="Rua Firmiano Osorio, 88"/>
    <x v="0"/>
    <x v="1"/>
    <x v="2"/>
    <x v="0"/>
    <x v="9"/>
    <x v="7"/>
    <x v="2"/>
    <x v="0"/>
    <x v="0"/>
    <x v="0"/>
    <x v="0"/>
    <x v="0"/>
    <x v="0"/>
    <n v="1"/>
  </r>
  <r>
    <s v="Rua Firmiano Osorio, 88"/>
    <x v="0"/>
    <x v="1"/>
    <x v="2"/>
    <x v="1"/>
    <x v="7"/>
    <x v="5"/>
    <x v="2"/>
    <x v="0"/>
    <x v="0"/>
    <x v="0"/>
    <x v="0"/>
    <x v="0"/>
    <x v="0"/>
    <n v="1"/>
  </r>
  <r>
    <s v="Rua Firmiano Osorio, 88"/>
    <x v="0"/>
    <x v="1"/>
    <x v="2"/>
    <x v="2"/>
    <x v="8"/>
    <x v="6"/>
    <x v="2"/>
    <x v="0"/>
    <x v="0"/>
    <x v="0"/>
    <x v="0"/>
    <x v="0"/>
    <x v="0"/>
    <n v="1"/>
  </r>
  <r>
    <s v="Rua Marcilio Dias, 1819"/>
    <x v="0"/>
    <x v="3"/>
    <x v="1"/>
    <x v="0"/>
    <x v="10"/>
    <x v="8"/>
    <x v="2"/>
    <x v="1"/>
    <x v="0"/>
    <x v="0"/>
    <x v="0"/>
    <x v="0"/>
    <x v="0"/>
    <n v="1"/>
  </r>
  <r>
    <s v="Rua Marcilio Dias, 1819"/>
    <x v="0"/>
    <x v="3"/>
    <x v="1"/>
    <x v="1"/>
    <x v="21"/>
    <x v="10"/>
    <x v="2"/>
    <x v="1"/>
    <x v="0"/>
    <x v="0"/>
    <x v="0"/>
    <x v="0"/>
    <x v="0"/>
    <n v="1"/>
  </r>
  <r>
    <s v="Rua Marcilio Dias, 1819"/>
    <x v="0"/>
    <x v="3"/>
    <x v="1"/>
    <x v="2"/>
    <x v="22"/>
    <x v="17"/>
    <x v="2"/>
    <x v="1"/>
    <x v="0"/>
    <x v="0"/>
    <x v="0"/>
    <x v="0"/>
    <x v="0"/>
    <n v="1"/>
  </r>
  <r>
    <s v=" Rua Pinheiro Machado, 1100"/>
    <x v="0"/>
    <x v="4"/>
    <x v="1"/>
    <x v="0"/>
    <x v="6"/>
    <x v="4"/>
    <x v="2"/>
    <x v="0"/>
    <x v="0"/>
    <x v="0"/>
    <x v="0"/>
    <x v="0"/>
    <x v="0"/>
    <n v="1"/>
  </r>
  <r>
    <s v=" Rua Pinheiro Machado, 1100"/>
    <x v="0"/>
    <x v="4"/>
    <x v="1"/>
    <x v="1"/>
    <x v="4"/>
    <x v="2"/>
    <x v="2"/>
    <x v="0"/>
    <x v="0"/>
    <x v="0"/>
    <x v="0"/>
    <x v="0"/>
    <x v="0"/>
    <n v="1"/>
  </r>
  <r>
    <s v=" Rua Pinheiro Machado, 1100"/>
    <x v="0"/>
    <x v="4"/>
    <x v="1"/>
    <x v="2"/>
    <x v="5"/>
    <x v="3"/>
    <x v="2"/>
    <x v="0"/>
    <x v="0"/>
    <x v="0"/>
    <x v="0"/>
    <x v="0"/>
    <x v="0"/>
    <n v="1"/>
  </r>
  <r>
    <s v="Avenida Atlantica, 1665"/>
    <x v="0"/>
    <x v="1"/>
    <x v="1"/>
    <x v="0"/>
    <x v="9"/>
    <x v="7"/>
    <x v="0"/>
    <x v="0"/>
    <x v="0"/>
    <x v="0"/>
    <x v="0"/>
    <x v="0"/>
    <x v="0"/>
    <n v="1"/>
  </r>
  <r>
    <s v="Avenida Atlantica, 1665"/>
    <x v="0"/>
    <x v="1"/>
    <x v="1"/>
    <x v="1"/>
    <x v="7"/>
    <x v="5"/>
    <x v="0"/>
    <x v="1"/>
    <x v="0"/>
    <x v="0"/>
    <x v="0"/>
    <x v="0"/>
    <x v="0"/>
    <n v="1"/>
  </r>
  <r>
    <s v="Avenida Atlantica, 1665"/>
    <x v="0"/>
    <x v="1"/>
    <x v="1"/>
    <x v="2"/>
    <x v="8"/>
    <x v="6"/>
    <x v="0"/>
    <x v="1"/>
    <x v="0"/>
    <x v="0"/>
    <x v="0"/>
    <x v="0"/>
    <x v="0"/>
    <n v="1"/>
  </r>
  <r>
    <s v="Rua Siqueira Campos, 1167"/>
    <x v="0"/>
    <x v="3"/>
    <x v="1"/>
    <x v="0"/>
    <x v="6"/>
    <x v="4"/>
    <x v="2"/>
    <x v="0"/>
    <x v="0"/>
    <x v="0"/>
    <x v="0"/>
    <x v="0"/>
    <x v="0"/>
    <n v="1"/>
  </r>
  <r>
    <s v="Rua Siqueira Campos, 1167"/>
    <x v="0"/>
    <x v="3"/>
    <x v="1"/>
    <x v="1"/>
    <x v="4"/>
    <x v="2"/>
    <x v="2"/>
    <x v="0"/>
    <x v="0"/>
    <x v="0"/>
    <x v="0"/>
    <x v="0"/>
    <x v="0"/>
    <n v="1"/>
  </r>
  <r>
    <s v="Rua Siqueira Campos, 1167"/>
    <x v="0"/>
    <x v="3"/>
    <x v="1"/>
    <x v="2"/>
    <x v="8"/>
    <x v="6"/>
    <x v="2"/>
    <x v="0"/>
    <x v="0"/>
    <x v="0"/>
    <x v="0"/>
    <x v="0"/>
    <x v="0"/>
    <n v="1"/>
  </r>
  <r>
    <s v="Rua A da Silva, 455"/>
    <x v="0"/>
    <x v="3"/>
    <x v="1"/>
    <x v="0"/>
    <x v="6"/>
    <x v="4"/>
    <x v="2"/>
    <x v="0"/>
    <x v="0"/>
    <x v="0"/>
    <x v="0"/>
    <x v="0"/>
    <x v="0"/>
    <n v="1"/>
  </r>
  <r>
    <s v="Rua A da Silva, 455"/>
    <x v="0"/>
    <x v="3"/>
    <x v="1"/>
    <x v="1"/>
    <x v="4"/>
    <x v="2"/>
    <x v="2"/>
    <x v="3"/>
    <x v="0"/>
    <x v="0"/>
    <x v="0"/>
    <x v="0"/>
    <x v="0"/>
    <n v="1"/>
  </r>
  <r>
    <s v="Rua A da Silva, 455"/>
    <x v="0"/>
    <x v="3"/>
    <x v="1"/>
    <x v="2"/>
    <x v="5"/>
    <x v="3"/>
    <x v="2"/>
    <x v="3"/>
    <x v="0"/>
    <x v="0"/>
    <x v="0"/>
    <x v="0"/>
    <x v="0"/>
    <n v="1"/>
  </r>
  <r>
    <s v="Rua Sahydi Abrahao, 438"/>
    <x v="0"/>
    <x v="2"/>
    <x v="3"/>
    <x v="0"/>
    <x v="18"/>
    <x v="15"/>
    <x v="3"/>
    <x v="0"/>
    <x v="0"/>
    <x v="0"/>
    <x v="0"/>
    <x v="0"/>
    <x v="0"/>
    <n v="1"/>
  </r>
  <r>
    <s v="Rua Sahydi Abrahao, 438"/>
    <x v="0"/>
    <x v="2"/>
    <x v="3"/>
    <x v="1"/>
    <x v="11"/>
    <x v="9"/>
    <x v="3"/>
    <x v="0"/>
    <x v="0"/>
    <x v="0"/>
    <x v="0"/>
    <x v="0"/>
    <x v="0"/>
    <n v="1"/>
  </r>
  <r>
    <s v="Rua Sahydi Abrahao, 438"/>
    <x v="0"/>
    <x v="2"/>
    <x v="3"/>
    <x v="2"/>
    <x v="13"/>
    <x v="9"/>
    <x v="3"/>
    <x v="0"/>
    <x v="0"/>
    <x v="0"/>
    <x v="0"/>
    <x v="0"/>
    <x v="0"/>
    <n v="1"/>
  </r>
  <r>
    <s v="Rua Amancio Amaral, 1181"/>
    <x v="1"/>
    <x v="4"/>
    <x v="4"/>
    <x v="0"/>
    <x v="18"/>
    <x v="15"/>
    <x v="0"/>
    <x v="0"/>
    <x v="0"/>
    <x v="0"/>
    <x v="0"/>
    <x v="0"/>
    <x v="0"/>
    <n v="1"/>
  </r>
  <r>
    <s v="Rua Amancio Amaral, 1181"/>
    <x v="1"/>
    <x v="4"/>
    <x v="4"/>
    <x v="1"/>
    <x v="11"/>
    <x v="9"/>
    <x v="0"/>
    <x v="0"/>
    <x v="0"/>
    <x v="0"/>
    <x v="0"/>
    <x v="0"/>
    <x v="0"/>
    <n v="1"/>
  </r>
  <r>
    <s v="Rua Amancio Amaral, 1181"/>
    <x v="1"/>
    <x v="4"/>
    <x v="4"/>
    <x v="2"/>
    <x v="13"/>
    <x v="9"/>
    <x v="0"/>
    <x v="0"/>
    <x v="0"/>
    <x v="0"/>
    <x v="0"/>
    <x v="0"/>
    <x v="0"/>
    <n v="1"/>
  </r>
  <r>
    <s v="Rua Navegante, 210"/>
    <x v="0"/>
    <x v="3"/>
    <x v="2"/>
    <x v="0"/>
    <x v="6"/>
    <x v="4"/>
    <x v="2"/>
    <x v="0"/>
    <x v="0"/>
    <x v="0"/>
    <x v="0"/>
    <x v="0"/>
    <x v="0"/>
    <n v="1"/>
  </r>
  <r>
    <s v="Rua Navegante, 210"/>
    <x v="0"/>
    <x v="3"/>
    <x v="2"/>
    <x v="1"/>
    <x v="4"/>
    <x v="2"/>
    <x v="2"/>
    <x v="0"/>
    <x v="0"/>
    <x v="0"/>
    <x v="0"/>
    <x v="0"/>
    <x v="0"/>
    <n v="1"/>
  </r>
  <r>
    <s v="Rua Navegante, 210"/>
    <x v="0"/>
    <x v="3"/>
    <x v="2"/>
    <x v="2"/>
    <x v="5"/>
    <x v="3"/>
    <x v="2"/>
    <x v="0"/>
    <x v="0"/>
    <x v="0"/>
    <x v="0"/>
    <x v="0"/>
    <x v="0"/>
    <n v="1"/>
  </r>
  <r>
    <s v="Rua Tres de Outubro, 1335"/>
    <x v="0"/>
    <x v="3"/>
    <x v="4"/>
    <x v="0"/>
    <x v="18"/>
    <x v="15"/>
    <x v="2"/>
    <x v="0"/>
    <x v="0"/>
    <x v="0"/>
    <x v="0"/>
    <x v="0"/>
    <x v="0"/>
    <n v="1"/>
  </r>
  <r>
    <s v="Rua Tres de Outubro, 1335"/>
    <x v="0"/>
    <x v="3"/>
    <x v="4"/>
    <x v="1"/>
    <x v="11"/>
    <x v="9"/>
    <x v="2"/>
    <x v="0"/>
    <x v="0"/>
    <x v="0"/>
    <x v="0"/>
    <x v="0"/>
    <x v="0"/>
    <n v="1"/>
  </r>
  <r>
    <s v="Rua Tres de Outubro, 1335"/>
    <x v="0"/>
    <x v="3"/>
    <x v="4"/>
    <x v="2"/>
    <x v="8"/>
    <x v="6"/>
    <x v="2"/>
    <x v="0"/>
    <x v="0"/>
    <x v="0"/>
    <x v="0"/>
    <x v="0"/>
    <x v="0"/>
    <n v="1"/>
  </r>
  <r>
    <s v="Rua Francisco Caetano Azevedo, 201"/>
    <x v="0"/>
    <x v="3"/>
    <x v="1"/>
    <x v="0"/>
    <x v="6"/>
    <x v="4"/>
    <x v="2"/>
    <x v="0"/>
    <x v="0"/>
    <x v="0"/>
    <x v="0"/>
    <x v="0"/>
    <x v="0"/>
    <n v="1"/>
  </r>
  <r>
    <s v="Rua Francisco Caetano Azevedo, 201"/>
    <x v="0"/>
    <x v="3"/>
    <x v="1"/>
    <x v="1"/>
    <x v="4"/>
    <x v="2"/>
    <x v="2"/>
    <x v="0"/>
    <x v="0"/>
    <x v="0"/>
    <x v="0"/>
    <x v="0"/>
    <x v="0"/>
    <n v="1"/>
  </r>
  <r>
    <s v="Rua Francisco Caetano Azevedo, 201"/>
    <x v="0"/>
    <x v="3"/>
    <x v="1"/>
    <x v="2"/>
    <x v="5"/>
    <x v="3"/>
    <x v="2"/>
    <x v="0"/>
    <x v="0"/>
    <x v="0"/>
    <x v="0"/>
    <x v="0"/>
    <x v="0"/>
    <n v="1"/>
  </r>
  <r>
    <s v="Rua Saldanha da Gama, 128"/>
    <x v="0"/>
    <x v="3"/>
    <x v="1"/>
    <x v="0"/>
    <x v="23"/>
    <x v="18"/>
    <x v="2"/>
    <x v="0"/>
    <x v="0"/>
    <x v="2"/>
    <x v="0"/>
    <x v="0"/>
    <x v="0"/>
    <n v="1"/>
  </r>
  <r>
    <s v="Rua Saldanha da Gama, 128"/>
    <x v="0"/>
    <x v="3"/>
    <x v="1"/>
    <x v="1"/>
    <x v="16"/>
    <x v="13"/>
    <x v="2"/>
    <x v="0"/>
    <x v="0"/>
    <x v="2"/>
    <x v="0"/>
    <x v="0"/>
    <x v="0"/>
    <n v="1"/>
  </r>
  <r>
    <s v="Rua Saldanha da Gama, 128"/>
    <x v="0"/>
    <x v="3"/>
    <x v="1"/>
    <x v="2"/>
    <x v="5"/>
    <x v="3"/>
    <x v="2"/>
    <x v="0"/>
    <x v="0"/>
    <x v="2"/>
    <x v="0"/>
    <x v="0"/>
    <x v="0"/>
    <n v="1"/>
  </r>
  <r>
    <s v="Avenida Emancipacao, 2894"/>
    <x v="0"/>
    <x v="6"/>
    <x v="3"/>
    <x v="0"/>
    <x v="24"/>
    <x v="19"/>
    <x v="0"/>
    <x v="2"/>
    <x v="0"/>
    <x v="2"/>
    <x v="0"/>
    <x v="0"/>
    <x v="0"/>
    <n v="1"/>
  </r>
  <r>
    <s v="Avenida Emancipacao, 2894"/>
    <x v="0"/>
    <x v="6"/>
    <x v="3"/>
    <x v="1"/>
    <x v="25"/>
    <x v="20"/>
    <x v="0"/>
    <x v="0"/>
    <x v="0"/>
    <x v="2"/>
    <x v="0"/>
    <x v="0"/>
    <x v="0"/>
    <n v="1"/>
  </r>
  <r>
    <s v="Avenida Emancipacao, 2894"/>
    <x v="0"/>
    <x v="6"/>
    <x v="3"/>
    <x v="2"/>
    <x v="26"/>
    <x v="21"/>
    <x v="0"/>
    <x v="1"/>
    <x v="0"/>
    <x v="2"/>
    <x v="0"/>
    <x v="0"/>
    <x v="0"/>
    <n v="1"/>
  </r>
  <r>
    <s v="Rua Marrocos, 348"/>
    <x v="0"/>
    <x v="3"/>
    <x v="1"/>
    <x v="0"/>
    <x v="3"/>
    <x v="1"/>
    <x v="2"/>
    <x v="0"/>
    <x v="0"/>
    <x v="0"/>
    <x v="0"/>
    <x v="0"/>
    <x v="0"/>
    <n v="1"/>
  </r>
  <r>
    <s v="Rua Marrocos, 348"/>
    <x v="0"/>
    <x v="3"/>
    <x v="1"/>
    <x v="1"/>
    <x v="16"/>
    <x v="13"/>
    <x v="2"/>
    <x v="0"/>
    <x v="0"/>
    <x v="0"/>
    <x v="0"/>
    <x v="0"/>
    <x v="0"/>
    <n v="1"/>
  </r>
  <r>
    <s v="Rua Marrocos, 348"/>
    <x v="0"/>
    <x v="3"/>
    <x v="1"/>
    <x v="2"/>
    <x v="5"/>
    <x v="3"/>
    <x v="2"/>
    <x v="0"/>
    <x v="0"/>
    <x v="0"/>
    <x v="0"/>
    <x v="0"/>
    <x v="0"/>
    <n v="1"/>
  </r>
  <r>
    <s v="Avenida Nordeste, 530"/>
    <x v="0"/>
    <x v="3"/>
    <x v="1"/>
    <x v="0"/>
    <x v="9"/>
    <x v="7"/>
    <x v="2"/>
    <x v="0"/>
    <x v="0"/>
    <x v="0"/>
    <x v="0"/>
    <x v="0"/>
    <x v="0"/>
    <n v="1"/>
  </r>
  <r>
    <s v="Avenida Nordeste, 530"/>
    <x v="0"/>
    <x v="3"/>
    <x v="1"/>
    <x v="1"/>
    <x v="7"/>
    <x v="5"/>
    <x v="2"/>
    <x v="0"/>
    <x v="0"/>
    <x v="0"/>
    <x v="0"/>
    <x v="0"/>
    <x v="0"/>
    <n v="1"/>
  </r>
  <r>
    <s v="Avenida Nordeste, 530"/>
    <x v="0"/>
    <x v="3"/>
    <x v="1"/>
    <x v="2"/>
    <x v="8"/>
    <x v="6"/>
    <x v="2"/>
    <x v="2"/>
    <x v="0"/>
    <x v="0"/>
    <x v="0"/>
    <x v="0"/>
    <x v="0"/>
    <n v="1"/>
  </r>
  <r>
    <s v="Rua Santos Dumont, 3485"/>
    <x v="0"/>
    <x v="3"/>
    <x v="1"/>
    <x v="0"/>
    <x v="3"/>
    <x v="1"/>
    <x v="2"/>
    <x v="0"/>
    <x v="0"/>
    <x v="0"/>
    <x v="0"/>
    <x v="0"/>
    <x v="0"/>
    <n v="1"/>
  </r>
  <r>
    <s v="Rua Santos Dumont, 3485"/>
    <x v="0"/>
    <x v="3"/>
    <x v="1"/>
    <x v="1"/>
    <x v="16"/>
    <x v="13"/>
    <x v="2"/>
    <x v="0"/>
    <x v="0"/>
    <x v="0"/>
    <x v="0"/>
    <x v="0"/>
    <x v="0"/>
    <n v="1"/>
  </r>
  <r>
    <s v="Rua Santos Dumont, 3485"/>
    <x v="0"/>
    <x v="3"/>
    <x v="1"/>
    <x v="2"/>
    <x v="5"/>
    <x v="3"/>
    <x v="2"/>
    <x v="0"/>
    <x v="0"/>
    <x v="0"/>
    <x v="0"/>
    <x v="0"/>
    <x v="0"/>
    <n v="1"/>
  </r>
  <r>
    <s v="Rua Castro Alves, 1029"/>
    <x v="0"/>
    <x v="5"/>
    <x v="1"/>
    <x v="0"/>
    <x v="6"/>
    <x v="4"/>
    <x v="3"/>
    <x v="0"/>
    <x v="0"/>
    <x v="0"/>
    <x v="0"/>
    <x v="0"/>
    <x v="0"/>
    <n v="1"/>
  </r>
  <r>
    <s v="Rua Castro Alves, 1029"/>
    <x v="0"/>
    <x v="5"/>
    <x v="1"/>
    <x v="1"/>
    <x v="4"/>
    <x v="2"/>
    <x v="3"/>
    <x v="0"/>
    <x v="0"/>
    <x v="0"/>
    <x v="0"/>
    <x v="0"/>
    <x v="0"/>
    <n v="1"/>
  </r>
  <r>
    <s v="Rua Castro Alves, 1029"/>
    <x v="0"/>
    <x v="5"/>
    <x v="1"/>
    <x v="2"/>
    <x v="5"/>
    <x v="3"/>
    <x v="3"/>
    <x v="0"/>
    <x v="0"/>
    <x v="0"/>
    <x v="0"/>
    <x v="0"/>
    <x v="0"/>
    <n v="1"/>
  </r>
  <r>
    <s v="Avenida Osvaldo Aranha, 823"/>
    <x v="0"/>
    <x v="1"/>
    <x v="3"/>
    <x v="0"/>
    <x v="27"/>
    <x v="22"/>
    <x v="3"/>
    <x v="0"/>
    <x v="0"/>
    <x v="2"/>
    <x v="0"/>
    <x v="0"/>
    <x v="0"/>
    <n v="1"/>
  </r>
  <r>
    <s v="Avenida Osvaldo Aranha, 823"/>
    <x v="0"/>
    <x v="1"/>
    <x v="3"/>
    <x v="1"/>
    <x v="17"/>
    <x v="14"/>
    <x v="3"/>
    <x v="0"/>
    <x v="0"/>
    <x v="2"/>
    <x v="0"/>
    <x v="0"/>
    <x v="0"/>
    <n v="1"/>
  </r>
  <r>
    <s v="Avenida Osvaldo Aranha, 823"/>
    <x v="0"/>
    <x v="1"/>
    <x v="3"/>
    <x v="2"/>
    <x v="22"/>
    <x v="17"/>
    <x v="3"/>
    <x v="0"/>
    <x v="0"/>
    <x v="2"/>
    <x v="0"/>
    <x v="0"/>
    <x v="0"/>
    <n v="1"/>
  </r>
  <r>
    <s v="Rua Santos Dumont, 3265"/>
    <x v="0"/>
    <x v="3"/>
    <x v="1"/>
    <x v="0"/>
    <x v="3"/>
    <x v="1"/>
    <x v="2"/>
    <x v="0"/>
    <x v="0"/>
    <x v="0"/>
    <x v="0"/>
    <x v="0"/>
    <x v="0"/>
    <n v="1"/>
  </r>
  <r>
    <s v="Rua Santos Dumont, 3265"/>
    <x v="0"/>
    <x v="3"/>
    <x v="1"/>
    <x v="1"/>
    <x v="4"/>
    <x v="2"/>
    <x v="2"/>
    <x v="0"/>
    <x v="0"/>
    <x v="0"/>
    <x v="0"/>
    <x v="0"/>
    <x v="0"/>
    <n v="1"/>
  </r>
  <r>
    <s v="Rua Santos Dumont, 3265"/>
    <x v="0"/>
    <x v="3"/>
    <x v="1"/>
    <x v="2"/>
    <x v="5"/>
    <x v="3"/>
    <x v="2"/>
    <x v="0"/>
    <x v="0"/>
    <x v="0"/>
    <x v="0"/>
    <x v="0"/>
    <x v="0"/>
    <n v="1"/>
  </r>
  <r>
    <s v="Rua Sete de Setembro, 2841"/>
    <x v="0"/>
    <x v="3"/>
    <x v="1"/>
    <x v="0"/>
    <x v="9"/>
    <x v="7"/>
    <x v="2"/>
    <x v="0"/>
    <x v="0"/>
    <x v="0"/>
    <x v="0"/>
    <x v="0"/>
    <x v="0"/>
    <n v="1"/>
  </r>
  <r>
    <s v="Rua Sete de Setembro, 2841"/>
    <x v="0"/>
    <x v="3"/>
    <x v="1"/>
    <x v="1"/>
    <x v="7"/>
    <x v="5"/>
    <x v="2"/>
    <x v="0"/>
    <x v="0"/>
    <x v="0"/>
    <x v="0"/>
    <x v="0"/>
    <x v="0"/>
    <n v="1"/>
  </r>
  <r>
    <s v="Rua Sete de Setembro, 2841"/>
    <x v="0"/>
    <x v="3"/>
    <x v="1"/>
    <x v="2"/>
    <x v="8"/>
    <x v="6"/>
    <x v="2"/>
    <x v="2"/>
    <x v="0"/>
    <x v="0"/>
    <x v="0"/>
    <x v="0"/>
    <x v="0"/>
    <n v="1"/>
  </r>
  <r>
    <s v="Avenida Osvaldo Aranha, 1888"/>
    <x v="0"/>
    <x v="4"/>
    <x v="3"/>
    <x v="0"/>
    <x v="3"/>
    <x v="1"/>
    <x v="2"/>
    <x v="0"/>
    <x v="0"/>
    <x v="2"/>
    <x v="0"/>
    <x v="0"/>
    <x v="0"/>
    <n v="1"/>
  </r>
  <r>
    <s v="Avenida Osvaldo Aranha, 1888"/>
    <x v="0"/>
    <x v="4"/>
    <x v="3"/>
    <x v="1"/>
    <x v="4"/>
    <x v="2"/>
    <x v="2"/>
    <x v="0"/>
    <x v="0"/>
    <x v="2"/>
    <x v="0"/>
    <x v="0"/>
    <x v="0"/>
    <n v="1"/>
  </r>
  <r>
    <s v="Avenida Osvaldo Aranha, 1888"/>
    <x v="0"/>
    <x v="4"/>
    <x v="3"/>
    <x v="2"/>
    <x v="5"/>
    <x v="3"/>
    <x v="2"/>
    <x v="0"/>
    <x v="0"/>
    <x v="2"/>
    <x v="0"/>
    <x v="0"/>
    <x v="0"/>
    <n v="1"/>
  </r>
  <r>
    <s v="Avenida Flores da Cunha, 3464"/>
    <x v="0"/>
    <x v="2"/>
    <x v="0"/>
    <x v="0"/>
    <x v="28"/>
    <x v="23"/>
    <x v="2"/>
    <x v="0"/>
    <x v="0"/>
    <x v="2"/>
    <x v="0"/>
    <x v="0"/>
    <x v="0"/>
    <n v="1"/>
  </r>
  <r>
    <s v="Avenida Flores da Cunha, 3464"/>
    <x v="0"/>
    <x v="2"/>
    <x v="0"/>
    <x v="1"/>
    <x v="15"/>
    <x v="12"/>
    <x v="2"/>
    <x v="0"/>
    <x v="0"/>
    <x v="2"/>
    <x v="0"/>
    <x v="0"/>
    <x v="0"/>
    <n v="1"/>
  </r>
  <r>
    <s v="Avenida Flores da Cunha, 3464"/>
    <x v="0"/>
    <x v="2"/>
    <x v="0"/>
    <x v="2"/>
    <x v="29"/>
    <x v="24"/>
    <x v="2"/>
    <x v="0"/>
    <x v="0"/>
    <x v="2"/>
    <x v="0"/>
    <x v="0"/>
    <x v="0"/>
    <n v="1"/>
  </r>
  <r>
    <s v="Rua Sete de Setembro, 2059"/>
    <x v="0"/>
    <x v="3"/>
    <x v="1"/>
    <x v="0"/>
    <x v="6"/>
    <x v="4"/>
    <x v="2"/>
    <x v="0"/>
    <x v="0"/>
    <x v="0"/>
    <x v="0"/>
    <x v="0"/>
    <x v="0"/>
    <n v="1"/>
  </r>
  <r>
    <s v="Rua Sete de Setembro, 2059"/>
    <x v="0"/>
    <x v="3"/>
    <x v="1"/>
    <x v="1"/>
    <x v="4"/>
    <x v="2"/>
    <x v="2"/>
    <x v="0"/>
    <x v="0"/>
    <x v="0"/>
    <x v="0"/>
    <x v="0"/>
    <x v="0"/>
    <n v="1"/>
  </r>
  <r>
    <s v="Rua Sete de Setembro, 2059"/>
    <x v="0"/>
    <x v="3"/>
    <x v="1"/>
    <x v="2"/>
    <x v="5"/>
    <x v="3"/>
    <x v="2"/>
    <x v="0"/>
    <x v="0"/>
    <x v="0"/>
    <x v="0"/>
    <x v="0"/>
    <x v="0"/>
    <n v="1"/>
  </r>
  <r>
    <s v="Rua Barros Cassal, 666"/>
    <x v="0"/>
    <x v="4"/>
    <x v="1"/>
    <x v="0"/>
    <x v="3"/>
    <x v="1"/>
    <x v="2"/>
    <x v="0"/>
    <x v="0"/>
    <x v="0"/>
    <x v="0"/>
    <x v="0"/>
    <x v="0"/>
    <n v="1"/>
  </r>
  <r>
    <s v="Rua Barros Cassal, 666"/>
    <x v="0"/>
    <x v="4"/>
    <x v="1"/>
    <x v="1"/>
    <x v="16"/>
    <x v="13"/>
    <x v="2"/>
    <x v="0"/>
    <x v="0"/>
    <x v="0"/>
    <x v="0"/>
    <x v="0"/>
    <x v="0"/>
    <n v="1"/>
  </r>
  <r>
    <s v="Rua Barros Cassal, 666"/>
    <x v="0"/>
    <x v="4"/>
    <x v="1"/>
    <x v="2"/>
    <x v="5"/>
    <x v="3"/>
    <x v="2"/>
    <x v="0"/>
    <x v="0"/>
    <x v="0"/>
    <x v="0"/>
    <x v="0"/>
    <x v="0"/>
    <n v="1"/>
  </r>
  <r>
    <s v="Rua Sargento Geraldo Santana, 285"/>
    <x v="0"/>
    <x v="3"/>
    <x v="1"/>
    <x v="0"/>
    <x v="9"/>
    <x v="7"/>
    <x v="2"/>
    <x v="0"/>
    <x v="0"/>
    <x v="0"/>
    <x v="0"/>
    <x v="0"/>
    <x v="0"/>
    <n v="1"/>
  </r>
  <r>
    <s v="Rua Sargento Geraldo Santana, 285"/>
    <x v="0"/>
    <x v="3"/>
    <x v="1"/>
    <x v="1"/>
    <x v="7"/>
    <x v="5"/>
    <x v="2"/>
    <x v="0"/>
    <x v="0"/>
    <x v="0"/>
    <x v="0"/>
    <x v="0"/>
    <x v="0"/>
    <n v="1"/>
  </r>
  <r>
    <s v="Rua Sargento Geraldo Santana, 285"/>
    <x v="0"/>
    <x v="3"/>
    <x v="1"/>
    <x v="2"/>
    <x v="8"/>
    <x v="6"/>
    <x v="2"/>
    <x v="4"/>
    <x v="0"/>
    <x v="0"/>
    <x v="0"/>
    <x v="0"/>
    <x v="0"/>
    <n v="1"/>
  </r>
  <r>
    <s v="Travessa Tarrafa, 513"/>
    <x v="0"/>
    <x v="4"/>
    <x v="1"/>
    <x v="0"/>
    <x v="9"/>
    <x v="7"/>
    <x v="2"/>
    <x v="0"/>
    <x v="0"/>
    <x v="0"/>
    <x v="0"/>
    <x v="0"/>
    <x v="0"/>
    <n v="1"/>
  </r>
  <r>
    <s v="Travessa Tarrafa, 513"/>
    <x v="0"/>
    <x v="4"/>
    <x v="1"/>
    <x v="1"/>
    <x v="11"/>
    <x v="9"/>
    <x v="2"/>
    <x v="2"/>
    <x v="0"/>
    <x v="0"/>
    <x v="0"/>
    <x v="0"/>
    <x v="0"/>
    <n v="1"/>
  </r>
  <r>
    <s v="Travessa Tarrafa, 513"/>
    <x v="0"/>
    <x v="4"/>
    <x v="1"/>
    <x v="2"/>
    <x v="8"/>
    <x v="6"/>
    <x v="2"/>
    <x v="2"/>
    <x v="0"/>
    <x v="0"/>
    <x v="0"/>
    <x v="0"/>
    <x v="0"/>
    <n v="1"/>
  </r>
  <r>
    <s v="Rua Eleodoro Franzen, 1249"/>
    <x v="0"/>
    <x v="4"/>
    <x v="2"/>
    <x v="0"/>
    <x v="18"/>
    <x v="15"/>
    <x v="2"/>
    <x v="0"/>
    <x v="0"/>
    <x v="0"/>
    <x v="0"/>
    <x v="0"/>
    <x v="0"/>
    <n v="1"/>
  </r>
  <r>
    <s v="Rua Eleodoro Franzen, 1249"/>
    <x v="0"/>
    <x v="4"/>
    <x v="2"/>
    <x v="1"/>
    <x v="11"/>
    <x v="9"/>
    <x v="2"/>
    <x v="4"/>
    <x v="0"/>
    <x v="0"/>
    <x v="0"/>
    <x v="0"/>
    <x v="0"/>
    <n v="1"/>
  </r>
  <r>
    <s v="Rua Eleodoro Franzen, 1249"/>
    <x v="0"/>
    <x v="4"/>
    <x v="2"/>
    <x v="2"/>
    <x v="13"/>
    <x v="9"/>
    <x v="2"/>
    <x v="4"/>
    <x v="0"/>
    <x v="0"/>
    <x v="0"/>
    <x v="0"/>
    <x v="0"/>
    <n v="1"/>
  </r>
  <r>
    <s v="Rua Ant. F. da Costa, 551"/>
    <x v="0"/>
    <x v="3"/>
    <x v="2"/>
    <x v="0"/>
    <x v="18"/>
    <x v="15"/>
    <x v="1"/>
    <x v="0"/>
    <x v="0"/>
    <x v="0"/>
    <x v="0"/>
    <x v="0"/>
    <x v="0"/>
    <n v="1"/>
  </r>
  <r>
    <s v="Rua Ant. F. da Costa, 551"/>
    <x v="0"/>
    <x v="3"/>
    <x v="2"/>
    <x v="1"/>
    <x v="11"/>
    <x v="9"/>
    <x v="1"/>
    <x v="0"/>
    <x v="0"/>
    <x v="0"/>
    <x v="0"/>
    <x v="0"/>
    <x v="0"/>
    <n v="1"/>
  </r>
  <r>
    <s v="Rua Ant. F. da Costa, 551"/>
    <x v="0"/>
    <x v="3"/>
    <x v="2"/>
    <x v="2"/>
    <x v="8"/>
    <x v="6"/>
    <x v="1"/>
    <x v="0"/>
    <x v="0"/>
    <x v="0"/>
    <x v="0"/>
    <x v="0"/>
    <x v="0"/>
    <n v="1"/>
  </r>
  <r>
    <s v="Avenida Flores da Cunha, 4017"/>
    <x v="0"/>
    <x v="1"/>
    <x v="0"/>
    <x v="0"/>
    <x v="30"/>
    <x v="25"/>
    <x v="0"/>
    <x v="0"/>
    <x v="1"/>
    <x v="2"/>
    <x v="0"/>
    <x v="1"/>
    <x v="0"/>
    <n v="1"/>
  </r>
  <r>
    <s v="Avenida Flores da Cunha, 4017"/>
    <x v="0"/>
    <x v="1"/>
    <x v="0"/>
    <x v="1"/>
    <x v="31"/>
    <x v="26"/>
    <x v="0"/>
    <x v="0"/>
    <x v="1"/>
    <x v="2"/>
    <x v="0"/>
    <x v="1"/>
    <x v="0"/>
    <n v="1"/>
  </r>
  <r>
    <s v="Avenida Flores da Cunha, 4017"/>
    <x v="0"/>
    <x v="1"/>
    <x v="0"/>
    <x v="2"/>
    <x v="26"/>
    <x v="21"/>
    <x v="0"/>
    <x v="0"/>
    <x v="1"/>
    <x v="2"/>
    <x v="0"/>
    <x v="1"/>
    <x v="0"/>
    <n v="1"/>
  </r>
  <r>
    <s v="Avenida Senador Alberto Pasqualine, 220"/>
    <x v="0"/>
    <x v="1"/>
    <x v="0"/>
    <x v="0"/>
    <x v="32"/>
    <x v="0"/>
    <x v="4"/>
    <x v="0"/>
    <x v="0"/>
    <x v="2"/>
    <x v="0"/>
    <x v="0"/>
    <x v="0"/>
    <n v="1"/>
  </r>
  <r>
    <s v="Avenida Senador Alberto Pasqualine, 220"/>
    <x v="0"/>
    <x v="1"/>
    <x v="0"/>
    <x v="1"/>
    <x v="15"/>
    <x v="12"/>
    <x v="4"/>
    <x v="0"/>
    <x v="0"/>
    <x v="2"/>
    <x v="0"/>
    <x v="0"/>
    <x v="0"/>
    <n v="1"/>
  </r>
  <r>
    <s v="Avenida Senador Alberto Pasqualine, 220"/>
    <x v="0"/>
    <x v="1"/>
    <x v="0"/>
    <x v="2"/>
    <x v="20"/>
    <x v="16"/>
    <x v="4"/>
    <x v="0"/>
    <x v="0"/>
    <x v="2"/>
    <x v="0"/>
    <x v="0"/>
    <x v="0"/>
    <n v="1"/>
  </r>
  <r>
    <s v="Rua Vergueiro, 1327"/>
    <x v="0"/>
    <x v="1"/>
    <x v="1"/>
    <x v="0"/>
    <x v="9"/>
    <x v="7"/>
    <x v="2"/>
    <x v="0"/>
    <x v="0"/>
    <x v="0"/>
    <x v="0"/>
    <x v="0"/>
    <x v="0"/>
    <n v="1"/>
  </r>
  <r>
    <s v="Rua Vergueiro, 1327"/>
    <x v="0"/>
    <x v="1"/>
    <x v="1"/>
    <x v="1"/>
    <x v="7"/>
    <x v="5"/>
    <x v="2"/>
    <x v="0"/>
    <x v="0"/>
    <x v="0"/>
    <x v="0"/>
    <x v="0"/>
    <x v="0"/>
    <n v="1"/>
  </r>
  <r>
    <s v="Rua Vergueiro, 1327"/>
    <x v="0"/>
    <x v="1"/>
    <x v="1"/>
    <x v="2"/>
    <x v="8"/>
    <x v="6"/>
    <x v="2"/>
    <x v="2"/>
    <x v="0"/>
    <x v="0"/>
    <x v="0"/>
    <x v="0"/>
    <x v="0"/>
    <n v="1"/>
  </r>
  <r>
    <s v="Rua Reboucas, 1496"/>
    <x v="0"/>
    <x v="4"/>
    <x v="1"/>
    <x v="0"/>
    <x v="3"/>
    <x v="1"/>
    <x v="2"/>
    <x v="0"/>
    <x v="0"/>
    <x v="0"/>
    <x v="0"/>
    <x v="0"/>
    <x v="0"/>
    <n v="1"/>
  </r>
  <r>
    <s v="Rua Reboucas, 1496"/>
    <x v="0"/>
    <x v="4"/>
    <x v="1"/>
    <x v="1"/>
    <x v="4"/>
    <x v="2"/>
    <x v="2"/>
    <x v="0"/>
    <x v="0"/>
    <x v="0"/>
    <x v="0"/>
    <x v="0"/>
    <x v="0"/>
    <n v="1"/>
  </r>
  <r>
    <s v="Rua Reboucas, 1496"/>
    <x v="0"/>
    <x v="4"/>
    <x v="1"/>
    <x v="2"/>
    <x v="5"/>
    <x v="3"/>
    <x v="2"/>
    <x v="0"/>
    <x v="0"/>
    <x v="0"/>
    <x v="0"/>
    <x v="0"/>
    <x v="0"/>
    <n v="1"/>
  </r>
  <r>
    <s v="Rua Sargento Geraldo Santana, 1649"/>
    <x v="0"/>
    <x v="3"/>
    <x v="1"/>
    <x v="0"/>
    <x v="3"/>
    <x v="1"/>
    <x v="2"/>
    <x v="0"/>
    <x v="0"/>
    <x v="0"/>
    <x v="0"/>
    <x v="0"/>
    <x v="0"/>
    <n v="1"/>
  </r>
  <r>
    <s v="Rua Sargento Geraldo Santana, 1649"/>
    <x v="0"/>
    <x v="3"/>
    <x v="1"/>
    <x v="1"/>
    <x v="4"/>
    <x v="2"/>
    <x v="2"/>
    <x v="0"/>
    <x v="0"/>
    <x v="0"/>
    <x v="0"/>
    <x v="0"/>
    <x v="0"/>
    <n v="1"/>
  </r>
  <r>
    <s v="Rua Sargento Geraldo Santana, 1649"/>
    <x v="0"/>
    <x v="3"/>
    <x v="1"/>
    <x v="2"/>
    <x v="5"/>
    <x v="3"/>
    <x v="2"/>
    <x v="0"/>
    <x v="0"/>
    <x v="0"/>
    <x v="0"/>
    <x v="0"/>
    <x v="0"/>
    <n v="1"/>
  </r>
  <r>
    <s v="Rua Estilac Leal II, 386"/>
    <x v="0"/>
    <x v="3"/>
    <x v="1"/>
    <x v="0"/>
    <x v="3"/>
    <x v="1"/>
    <x v="2"/>
    <x v="0"/>
    <x v="0"/>
    <x v="0"/>
    <x v="0"/>
    <x v="0"/>
    <x v="0"/>
    <n v="1"/>
  </r>
  <r>
    <s v="Rua Estilac Leal II, 386"/>
    <x v="0"/>
    <x v="3"/>
    <x v="1"/>
    <x v="1"/>
    <x v="16"/>
    <x v="13"/>
    <x v="2"/>
    <x v="0"/>
    <x v="0"/>
    <x v="0"/>
    <x v="0"/>
    <x v="0"/>
    <x v="0"/>
    <n v="1"/>
  </r>
  <r>
    <s v="Rua Estilac Leal II, 386"/>
    <x v="0"/>
    <x v="3"/>
    <x v="1"/>
    <x v="2"/>
    <x v="5"/>
    <x v="3"/>
    <x v="2"/>
    <x v="0"/>
    <x v="0"/>
    <x v="0"/>
    <x v="0"/>
    <x v="0"/>
    <x v="0"/>
    <n v="1"/>
  </r>
  <r>
    <s v="Rua Assis Brasil, 616"/>
    <x v="0"/>
    <x v="1"/>
    <x v="1"/>
    <x v="0"/>
    <x v="3"/>
    <x v="1"/>
    <x v="1"/>
    <x v="0"/>
    <x v="0"/>
    <x v="0"/>
    <x v="0"/>
    <x v="0"/>
    <x v="0"/>
    <n v="1"/>
  </r>
  <r>
    <s v="Rua Assis Brasil, 616"/>
    <x v="0"/>
    <x v="1"/>
    <x v="1"/>
    <x v="1"/>
    <x v="4"/>
    <x v="2"/>
    <x v="1"/>
    <x v="0"/>
    <x v="0"/>
    <x v="0"/>
    <x v="0"/>
    <x v="0"/>
    <x v="0"/>
    <n v="1"/>
  </r>
  <r>
    <s v="Rua Assis Brasil, 616"/>
    <x v="0"/>
    <x v="1"/>
    <x v="1"/>
    <x v="2"/>
    <x v="5"/>
    <x v="3"/>
    <x v="1"/>
    <x v="0"/>
    <x v="0"/>
    <x v="0"/>
    <x v="0"/>
    <x v="0"/>
    <x v="0"/>
    <n v="1"/>
  </r>
  <r>
    <s v="Rua Prudente de Morais, 1179"/>
    <x v="0"/>
    <x v="4"/>
    <x v="1"/>
    <x v="0"/>
    <x v="6"/>
    <x v="4"/>
    <x v="2"/>
    <x v="3"/>
    <x v="0"/>
    <x v="0"/>
    <x v="0"/>
    <x v="0"/>
    <x v="0"/>
    <n v="1"/>
  </r>
  <r>
    <s v="Rua Prudente de Morais, 1179"/>
    <x v="0"/>
    <x v="4"/>
    <x v="1"/>
    <x v="1"/>
    <x v="7"/>
    <x v="5"/>
    <x v="2"/>
    <x v="3"/>
    <x v="0"/>
    <x v="0"/>
    <x v="0"/>
    <x v="0"/>
    <x v="0"/>
    <n v="1"/>
  </r>
  <r>
    <s v="Rua Prudente de Morais, 1179"/>
    <x v="0"/>
    <x v="4"/>
    <x v="1"/>
    <x v="2"/>
    <x v="5"/>
    <x v="3"/>
    <x v="2"/>
    <x v="3"/>
    <x v="0"/>
    <x v="0"/>
    <x v="0"/>
    <x v="0"/>
    <x v="0"/>
    <n v="1"/>
  </r>
  <r>
    <s v="Avenida Minas Gerais, 380"/>
    <x v="0"/>
    <x v="2"/>
    <x v="3"/>
    <x v="0"/>
    <x v="33"/>
    <x v="11"/>
    <x v="0"/>
    <x v="1"/>
    <x v="0"/>
    <x v="0"/>
    <x v="0"/>
    <x v="0"/>
    <x v="0"/>
    <n v="1"/>
  </r>
  <r>
    <s v="Avenida Minas Gerais, 380"/>
    <x v="0"/>
    <x v="2"/>
    <x v="3"/>
    <x v="1"/>
    <x v="1"/>
    <x v="0"/>
    <x v="0"/>
    <x v="1"/>
    <x v="1"/>
    <x v="0"/>
    <x v="0"/>
    <x v="1"/>
    <x v="0"/>
    <n v="1"/>
  </r>
  <r>
    <s v="Avenida Minas Gerais, 380"/>
    <x v="0"/>
    <x v="2"/>
    <x v="3"/>
    <x v="2"/>
    <x v="26"/>
    <x v="21"/>
    <x v="0"/>
    <x v="1"/>
    <x v="1"/>
    <x v="0"/>
    <x v="0"/>
    <x v="1"/>
    <x v="0"/>
    <n v="1"/>
  </r>
  <r>
    <s v="Rua Parma, 243"/>
    <x v="0"/>
    <x v="3"/>
    <x v="2"/>
    <x v="0"/>
    <x v="9"/>
    <x v="7"/>
    <x v="2"/>
    <x v="0"/>
    <x v="0"/>
    <x v="0"/>
    <x v="0"/>
    <x v="0"/>
    <x v="0"/>
    <n v="1"/>
  </r>
  <r>
    <s v="Rua Parma, 243"/>
    <x v="0"/>
    <x v="3"/>
    <x v="2"/>
    <x v="1"/>
    <x v="7"/>
    <x v="5"/>
    <x v="2"/>
    <x v="4"/>
    <x v="0"/>
    <x v="0"/>
    <x v="0"/>
    <x v="0"/>
    <x v="0"/>
    <n v="1"/>
  </r>
  <r>
    <s v="Rua Parma, 243"/>
    <x v="0"/>
    <x v="3"/>
    <x v="2"/>
    <x v="2"/>
    <x v="8"/>
    <x v="6"/>
    <x v="2"/>
    <x v="0"/>
    <x v="0"/>
    <x v="0"/>
    <x v="0"/>
    <x v="0"/>
    <x v="0"/>
    <n v="1"/>
  </r>
  <r>
    <s v="Rua Santa Clara, 320"/>
    <x v="0"/>
    <x v="3"/>
    <x v="1"/>
    <x v="0"/>
    <x v="6"/>
    <x v="4"/>
    <x v="2"/>
    <x v="3"/>
    <x v="0"/>
    <x v="0"/>
    <x v="0"/>
    <x v="0"/>
    <x v="0"/>
    <n v="1"/>
  </r>
  <r>
    <s v="Rua Santa Clara, 320"/>
    <x v="0"/>
    <x v="3"/>
    <x v="1"/>
    <x v="1"/>
    <x v="7"/>
    <x v="5"/>
    <x v="2"/>
    <x v="3"/>
    <x v="0"/>
    <x v="0"/>
    <x v="0"/>
    <x v="0"/>
    <x v="0"/>
    <n v="1"/>
  </r>
  <r>
    <s v="Rua Santa Clara, 320"/>
    <x v="0"/>
    <x v="3"/>
    <x v="1"/>
    <x v="2"/>
    <x v="5"/>
    <x v="3"/>
    <x v="2"/>
    <x v="3"/>
    <x v="0"/>
    <x v="0"/>
    <x v="0"/>
    <x v="0"/>
    <x v="0"/>
    <n v="1"/>
  </r>
  <r>
    <s v="Rua do Sal, 510"/>
    <x v="0"/>
    <x v="1"/>
    <x v="1"/>
    <x v="0"/>
    <x v="9"/>
    <x v="7"/>
    <x v="2"/>
    <x v="0"/>
    <x v="0"/>
    <x v="0"/>
    <x v="0"/>
    <x v="0"/>
    <x v="0"/>
    <n v="1"/>
  </r>
  <r>
    <s v="Rua do Sal, 510"/>
    <x v="0"/>
    <x v="1"/>
    <x v="1"/>
    <x v="1"/>
    <x v="7"/>
    <x v="5"/>
    <x v="2"/>
    <x v="0"/>
    <x v="0"/>
    <x v="0"/>
    <x v="0"/>
    <x v="0"/>
    <x v="0"/>
    <n v="1"/>
  </r>
  <r>
    <s v="Rua do Sal, 510"/>
    <x v="0"/>
    <x v="1"/>
    <x v="1"/>
    <x v="2"/>
    <x v="8"/>
    <x v="6"/>
    <x v="2"/>
    <x v="0"/>
    <x v="0"/>
    <x v="0"/>
    <x v="0"/>
    <x v="0"/>
    <x v="0"/>
    <n v="1"/>
  </r>
  <r>
    <s v="Rua Antonio Jose da Costa, 1734"/>
    <x v="0"/>
    <x v="1"/>
    <x v="2"/>
    <x v="0"/>
    <x v="18"/>
    <x v="15"/>
    <x v="3"/>
    <x v="0"/>
    <x v="0"/>
    <x v="0"/>
    <x v="0"/>
    <x v="0"/>
    <x v="0"/>
    <n v="1"/>
  </r>
  <r>
    <s v="Rua Antonio Jose da Costa, 1734"/>
    <x v="0"/>
    <x v="1"/>
    <x v="2"/>
    <x v="1"/>
    <x v="11"/>
    <x v="9"/>
    <x v="3"/>
    <x v="0"/>
    <x v="0"/>
    <x v="0"/>
    <x v="0"/>
    <x v="0"/>
    <x v="0"/>
    <n v="1"/>
  </r>
  <r>
    <s v="Rua Antonio Jose da Costa, 1734"/>
    <x v="0"/>
    <x v="1"/>
    <x v="2"/>
    <x v="2"/>
    <x v="8"/>
    <x v="6"/>
    <x v="3"/>
    <x v="0"/>
    <x v="0"/>
    <x v="0"/>
    <x v="0"/>
    <x v="0"/>
    <x v="0"/>
    <n v="1"/>
  </r>
  <r>
    <s v="Rua Marcilio Dias, 568"/>
    <x v="0"/>
    <x v="3"/>
    <x v="1"/>
    <x v="0"/>
    <x v="3"/>
    <x v="1"/>
    <x v="2"/>
    <x v="0"/>
    <x v="0"/>
    <x v="0"/>
    <x v="0"/>
    <x v="0"/>
    <x v="0"/>
    <n v="1"/>
  </r>
  <r>
    <s v="Rua Marcilio Dias, 568"/>
    <x v="0"/>
    <x v="3"/>
    <x v="1"/>
    <x v="1"/>
    <x v="4"/>
    <x v="2"/>
    <x v="2"/>
    <x v="0"/>
    <x v="0"/>
    <x v="0"/>
    <x v="0"/>
    <x v="0"/>
    <x v="0"/>
    <n v="1"/>
  </r>
  <r>
    <s v="Rua Marcilio Dias, 568"/>
    <x v="0"/>
    <x v="3"/>
    <x v="1"/>
    <x v="2"/>
    <x v="5"/>
    <x v="3"/>
    <x v="2"/>
    <x v="0"/>
    <x v="0"/>
    <x v="0"/>
    <x v="0"/>
    <x v="0"/>
    <x v="0"/>
    <n v="1"/>
  </r>
  <r>
    <s v="Rua Antonio Jose de Oliveira, 653"/>
    <x v="0"/>
    <x v="4"/>
    <x v="1"/>
    <x v="0"/>
    <x v="3"/>
    <x v="1"/>
    <x v="2"/>
    <x v="0"/>
    <x v="0"/>
    <x v="0"/>
    <x v="0"/>
    <x v="0"/>
    <x v="0"/>
    <n v="1"/>
  </r>
  <r>
    <s v="Rua Antonio Jose de Oliveira, 653"/>
    <x v="0"/>
    <x v="4"/>
    <x v="1"/>
    <x v="1"/>
    <x v="4"/>
    <x v="2"/>
    <x v="2"/>
    <x v="0"/>
    <x v="0"/>
    <x v="0"/>
    <x v="0"/>
    <x v="0"/>
    <x v="0"/>
    <n v="1"/>
  </r>
  <r>
    <s v="Rua Antonio Jose de Oliveira, 653"/>
    <x v="0"/>
    <x v="4"/>
    <x v="1"/>
    <x v="2"/>
    <x v="5"/>
    <x v="3"/>
    <x v="2"/>
    <x v="0"/>
    <x v="0"/>
    <x v="0"/>
    <x v="0"/>
    <x v="0"/>
    <x v="0"/>
    <n v="1"/>
  </r>
  <r>
    <s v="Rua Vergueiro, 112"/>
    <x v="0"/>
    <x v="1"/>
    <x v="1"/>
    <x v="0"/>
    <x v="6"/>
    <x v="4"/>
    <x v="3"/>
    <x v="0"/>
    <x v="0"/>
    <x v="0"/>
    <x v="0"/>
    <x v="0"/>
    <x v="0"/>
    <n v="1"/>
  </r>
  <r>
    <s v="Rua Vergueiro, 112"/>
    <x v="0"/>
    <x v="1"/>
    <x v="1"/>
    <x v="1"/>
    <x v="4"/>
    <x v="2"/>
    <x v="3"/>
    <x v="0"/>
    <x v="0"/>
    <x v="0"/>
    <x v="0"/>
    <x v="0"/>
    <x v="0"/>
    <n v="1"/>
  </r>
  <r>
    <s v="Rua Vergueiro, 112"/>
    <x v="0"/>
    <x v="1"/>
    <x v="1"/>
    <x v="2"/>
    <x v="5"/>
    <x v="3"/>
    <x v="3"/>
    <x v="0"/>
    <x v="0"/>
    <x v="0"/>
    <x v="0"/>
    <x v="0"/>
    <x v="0"/>
    <n v="1"/>
  </r>
  <r>
    <s v="Rua Cristovao Colombo, 276"/>
    <x v="0"/>
    <x v="3"/>
    <x v="1"/>
    <x v="0"/>
    <x v="6"/>
    <x v="4"/>
    <x v="2"/>
    <x v="0"/>
    <x v="0"/>
    <x v="0"/>
    <x v="0"/>
    <x v="0"/>
    <x v="0"/>
    <n v="1"/>
  </r>
  <r>
    <s v="Rua Cristovao Colombo, 276"/>
    <x v="0"/>
    <x v="3"/>
    <x v="1"/>
    <x v="1"/>
    <x v="4"/>
    <x v="2"/>
    <x v="2"/>
    <x v="3"/>
    <x v="0"/>
    <x v="0"/>
    <x v="0"/>
    <x v="0"/>
    <x v="0"/>
    <n v="1"/>
  </r>
  <r>
    <s v="Rua Cristovao Colombo, 276"/>
    <x v="0"/>
    <x v="3"/>
    <x v="1"/>
    <x v="2"/>
    <x v="5"/>
    <x v="3"/>
    <x v="2"/>
    <x v="5"/>
    <x v="0"/>
    <x v="0"/>
    <x v="0"/>
    <x v="0"/>
    <x v="0"/>
    <n v="1"/>
  </r>
  <r>
    <s v="Rua Cristovao Colombo, 386"/>
    <x v="0"/>
    <x v="3"/>
    <x v="1"/>
    <x v="0"/>
    <x v="3"/>
    <x v="1"/>
    <x v="2"/>
    <x v="0"/>
    <x v="0"/>
    <x v="0"/>
    <x v="0"/>
    <x v="0"/>
    <x v="0"/>
    <n v="1"/>
  </r>
  <r>
    <s v="Rua Cristovao Colombo, 386"/>
    <x v="0"/>
    <x v="3"/>
    <x v="1"/>
    <x v="1"/>
    <x v="16"/>
    <x v="13"/>
    <x v="2"/>
    <x v="0"/>
    <x v="0"/>
    <x v="0"/>
    <x v="0"/>
    <x v="0"/>
    <x v="0"/>
    <n v="1"/>
  </r>
  <r>
    <s v="Rua Cristovao Colombo, 386"/>
    <x v="0"/>
    <x v="3"/>
    <x v="1"/>
    <x v="2"/>
    <x v="5"/>
    <x v="3"/>
    <x v="2"/>
    <x v="0"/>
    <x v="0"/>
    <x v="0"/>
    <x v="0"/>
    <x v="0"/>
    <x v="0"/>
    <n v="1"/>
  </r>
  <r>
    <s v="Rua Estilac Leal II, 680"/>
    <x v="0"/>
    <x v="4"/>
    <x v="1"/>
    <x v="0"/>
    <x v="9"/>
    <x v="7"/>
    <x v="2"/>
    <x v="0"/>
    <x v="0"/>
    <x v="0"/>
    <x v="0"/>
    <x v="0"/>
    <x v="0"/>
    <n v="1"/>
  </r>
  <r>
    <s v="Rua Estilac Leal II, 680"/>
    <x v="0"/>
    <x v="4"/>
    <x v="1"/>
    <x v="1"/>
    <x v="7"/>
    <x v="5"/>
    <x v="2"/>
    <x v="0"/>
    <x v="0"/>
    <x v="0"/>
    <x v="0"/>
    <x v="0"/>
    <x v="0"/>
    <n v="1"/>
  </r>
  <r>
    <s v="Rua Estilac Leal II, 680"/>
    <x v="0"/>
    <x v="4"/>
    <x v="1"/>
    <x v="2"/>
    <x v="8"/>
    <x v="6"/>
    <x v="2"/>
    <x v="0"/>
    <x v="0"/>
    <x v="0"/>
    <x v="0"/>
    <x v="0"/>
    <x v="0"/>
    <n v="1"/>
  </r>
  <r>
    <s v="Rua Mato Grosso, 189"/>
    <x v="0"/>
    <x v="3"/>
    <x v="1"/>
    <x v="0"/>
    <x v="3"/>
    <x v="1"/>
    <x v="2"/>
    <x v="0"/>
    <x v="0"/>
    <x v="0"/>
    <x v="0"/>
    <x v="0"/>
    <x v="0"/>
    <n v="1"/>
  </r>
  <r>
    <s v="Rua Mato Grosso, 189"/>
    <x v="0"/>
    <x v="3"/>
    <x v="1"/>
    <x v="1"/>
    <x v="4"/>
    <x v="2"/>
    <x v="2"/>
    <x v="0"/>
    <x v="0"/>
    <x v="0"/>
    <x v="0"/>
    <x v="0"/>
    <x v="0"/>
    <n v="1"/>
  </r>
  <r>
    <s v="Rua Mato Grosso, 189"/>
    <x v="0"/>
    <x v="3"/>
    <x v="1"/>
    <x v="2"/>
    <x v="5"/>
    <x v="3"/>
    <x v="2"/>
    <x v="0"/>
    <x v="0"/>
    <x v="0"/>
    <x v="0"/>
    <x v="0"/>
    <x v="0"/>
    <n v="1"/>
  </r>
  <r>
    <s v="Avenida Beira-Mar, 1518"/>
    <x v="0"/>
    <x v="4"/>
    <x v="0"/>
    <x v="0"/>
    <x v="34"/>
    <x v="27"/>
    <x v="2"/>
    <x v="0"/>
    <x v="0"/>
    <x v="0"/>
    <x v="0"/>
    <x v="0"/>
    <x v="0"/>
    <n v="1"/>
  </r>
  <r>
    <s v="Avenida Beira-Mar, 1518"/>
    <x v="0"/>
    <x v="4"/>
    <x v="0"/>
    <x v="1"/>
    <x v="31"/>
    <x v="26"/>
    <x v="2"/>
    <x v="3"/>
    <x v="0"/>
    <x v="0"/>
    <x v="0"/>
    <x v="0"/>
    <x v="0"/>
    <n v="1"/>
  </r>
  <r>
    <s v="Avenida Beira-Mar, 1518"/>
    <x v="0"/>
    <x v="4"/>
    <x v="0"/>
    <x v="2"/>
    <x v="20"/>
    <x v="16"/>
    <x v="2"/>
    <x v="3"/>
    <x v="3"/>
    <x v="0"/>
    <x v="0"/>
    <x v="0"/>
    <x v="1"/>
    <n v="1"/>
  </r>
  <r>
    <s v="Rua Espirito Santo, 227"/>
    <x v="0"/>
    <x v="3"/>
    <x v="1"/>
    <x v="0"/>
    <x v="6"/>
    <x v="4"/>
    <x v="2"/>
    <x v="0"/>
    <x v="0"/>
    <x v="0"/>
    <x v="0"/>
    <x v="0"/>
    <x v="0"/>
    <n v="1"/>
  </r>
  <r>
    <s v="Rua Espirito Santo, 227"/>
    <x v="0"/>
    <x v="3"/>
    <x v="1"/>
    <x v="1"/>
    <x v="4"/>
    <x v="2"/>
    <x v="2"/>
    <x v="0"/>
    <x v="0"/>
    <x v="0"/>
    <x v="0"/>
    <x v="0"/>
    <x v="0"/>
    <n v="1"/>
  </r>
  <r>
    <s v="Rua Espirito Santo, 227"/>
    <x v="0"/>
    <x v="3"/>
    <x v="1"/>
    <x v="2"/>
    <x v="5"/>
    <x v="3"/>
    <x v="2"/>
    <x v="0"/>
    <x v="0"/>
    <x v="0"/>
    <x v="0"/>
    <x v="0"/>
    <x v="0"/>
    <n v="1"/>
  </r>
  <r>
    <s v="Avenida Perimetral, 590"/>
    <x v="0"/>
    <x v="4"/>
    <x v="3"/>
    <x v="0"/>
    <x v="35"/>
    <x v="28"/>
    <x v="4"/>
    <x v="1"/>
    <x v="0"/>
    <x v="2"/>
    <x v="0"/>
    <x v="0"/>
    <x v="0"/>
    <n v="1"/>
  </r>
  <r>
    <s v="Avenida Perimetral, 590"/>
    <x v="0"/>
    <x v="4"/>
    <x v="3"/>
    <x v="1"/>
    <x v="36"/>
    <x v="29"/>
    <x v="4"/>
    <x v="4"/>
    <x v="0"/>
    <x v="2"/>
    <x v="0"/>
    <x v="0"/>
    <x v="0"/>
    <n v="1"/>
  </r>
  <r>
    <s v="Avenida Perimetral, 590"/>
    <x v="0"/>
    <x v="4"/>
    <x v="3"/>
    <x v="2"/>
    <x v="37"/>
    <x v="30"/>
    <x v="4"/>
    <x v="2"/>
    <x v="0"/>
    <x v="2"/>
    <x v="0"/>
    <x v="0"/>
    <x v="0"/>
    <n v="1"/>
  </r>
  <r>
    <s v="Rua Rio Grande do Sul, 691"/>
    <x v="0"/>
    <x v="3"/>
    <x v="2"/>
    <x v="0"/>
    <x v="6"/>
    <x v="4"/>
    <x v="2"/>
    <x v="0"/>
    <x v="0"/>
    <x v="0"/>
    <x v="0"/>
    <x v="0"/>
    <x v="0"/>
    <n v="1"/>
  </r>
  <r>
    <s v="Rua Rio Grande do Sul, 691"/>
    <x v="0"/>
    <x v="3"/>
    <x v="2"/>
    <x v="1"/>
    <x v="7"/>
    <x v="5"/>
    <x v="2"/>
    <x v="0"/>
    <x v="0"/>
    <x v="0"/>
    <x v="0"/>
    <x v="0"/>
    <x v="0"/>
    <n v="1"/>
  </r>
  <r>
    <s v="Rua Rio Grande do Sul, 691"/>
    <x v="0"/>
    <x v="3"/>
    <x v="2"/>
    <x v="2"/>
    <x v="8"/>
    <x v="6"/>
    <x v="2"/>
    <x v="0"/>
    <x v="0"/>
    <x v="0"/>
    <x v="0"/>
    <x v="0"/>
    <x v="0"/>
    <n v="1"/>
  </r>
  <r>
    <s v="Rua Fernando de Noronha, 560"/>
    <x v="0"/>
    <x v="3"/>
    <x v="1"/>
    <x v="0"/>
    <x v="9"/>
    <x v="7"/>
    <x v="2"/>
    <x v="0"/>
    <x v="0"/>
    <x v="0"/>
    <x v="0"/>
    <x v="0"/>
    <x v="0"/>
    <n v="1"/>
  </r>
  <r>
    <s v="Rua Fernando de Noronha, 560"/>
    <x v="0"/>
    <x v="3"/>
    <x v="1"/>
    <x v="1"/>
    <x v="7"/>
    <x v="5"/>
    <x v="2"/>
    <x v="0"/>
    <x v="0"/>
    <x v="0"/>
    <x v="0"/>
    <x v="0"/>
    <x v="0"/>
    <n v="1"/>
  </r>
  <r>
    <s v="Rua Fernando de Noronha, 560"/>
    <x v="0"/>
    <x v="3"/>
    <x v="1"/>
    <x v="2"/>
    <x v="8"/>
    <x v="6"/>
    <x v="2"/>
    <x v="0"/>
    <x v="0"/>
    <x v="0"/>
    <x v="0"/>
    <x v="0"/>
    <x v="0"/>
    <n v="1"/>
  </r>
  <r>
    <s v="Rua Rio Grande do Sul, 851"/>
    <x v="0"/>
    <x v="3"/>
    <x v="1"/>
    <x v="0"/>
    <x v="6"/>
    <x v="4"/>
    <x v="2"/>
    <x v="0"/>
    <x v="0"/>
    <x v="0"/>
    <x v="0"/>
    <x v="0"/>
    <x v="0"/>
    <n v="1"/>
  </r>
  <r>
    <s v="Rua Rio Grande do Sul, 851"/>
    <x v="0"/>
    <x v="3"/>
    <x v="1"/>
    <x v="1"/>
    <x v="4"/>
    <x v="2"/>
    <x v="2"/>
    <x v="0"/>
    <x v="0"/>
    <x v="0"/>
    <x v="0"/>
    <x v="0"/>
    <x v="0"/>
    <n v="1"/>
  </r>
  <r>
    <s v="Rua Rio Grande do Sul, 851"/>
    <x v="0"/>
    <x v="3"/>
    <x v="1"/>
    <x v="2"/>
    <x v="5"/>
    <x v="3"/>
    <x v="2"/>
    <x v="0"/>
    <x v="0"/>
    <x v="0"/>
    <x v="0"/>
    <x v="0"/>
    <x v="0"/>
    <n v="1"/>
  </r>
  <r>
    <s v="Rua Pernambuco, 601"/>
    <x v="0"/>
    <x v="3"/>
    <x v="1"/>
    <x v="0"/>
    <x v="6"/>
    <x v="4"/>
    <x v="2"/>
    <x v="0"/>
    <x v="0"/>
    <x v="0"/>
    <x v="0"/>
    <x v="0"/>
    <x v="0"/>
    <n v="1"/>
  </r>
  <r>
    <s v="Rua Pernambuco, 601"/>
    <x v="0"/>
    <x v="3"/>
    <x v="1"/>
    <x v="1"/>
    <x v="4"/>
    <x v="2"/>
    <x v="2"/>
    <x v="0"/>
    <x v="0"/>
    <x v="0"/>
    <x v="0"/>
    <x v="0"/>
    <x v="0"/>
    <n v="1"/>
  </r>
  <r>
    <s v="Rua Pernambuco, 601"/>
    <x v="0"/>
    <x v="3"/>
    <x v="1"/>
    <x v="2"/>
    <x v="5"/>
    <x v="3"/>
    <x v="2"/>
    <x v="0"/>
    <x v="0"/>
    <x v="0"/>
    <x v="0"/>
    <x v="0"/>
    <x v="0"/>
    <n v="1"/>
  </r>
  <r>
    <s v="Avenida Minas Gerais, 224"/>
    <x v="0"/>
    <x v="2"/>
    <x v="3"/>
    <x v="0"/>
    <x v="10"/>
    <x v="8"/>
    <x v="1"/>
    <x v="0"/>
    <x v="0"/>
    <x v="3"/>
    <x v="0"/>
    <x v="0"/>
    <x v="0"/>
    <n v="1"/>
  </r>
  <r>
    <s v="Avenida Minas Gerais, 224"/>
    <x v="0"/>
    <x v="2"/>
    <x v="3"/>
    <x v="1"/>
    <x v="17"/>
    <x v="14"/>
    <x v="1"/>
    <x v="0"/>
    <x v="0"/>
    <x v="3"/>
    <x v="0"/>
    <x v="0"/>
    <x v="0"/>
    <n v="1"/>
  </r>
  <r>
    <s v="Avenida Minas Gerais, 224"/>
    <x v="0"/>
    <x v="2"/>
    <x v="3"/>
    <x v="2"/>
    <x v="22"/>
    <x v="17"/>
    <x v="1"/>
    <x v="0"/>
    <x v="0"/>
    <x v="3"/>
    <x v="0"/>
    <x v="0"/>
    <x v="0"/>
    <n v="1"/>
  </r>
  <r>
    <s v="Rua Roma, 151"/>
    <x v="0"/>
    <x v="3"/>
    <x v="1"/>
    <x v="0"/>
    <x v="6"/>
    <x v="4"/>
    <x v="2"/>
    <x v="0"/>
    <x v="0"/>
    <x v="0"/>
    <x v="0"/>
    <x v="0"/>
    <x v="0"/>
    <n v="1"/>
  </r>
  <r>
    <s v="Rua Roma, 151"/>
    <x v="0"/>
    <x v="3"/>
    <x v="1"/>
    <x v="1"/>
    <x v="4"/>
    <x v="2"/>
    <x v="2"/>
    <x v="0"/>
    <x v="0"/>
    <x v="0"/>
    <x v="0"/>
    <x v="0"/>
    <x v="0"/>
    <n v="1"/>
  </r>
  <r>
    <s v="Rua Roma, 151"/>
    <x v="0"/>
    <x v="3"/>
    <x v="1"/>
    <x v="2"/>
    <x v="5"/>
    <x v="3"/>
    <x v="2"/>
    <x v="0"/>
    <x v="0"/>
    <x v="0"/>
    <x v="0"/>
    <x v="0"/>
    <x v="0"/>
    <n v="1"/>
  </r>
  <r>
    <s v="Travessa Tres, 585"/>
    <x v="0"/>
    <x v="3"/>
    <x v="1"/>
    <x v="0"/>
    <x v="6"/>
    <x v="4"/>
    <x v="2"/>
    <x v="0"/>
    <x v="0"/>
    <x v="0"/>
    <x v="0"/>
    <x v="0"/>
    <x v="0"/>
    <n v="1"/>
  </r>
  <r>
    <s v="Travessa Tres, 585"/>
    <x v="0"/>
    <x v="3"/>
    <x v="1"/>
    <x v="1"/>
    <x v="4"/>
    <x v="2"/>
    <x v="2"/>
    <x v="0"/>
    <x v="0"/>
    <x v="0"/>
    <x v="0"/>
    <x v="0"/>
    <x v="0"/>
    <n v="1"/>
  </r>
  <r>
    <s v="Travessa Tres, 585"/>
    <x v="0"/>
    <x v="3"/>
    <x v="1"/>
    <x v="2"/>
    <x v="5"/>
    <x v="3"/>
    <x v="2"/>
    <x v="0"/>
    <x v="0"/>
    <x v="0"/>
    <x v="0"/>
    <x v="0"/>
    <x v="0"/>
    <n v="1"/>
  </r>
  <r>
    <s v="Rua Belo Horizonte, 1242"/>
    <x v="0"/>
    <x v="4"/>
    <x v="1"/>
    <x v="0"/>
    <x v="3"/>
    <x v="1"/>
    <x v="2"/>
    <x v="0"/>
    <x v="0"/>
    <x v="2"/>
    <x v="0"/>
    <x v="0"/>
    <x v="0"/>
    <n v="1"/>
  </r>
  <r>
    <s v="Rua Belo Horizonte, 1242"/>
    <x v="0"/>
    <x v="4"/>
    <x v="1"/>
    <x v="1"/>
    <x v="7"/>
    <x v="5"/>
    <x v="2"/>
    <x v="0"/>
    <x v="0"/>
    <x v="2"/>
    <x v="0"/>
    <x v="0"/>
    <x v="0"/>
    <n v="1"/>
  </r>
  <r>
    <s v="Rua Belo Horizonte, 1242"/>
    <x v="0"/>
    <x v="4"/>
    <x v="1"/>
    <x v="2"/>
    <x v="8"/>
    <x v="6"/>
    <x v="2"/>
    <x v="5"/>
    <x v="0"/>
    <x v="2"/>
    <x v="0"/>
    <x v="0"/>
    <x v="0"/>
    <n v="1"/>
  </r>
  <r>
    <s v="Rua Sergipe, 1164"/>
    <x v="0"/>
    <x v="3"/>
    <x v="1"/>
    <x v="0"/>
    <x v="6"/>
    <x v="4"/>
    <x v="2"/>
    <x v="0"/>
    <x v="0"/>
    <x v="0"/>
    <x v="0"/>
    <x v="0"/>
    <x v="0"/>
    <n v="1"/>
  </r>
  <r>
    <s v="Rua Sergipe, 1164"/>
    <x v="0"/>
    <x v="3"/>
    <x v="1"/>
    <x v="1"/>
    <x v="4"/>
    <x v="2"/>
    <x v="2"/>
    <x v="0"/>
    <x v="0"/>
    <x v="0"/>
    <x v="0"/>
    <x v="0"/>
    <x v="0"/>
    <n v="1"/>
  </r>
  <r>
    <s v="Rua Sergipe, 1164"/>
    <x v="0"/>
    <x v="3"/>
    <x v="1"/>
    <x v="2"/>
    <x v="5"/>
    <x v="3"/>
    <x v="2"/>
    <x v="0"/>
    <x v="0"/>
    <x v="0"/>
    <x v="0"/>
    <x v="0"/>
    <x v="0"/>
    <n v="1"/>
  </r>
  <r>
    <s v="Rua A, 1857"/>
    <x v="0"/>
    <x v="4"/>
    <x v="1"/>
    <x v="0"/>
    <x v="3"/>
    <x v="1"/>
    <x v="2"/>
    <x v="0"/>
    <x v="0"/>
    <x v="0"/>
    <x v="0"/>
    <x v="0"/>
    <x v="0"/>
    <n v="1"/>
  </r>
  <r>
    <s v="Rua A, 1857"/>
    <x v="0"/>
    <x v="4"/>
    <x v="1"/>
    <x v="1"/>
    <x v="4"/>
    <x v="2"/>
    <x v="2"/>
    <x v="0"/>
    <x v="0"/>
    <x v="0"/>
    <x v="0"/>
    <x v="0"/>
    <x v="0"/>
    <n v="1"/>
  </r>
  <r>
    <s v="Rua A, 1857"/>
    <x v="0"/>
    <x v="4"/>
    <x v="1"/>
    <x v="2"/>
    <x v="5"/>
    <x v="3"/>
    <x v="2"/>
    <x v="0"/>
    <x v="0"/>
    <x v="0"/>
    <x v="0"/>
    <x v="0"/>
    <x v="0"/>
    <n v="1"/>
  </r>
  <r>
    <s v="Rua A, 1988"/>
    <x v="0"/>
    <x v="3"/>
    <x v="1"/>
    <x v="0"/>
    <x v="18"/>
    <x v="15"/>
    <x v="2"/>
    <x v="3"/>
    <x v="0"/>
    <x v="0"/>
    <x v="0"/>
    <x v="0"/>
    <x v="0"/>
    <n v="1"/>
  </r>
  <r>
    <s v="Rua A, 1988"/>
    <x v="0"/>
    <x v="3"/>
    <x v="1"/>
    <x v="1"/>
    <x v="11"/>
    <x v="9"/>
    <x v="2"/>
    <x v="1"/>
    <x v="0"/>
    <x v="0"/>
    <x v="0"/>
    <x v="0"/>
    <x v="0"/>
    <n v="1"/>
  </r>
  <r>
    <s v="Rua A, 1988"/>
    <x v="0"/>
    <x v="3"/>
    <x v="1"/>
    <x v="2"/>
    <x v="13"/>
    <x v="9"/>
    <x v="2"/>
    <x v="1"/>
    <x v="0"/>
    <x v="0"/>
    <x v="0"/>
    <x v="0"/>
    <x v="0"/>
    <n v="1"/>
  </r>
  <r>
    <s v="Rua T, 1141"/>
    <x v="0"/>
    <x v="3"/>
    <x v="1"/>
    <x v="0"/>
    <x v="3"/>
    <x v="1"/>
    <x v="2"/>
    <x v="0"/>
    <x v="0"/>
    <x v="0"/>
    <x v="0"/>
    <x v="0"/>
    <x v="0"/>
    <n v="1"/>
  </r>
  <r>
    <s v="Rua T, 1141"/>
    <x v="0"/>
    <x v="3"/>
    <x v="1"/>
    <x v="1"/>
    <x v="16"/>
    <x v="13"/>
    <x v="2"/>
    <x v="0"/>
    <x v="0"/>
    <x v="0"/>
    <x v="0"/>
    <x v="0"/>
    <x v="0"/>
    <n v="1"/>
  </r>
  <r>
    <s v="Rua T, 1141"/>
    <x v="0"/>
    <x v="3"/>
    <x v="1"/>
    <x v="2"/>
    <x v="5"/>
    <x v="3"/>
    <x v="2"/>
    <x v="0"/>
    <x v="0"/>
    <x v="0"/>
    <x v="0"/>
    <x v="0"/>
    <x v="0"/>
    <n v="1"/>
  </r>
  <r>
    <s v="Rua Q, 531"/>
    <x v="0"/>
    <x v="3"/>
    <x v="2"/>
    <x v="0"/>
    <x v="18"/>
    <x v="15"/>
    <x v="2"/>
    <x v="0"/>
    <x v="0"/>
    <x v="0"/>
    <x v="0"/>
    <x v="0"/>
    <x v="0"/>
    <n v="1"/>
  </r>
  <r>
    <s v="Rua Q, 531"/>
    <x v="0"/>
    <x v="3"/>
    <x v="2"/>
    <x v="1"/>
    <x v="11"/>
    <x v="9"/>
    <x v="2"/>
    <x v="0"/>
    <x v="0"/>
    <x v="0"/>
    <x v="0"/>
    <x v="0"/>
    <x v="0"/>
    <n v="1"/>
  </r>
  <r>
    <s v="Rua Q, 531"/>
    <x v="0"/>
    <x v="3"/>
    <x v="2"/>
    <x v="2"/>
    <x v="8"/>
    <x v="6"/>
    <x v="2"/>
    <x v="0"/>
    <x v="0"/>
    <x v="0"/>
    <x v="0"/>
    <x v="0"/>
    <x v="0"/>
    <n v="1"/>
  </r>
  <r>
    <s v="Estrada do Agual, 539"/>
    <x v="0"/>
    <x v="3"/>
    <x v="1"/>
    <x v="0"/>
    <x v="9"/>
    <x v="7"/>
    <x v="2"/>
    <x v="0"/>
    <x v="0"/>
    <x v="0"/>
    <x v="0"/>
    <x v="0"/>
    <x v="0"/>
    <n v="1"/>
  </r>
  <r>
    <s v="Estrada do Agual, 539"/>
    <x v="0"/>
    <x v="3"/>
    <x v="1"/>
    <x v="1"/>
    <x v="7"/>
    <x v="5"/>
    <x v="2"/>
    <x v="0"/>
    <x v="0"/>
    <x v="0"/>
    <x v="0"/>
    <x v="0"/>
    <x v="0"/>
    <n v="1"/>
  </r>
  <r>
    <s v="Estrada do Agual, 539"/>
    <x v="0"/>
    <x v="3"/>
    <x v="1"/>
    <x v="2"/>
    <x v="8"/>
    <x v="6"/>
    <x v="2"/>
    <x v="0"/>
    <x v="0"/>
    <x v="0"/>
    <x v="0"/>
    <x v="0"/>
    <x v="0"/>
    <n v="1"/>
  </r>
  <r>
    <s v="Rua Roraima, 1251"/>
    <x v="0"/>
    <x v="3"/>
    <x v="1"/>
    <x v="0"/>
    <x v="9"/>
    <x v="7"/>
    <x v="2"/>
    <x v="0"/>
    <x v="0"/>
    <x v="0"/>
    <x v="0"/>
    <x v="0"/>
    <x v="0"/>
    <n v="1"/>
  </r>
  <r>
    <s v="Rua Roraima, 1251"/>
    <x v="0"/>
    <x v="3"/>
    <x v="1"/>
    <x v="1"/>
    <x v="7"/>
    <x v="5"/>
    <x v="2"/>
    <x v="0"/>
    <x v="0"/>
    <x v="0"/>
    <x v="0"/>
    <x v="0"/>
    <x v="0"/>
    <n v="1"/>
  </r>
  <r>
    <s v="Rua Roraima, 1251"/>
    <x v="0"/>
    <x v="3"/>
    <x v="1"/>
    <x v="2"/>
    <x v="8"/>
    <x v="6"/>
    <x v="2"/>
    <x v="0"/>
    <x v="0"/>
    <x v="0"/>
    <x v="0"/>
    <x v="0"/>
    <x v="0"/>
    <n v="1"/>
  </r>
  <r>
    <s v="Avenida Minas Gerais, 2018"/>
    <x v="0"/>
    <x v="2"/>
    <x v="0"/>
    <x v="0"/>
    <x v="10"/>
    <x v="8"/>
    <x v="1"/>
    <x v="0"/>
    <x v="0"/>
    <x v="3"/>
    <x v="0"/>
    <x v="0"/>
    <x v="0"/>
    <n v="1"/>
  </r>
  <r>
    <s v="Avenida Minas Gerais, 2018"/>
    <x v="0"/>
    <x v="2"/>
    <x v="0"/>
    <x v="1"/>
    <x v="17"/>
    <x v="14"/>
    <x v="1"/>
    <x v="0"/>
    <x v="0"/>
    <x v="3"/>
    <x v="0"/>
    <x v="0"/>
    <x v="0"/>
    <n v="1"/>
  </r>
  <r>
    <s v="Avenida Minas Gerais, 2018"/>
    <x v="0"/>
    <x v="2"/>
    <x v="0"/>
    <x v="2"/>
    <x v="22"/>
    <x v="17"/>
    <x v="1"/>
    <x v="0"/>
    <x v="0"/>
    <x v="3"/>
    <x v="0"/>
    <x v="0"/>
    <x v="0"/>
    <n v="1"/>
  </r>
  <r>
    <s v="Rua Guanabara, 740"/>
    <x v="0"/>
    <x v="3"/>
    <x v="2"/>
    <x v="0"/>
    <x v="18"/>
    <x v="15"/>
    <x v="2"/>
    <x v="0"/>
    <x v="0"/>
    <x v="4"/>
    <x v="0"/>
    <x v="0"/>
    <x v="0"/>
    <n v="1"/>
  </r>
  <r>
    <s v="Rua Guanabara, 740"/>
    <x v="0"/>
    <x v="3"/>
    <x v="2"/>
    <x v="1"/>
    <x v="11"/>
    <x v="9"/>
    <x v="2"/>
    <x v="0"/>
    <x v="0"/>
    <x v="4"/>
    <x v="0"/>
    <x v="0"/>
    <x v="0"/>
    <n v="1"/>
  </r>
  <r>
    <s v="Rua Guanabara, 740"/>
    <x v="0"/>
    <x v="3"/>
    <x v="2"/>
    <x v="2"/>
    <x v="13"/>
    <x v="9"/>
    <x v="2"/>
    <x v="0"/>
    <x v="0"/>
    <x v="4"/>
    <x v="0"/>
    <x v="0"/>
    <x v="0"/>
    <n v="1"/>
  </r>
  <r>
    <s v="Avenida Minas Gerais, 1405"/>
    <x v="0"/>
    <x v="4"/>
    <x v="0"/>
    <x v="0"/>
    <x v="6"/>
    <x v="4"/>
    <x v="2"/>
    <x v="0"/>
    <x v="0"/>
    <x v="0"/>
    <x v="0"/>
    <x v="0"/>
    <x v="0"/>
    <n v="1"/>
  </r>
  <r>
    <s v="Avenida Minas Gerais, 1405"/>
    <x v="0"/>
    <x v="4"/>
    <x v="0"/>
    <x v="1"/>
    <x v="4"/>
    <x v="2"/>
    <x v="2"/>
    <x v="0"/>
    <x v="0"/>
    <x v="0"/>
    <x v="0"/>
    <x v="0"/>
    <x v="0"/>
    <n v="1"/>
  </r>
  <r>
    <s v="Avenida Minas Gerais, 1405"/>
    <x v="0"/>
    <x v="4"/>
    <x v="0"/>
    <x v="2"/>
    <x v="5"/>
    <x v="3"/>
    <x v="2"/>
    <x v="0"/>
    <x v="0"/>
    <x v="0"/>
    <x v="0"/>
    <x v="0"/>
    <x v="0"/>
    <n v="1"/>
  </r>
  <r>
    <s v="Avenida Florianopolis, 1124"/>
    <x v="0"/>
    <x v="4"/>
    <x v="3"/>
    <x v="0"/>
    <x v="10"/>
    <x v="8"/>
    <x v="2"/>
    <x v="0"/>
    <x v="0"/>
    <x v="2"/>
    <x v="0"/>
    <x v="0"/>
    <x v="0"/>
    <n v="1"/>
  </r>
  <r>
    <s v="Avenida Florianopolis, 1124"/>
    <x v="0"/>
    <x v="4"/>
    <x v="3"/>
    <x v="1"/>
    <x v="21"/>
    <x v="10"/>
    <x v="2"/>
    <x v="0"/>
    <x v="0"/>
    <x v="2"/>
    <x v="0"/>
    <x v="0"/>
    <x v="0"/>
    <n v="1"/>
  </r>
  <r>
    <s v="Avenida Florianopolis, 1124"/>
    <x v="0"/>
    <x v="4"/>
    <x v="3"/>
    <x v="2"/>
    <x v="12"/>
    <x v="10"/>
    <x v="2"/>
    <x v="0"/>
    <x v="0"/>
    <x v="2"/>
    <x v="0"/>
    <x v="0"/>
    <x v="0"/>
    <n v="1"/>
  </r>
  <r>
    <s v="Rua Amazonas, 915"/>
    <x v="0"/>
    <x v="3"/>
    <x v="1"/>
    <x v="0"/>
    <x v="6"/>
    <x v="4"/>
    <x v="2"/>
    <x v="0"/>
    <x v="0"/>
    <x v="0"/>
    <x v="0"/>
    <x v="0"/>
    <x v="0"/>
    <n v="1"/>
  </r>
  <r>
    <s v="Rua Amazonas, 915"/>
    <x v="0"/>
    <x v="3"/>
    <x v="1"/>
    <x v="1"/>
    <x v="4"/>
    <x v="2"/>
    <x v="2"/>
    <x v="0"/>
    <x v="0"/>
    <x v="0"/>
    <x v="0"/>
    <x v="0"/>
    <x v="0"/>
    <n v="1"/>
  </r>
  <r>
    <s v="Rua Amazonas, 915"/>
    <x v="0"/>
    <x v="3"/>
    <x v="1"/>
    <x v="2"/>
    <x v="5"/>
    <x v="3"/>
    <x v="2"/>
    <x v="0"/>
    <x v="0"/>
    <x v="0"/>
    <x v="0"/>
    <x v="0"/>
    <x v="0"/>
    <n v="1"/>
  </r>
  <r>
    <s v="Rua Guanabara, 1129"/>
    <x v="0"/>
    <x v="4"/>
    <x v="1"/>
    <x v="0"/>
    <x v="6"/>
    <x v="4"/>
    <x v="2"/>
    <x v="0"/>
    <x v="0"/>
    <x v="0"/>
    <x v="0"/>
    <x v="0"/>
    <x v="0"/>
    <n v="1"/>
  </r>
  <r>
    <s v="Rua Guanabara, 1129"/>
    <x v="0"/>
    <x v="4"/>
    <x v="1"/>
    <x v="1"/>
    <x v="4"/>
    <x v="2"/>
    <x v="2"/>
    <x v="0"/>
    <x v="0"/>
    <x v="0"/>
    <x v="0"/>
    <x v="0"/>
    <x v="0"/>
    <n v="1"/>
  </r>
  <r>
    <s v="Rua Guanabara, 1129"/>
    <x v="0"/>
    <x v="4"/>
    <x v="1"/>
    <x v="2"/>
    <x v="5"/>
    <x v="3"/>
    <x v="2"/>
    <x v="0"/>
    <x v="0"/>
    <x v="0"/>
    <x v="0"/>
    <x v="0"/>
    <x v="0"/>
    <n v="1"/>
  </r>
  <r>
    <s v="Rua Rio de Janeiro, 2005"/>
    <x v="0"/>
    <x v="3"/>
    <x v="1"/>
    <x v="0"/>
    <x v="9"/>
    <x v="7"/>
    <x v="2"/>
    <x v="0"/>
    <x v="0"/>
    <x v="0"/>
    <x v="0"/>
    <x v="0"/>
    <x v="0"/>
    <n v="1"/>
  </r>
  <r>
    <s v="Rua Rio de Janeiro, 2005"/>
    <x v="0"/>
    <x v="3"/>
    <x v="1"/>
    <x v="1"/>
    <x v="7"/>
    <x v="5"/>
    <x v="2"/>
    <x v="0"/>
    <x v="0"/>
    <x v="0"/>
    <x v="0"/>
    <x v="0"/>
    <x v="0"/>
    <n v="1"/>
  </r>
  <r>
    <s v="Rua Rio de Janeiro, 2005"/>
    <x v="0"/>
    <x v="3"/>
    <x v="1"/>
    <x v="2"/>
    <x v="8"/>
    <x v="6"/>
    <x v="2"/>
    <x v="0"/>
    <x v="0"/>
    <x v="0"/>
    <x v="0"/>
    <x v="0"/>
    <x v="0"/>
    <n v="1"/>
  </r>
  <r>
    <s v="Rua Rio Grande do Norte, 2214"/>
    <x v="0"/>
    <x v="3"/>
    <x v="1"/>
    <x v="0"/>
    <x v="6"/>
    <x v="4"/>
    <x v="2"/>
    <x v="0"/>
    <x v="0"/>
    <x v="0"/>
    <x v="0"/>
    <x v="0"/>
    <x v="0"/>
    <n v="1"/>
  </r>
  <r>
    <s v="Rua Rio Grande do Norte, 2214"/>
    <x v="0"/>
    <x v="3"/>
    <x v="1"/>
    <x v="1"/>
    <x v="4"/>
    <x v="2"/>
    <x v="2"/>
    <x v="0"/>
    <x v="0"/>
    <x v="0"/>
    <x v="0"/>
    <x v="0"/>
    <x v="0"/>
    <n v="1"/>
  </r>
  <r>
    <s v="Rua Rio Grande do Norte, 2214"/>
    <x v="0"/>
    <x v="3"/>
    <x v="1"/>
    <x v="2"/>
    <x v="5"/>
    <x v="3"/>
    <x v="2"/>
    <x v="0"/>
    <x v="0"/>
    <x v="0"/>
    <x v="0"/>
    <x v="0"/>
    <x v="0"/>
    <n v="1"/>
  </r>
  <r>
    <s v="Rua Santa Catarina, 2193"/>
    <x v="0"/>
    <x v="3"/>
    <x v="1"/>
    <x v="0"/>
    <x v="6"/>
    <x v="4"/>
    <x v="2"/>
    <x v="0"/>
    <x v="0"/>
    <x v="0"/>
    <x v="0"/>
    <x v="0"/>
    <x v="0"/>
    <n v="1"/>
  </r>
  <r>
    <s v="Rua Santa Catarina, 2193"/>
    <x v="0"/>
    <x v="3"/>
    <x v="1"/>
    <x v="1"/>
    <x v="4"/>
    <x v="2"/>
    <x v="2"/>
    <x v="0"/>
    <x v="0"/>
    <x v="0"/>
    <x v="0"/>
    <x v="0"/>
    <x v="0"/>
    <n v="1"/>
  </r>
  <r>
    <s v="Rua Santa Catarina, 2193"/>
    <x v="0"/>
    <x v="3"/>
    <x v="1"/>
    <x v="2"/>
    <x v="5"/>
    <x v="3"/>
    <x v="2"/>
    <x v="0"/>
    <x v="0"/>
    <x v="0"/>
    <x v="0"/>
    <x v="0"/>
    <x v="0"/>
    <n v="1"/>
  </r>
  <r>
    <s v="Rua Para, 2185"/>
    <x v="0"/>
    <x v="2"/>
    <x v="1"/>
    <x v="0"/>
    <x v="3"/>
    <x v="1"/>
    <x v="2"/>
    <x v="0"/>
    <x v="0"/>
    <x v="2"/>
    <x v="0"/>
    <x v="0"/>
    <x v="0"/>
    <n v="1"/>
  </r>
  <r>
    <s v="Rua Para, 2185"/>
    <x v="0"/>
    <x v="2"/>
    <x v="1"/>
    <x v="1"/>
    <x v="16"/>
    <x v="13"/>
    <x v="2"/>
    <x v="0"/>
    <x v="0"/>
    <x v="2"/>
    <x v="0"/>
    <x v="0"/>
    <x v="0"/>
    <n v="1"/>
  </r>
  <r>
    <s v="Rua Para, 2185"/>
    <x v="0"/>
    <x v="2"/>
    <x v="1"/>
    <x v="2"/>
    <x v="5"/>
    <x v="3"/>
    <x v="2"/>
    <x v="0"/>
    <x v="0"/>
    <x v="2"/>
    <x v="0"/>
    <x v="0"/>
    <x v="0"/>
    <n v="1"/>
  </r>
  <r>
    <s v="Rua Maranhao, 2337"/>
    <x v="0"/>
    <x v="3"/>
    <x v="1"/>
    <x v="0"/>
    <x v="6"/>
    <x v="4"/>
    <x v="2"/>
    <x v="0"/>
    <x v="0"/>
    <x v="0"/>
    <x v="0"/>
    <x v="0"/>
    <x v="0"/>
    <n v="1"/>
  </r>
  <r>
    <s v="Rua Maranhao, 2337"/>
    <x v="0"/>
    <x v="3"/>
    <x v="1"/>
    <x v="1"/>
    <x v="4"/>
    <x v="2"/>
    <x v="2"/>
    <x v="0"/>
    <x v="0"/>
    <x v="0"/>
    <x v="0"/>
    <x v="0"/>
    <x v="0"/>
    <n v="1"/>
  </r>
  <r>
    <s v="Rua Maranhao, 2337"/>
    <x v="0"/>
    <x v="3"/>
    <x v="1"/>
    <x v="2"/>
    <x v="5"/>
    <x v="3"/>
    <x v="2"/>
    <x v="0"/>
    <x v="0"/>
    <x v="0"/>
    <x v="0"/>
    <x v="0"/>
    <x v="0"/>
    <n v="1"/>
  </r>
  <r>
    <s v="Avenida Recife, 653"/>
    <x v="0"/>
    <x v="4"/>
    <x v="3"/>
    <x v="0"/>
    <x v="10"/>
    <x v="8"/>
    <x v="2"/>
    <x v="0"/>
    <x v="0"/>
    <x v="2"/>
    <x v="0"/>
    <x v="0"/>
    <x v="0"/>
    <n v="1"/>
  </r>
  <r>
    <s v="Avenida Recife, 653"/>
    <x v="0"/>
    <x v="4"/>
    <x v="3"/>
    <x v="1"/>
    <x v="11"/>
    <x v="9"/>
    <x v="2"/>
    <x v="0"/>
    <x v="0"/>
    <x v="2"/>
    <x v="0"/>
    <x v="0"/>
    <x v="0"/>
    <n v="1"/>
  </r>
  <r>
    <s v="Avenida Recife, 653"/>
    <x v="0"/>
    <x v="4"/>
    <x v="3"/>
    <x v="2"/>
    <x v="13"/>
    <x v="9"/>
    <x v="2"/>
    <x v="0"/>
    <x v="0"/>
    <x v="2"/>
    <x v="0"/>
    <x v="0"/>
    <x v="0"/>
    <n v="1"/>
  </r>
  <r>
    <s v="Avenida Recife, 322"/>
    <x v="0"/>
    <x v="4"/>
    <x v="3"/>
    <x v="0"/>
    <x v="10"/>
    <x v="8"/>
    <x v="2"/>
    <x v="0"/>
    <x v="0"/>
    <x v="2"/>
    <x v="0"/>
    <x v="0"/>
    <x v="0"/>
    <n v="1"/>
  </r>
  <r>
    <s v="Avenida Recife, 322"/>
    <x v="0"/>
    <x v="4"/>
    <x v="3"/>
    <x v="1"/>
    <x v="21"/>
    <x v="10"/>
    <x v="2"/>
    <x v="0"/>
    <x v="0"/>
    <x v="2"/>
    <x v="0"/>
    <x v="0"/>
    <x v="0"/>
    <n v="1"/>
  </r>
  <r>
    <s v="Avenida Recife, 322"/>
    <x v="0"/>
    <x v="4"/>
    <x v="3"/>
    <x v="2"/>
    <x v="12"/>
    <x v="10"/>
    <x v="2"/>
    <x v="0"/>
    <x v="0"/>
    <x v="2"/>
    <x v="0"/>
    <x v="0"/>
    <x v="0"/>
    <n v="1"/>
  </r>
  <r>
    <s v="Rua Alagoas, 2205"/>
    <x v="0"/>
    <x v="4"/>
    <x v="1"/>
    <x v="0"/>
    <x v="6"/>
    <x v="4"/>
    <x v="2"/>
    <x v="0"/>
    <x v="0"/>
    <x v="0"/>
    <x v="0"/>
    <x v="0"/>
    <x v="0"/>
    <n v="1"/>
  </r>
  <r>
    <s v="Rua Alagoas, 2205"/>
    <x v="0"/>
    <x v="4"/>
    <x v="1"/>
    <x v="1"/>
    <x v="4"/>
    <x v="2"/>
    <x v="2"/>
    <x v="0"/>
    <x v="0"/>
    <x v="0"/>
    <x v="0"/>
    <x v="0"/>
    <x v="0"/>
    <n v="1"/>
  </r>
  <r>
    <s v="Rua Alagoas, 2205"/>
    <x v="0"/>
    <x v="4"/>
    <x v="1"/>
    <x v="2"/>
    <x v="5"/>
    <x v="3"/>
    <x v="2"/>
    <x v="0"/>
    <x v="0"/>
    <x v="0"/>
    <x v="0"/>
    <x v="0"/>
    <x v="0"/>
    <n v="1"/>
  </r>
  <r>
    <s v="Rua Amazonas, 1543"/>
    <x v="0"/>
    <x v="3"/>
    <x v="1"/>
    <x v="0"/>
    <x v="6"/>
    <x v="4"/>
    <x v="2"/>
    <x v="0"/>
    <x v="0"/>
    <x v="0"/>
    <x v="0"/>
    <x v="0"/>
    <x v="0"/>
    <n v="1"/>
  </r>
  <r>
    <s v="Rua Amazonas, 1543"/>
    <x v="0"/>
    <x v="3"/>
    <x v="1"/>
    <x v="1"/>
    <x v="4"/>
    <x v="2"/>
    <x v="2"/>
    <x v="0"/>
    <x v="0"/>
    <x v="0"/>
    <x v="0"/>
    <x v="0"/>
    <x v="0"/>
    <n v="1"/>
  </r>
  <r>
    <s v="Rua Amazonas, 1543"/>
    <x v="0"/>
    <x v="3"/>
    <x v="1"/>
    <x v="2"/>
    <x v="5"/>
    <x v="3"/>
    <x v="2"/>
    <x v="0"/>
    <x v="0"/>
    <x v="0"/>
    <x v="0"/>
    <x v="0"/>
    <x v="0"/>
    <n v="1"/>
  </r>
  <r>
    <s v="Rua Para, 2185"/>
    <x v="0"/>
    <x v="2"/>
    <x v="1"/>
    <x v="0"/>
    <x v="3"/>
    <x v="1"/>
    <x v="2"/>
    <x v="0"/>
    <x v="0"/>
    <x v="2"/>
    <x v="0"/>
    <x v="0"/>
    <x v="0"/>
    <n v="1"/>
  </r>
  <r>
    <s v="Rua Para, 2185"/>
    <x v="0"/>
    <x v="2"/>
    <x v="1"/>
    <x v="1"/>
    <x v="16"/>
    <x v="13"/>
    <x v="2"/>
    <x v="0"/>
    <x v="0"/>
    <x v="2"/>
    <x v="0"/>
    <x v="0"/>
    <x v="0"/>
    <n v="1"/>
  </r>
  <r>
    <s v="Rua Para, 2185"/>
    <x v="0"/>
    <x v="2"/>
    <x v="1"/>
    <x v="2"/>
    <x v="5"/>
    <x v="3"/>
    <x v="2"/>
    <x v="0"/>
    <x v="0"/>
    <x v="2"/>
    <x v="0"/>
    <x v="0"/>
    <x v="0"/>
    <n v="1"/>
  </r>
  <r>
    <s v="Rua Lurdes de Lima Manito, 580 [Q]"/>
    <x v="0"/>
    <x v="3"/>
    <x v="1"/>
    <x v="0"/>
    <x v="18"/>
    <x v="15"/>
    <x v="2"/>
    <x v="0"/>
    <x v="0"/>
    <x v="0"/>
    <x v="0"/>
    <x v="0"/>
    <x v="0"/>
    <n v="1"/>
  </r>
  <r>
    <s v="Rua Lurdes de Lima Manito, 580 [Q]"/>
    <x v="0"/>
    <x v="3"/>
    <x v="1"/>
    <x v="1"/>
    <x v="11"/>
    <x v="9"/>
    <x v="2"/>
    <x v="0"/>
    <x v="0"/>
    <x v="0"/>
    <x v="0"/>
    <x v="0"/>
    <x v="0"/>
    <n v="1"/>
  </r>
  <r>
    <s v="Rua Lurdes de Lima Manito, 580 [Q]"/>
    <x v="0"/>
    <x v="3"/>
    <x v="1"/>
    <x v="2"/>
    <x v="12"/>
    <x v="10"/>
    <x v="2"/>
    <x v="0"/>
    <x v="0"/>
    <x v="0"/>
    <x v="0"/>
    <x v="0"/>
    <x v="0"/>
    <n v="1"/>
  </r>
  <r>
    <s v="Rua F das Camelias, 1036 [Q]"/>
    <x v="0"/>
    <x v="3"/>
    <x v="1"/>
    <x v="0"/>
    <x v="9"/>
    <x v="7"/>
    <x v="2"/>
    <x v="0"/>
    <x v="0"/>
    <x v="0"/>
    <x v="0"/>
    <x v="0"/>
    <x v="0"/>
    <n v="1"/>
  </r>
  <r>
    <s v="Rua F das Camelias, 1036 [Q]"/>
    <x v="0"/>
    <x v="3"/>
    <x v="1"/>
    <x v="1"/>
    <x v="21"/>
    <x v="10"/>
    <x v="2"/>
    <x v="0"/>
    <x v="0"/>
    <x v="0"/>
    <x v="0"/>
    <x v="0"/>
    <x v="0"/>
    <n v="1"/>
  </r>
  <r>
    <s v="Rua F das Camelias, 1036 [Q]"/>
    <x v="0"/>
    <x v="3"/>
    <x v="1"/>
    <x v="2"/>
    <x v="13"/>
    <x v="9"/>
    <x v="2"/>
    <x v="0"/>
    <x v="0"/>
    <x v="0"/>
    <x v="0"/>
    <x v="0"/>
    <x v="0"/>
    <n v="1"/>
  </r>
  <r>
    <s v="Rua Nova, 51 [Q]"/>
    <x v="0"/>
    <x v="3"/>
    <x v="1"/>
    <x v="0"/>
    <x v="3"/>
    <x v="1"/>
    <x v="3"/>
    <x v="0"/>
    <x v="0"/>
    <x v="0"/>
    <x v="0"/>
    <x v="0"/>
    <x v="0"/>
    <n v="1"/>
  </r>
  <r>
    <s v="Rua Nova, 51 [Q]"/>
    <x v="0"/>
    <x v="3"/>
    <x v="1"/>
    <x v="1"/>
    <x v="4"/>
    <x v="2"/>
    <x v="3"/>
    <x v="0"/>
    <x v="0"/>
    <x v="0"/>
    <x v="0"/>
    <x v="0"/>
    <x v="0"/>
    <n v="1"/>
  </r>
  <r>
    <s v="Rua Nova, 51 [Q]"/>
    <x v="0"/>
    <x v="3"/>
    <x v="1"/>
    <x v="2"/>
    <x v="5"/>
    <x v="3"/>
    <x v="3"/>
    <x v="0"/>
    <x v="0"/>
    <x v="0"/>
    <x v="0"/>
    <x v="0"/>
    <x v="0"/>
    <n v="1"/>
  </r>
  <r>
    <s v="Rua Munique, 183 [Q]"/>
    <x v="0"/>
    <x v="3"/>
    <x v="1"/>
    <x v="0"/>
    <x v="6"/>
    <x v="4"/>
    <x v="2"/>
    <x v="0"/>
    <x v="0"/>
    <x v="0"/>
    <x v="0"/>
    <x v="0"/>
    <x v="0"/>
    <n v="1"/>
  </r>
  <r>
    <s v="Rua Munique, 183 [Q]"/>
    <x v="0"/>
    <x v="3"/>
    <x v="1"/>
    <x v="1"/>
    <x v="4"/>
    <x v="2"/>
    <x v="2"/>
    <x v="0"/>
    <x v="0"/>
    <x v="0"/>
    <x v="0"/>
    <x v="0"/>
    <x v="0"/>
    <n v="1"/>
  </r>
  <r>
    <s v="Rua Munique, 183 [Q]"/>
    <x v="0"/>
    <x v="3"/>
    <x v="1"/>
    <x v="2"/>
    <x v="5"/>
    <x v="3"/>
    <x v="2"/>
    <x v="0"/>
    <x v="0"/>
    <x v="0"/>
    <x v="0"/>
    <x v="0"/>
    <x v="0"/>
    <n v="1"/>
  </r>
  <r>
    <s v="Rua Pinheiro Veloso, 467 [Q]"/>
    <x v="0"/>
    <x v="4"/>
    <x v="1"/>
    <x v="0"/>
    <x v="9"/>
    <x v="7"/>
    <x v="2"/>
    <x v="0"/>
    <x v="0"/>
    <x v="0"/>
    <x v="0"/>
    <x v="0"/>
    <x v="0"/>
    <n v="1"/>
  </r>
  <r>
    <s v="Rua Pinheiro Veloso, 467 [Q]"/>
    <x v="0"/>
    <x v="4"/>
    <x v="1"/>
    <x v="1"/>
    <x v="11"/>
    <x v="9"/>
    <x v="2"/>
    <x v="1"/>
    <x v="0"/>
    <x v="0"/>
    <x v="0"/>
    <x v="0"/>
    <x v="0"/>
    <n v="1"/>
  </r>
  <r>
    <s v="Rua Pinheiro Veloso, 467 [Q]"/>
    <x v="0"/>
    <x v="4"/>
    <x v="1"/>
    <x v="2"/>
    <x v="13"/>
    <x v="9"/>
    <x v="2"/>
    <x v="2"/>
    <x v="0"/>
    <x v="0"/>
    <x v="0"/>
    <x v="0"/>
    <x v="0"/>
    <n v="1"/>
  </r>
  <r>
    <s v="Rua A-Sete da Verbenas, 750 [Q]"/>
    <x v="0"/>
    <x v="3"/>
    <x v="1"/>
    <x v="0"/>
    <x v="6"/>
    <x v="4"/>
    <x v="2"/>
    <x v="0"/>
    <x v="0"/>
    <x v="0"/>
    <x v="0"/>
    <x v="0"/>
    <x v="0"/>
    <n v="1"/>
  </r>
  <r>
    <s v="Rua A-Sete da Verbenas, 750 [Q]"/>
    <x v="0"/>
    <x v="3"/>
    <x v="1"/>
    <x v="1"/>
    <x v="4"/>
    <x v="2"/>
    <x v="2"/>
    <x v="0"/>
    <x v="0"/>
    <x v="0"/>
    <x v="0"/>
    <x v="0"/>
    <x v="0"/>
    <n v="1"/>
  </r>
  <r>
    <s v="Rua A-Sete da Verbenas, 750 [Q]"/>
    <x v="0"/>
    <x v="3"/>
    <x v="1"/>
    <x v="2"/>
    <x v="5"/>
    <x v="3"/>
    <x v="2"/>
    <x v="0"/>
    <x v="0"/>
    <x v="0"/>
    <x v="0"/>
    <x v="0"/>
    <x v="0"/>
    <n v="1"/>
  </r>
  <r>
    <s v="Rua F das Camelias, 273 [Q]"/>
    <x v="0"/>
    <x v="3"/>
    <x v="1"/>
    <x v="0"/>
    <x v="6"/>
    <x v="4"/>
    <x v="2"/>
    <x v="0"/>
    <x v="0"/>
    <x v="0"/>
    <x v="0"/>
    <x v="0"/>
    <x v="0"/>
    <n v="1"/>
  </r>
  <r>
    <s v="Rua F das Camelias, 273 [Q]"/>
    <x v="0"/>
    <x v="3"/>
    <x v="1"/>
    <x v="1"/>
    <x v="4"/>
    <x v="2"/>
    <x v="2"/>
    <x v="0"/>
    <x v="0"/>
    <x v="0"/>
    <x v="0"/>
    <x v="0"/>
    <x v="0"/>
    <n v="1"/>
  </r>
  <r>
    <s v="Rua F das Camelias, 273 [Q]"/>
    <x v="0"/>
    <x v="3"/>
    <x v="1"/>
    <x v="2"/>
    <x v="5"/>
    <x v="3"/>
    <x v="2"/>
    <x v="0"/>
    <x v="0"/>
    <x v="0"/>
    <x v="0"/>
    <x v="0"/>
    <x v="0"/>
    <n v="1"/>
  </r>
  <r>
    <s v="Rua Santa Barbara, 330 [Q]"/>
    <x v="0"/>
    <x v="3"/>
    <x v="1"/>
    <x v="0"/>
    <x v="3"/>
    <x v="1"/>
    <x v="2"/>
    <x v="0"/>
    <x v="0"/>
    <x v="0"/>
    <x v="0"/>
    <x v="0"/>
    <x v="0"/>
    <n v="1"/>
  </r>
  <r>
    <s v="Rua Santa Barbara, 330 [Q]"/>
    <x v="0"/>
    <x v="3"/>
    <x v="1"/>
    <x v="1"/>
    <x v="4"/>
    <x v="2"/>
    <x v="2"/>
    <x v="0"/>
    <x v="0"/>
    <x v="0"/>
    <x v="0"/>
    <x v="0"/>
    <x v="0"/>
    <n v="1"/>
  </r>
  <r>
    <s v="Rua Santa Barbara, 330 [Q]"/>
    <x v="0"/>
    <x v="3"/>
    <x v="1"/>
    <x v="2"/>
    <x v="5"/>
    <x v="3"/>
    <x v="2"/>
    <x v="0"/>
    <x v="0"/>
    <x v="0"/>
    <x v="0"/>
    <x v="0"/>
    <x v="0"/>
    <n v="1"/>
  </r>
  <r>
    <s v="Rua Poco das Antas, 248 [Q]"/>
    <x v="0"/>
    <x v="3"/>
    <x v="1"/>
    <x v="0"/>
    <x v="9"/>
    <x v="7"/>
    <x v="2"/>
    <x v="0"/>
    <x v="0"/>
    <x v="0"/>
    <x v="0"/>
    <x v="0"/>
    <x v="0"/>
    <n v="1"/>
  </r>
  <r>
    <s v="Rua Poco das Antas, 248 [Q]"/>
    <x v="0"/>
    <x v="3"/>
    <x v="1"/>
    <x v="1"/>
    <x v="7"/>
    <x v="5"/>
    <x v="2"/>
    <x v="0"/>
    <x v="0"/>
    <x v="0"/>
    <x v="0"/>
    <x v="0"/>
    <x v="0"/>
    <n v="1"/>
  </r>
  <r>
    <s v="Rua Poco das Antas, 248 [Q]"/>
    <x v="0"/>
    <x v="3"/>
    <x v="1"/>
    <x v="2"/>
    <x v="8"/>
    <x v="6"/>
    <x v="2"/>
    <x v="0"/>
    <x v="0"/>
    <x v="0"/>
    <x v="0"/>
    <x v="0"/>
    <x v="0"/>
    <n v="1"/>
  </r>
  <r>
    <s v="Rua Picada Cafe, 120 [Q]"/>
    <x v="0"/>
    <x v="3"/>
    <x v="1"/>
    <x v="0"/>
    <x v="9"/>
    <x v="7"/>
    <x v="2"/>
    <x v="0"/>
    <x v="0"/>
    <x v="0"/>
    <x v="0"/>
    <x v="0"/>
    <x v="0"/>
    <n v="1"/>
  </r>
  <r>
    <s v="Rua Picada Cafe, 120 [Q]"/>
    <x v="0"/>
    <x v="3"/>
    <x v="1"/>
    <x v="1"/>
    <x v="7"/>
    <x v="5"/>
    <x v="2"/>
    <x v="0"/>
    <x v="0"/>
    <x v="0"/>
    <x v="0"/>
    <x v="0"/>
    <x v="0"/>
    <n v="1"/>
  </r>
  <r>
    <s v="Rua Picada Cafe, 120 [Q]"/>
    <x v="0"/>
    <x v="3"/>
    <x v="1"/>
    <x v="2"/>
    <x v="8"/>
    <x v="6"/>
    <x v="2"/>
    <x v="0"/>
    <x v="0"/>
    <x v="0"/>
    <x v="0"/>
    <x v="0"/>
    <x v="0"/>
    <n v="1"/>
  </r>
  <r>
    <s v="Rua Junquilhos, 332 [Q]"/>
    <x v="0"/>
    <x v="3"/>
    <x v="1"/>
    <x v="0"/>
    <x v="6"/>
    <x v="4"/>
    <x v="2"/>
    <x v="0"/>
    <x v="0"/>
    <x v="0"/>
    <x v="0"/>
    <x v="0"/>
    <x v="0"/>
    <n v="1"/>
  </r>
  <r>
    <s v="Rua Junquilhos, 332 [Q]"/>
    <x v="0"/>
    <x v="3"/>
    <x v="1"/>
    <x v="1"/>
    <x v="4"/>
    <x v="2"/>
    <x v="2"/>
    <x v="0"/>
    <x v="0"/>
    <x v="0"/>
    <x v="0"/>
    <x v="0"/>
    <x v="0"/>
    <n v="1"/>
  </r>
  <r>
    <s v="Rua Junquilhos, 332 [Q]"/>
    <x v="0"/>
    <x v="3"/>
    <x v="1"/>
    <x v="2"/>
    <x v="5"/>
    <x v="3"/>
    <x v="2"/>
    <x v="0"/>
    <x v="0"/>
    <x v="0"/>
    <x v="0"/>
    <x v="0"/>
    <x v="0"/>
    <n v="1"/>
  </r>
  <r>
    <s v="Rua Rio Grande do Norte, 883 [Q]"/>
    <x v="0"/>
    <x v="1"/>
    <x v="2"/>
    <x v="0"/>
    <x v="3"/>
    <x v="1"/>
    <x v="2"/>
    <x v="0"/>
    <x v="0"/>
    <x v="0"/>
    <x v="0"/>
    <x v="0"/>
    <x v="0"/>
    <n v="1"/>
  </r>
  <r>
    <s v="Rua Rio Grande do Norte, 883 [Q]"/>
    <x v="0"/>
    <x v="1"/>
    <x v="2"/>
    <x v="1"/>
    <x v="7"/>
    <x v="5"/>
    <x v="2"/>
    <x v="0"/>
    <x v="0"/>
    <x v="0"/>
    <x v="0"/>
    <x v="0"/>
    <x v="0"/>
    <n v="1"/>
  </r>
  <r>
    <s v="Rua Rio Grande do Norte, 883 [Q]"/>
    <x v="0"/>
    <x v="1"/>
    <x v="2"/>
    <x v="2"/>
    <x v="8"/>
    <x v="6"/>
    <x v="2"/>
    <x v="0"/>
    <x v="0"/>
    <x v="0"/>
    <x v="0"/>
    <x v="0"/>
    <x v="0"/>
    <n v="1"/>
  </r>
  <r>
    <s v="Avenida A-Treze, 217 [Q]"/>
    <x v="0"/>
    <x v="2"/>
    <x v="3"/>
    <x v="0"/>
    <x v="38"/>
    <x v="31"/>
    <x v="2"/>
    <x v="1"/>
    <x v="0"/>
    <x v="2"/>
    <x v="0"/>
    <x v="0"/>
    <x v="0"/>
    <n v="1"/>
  </r>
  <r>
    <s v="Avenida A-Treze, 217 [Q]"/>
    <x v="0"/>
    <x v="2"/>
    <x v="3"/>
    <x v="1"/>
    <x v="15"/>
    <x v="12"/>
    <x v="2"/>
    <x v="1"/>
    <x v="0"/>
    <x v="2"/>
    <x v="0"/>
    <x v="0"/>
    <x v="0"/>
    <n v="1"/>
  </r>
  <r>
    <s v="Avenida A-Treze, 217 [Q]"/>
    <x v="0"/>
    <x v="2"/>
    <x v="3"/>
    <x v="2"/>
    <x v="2"/>
    <x v="0"/>
    <x v="2"/>
    <x v="1"/>
    <x v="0"/>
    <x v="2"/>
    <x v="0"/>
    <x v="0"/>
    <x v="0"/>
    <n v="1"/>
  </r>
  <r>
    <s v="Rua Arthur Hoffmeister, 775 [Q]"/>
    <x v="0"/>
    <x v="3"/>
    <x v="1"/>
    <x v="0"/>
    <x v="23"/>
    <x v="18"/>
    <x v="2"/>
    <x v="0"/>
    <x v="0"/>
    <x v="1"/>
    <x v="0"/>
    <x v="0"/>
    <x v="0"/>
    <n v="1"/>
  </r>
  <r>
    <s v="Rua Arthur Hoffmeister, 775 [Q]"/>
    <x v="0"/>
    <x v="3"/>
    <x v="1"/>
    <x v="1"/>
    <x v="16"/>
    <x v="13"/>
    <x v="2"/>
    <x v="0"/>
    <x v="0"/>
    <x v="1"/>
    <x v="0"/>
    <x v="0"/>
    <x v="0"/>
    <n v="1"/>
  </r>
  <r>
    <s v="Rua Arthur Hoffmeister, 775 [Q]"/>
    <x v="0"/>
    <x v="3"/>
    <x v="1"/>
    <x v="2"/>
    <x v="5"/>
    <x v="3"/>
    <x v="2"/>
    <x v="0"/>
    <x v="0"/>
    <x v="1"/>
    <x v="0"/>
    <x v="0"/>
    <x v="0"/>
    <n v="1"/>
  </r>
  <r>
    <s v="Rua Bem-me-quer, 576 [Q]"/>
    <x v="0"/>
    <x v="3"/>
    <x v="1"/>
    <x v="0"/>
    <x v="6"/>
    <x v="4"/>
    <x v="2"/>
    <x v="0"/>
    <x v="0"/>
    <x v="0"/>
    <x v="0"/>
    <x v="0"/>
    <x v="0"/>
    <n v="1"/>
  </r>
  <r>
    <s v="Rua Bem-me-quer, 576 [Q]"/>
    <x v="0"/>
    <x v="3"/>
    <x v="1"/>
    <x v="1"/>
    <x v="7"/>
    <x v="5"/>
    <x v="2"/>
    <x v="0"/>
    <x v="0"/>
    <x v="0"/>
    <x v="0"/>
    <x v="0"/>
    <x v="0"/>
    <n v="1"/>
  </r>
  <r>
    <s v="Rua Bem-me-quer, 576 [Q]"/>
    <x v="0"/>
    <x v="3"/>
    <x v="1"/>
    <x v="2"/>
    <x v="8"/>
    <x v="6"/>
    <x v="2"/>
    <x v="0"/>
    <x v="0"/>
    <x v="0"/>
    <x v="0"/>
    <x v="0"/>
    <x v="0"/>
    <n v="1"/>
  </r>
  <r>
    <s v="Rua Julio de Castilhos, 308 [Q]"/>
    <x v="0"/>
    <x v="3"/>
    <x v="2"/>
    <x v="0"/>
    <x v="35"/>
    <x v="28"/>
    <x v="2"/>
    <x v="0"/>
    <x v="0"/>
    <x v="0"/>
    <x v="0"/>
    <x v="0"/>
    <x v="0"/>
    <n v="1"/>
  </r>
  <r>
    <s v="Rua Julio de Castilhos, 308 [Q]"/>
    <x v="0"/>
    <x v="3"/>
    <x v="2"/>
    <x v="1"/>
    <x v="17"/>
    <x v="14"/>
    <x v="2"/>
    <x v="0"/>
    <x v="0"/>
    <x v="0"/>
    <x v="0"/>
    <x v="0"/>
    <x v="0"/>
    <n v="1"/>
  </r>
  <r>
    <s v="Rua Julio de Castilhos, 308 [Q]"/>
    <x v="0"/>
    <x v="3"/>
    <x v="2"/>
    <x v="2"/>
    <x v="22"/>
    <x v="17"/>
    <x v="2"/>
    <x v="0"/>
    <x v="0"/>
    <x v="0"/>
    <x v="0"/>
    <x v="0"/>
    <x v="0"/>
    <n v="1"/>
  </r>
  <r>
    <s v="Rua Santa Barbara, 274 [Q]"/>
    <x v="0"/>
    <x v="3"/>
    <x v="1"/>
    <x v="0"/>
    <x v="10"/>
    <x v="8"/>
    <x v="2"/>
    <x v="0"/>
    <x v="0"/>
    <x v="0"/>
    <x v="0"/>
    <x v="0"/>
    <x v="0"/>
    <n v="1"/>
  </r>
  <r>
    <s v="Rua Santa Barbara, 274 [Q]"/>
    <x v="0"/>
    <x v="3"/>
    <x v="1"/>
    <x v="1"/>
    <x v="4"/>
    <x v="2"/>
    <x v="2"/>
    <x v="0"/>
    <x v="0"/>
    <x v="0"/>
    <x v="0"/>
    <x v="0"/>
    <x v="0"/>
    <n v="1"/>
  </r>
  <r>
    <s v="Rua Santa Barbara, 274 [Q]"/>
    <x v="0"/>
    <x v="3"/>
    <x v="1"/>
    <x v="2"/>
    <x v="5"/>
    <x v="3"/>
    <x v="2"/>
    <x v="0"/>
    <x v="0"/>
    <x v="0"/>
    <x v="0"/>
    <x v="0"/>
    <x v="0"/>
    <n v="1"/>
  </r>
  <r>
    <s v="Avenida Beira-Mar, 46 [E]"/>
    <x v="0"/>
    <x v="3"/>
    <x v="0"/>
    <x v="0"/>
    <x v="39"/>
    <x v="32"/>
    <x v="2"/>
    <x v="1"/>
    <x v="1"/>
    <x v="0"/>
    <x v="0"/>
    <x v="1"/>
    <x v="0"/>
    <n v="1"/>
  </r>
  <r>
    <s v="Avenida Beira-Mar, 46 [E]"/>
    <x v="0"/>
    <x v="3"/>
    <x v="0"/>
    <x v="1"/>
    <x v="31"/>
    <x v="26"/>
    <x v="2"/>
    <x v="0"/>
    <x v="0"/>
    <x v="0"/>
    <x v="0"/>
    <x v="0"/>
    <x v="0"/>
    <n v="1"/>
  </r>
  <r>
    <s v="Avenida Beira-Mar, 46 [E]"/>
    <x v="0"/>
    <x v="3"/>
    <x v="0"/>
    <x v="2"/>
    <x v="37"/>
    <x v="30"/>
    <x v="2"/>
    <x v="0"/>
    <x v="0"/>
    <x v="0"/>
    <x v="0"/>
    <x v="0"/>
    <x v="0"/>
    <n v="1"/>
  </r>
  <r>
    <s v="Avenida Beira-Mar, 188 [E]"/>
    <x v="0"/>
    <x v="4"/>
    <x v="0"/>
    <x v="0"/>
    <x v="19"/>
    <x v="16"/>
    <x v="2"/>
    <x v="0"/>
    <x v="1"/>
    <x v="0"/>
    <x v="0"/>
    <x v="1"/>
    <x v="0"/>
    <n v="1"/>
  </r>
  <r>
    <s v="Avenida Beira-Mar, 188 [E]"/>
    <x v="0"/>
    <x v="4"/>
    <x v="0"/>
    <x v="1"/>
    <x v="17"/>
    <x v="14"/>
    <x v="2"/>
    <x v="0"/>
    <x v="1"/>
    <x v="0"/>
    <x v="0"/>
    <x v="1"/>
    <x v="0"/>
    <n v="1"/>
  </r>
  <r>
    <s v="Avenida Beira-Mar, 188 [E]"/>
    <x v="0"/>
    <x v="4"/>
    <x v="0"/>
    <x v="2"/>
    <x v="40"/>
    <x v="12"/>
    <x v="2"/>
    <x v="0"/>
    <x v="1"/>
    <x v="0"/>
    <x v="0"/>
    <x v="1"/>
    <x v="0"/>
    <n v="1"/>
  </r>
  <r>
    <s v="Avenida Beira-Mar, 562 [E]"/>
    <x v="0"/>
    <x v="4"/>
    <x v="0"/>
    <x v="0"/>
    <x v="0"/>
    <x v="0"/>
    <x v="2"/>
    <x v="0"/>
    <x v="0"/>
    <x v="2"/>
    <x v="0"/>
    <x v="0"/>
    <x v="0"/>
    <n v="1"/>
  </r>
  <r>
    <s v="Avenida Beira-Mar, 562 [E]"/>
    <x v="0"/>
    <x v="4"/>
    <x v="0"/>
    <x v="1"/>
    <x v="36"/>
    <x v="29"/>
    <x v="2"/>
    <x v="0"/>
    <x v="0"/>
    <x v="2"/>
    <x v="0"/>
    <x v="0"/>
    <x v="0"/>
    <n v="1"/>
  </r>
  <r>
    <s v="Avenida Beira-Mar, 562 [E]"/>
    <x v="0"/>
    <x v="4"/>
    <x v="0"/>
    <x v="2"/>
    <x v="20"/>
    <x v="16"/>
    <x v="2"/>
    <x v="0"/>
    <x v="0"/>
    <x v="2"/>
    <x v="0"/>
    <x v="0"/>
    <x v="0"/>
    <n v="1"/>
  </r>
  <r>
    <s v="Rua Zakynthos, 345 [E]"/>
    <x v="0"/>
    <x v="3"/>
    <x v="2"/>
    <x v="0"/>
    <x v="18"/>
    <x v="15"/>
    <x v="2"/>
    <x v="0"/>
    <x v="0"/>
    <x v="0"/>
    <x v="0"/>
    <x v="0"/>
    <x v="0"/>
    <n v="1"/>
  </r>
  <r>
    <s v="Rua Zakynthos, 345 [E]"/>
    <x v="0"/>
    <x v="3"/>
    <x v="2"/>
    <x v="1"/>
    <x v="11"/>
    <x v="9"/>
    <x v="2"/>
    <x v="0"/>
    <x v="0"/>
    <x v="0"/>
    <x v="0"/>
    <x v="0"/>
    <x v="0"/>
    <n v="1"/>
  </r>
  <r>
    <s v="Rua Zakynthos, 345 [E]"/>
    <x v="0"/>
    <x v="3"/>
    <x v="2"/>
    <x v="2"/>
    <x v="8"/>
    <x v="6"/>
    <x v="2"/>
    <x v="0"/>
    <x v="0"/>
    <x v="0"/>
    <x v="0"/>
    <x v="0"/>
    <x v="0"/>
    <n v="1"/>
  </r>
  <r>
    <s v="Rua Bremen, 50 [E]"/>
    <x v="0"/>
    <x v="3"/>
    <x v="2"/>
    <x v="0"/>
    <x v="18"/>
    <x v="15"/>
    <x v="2"/>
    <x v="0"/>
    <x v="0"/>
    <x v="0"/>
    <x v="0"/>
    <x v="0"/>
    <x v="0"/>
    <n v="1"/>
  </r>
  <r>
    <s v="Rua Bremen, 50 [E]"/>
    <x v="0"/>
    <x v="3"/>
    <x v="2"/>
    <x v="1"/>
    <x v="11"/>
    <x v="9"/>
    <x v="2"/>
    <x v="0"/>
    <x v="0"/>
    <x v="0"/>
    <x v="0"/>
    <x v="0"/>
    <x v="0"/>
    <n v="1"/>
  </r>
  <r>
    <s v="Rua Bremen, 50 [E]"/>
    <x v="0"/>
    <x v="3"/>
    <x v="2"/>
    <x v="2"/>
    <x v="8"/>
    <x v="6"/>
    <x v="2"/>
    <x v="0"/>
    <x v="0"/>
    <x v="0"/>
    <x v="0"/>
    <x v="0"/>
    <x v="0"/>
    <n v="1"/>
  </r>
  <r>
    <s v="Rua Colonia, 47 [E]"/>
    <x v="0"/>
    <x v="3"/>
    <x v="2"/>
    <x v="0"/>
    <x v="6"/>
    <x v="4"/>
    <x v="2"/>
    <x v="0"/>
    <x v="0"/>
    <x v="0"/>
    <x v="0"/>
    <x v="0"/>
    <x v="0"/>
    <n v="1"/>
  </r>
  <r>
    <s v="Rua Colonia, 47 [E]"/>
    <x v="0"/>
    <x v="3"/>
    <x v="2"/>
    <x v="1"/>
    <x v="4"/>
    <x v="2"/>
    <x v="2"/>
    <x v="0"/>
    <x v="0"/>
    <x v="0"/>
    <x v="0"/>
    <x v="0"/>
    <x v="0"/>
    <n v="1"/>
  </r>
  <r>
    <s v="Rua Colonia, 47 [E]"/>
    <x v="0"/>
    <x v="3"/>
    <x v="2"/>
    <x v="2"/>
    <x v="5"/>
    <x v="3"/>
    <x v="2"/>
    <x v="0"/>
    <x v="0"/>
    <x v="0"/>
    <x v="0"/>
    <x v="0"/>
    <x v="0"/>
    <n v="1"/>
  </r>
  <r>
    <s v="Rua Creta, 486 [E]"/>
    <x v="0"/>
    <x v="3"/>
    <x v="2"/>
    <x v="0"/>
    <x v="18"/>
    <x v="15"/>
    <x v="2"/>
    <x v="0"/>
    <x v="0"/>
    <x v="0"/>
    <x v="0"/>
    <x v="0"/>
    <x v="0"/>
    <n v="1"/>
  </r>
  <r>
    <s v="Rua Creta, 486 [E]"/>
    <x v="0"/>
    <x v="3"/>
    <x v="2"/>
    <x v="1"/>
    <x v="11"/>
    <x v="9"/>
    <x v="2"/>
    <x v="0"/>
    <x v="0"/>
    <x v="0"/>
    <x v="0"/>
    <x v="0"/>
    <x v="0"/>
    <n v="1"/>
  </r>
  <r>
    <s v="Rua Creta, 486 [E]"/>
    <x v="0"/>
    <x v="3"/>
    <x v="2"/>
    <x v="2"/>
    <x v="13"/>
    <x v="9"/>
    <x v="2"/>
    <x v="0"/>
    <x v="0"/>
    <x v="0"/>
    <x v="0"/>
    <x v="0"/>
    <x v="0"/>
    <n v="1"/>
  </r>
  <r>
    <s v="Rua Projetada [E]"/>
    <x v="0"/>
    <x v="3"/>
    <x v="2"/>
    <x v="0"/>
    <x v="18"/>
    <x v="15"/>
    <x v="2"/>
    <x v="0"/>
    <x v="0"/>
    <x v="0"/>
    <x v="0"/>
    <x v="0"/>
    <x v="0"/>
    <n v="1"/>
  </r>
  <r>
    <s v="Rua Projetada [E]"/>
    <x v="0"/>
    <x v="3"/>
    <x v="2"/>
    <x v="1"/>
    <x v="11"/>
    <x v="9"/>
    <x v="2"/>
    <x v="0"/>
    <x v="0"/>
    <x v="0"/>
    <x v="0"/>
    <x v="0"/>
    <x v="0"/>
    <n v="1"/>
  </r>
  <r>
    <s v="Rua Projetada [E]"/>
    <x v="0"/>
    <x v="3"/>
    <x v="2"/>
    <x v="2"/>
    <x v="8"/>
    <x v="6"/>
    <x v="2"/>
    <x v="0"/>
    <x v="0"/>
    <x v="0"/>
    <x v="0"/>
    <x v="0"/>
    <x v="0"/>
    <n v="1"/>
  </r>
  <r>
    <s v="Rua A-Doze das Carvinas, 196 [E]"/>
    <x v="0"/>
    <x v="5"/>
    <x v="2"/>
    <x v="0"/>
    <x v="18"/>
    <x v="15"/>
    <x v="2"/>
    <x v="0"/>
    <x v="0"/>
    <x v="0"/>
    <x v="0"/>
    <x v="0"/>
    <x v="0"/>
    <n v="1"/>
  </r>
  <r>
    <s v="Rua A-Doze das Carvinas, 196 [E]"/>
    <x v="0"/>
    <x v="5"/>
    <x v="2"/>
    <x v="1"/>
    <x v="11"/>
    <x v="9"/>
    <x v="2"/>
    <x v="0"/>
    <x v="0"/>
    <x v="0"/>
    <x v="0"/>
    <x v="0"/>
    <x v="0"/>
    <n v="1"/>
  </r>
  <r>
    <s v="Rua A-Doze das Carvinas, 196 [E]"/>
    <x v="0"/>
    <x v="5"/>
    <x v="2"/>
    <x v="2"/>
    <x v="8"/>
    <x v="6"/>
    <x v="2"/>
    <x v="0"/>
    <x v="0"/>
    <x v="0"/>
    <x v="0"/>
    <x v="0"/>
    <x v="0"/>
    <n v="1"/>
  </r>
  <r>
    <s v="Rua dos Lirios, 22 [E]"/>
    <x v="0"/>
    <x v="3"/>
    <x v="2"/>
    <x v="0"/>
    <x v="18"/>
    <x v="15"/>
    <x v="2"/>
    <x v="0"/>
    <x v="0"/>
    <x v="0"/>
    <x v="0"/>
    <x v="0"/>
    <x v="0"/>
    <n v="1"/>
  </r>
  <r>
    <s v="Rua dos Lirios, 22 [E]"/>
    <x v="0"/>
    <x v="3"/>
    <x v="2"/>
    <x v="1"/>
    <x v="11"/>
    <x v="9"/>
    <x v="2"/>
    <x v="0"/>
    <x v="0"/>
    <x v="0"/>
    <x v="0"/>
    <x v="0"/>
    <x v="0"/>
    <n v="1"/>
  </r>
  <r>
    <s v="Rua dos Lirios, 22 [E]"/>
    <x v="0"/>
    <x v="3"/>
    <x v="2"/>
    <x v="2"/>
    <x v="8"/>
    <x v="6"/>
    <x v="2"/>
    <x v="0"/>
    <x v="0"/>
    <x v="0"/>
    <x v="0"/>
    <x v="0"/>
    <x v="0"/>
    <n v="1"/>
  </r>
  <r>
    <s v="Rua B das Begonias, 922 [E]"/>
    <x v="0"/>
    <x v="3"/>
    <x v="2"/>
    <x v="0"/>
    <x v="18"/>
    <x v="15"/>
    <x v="2"/>
    <x v="0"/>
    <x v="0"/>
    <x v="0"/>
    <x v="0"/>
    <x v="0"/>
    <x v="0"/>
    <n v="1"/>
  </r>
  <r>
    <s v="Rua B das Begonias, 922 [E]"/>
    <x v="0"/>
    <x v="3"/>
    <x v="2"/>
    <x v="1"/>
    <x v="11"/>
    <x v="9"/>
    <x v="2"/>
    <x v="0"/>
    <x v="0"/>
    <x v="0"/>
    <x v="0"/>
    <x v="0"/>
    <x v="0"/>
    <n v="1"/>
  </r>
  <r>
    <s v="Rua B das Begonias, 922 [E]"/>
    <x v="0"/>
    <x v="3"/>
    <x v="2"/>
    <x v="2"/>
    <x v="8"/>
    <x v="6"/>
    <x v="2"/>
    <x v="0"/>
    <x v="0"/>
    <x v="0"/>
    <x v="0"/>
    <x v="0"/>
    <x v="0"/>
    <n v="1"/>
  </r>
  <r>
    <s v="Rua Vitoria Regia, 321 [E]"/>
    <x v="0"/>
    <x v="4"/>
    <x v="2"/>
    <x v="0"/>
    <x v="6"/>
    <x v="4"/>
    <x v="2"/>
    <x v="0"/>
    <x v="0"/>
    <x v="0"/>
    <x v="0"/>
    <x v="0"/>
    <x v="0"/>
    <n v="1"/>
  </r>
  <r>
    <s v="Rua Vitoria Regia, 321 [E]"/>
    <x v="0"/>
    <x v="4"/>
    <x v="2"/>
    <x v="1"/>
    <x v="7"/>
    <x v="5"/>
    <x v="2"/>
    <x v="0"/>
    <x v="0"/>
    <x v="0"/>
    <x v="0"/>
    <x v="0"/>
    <x v="0"/>
    <n v="1"/>
  </r>
  <r>
    <s v="Rua Vitoria Regia, 321 [E]"/>
    <x v="0"/>
    <x v="4"/>
    <x v="2"/>
    <x v="2"/>
    <x v="13"/>
    <x v="9"/>
    <x v="2"/>
    <x v="0"/>
    <x v="0"/>
    <x v="0"/>
    <x v="0"/>
    <x v="0"/>
    <x v="0"/>
    <n v="1"/>
  </r>
  <r>
    <s v="Rua Vitoria Regia, 431 [E]"/>
    <x v="0"/>
    <x v="3"/>
    <x v="2"/>
    <x v="0"/>
    <x v="3"/>
    <x v="1"/>
    <x v="2"/>
    <x v="0"/>
    <x v="0"/>
    <x v="0"/>
    <x v="0"/>
    <x v="0"/>
    <x v="0"/>
    <n v="1"/>
  </r>
  <r>
    <s v="Rua Vitoria Regia, 431 [E]"/>
    <x v="0"/>
    <x v="3"/>
    <x v="2"/>
    <x v="1"/>
    <x v="7"/>
    <x v="5"/>
    <x v="2"/>
    <x v="0"/>
    <x v="0"/>
    <x v="0"/>
    <x v="0"/>
    <x v="0"/>
    <x v="0"/>
    <n v="1"/>
  </r>
  <r>
    <s v="Rua Vitoria Regia, 431 [E]"/>
    <x v="0"/>
    <x v="3"/>
    <x v="2"/>
    <x v="2"/>
    <x v="5"/>
    <x v="3"/>
    <x v="2"/>
    <x v="0"/>
    <x v="0"/>
    <x v="0"/>
    <x v="0"/>
    <x v="0"/>
    <x v="0"/>
    <n v="1"/>
  </r>
  <r>
    <s v="Avenida Jardim Atlantico, 553 [E]"/>
    <x v="0"/>
    <x v="1"/>
    <x v="3"/>
    <x v="0"/>
    <x v="34"/>
    <x v="27"/>
    <x v="2"/>
    <x v="0"/>
    <x v="0"/>
    <x v="0"/>
    <x v="0"/>
    <x v="0"/>
    <x v="0"/>
    <n v="1"/>
  </r>
  <r>
    <s v="Avenida Jardim Atlantico, 553 [E]"/>
    <x v="0"/>
    <x v="1"/>
    <x v="3"/>
    <x v="1"/>
    <x v="17"/>
    <x v="14"/>
    <x v="2"/>
    <x v="2"/>
    <x v="2"/>
    <x v="0"/>
    <x v="0"/>
    <x v="1"/>
    <x v="0"/>
    <n v="1"/>
  </r>
  <r>
    <s v="Avenida Jardim Atlantico, 553 [E]"/>
    <x v="0"/>
    <x v="1"/>
    <x v="3"/>
    <x v="2"/>
    <x v="29"/>
    <x v="24"/>
    <x v="2"/>
    <x v="0"/>
    <x v="0"/>
    <x v="0"/>
    <x v="0"/>
    <x v="0"/>
    <x v="0"/>
    <n v="1"/>
  </r>
  <r>
    <s v="Rua F das Camelias, 447 [E]"/>
    <x v="0"/>
    <x v="3"/>
    <x v="2"/>
    <x v="0"/>
    <x v="9"/>
    <x v="7"/>
    <x v="2"/>
    <x v="0"/>
    <x v="0"/>
    <x v="2"/>
    <x v="0"/>
    <x v="0"/>
    <x v="0"/>
    <n v="1"/>
  </r>
  <r>
    <s v="Rua F das Camelias, 447 [E]"/>
    <x v="0"/>
    <x v="3"/>
    <x v="2"/>
    <x v="1"/>
    <x v="4"/>
    <x v="2"/>
    <x v="2"/>
    <x v="0"/>
    <x v="0"/>
    <x v="2"/>
    <x v="0"/>
    <x v="0"/>
    <x v="0"/>
    <n v="1"/>
  </r>
  <r>
    <s v="Rua F das Camelias, 447 [E]"/>
    <x v="0"/>
    <x v="3"/>
    <x v="2"/>
    <x v="2"/>
    <x v="5"/>
    <x v="3"/>
    <x v="2"/>
    <x v="0"/>
    <x v="0"/>
    <x v="2"/>
    <x v="0"/>
    <x v="0"/>
    <x v="0"/>
    <n v="1"/>
  </r>
  <r>
    <s v="Rua A-Seis dos Jasmins, 314 [E]"/>
    <x v="0"/>
    <x v="1"/>
    <x v="1"/>
    <x v="0"/>
    <x v="3"/>
    <x v="1"/>
    <x v="2"/>
    <x v="0"/>
    <x v="0"/>
    <x v="0"/>
    <x v="0"/>
    <x v="0"/>
    <x v="0"/>
    <n v="1"/>
  </r>
  <r>
    <s v="Rua A-Seis dos Jasmins, 314 [E]"/>
    <x v="0"/>
    <x v="1"/>
    <x v="1"/>
    <x v="1"/>
    <x v="16"/>
    <x v="13"/>
    <x v="2"/>
    <x v="0"/>
    <x v="0"/>
    <x v="0"/>
    <x v="0"/>
    <x v="0"/>
    <x v="0"/>
    <n v="1"/>
  </r>
  <r>
    <s v="Rua A-Seis dos Jasmins, 314 [E]"/>
    <x v="0"/>
    <x v="1"/>
    <x v="1"/>
    <x v="2"/>
    <x v="5"/>
    <x v="3"/>
    <x v="2"/>
    <x v="0"/>
    <x v="0"/>
    <x v="0"/>
    <x v="0"/>
    <x v="0"/>
    <x v="0"/>
    <n v="1"/>
  </r>
  <r>
    <s v="Rua B das Begonias, 307 [E]"/>
    <x v="0"/>
    <x v="3"/>
    <x v="1"/>
    <x v="0"/>
    <x v="3"/>
    <x v="1"/>
    <x v="2"/>
    <x v="0"/>
    <x v="0"/>
    <x v="0"/>
    <x v="0"/>
    <x v="0"/>
    <x v="0"/>
    <n v="1"/>
  </r>
  <r>
    <s v="Rua B das Begonias, 307 [E]"/>
    <x v="0"/>
    <x v="3"/>
    <x v="1"/>
    <x v="1"/>
    <x v="4"/>
    <x v="2"/>
    <x v="2"/>
    <x v="0"/>
    <x v="0"/>
    <x v="0"/>
    <x v="0"/>
    <x v="0"/>
    <x v="0"/>
    <n v="1"/>
  </r>
  <r>
    <s v="Rua B das Begonias, 307 [E]"/>
    <x v="0"/>
    <x v="3"/>
    <x v="1"/>
    <x v="2"/>
    <x v="5"/>
    <x v="3"/>
    <x v="2"/>
    <x v="0"/>
    <x v="0"/>
    <x v="0"/>
    <x v="0"/>
    <x v="0"/>
    <x v="0"/>
    <n v="1"/>
  </r>
  <r>
    <s v="Rua T-Oito, 266 [E]"/>
    <x v="0"/>
    <x v="3"/>
    <x v="1"/>
    <x v="0"/>
    <x v="6"/>
    <x v="4"/>
    <x v="3"/>
    <x v="0"/>
    <x v="0"/>
    <x v="0"/>
    <x v="0"/>
    <x v="0"/>
    <x v="0"/>
    <n v="1"/>
  </r>
  <r>
    <s v="Rua T-Oito, 266 [E]"/>
    <x v="0"/>
    <x v="3"/>
    <x v="1"/>
    <x v="1"/>
    <x v="4"/>
    <x v="2"/>
    <x v="3"/>
    <x v="0"/>
    <x v="0"/>
    <x v="0"/>
    <x v="0"/>
    <x v="0"/>
    <x v="0"/>
    <n v="1"/>
  </r>
  <r>
    <s v="Rua T-Oito, 266 [E]"/>
    <x v="0"/>
    <x v="3"/>
    <x v="1"/>
    <x v="2"/>
    <x v="5"/>
    <x v="3"/>
    <x v="3"/>
    <x v="0"/>
    <x v="0"/>
    <x v="0"/>
    <x v="0"/>
    <x v="0"/>
    <x v="0"/>
    <n v="1"/>
  </r>
  <r>
    <s v="Rua Rondonia, 1995"/>
    <x v="0"/>
    <x v="4"/>
    <x v="2"/>
    <x v="0"/>
    <x v="6"/>
    <x v="4"/>
    <x v="3"/>
    <x v="0"/>
    <x v="0"/>
    <x v="0"/>
    <x v="0"/>
    <x v="0"/>
    <x v="0"/>
    <n v="1"/>
  </r>
  <r>
    <s v="Rua Rondonia, 1995"/>
    <x v="0"/>
    <x v="4"/>
    <x v="2"/>
    <x v="1"/>
    <x v="7"/>
    <x v="5"/>
    <x v="3"/>
    <x v="0"/>
    <x v="0"/>
    <x v="0"/>
    <x v="0"/>
    <x v="0"/>
    <x v="0"/>
    <n v="1"/>
  </r>
  <r>
    <s v="Rua Rondonia, 1995"/>
    <x v="0"/>
    <x v="4"/>
    <x v="2"/>
    <x v="2"/>
    <x v="8"/>
    <x v="6"/>
    <x v="3"/>
    <x v="0"/>
    <x v="0"/>
    <x v="0"/>
    <x v="0"/>
    <x v="0"/>
    <x v="0"/>
    <n v="1"/>
  </r>
  <r>
    <s v="Rua Brasilia, 2239"/>
    <x v="0"/>
    <x v="4"/>
    <x v="2"/>
    <x v="0"/>
    <x v="6"/>
    <x v="4"/>
    <x v="2"/>
    <x v="0"/>
    <x v="0"/>
    <x v="0"/>
    <x v="0"/>
    <x v="0"/>
    <x v="0"/>
    <n v="1"/>
  </r>
  <r>
    <s v="Rua Brasilia, 2239"/>
    <x v="0"/>
    <x v="4"/>
    <x v="2"/>
    <x v="1"/>
    <x v="4"/>
    <x v="2"/>
    <x v="2"/>
    <x v="0"/>
    <x v="0"/>
    <x v="0"/>
    <x v="0"/>
    <x v="0"/>
    <x v="0"/>
    <n v="1"/>
  </r>
  <r>
    <s v="Rua Brasilia, 2239"/>
    <x v="0"/>
    <x v="4"/>
    <x v="2"/>
    <x v="2"/>
    <x v="5"/>
    <x v="3"/>
    <x v="2"/>
    <x v="0"/>
    <x v="0"/>
    <x v="0"/>
    <x v="0"/>
    <x v="0"/>
    <x v="0"/>
    <n v="1"/>
  </r>
  <r>
    <s v="Rua Espirito Santo, 2156"/>
    <x v="0"/>
    <x v="3"/>
    <x v="2"/>
    <x v="0"/>
    <x v="3"/>
    <x v="1"/>
    <x v="2"/>
    <x v="0"/>
    <x v="0"/>
    <x v="0"/>
    <x v="0"/>
    <x v="0"/>
    <x v="0"/>
    <n v="1"/>
  </r>
  <r>
    <s v="Rua Espirito Santo, 2156"/>
    <x v="0"/>
    <x v="3"/>
    <x v="2"/>
    <x v="1"/>
    <x v="4"/>
    <x v="2"/>
    <x v="2"/>
    <x v="0"/>
    <x v="0"/>
    <x v="0"/>
    <x v="0"/>
    <x v="0"/>
    <x v="0"/>
    <n v="1"/>
  </r>
  <r>
    <s v="Rua Espirito Santo, 2156"/>
    <x v="0"/>
    <x v="3"/>
    <x v="2"/>
    <x v="2"/>
    <x v="5"/>
    <x v="3"/>
    <x v="2"/>
    <x v="0"/>
    <x v="0"/>
    <x v="0"/>
    <x v="0"/>
    <x v="0"/>
    <x v="0"/>
    <n v="1"/>
  </r>
  <r>
    <s v="Avenida Manaus, 486"/>
    <x v="0"/>
    <x v="3"/>
    <x v="3"/>
    <x v="0"/>
    <x v="35"/>
    <x v="28"/>
    <x v="2"/>
    <x v="0"/>
    <x v="0"/>
    <x v="2"/>
    <x v="0"/>
    <x v="0"/>
    <x v="0"/>
    <n v="1"/>
  </r>
  <r>
    <s v="Avenida Manaus, 486"/>
    <x v="0"/>
    <x v="3"/>
    <x v="3"/>
    <x v="1"/>
    <x v="36"/>
    <x v="29"/>
    <x v="2"/>
    <x v="0"/>
    <x v="0"/>
    <x v="2"/>
    <x v="0"/>
    <x v="0"/>
    <x v="0"/>
    <n v="1"/>
  </r>
  <r>
    <s v="Avenida Manaus, 486"/>
    <x v="0"/>
    <x v="3"/>
    <x v="3"/>
    <x v="2"/>
    <x v="37"/>
    <x v="30"/>
    <x v="2"/>
    <x v="0"/>
    <x v="0"/>
    <x v="2"/>
    <x v="0"/>
    <x v="0"/>
    <x v="0"/>
    <n v="1"/>
  </r>
  <r>
    <s v="Rua Brasilia, 2239"/>
    <x v="0"/>
    <x v="4"/>
    <x v="2"/>
    <x v="0"/>
    <x v="6"/>
    <x v="4"/>
    <x v="2"/>
    <x v="0"/>
    <x v="0"/>
    <x v="0"/>
    <x v="0"/>
    <x v="0"/>
    <x v="0"/>
    <n v="1"/>
  </r>
  <r>
    <s v="Rua Brasilia, 2239"/>
    <x v="0"/>
    <x v="4"/>
    <x v="2"/>
    <x v="1"/>
    <x v="7"/>
    <x v="5"/>
    <x v="2"/>
    <x v="0"/>
    <x v="0"/>
    <x v="0"/>
    <x v="0"/>
    <x v="0"/>
    <x v="0"/>
    <n v="1"/>
  </r>
  <r>
    <s v="Rua Brasilia, 2239"/>
    <x v="0"/>
    <x v="4"/>
    <x v="2"/>
    <x v="2"/>
    <x v="8"/>
    <x v="6"/>
    <x v="2"/>
    <x v="0"/>
    <x v="0"/>
    <x v="0"/>
    <x v="0"/>
    <x v="0"/>
    <x v="0"/>
    <n v="1"/>
  </r>
  <r>
    <s v="Rua Guanabara, 69"/>
    <x v="0"/>
    <x v="4"/>
    <x v="3"/>
    <x v="0"/>
    <x v="19"/>
    <x v="16"/>
    <x v="2"/>
    <x v="1"/>
    <x v="0"/>
    <x v="4"/>
    <x v="0"/>
    <x v="0"/>
    <x v="0"/>
    <n v="1"/>
  </r>
  <r>
    <s v="Rua Guanabara, 69"/>
    <x v="0"/>
    <x v="4"/>
    <x v="3"/>
    <x v="1"/>
    <x v="15"/>
    <x v="12"/>
    <x v="2"/>
    <x v="0"/>
    <x v="0"/>
    <x v="4"/>
    <x v="0"/>
    <x v="0"/>
    <x v="0"/>
    <n v="1"/>
  </r>
  <r>
    <s v="Rua Guanabara, 69"/>
    <x v="0"/>
    <x v="4"/>
    <x v="3"/>
    <x v="2"/>
    <x v="20"/>
    <x v="16"/>
    <x v="2"/>
    <x v="0"/>
    <x v="0"/>
    <x v="4"/>
    <x v="0"/>
    <x v="0"/>
    <x v="0"/>
    <n v="1"/>
  </r>
  <r>
    <s v="Rua Picada Cafe, 2671"/>
    <x v="0"/>
    <x v="3"/>
    <x v="2"/>
    <x v="0"/>
    <x v="18"/>
    <x v="15"/>
    <x v="2"/>
    <x v="0"/>
    <x v="0"/>
    <x v="0"/>
    <x v="0"/>
    <x v="0"/>
    <x v="0"/>
    <n v="1"/>
  </r>
  <r>
    <s v="Rua Picada Cafe, 2671"/>
    <x v="0"/>
    <x v="3"/>
    <x v="2"/>
    <x v="1"/>
    <x v="11"/>
    <x v="9"/>
    <x v="2"/>
    <x v="0"/>
    <x v="0"/>
    <x v="0"/>
    <x v="0"/>
    <x v="0"/>
    <x v="0"/>
    <n v="1"/>
  </r>
  <r>
    <s v="Rua Picada Cafe, 2671"/>
    <x v="0"/>
    <x v="3"/>
    <x v="2"/>
    <x v="2"/>
    <x v="20"/>
    <x v="16"/>
    <x v="2"/>
    <x v="0"/>
    <x v="0"/>
    <x v="0"/>
    <x v="0"/>
    <x v="0"/>
    <x v="0"/>
    <n v="1"/>
  </r>
  <r>
    <s v="Rua Picada Cafe, 565"/>
    <x v="0"/>
    <x v="4"/>
    <x v="2"/>
    <x v="0"/>
    <x v="18"/>
    <x v="15"/>
    <x v="2"/>
    <x v="0"/>
    <x v="0"/>
    <x v="0"/>
    <x v="0"/>
    <x v="0"/>
    <x v="0"/>
    <n v="1"/>
  </r>
  <r>
    <s v="Rua Picada Cafe, 565"/>
    <x v="0"/>
    <x v="4"/>
    <x v="2"/>
    <x v="1"/>
    <x v="11"/>
    <x v="9"/>
    <x v="2"/>
    <x v="0"/>
    <x v="0"/>
    <x v="0"/>
    <x v="0"/>
    <x v="0"/>
    <x v="0"/>
    <n v="1"/>
  </r>
  <r>
    <s v="Rua Picada Cafe, 565"/>
    <x v="0"/>
    <x v="4"/>
    <x v="2"/>
    <x v="2"/>
    <x v="20"/>
    <x v="16"/>
    <x v="2"/>
    <x v="0"/>
    <x v="0"/>
    <x v="0"/>
    <x v="0"/>
    <x v="0"/>
    <x v="0"/>
    <n v="1"/>
  </r>
  <r>
    <s v="Rua Arroio do Meio, 668"/>
    <x v="0"/>
    <x v="3"/>
    <x v="1"/>
    <x v="0"/>
    <x v="6"/>
    <x v="4"/>
    <x v="2"/>
    <x v="0"/>
    <x v="0"/>
    <x v="0"/>
    <x v="0"/>
    <x v="0"/>
    <x v="0"/>
    <n v="1"/>
  </r>
  <r>
    <s v="Rua Arroio do Meio, 668"/>
    <x v="0"/>
    <x v="3"/>
    <x v="1"/>
    <x v="1"/>
    <x v="7"/>
    <x v="5"/>
    <x v="2"/>
    <x v="0"/>
    <x v="0"/>
    <x v="0"/>
    <x v="0"/>
    <x v="0"/>
    <x v="0"/>
    <n v="1"/>
  </r>
  <r>
    <s v="Rua Arroio do Meio, 668"/>
    <x v="0"/>
    <x v="3"/>
    <x v="1"/>
    <x v="2"/>
    <x v="8"/>
    <x v="6"/>
    <x v="2"/>
    <x v="0"/>
    <x v="0"/>
    <x v="0"/>
    <x v="0"/>
    <x v="0"/>
    <x v="0"/>
    <n v="1"/>
  </r>
  <r>
    <s v="Rua Cristo, 695, 95593,"/>
    <x v="0"/>
    <x v="3"/>
    <x v="2"/>
    <x v="0"/>
    <x v="18"/>
    <x v="15"/>
    <x v="2"/>
    <x v="0"/>
    <x v="0"/>
    <x v="0"/>
    <x v="0"/>
    <x v="0"/>
    <x v="0"/>
    <n v="1"/>
  </r>
  <r>
    <s v="Rua Cristo, 695, 95593,"/>
    <x v="0"/>
    <x v="3"/>
    <x v="2"/>
    <x v="1"/>
    <x v="11"/>
    <x v="9"/>
    <x v="2"/>
    <x v="0"/>
    <x v="0"/>
    <x v="0"/>
    <x v="0"/>
    <x v="0"/>
    <x v="0"/>
    <n v="1"/>
  </r>
  <r>
    <s v="Rua Cristo, 695, 95593,"/>
    <x v="0"/>
    <x v="3"/>
    <x v="2"/>
    <x v="2"/>
    <x v="13"/>
    <x v="9"/>
    <x v="2"/>
    <x v="0"/>
    <x v="0"/>
    <x v="0"/>
    <x v="0"/>
    <x v="0"/>
    <x v="0"/>
    <n v="1"/>
  </r>
  <r>
    <s v="Rua Santo Cristo, 551"/>
    <x v="0"/>
    <x v="3"/>
    <x v="1"/>
    <x v="0"/>
    <x v="6"/>
    <x v="4"/>
    <x v="2"/>
    <x v="0"/>
    <x v="0"/>
    <x v="2"/>
    <x v="0"/>
    <x v="0"/>
    <x v="0"/>
    <n v="1"/>
  </r>
  <r>
    <s v="Rua Santo Cristo, 551"/>
    <x v="0"/>
    <x v="3"/>
    <x v="1"/>
    <x v="1"/>
    <x v="4"/>
    <x v="2"/>
    <x v="2"/>
    <x v="0"/>
    <x v="0"/>
    <x v="2"/>
    <x v="0"/>
    <x v="0"/>
    <x v="0"/>
    <n v="1"/>
  </r>
  <r>
    <s v="Rua Santo Cristo, 551"/>
    <x v="0"/>
    <x v="3"/>
    <x v="1"/>
    <x v="2"/>
    <x v="5"/>
    <x v="3"/>
    <x v="2"/>
    <x v="0"/>
    <x v="0"/>
    <x v="2"/>
    <x v="0"/>
    <x v="0"/>
    <x v="0"/>
    <n v="1"/>
  </r>
  <r>
    <s v="Rua Santo Antonio, 721"/>
    <x v="0"/>
    <x v="3"/>
    <x v="2"/>
    <x v="0"/>
    <x v="18"/>
    <x v="15"/>
    <x v="2"/>
    <x v="0"/>
    <x v="0"/>
    <x v="0"/>
    <x v="0"/>
    <x v="0"/>
    <x v="0"/>
    <n v="1"/>
  </r>
  <r>
    <s v="Rua Santo Antonio, 721"/>
    <x v="0"/>
    <x v="3"/>
    <x v="2"/>
    <x v="1"/>
    <x v="11"/>
    <x v="9"/>
    <x v="2"/>
    <x v="0"/>
    <x v="0"/>
    <x v="0"/>
    <x v="0"/>
    <x v="0"/>
    <x v="0"/>
    <n v="1"/>
  </r>
  <r>
    <s v="Rua Santo Antonio, 721"/>
    <x v="0"/>
    <x v="3"/>
    <x v="2"/>
    <x v="2"/>
    <x v="13"/>
    <x v="9"/>
    <x v="2"/>
    <x v="0"/>
    <x v="0"/>
    <x v="0"/>
    <x v="0"/>
    <x v="0"/>
    <x v="0"/>
    <n v="1"/>
  </r>
  <r>
    <s v="Rua Santo Angelo, 559"/>
    <x v="0"/>
    <x v="3"/>
    <x v="2"/>
    <x v="0"/>
    <x v="6"/>
    <x v="4"/>
    <x v="2"/>
    <x v="0"/>
    <x v="0"/>
    <x v="0"/>
    <x v="0"/>
    <x v="0"/>
    <x v="0"/>
    <n v="1"/>
  </r>
  <r>
    <s v="Rua Santo Angelo, 559"/>
    <x v="0"/>
    <x v="3"/>
    <x v="2"/>
    <x v="1"/>
    <x v="4"/>
    <x v="2"/>
    <x v="2"/>
    <x v="0"/>
    <x v="0"/>
    <x v="0"/>
    <x v="0"/>
    <x v="0"/>
    <x v="0"/>
    <n v="1"/>
  </r>
  <r>
    <s v="Rua Santo Angelo, 559"/>
    <x v="0"/>
    <x v="3"/>
    <x v="2"/>
    <x v="2"/>
    <x v="8"/>
    <x v="6"/>
    <x v="2"/>
    <x v="0"/>
    <x v="0"/>
    <x v="0"/>
    <x v="0"/>
    <x v="0"/>
    <x v="0"/>
    <n v="1"/>
  </r>
  <r>
    <s v="Rua Sao Francisco de Assis, 2771"/>
    <x v="0"/>
    <x v="3"/>
    <x v="2"/>
    <x v="0"/>
    <x v="6"/>
    <x v="4"/>
    <x v="2"/>
    <x v="0"/>
    <x v="0"/>
    <x v="0"/>
    <x v="0"/>
    <x v="0"/>
    <x v="0"/>
    <n v="1"/>
  </r>
  <r>
    <s v="Rua Sao Francisco de Assis, 2771"/>
    <x v="0"/>
    <x v="3"/>
    <x v="2"/>
    <x v="1"/>
    <x v="4"/>
    <x v="2"/>
    <x v="2"/>
    <x v="0"/>
    <x v="0"/>
    <x v="0"/>
    <x v="0"/>
    <x v="0"/>
    <x v="0"/>
    <n v="1"/>
  </r>
  <r>
    <s v="Rua Sao Francisco de Assis, 2771"/>
    <x v="0"/>
    <x v="3"/>
    <x v="2"/>
    <x v="2"/>
    <x v="5"/>
    <x v="3"/>
    <x v="2"/>
    <x v="0"/>
    <x v="0"/>
    <x v="0"/>
    <x v="0"/>
    <x v="0"/>
    <x v="0"/>
    <n v="1"/>
  </r>
  <r>
    <s v="Rua Sao Francisco de Assis, 2611"/>
    <x v="0"/>
    <x v="3"/>
    <x v="2"/>
    <x v="0"/>
    <x v="9"/>
    <x v="7"/>
    <x v="2"/>
    <x v="0"/>
    <x v="0"/>
    <x v="0"/>
    <x v="0"/>
    <x v="0"/>
    <x v="0"/>
    <n v="1"/>
  </r>
  <r>
    <s v="Rua Sao Francisco de Assis, 2611"/>
    <x v="0"/>
    <x v="3"/>
    <x v="2"/>
    <x v="1"/>
    <x v="7"/>
    <x v="5"/>
    <x v="2"/>
    <x v="0"/>
    <x v="0"/>
    <x v="0"/>
    <x v="0"/>
    <x v="0"/>
    <x v="0"/>
    <n v="1"/>
  </r>
  <r>
    <s v="Rua Sao Francisco de Assis, 2611"/>
    <x v="0"/>
    <x v="3"/>
    <x v="2"/>
    <x v="2"/>
    <x v="8"/>
    <x v="6"/>
    <x v="2"/>
    <x v="0"/>
    <x v="0"/>
    <x v="0"/>
    <x v="0"/>
    <x v="0"/>
    <x v="0"/>
    <n v="1"/>
  </r>
  <r>
    <s v="Rua Sao Vendelino, 2813"/>
    <x v="0"/>
    <x v="3"/>
    <x v="2"/>
    <x v="0"/>
    <x v="9"/>
    <x v="7"/>
    <x v="2"/>
    <x v="0"/>
    <x v="0"/>
    <x v="0"/>
    <x v="0"/>
    <x v="0"/>
    <x v="0"/>
    <n v="1"/>
  </r>
  <r>
    <s v="Rua Sao Vendelino, 2813"/>
    <x v="0"/>
    <x v="3"/>
    <x v="2"/>
    <x v="1"/>
    <x v="7"/>
    <x v="5"/>
    <x v="2"/>
    <x v="0"/>
    <x v="0"/>
    <x v="0"/>
    <x v="0"/>
    <x v="0"/>
    <x v="0"/>
    <n v="1"/>
  </r>
  <r>
    <s v="Rua Sao Vendelino, 2813"/>
    <x v="0"/>
    <x v="3"/>
    <x v="2"/>
    <x v="2"/>
    <x v="8"/>
    <x v="6"/>
    <x v="2"/>
    <x v="0"/>
    <x v="0"/>
    <x v="0"/>
    <x v="0"/>
    <x v="0"/>
    <x v="0"/>
    <n v="1"/>
  </r>
  <r>
    <s v="Rua Rio Grande do Norte, 277"/>
    <x v="0"/>
    <x v="3"/>
    <x v="2"/>
    <x v="0"/>
    <x v="9"/>
    <x v="7"/>
    <x v="2"/>
    <x v="0"/>
    <x v="0"/>
    <x v="0"/>
    <x v="0"/>
    <x v="0"/>
    <x v="0"/>
    <n v="1"/>
  </r>
  <r>
    <s v="Rua Rio Grande do Norte, 277"/>
    <x v="0"/>
    <x v="3"/>
    <x v="2"/>
    <x v="1"/>
    <x v="7"/>
    <x v="5"/>
    <x v="2"/>
    <x v="0"/>
    <x v="0"/>
    <x v="0"/>
    <x v="0"/>
    <x v="0"/>
    <x v="0"/>
    <n v="1"/>
  </r>
  <r>
    <s v="Rua Rio Grande do Norte, 277"/>
    <x v="0"/>
    <x v="3"/>
    <x v="2"/>
    <x v="2"/>
    <x v="8"/>
    <x v="6"/>
    <x v="2"/>
    <x v="5"/>
    <x v="0"/>
    <x v="0"/>
    <x v="0"/>
    <x v="0"/>
    <x v="0"/>
    <n v="1"/>
  </r>
  <r>
    <s v="Rua Sao Sebastiao do Cai, 2857"/>
    <x v="0"/>
    <x v="3"/>
    <x v="2"/>
    <x v="0"/>
    <x v="9"/>
    <x v="7"/>
    <x v="2"/>
    <x v="0"/>
    <x v="0"/>
    <x v="0"/>
    <x v="0"/>
    <x v="0"/>
    <x v="0"/>
    <n v="1"/>
  </r>
  <r>
    <s v="Rua Sao Sebastiao do Cai, 2857"/>
    <x v="0"/>
    <x v="3"/>
    <x v="2"/>
    <x v="1"/>
    <x v="11"/>
    <x v="9"/>
    <x v="2"/>
    <x v="0"/>
    <x v="0"/>
    <x v="0"/>
    <x v="0"/>
    <x v="0"/>
    <x v="0"/>
    <n v="1"/>
  </r>
  <r>
    <s v="Rua Sao Sebastiao do Cai, 2857"/>
    <x v="0"/>
    <x v="3"/>
    <x v="2"/>
    <x v="2"/>
    <x v="8"/>
    <x v="6"/>
    <x v="2"/>
    <x v="0"/>
    <x v="0"/>
    <x v="0"/>
    <x v="0"/>
    <x v="0"/>
    <x v="0"/>
    <n v="1"/>
  </r>
  <r>
    <s v="Rua Sao Jorge, 1156"/>
    <x v="0"/>
    <x v="3"/>
    <x v="2"/>
    <x v="0"/>
    <x v="9"/>
    <x v="7"/>
    <x v="2"/>
    <x v="0"/>
    <x v="0"/>
    <x v="0"/>
    <x v="0"/>
    <x v="0"/>
    <x v="0"/>
    <n v="1"/>
  </r>
  <r>
    <s v="Rua Sao Jorge, 1156"/>
    <x v="0"/>
    <x v="3"/>
    <x v="2"/>
    <x v="1"/>
    <x v="7"/>
    <x v="5"/>
    <x v="2"/>
    <x v="0"/>
    <x v="0"/>
    <x v="0"/>
    <x v="0"/>
    <x v="0"/>
    <x v="0"/>
    <n v="1"/>
  </r>
  <r>
    <s v="Rua Sao Jorge, 1156"/>
    <x v="0"/>
    <x v="3"/>
    <x v="2"/>
    <x v="2"/>
    <x v="8"/>
    <x v="6"/>
    <x v="2"/>
    <x v="0"/>
    <x v="0"/>
    <x v="0"/>
    <x v="0"/>
    <x v="0"/>
    <x v="0"/>
    <n v="1"/>
  </r>
  <r>
    <s v="Rua Parana, 2381"/>
    <x v="0"/>
    <x v="3"/>
    <x v="2"/>
    <x v="0"/>
    <x v="9"/>
    <x v="7"/>
    <x v="0"/>
    <x v="0"/>
    <x v="0"/>
    <x v="0"/>
    <x v="0"/>
    <x v="0"/>
    <x v="0"/>
    <n v="1"/>
  </r>
  <r>
    <s v="Rua Parana, 2381"/>
    <x v="0"/>
    <x v="3"/>
    <x v="2"/>
    <x v="1"/>
    <x v="7"/>
    <x v="5"/>
    <x v="0"/>
    <x v="6"/>
    <x v="0"/>
    <x v="0"/>
    <x v="0"/>
    <x v="0"/>
    <x v="0"/>
    <n v="1"/>
  </r>
  <r>
    <s v="Rua Parana, 2381"/>
    <x v="0"/>
    <x v="3"/>
    <x v="2"/>
    <x v="2"/>
    <x v="8"/>
    <x v="6"/>
    <x v="0"/>
    <x v="0"/>
    <x v="0"/>
    <x v="0"/>
    <x v="0"/>
    <x v="0"/>
    <x v="0"/>
    <n v="1"/>
  </r>
  <r>
    <s v="Rua Rio de Janeiro, 2333"/>
    <x v="0"/>
    <x v="3"/>
    <x v="2"/>
    <x v="0"/>
    <x v="10"/>
    <x v="8"/>
    <x v="0"/>
    <x v="0"/>
    <x v="0"/>
    <x v="0"/>
    <x v="0"/>
    <x v="0"/>
    <x v="0"/>
    <n v="1"/>
  </r>
  <r>
    <s v="Rua Rio de Janeiro, 2333"/>
    <x v="0"/>
    <x v="3"/>
    <x v="2"/>
    <x v="1"/>
    <x v="17"/>
    <x v="14"/>
    <x v="0"/>
    <x v="0"/>
    <x v="0"/>
    <x v="0"/>
    <x v="0"/>
    <x v="0"/>
    <x v="0"/>
    <n v="1"/>
  </r>
  <r>
    <s v="Rua Rio de Janeiro, 2333"/>
    <x v="0"/>
    <x v="3"/>
    <x v="2"/>
    <x v="2"/>
    <x v="5"/>
    <x v="3"/>
    <x v="0"/>
    <x v="0"/>
    <x v="1"/>
    <x v="0"/>
    <x v="0"/>
    <x v="1"/>
    <x v="0"/>
    <n v="1"/>
  </r>
  <r>
    <s v="Avenida Manaus, 1564"/>
    <x v="0"/>
    <x v="4"/>
    <x v="2"/>
    <x v="0"/>
    <x v="6"/>
    <x v="4"/>
    <x v="2"/>
    <x v="0"/>
    <x v="0"/>
    <x v="0"/>
    <x v="0"/>
    <x v="0"/>
    <x v="0"/>
    <n v="1"/>
  </r>
  <r>
    <s v="Avenida Manaus, 1564"/>
    <x v="0"/>
    <x v="4"/>
    <x v="2"/>
    <x v="1"/>
    <x v="7"/>
    <x v="5"/>
    <x v="2"/>
    <x v="0"/>
    <x v="1"/>
    <x v="0"/>
    <x v="0"/>
    <x v="1"/>
    <x v="0"/>
    <n v="1"/>
  </r>
  <r>
    <s v="Avenida Manaus, 1564"/>
    <x v="0"/>
    <x v="4"/>
    <x v="2"/>
    <x v="2"/>
    <x v="5"/>
    <x v="3"/>
    <x v="2"/>
    <x v="0"/>
    <x v="0"/>
    <x v="0"/>
    <x v="0"/>
    <x v="0"/>
    <x v="0"/>
    <n v="1"/>
  </r>
  <r>
    <s v="Rua Pernambuco, 1191"/>
    <x v="0"/>
    <x v="3"/>
    <x v="2"/>
    <x v="0"/>
    <x v="9"/>
    <x v="7"/>
    <x v="2"/>
    <x v="0"/>
    <x v="0"/>
    <x v="0"/>
    <x v="0"/>
    <x v="0"/>
    <x v="0"/>
    <n v="1"/>
  </r>
  <r>
    <s v="Rua Pernambuco, 1191"/>
    <x v="0"/>
    <x v="3"/>
    <x v="2"/>
    <x v="1"/>
    <x v="11"/>
    <x v="9"/>
    <x v="2"/>
    <x v="0"/>
    <x v="0"/>
    <x v="0"/>
    <x v="0"/>
    <x v="0"/>
    <x v="0"/>
    <n v="1"/>
  </r>
  <r>
    <s v="Rua Pernambuco, 1191"/>
    <x v="0"/>
    <x v="3"/>
    <x v="2"/>
    <x v="2"/>
    <x v="8"/>
    <x v="6"/>
    <x v="2"/>
    <x v="0"/>
    <x v="0"/>
    <x v="0"/>
    <x v="0"/>
    <x v="0"/>
    <x v="0"/>
    <n v="1"/>
  </r>
  <r>
    <s v="Rua Sao Paulo, 1427"/>
    <x v="0"/>
    <x v="3"/>
    <x v="2"/>
    <x v="0"/>
    <x v="9"/>
    <x v="7"/>
    <x v="2"/>
    <x v="0"/>
    <x v="0"/>
    <x v="0"/>
    <x v="0"/>
    <x v="0"/>
    <x v="0"/>
    <n v="1"/>
  </r>
  <r>
    <s v="Rua Sao Paulo, 1427"/>
    <x v="0"/>
    <x v="3"/>
    <x v="2"/>
    <x v="1"/>
    <x v="7"/>
    <x v="5"/>
    <x v="2"/>
    <x v="0"/>
    <x v="0"/>
    <x v="0"/>
    <x v="0"/>
    <x v="0"/>
    <x v="0"/>
    <n v="1"/>
  </r>
  <r>
    <s v="Rua Sao Paulo, 1427"/>
    <x v="0"/>
    <x v="3"/>
    <x v="2"/>
    <x v="2"/>
    <x v="8"/>
    <x v="6"/>
    <x v="2"/>
    <x v="0"/>
    <x v="0"/>
    <x v="0"/>
    <x v="0"/>
    <x v="0"/>
    <x v="0"/>
    <n v="1"/>
  </r>
  <r>
    <s v="Avenida Curitiba, 1572"/>
    <x v="0"/>
    <x v="4"/>
    <x v="3"/>
    <x v="0"/>
    <x v="35"/>
    <x v="28"/>
    <x v="2"/>
    <x v="0"/>
    <x v="0"/>
    <x v="2"/>
    <x v="0"/>
    <x v="0"/>
    <x v="0"/>
    <n v="1"/>
  </r>
  <r>
    <s v="Avenida Curitiba, 1572"/>
    <x v="0"/>
    <x v="4"/>
    <x v="3"/>
    <x v="1"/>
    <x v="17"/>
    <x v="14"/>
    <x v="2"/>
    <x v="0"/>
    <x v="0"/>
    <x v="2"/>
    <x v="0"/>
    <x v="0"/>
    <x v="0"/>
    <n v="1"/>
  </r>
  <r>
    <s v="Avenida Curitiba, 1572"/>
    <x v="0"/>
    <x v="4"/>
    <x v="3"/>
    <x v="2"/>
    <x v="37"/>
    <x v="30"/>
    <x v="2"/>
    <x v="0"/>
    <x v="0"/>
    <x v="2"/>
    <x v="0"/>
    <x v="0"/>
    <x v="0"/>
    <n v="1"/>
  </r>
  <r>
    <s v="Rua Santa Catarina, 1443"/>
    <x v="0"/>
    <x v="3"/>
    <x v="2"/>
    <x v="0"/>
    <x v="18"/>
    <x v="15"/>
    <x v="2"/>
    <x v="0"/>
    <x v="0"/>
    <x v="0"/>
    <x v="0"/>
    <x v="0"/>
    <x v="0"/>
    <n v="1"/>
  </r>
  <r>
    <s v="Rua Santa Catarina, 1443"/>
    <x v="0"/>
    <x v="3"/>
    <x v="2"/>
    <x v="1"/>
    <x v="11"/>
    <x v="9"/>
    <x v="2"/>
    <x v="0"/>
    <x v="0"/>
    <x v="0"/>
    <x v="0"/>
    <x v="0"/>
    <x v="0"/>
    <n v="1"/>
  </r>
  <r>
    <s v="Rua Santa Catarina, 1443"/>
    <x v="0"/>
    <x v="3"/>
    <x v="2"/>
    <x v="2"/>
    <x v="8"/>
    <x v="6"/>
    <x v="2"/>
    <x v="0"/>
    <x v="0"/>
    <x v="0"/>
    <x v="0"/>
    <x v="0"/>
    <x v="0"/>
    <n v="1"/>
  </r>
  <r>
    <s v="Rua Sergipe, 1272"/>
    <x v="0"/>
    <x v="3"/>
    <x v="1"/>
    <x v="0"/>
    <x v="23"/>
    <x v="18"/>
    <x v="2"/>
    <x v="0"/>
    <x v="0"/>
    <x v="1"/>
    <x v="0"/>
    <x v="0"/>
    <x v="0"/>
    <n v="1"/>
  </r>
  <r>
    <s v="Rua Sergipe, 1272"/>
    <x v="0"/>
    <x v="3"/>
    <x v="1"/>
    <x v="1"/>
    <x v="16"/>
    <x v="13"/>
    <x v="2"/>
    <x v="0"/>
    <x v="0"/>
    <x v="1"/>
    <x v="0"/>
    <x v="0"/>
    <x v="0"/>
    <n v="1"/>
  </r>
  <r>
    <s v="Rua Sergipe, 1272"/>
    <x v="0"/>
    <x v="3"/>
    <x v="1"/>
    <x v="2"/>
    <x v="5"/>
    <x v="3"/>
    <x v="2"/>
    <x v="0"/>
    <x v="0"/>
    <x v="1"/>
    <x v="0"/>
    <x v="0"/>
    <x v="0"/>
    <n v="1"/>
  </r>
  <r>
    <s v="Estrada do Agual, 681"/>
    <x v="0"/>
    <x v="3"/>
    <x v="2"/>
    <x v="0"/>
    <x v="18"/>
    <x v="15"/>
    <x v="2"/>
    <x v="0"/>
    <x v="0"/>
    <x v="0"/>
    <x v="0"/>
    <x v="0"/>
    <x v="0"/>
    <n v="1"/>
  </r>
  <r>
    <s v="Estrada do Agual, 681"/>
    <x v="0"/>
    <x v="3"/>
    <x v="2"/>
    <x v="1"/>
    <x v="11"/>
    <x v="9"/>
    <x v="2"/>
    <x v="0"/>
    <x v="0"/>
    <x v="0"/>
    <x v="0"/>
    <x v="0"/>
    <x v="0"/>
    <n v="1"/>
  </r>
  <r>
    <s v="Estrada do Agual, 681"/>
    <x v="0"/>
    <x v="3"/>
    <x v="2"/>
    <x v="2"/>
    <x v="8"/>
    <x v="6"/>
    <x v="2"/>
    <x v="0"/>
    <x v="0"/>
    <x v="0"/>
    <x v="0"/>
    <x v="0"/>
    <x v="0"/>
    <n v="1"/>
  </r>
  <r>
    <s v="Avenida Florianopolis, 1722"/>
    <x v="0"/>
    <x v="4"/>
    <x v="2"/>
    <x v="0"/>
    <x v="18"/>
    <x v="15"/>
    <x v="2"/>
    <x v="0"/>
    <x v="0"/>
    <x v="0"/>
    <x v="0"/>
    <x v="0"/>
    <x v="0"/>
    <n v="1"/>
  </r>
  <r>
    <s v="Avenida Florianopolis, 1722"/>
    <x v="0"/>
    <x v="4"/>
    <x v="2"/>
    <x v="1"/>
    <x v="11"/>
    <x v="9"/>
    <x v="2"/>
    <x v="0"/>
    <x v="0"/>
    <x v="0"/>
    <x v="0"/>
    <x v="0"/>
    <x v="0"/>
    <n v="1"/>
  </r>
  <r>
    <s v="Avenida Florianopolis, 1722"/>
    <x v="0"/>
    <x v="4"/>
    <x v="2"/>
    <x v="2"/>
    <x v="13"/>
    <x v="9"/>
    <x v="2"/>
    <x v="0"/>
    <x v="0"/>
    <x v="0"/>
    <x v="0"/>
    <x v="0"/>
    <x v="0"/>
    <n v="1"/>
  </r>
  <r>
    <s v="Rua Rio Grande do Sul, 1613"/>
    <x v="0"/>
    <x v="3"/>
    <x v="2"/>
    <x v="0"/>
    <x v="6"/>
    <x v="4"/>
    <x v="2"/>
    <x v="0"/>
    <x v="0"/>
    <x v="0"/>
    <x v="0"/>
    <x v="0"/>
    <x v="0"/>
    <n v="1"/>
  </r>
  <r>
    <s v="Rua Rio Grande do Sul, 1613"/>
    <x v="0"/>
    <x v="3"/>
    <x v="2"/>
    <x v="1"/>
    <x v="7"/>
    <x v="5"/>
    <x v="2"/>
    <x v="0"/>
    <x v="0"/>
    <x v="0"/>
    <x v="0"/>
    <x v="0"/>
    <x v="0"/>
    <n v="1"/>
  </r>
  <r>
    <s v="Rua Rio Grande do Sul, 1613"/>
    <x v="0"/>
    <x v="3"/>
    <x v="2"/>
    <x v="2"/>
    <x v="8"/>
    <x v="6"/>
    <x v="2"/>
    <x v="0"/>
    <x v="0"/>
    <x v="0"/>
    <x v="0"/>
    <x v="0"/>
    <x v="0"/>
    <n v="1"/>
  </r>
  <r>
    <s v="Rua Rio de Janeiro, 1631"/>
    <x v="0"/>
    <x v="3"/>
    <x v="2"/>
    <x v="0"/>
    <x v="9"/>
    <x v="7"/>
    <x v="2"/>
    <x v="0"/>
    <x v="0"/>
    <x v="0"/>
    <x v="0"/>
    <x v="0"/>
    <x v="0"/>
    <n v="1"/>
  </r>
  <r>
    <s v="Rua Rio de Janeiro, 1631"/>
    <x v="0"/>
    <x v="3"/>
    <x v="2"/>
    <x v="1"/>
    <x v="7"/>
    <x v="5"/>
    <x v="2"/>
    <x v="0"/>
    <x v="0"/>
    <x v="0"/>
    <x v="0"/>
    <x v="0"/>
    <x v="0"/>
    <n v="1"/>
  </r>
  <r>
    <s v="Rua Rio de Janeiro, 1631"/>
    <x v="0"/>
    <x v="3"/>
    <x v="2"/>
    <x v="2"/>
    <x v="8"/>
    <x v="6"/>
    <x v="2"/>
    <x v="0"/>
    <x v="0"/>
    <x v="0"/>
    <x v="0"/>
    <x v="0"/>
    <x v="0"/>
    <n v="1"/>
  </r>
  <r>
    <s v="Rua Piaui, 1843"/>
    <x v="0"/>
    <x v="3"/>
    <x v="2"/>
    <x v="0"/>
    <x v="9"/>
    <x v="7"/>
    <x v="2"/>
    <x v="0"/>
    <x v="0"/>
    <x v="0"/>
    <x v="0"/>
    <x v="0"/>
    <x v="0"/>
    <n v="1"/>
  </r>
  <r>
    <s v="Rua Piaui, 1843"/>
    <x v="0"/>
    <x v="3"/>
    <x v="2"/>
    <x v="1"/>
    <x v="7"/>
    <x v="5"/>
    <x v="2"/>
    <x v="0"/>
    <x v="0"/>
    <x v="0"/>
    <x v="0"/>
    <x v="0"/>
    <x v="0"/>
    <n v="1"/>
  </r>
  <r>
    <s v="Rua Piaui, 1843"/>
    <x v="0"/>
    <x v="3"/>
    <x v="2"/>
    <x v="2"/>
    <x v="8"/>
    <x v="6"/>
    <x v="2"/>
    <x v="0"/>
    <x v="0"/>
    <x v="0"/>
    <x v="0"/>
    <x v="0"/>
    <x v="0"/>
    <n v="1"/>
  </r>
  <r>
    <s v="Rua Piaui, 1835"/>
    <x v="0"/>
    <x v="3"/>
    <x v="2"/>
    <x v="0"/>
    <x v="9"/>
    <x v="7"/>
    <x v="2"/>
    <x v="0"/>
    <x v="0"/>
    <x v="0"/>
    <x v="0"/>
    <x v="0"/>
    <x v="0"/>
    <n v="1"/>
  </r>
  <r>
    <s v="Rua Piaui, 1835"/>
    <x v="0"/>
    <x v="3"/>
    <x v="2"/>
    <x v="1"/>
    <x v="11"/>
    <x v="9"/>
    <x v="2"/>
    <x v="0"/>
    <x v="0"/>
    <x v="0"/>
    <x v="0"/>
    <x v="0"/>
    <x v="0"/>
    <n v="1"/>
  </r>
  <r>
    <s v="Rua Piaui, 1835"/>
    <x v="0"/>
    <x v="3"/>
    <x v="2"/>
    <x v="2"/>
    <x v="8"/>
    <x v="6"/>
    <x v="2"/>
    <x v="0"/>
    <x v="0"/>
    <x v="0"/>
    <x v="0"/>
    <x v="0"/>
    <x v="0"/>
    <n v="1"/>
  </r>
  <r>
    <s v="Avenida Florianopolis, 1006"/>
    <x v="0"/>
    <x v="3"/>
    <x v="3"/>
    <x v="0"/>
    <x v="10"/>
    <x v="8"/>
    <x v="2"/>
    <x v="0"/>
    <x v="0"/>
    <x v="2"/>
    <x v="0"/>
    <x v="0"/>
    <x v="0"/>
    <n v="1"/>
  </r>
  <r>
    <s v="Avenida Florianopolis, 1006"/>
    <x v="0"/>
    <x v="3"/>
    <x v="3"/>
    <x v="1"/>
    <x v="11"/>
    <x v="9"/>
    <x v="2"/>
    <x v="0"/>
    <x v="0"/>
    <x v="2"/>
    <x v="0"/>
    <x v="0"/>
    <x v="0"/>
    <n v="1"/>
  </r>
  <r>
    <s v="Avenida Florianopolis, 1006"/>
    <x v="0"/>
    <x v="3"/>
    <x v="3"/>
    <x v="2"/>
    <x v="12"/>
    <x v="10"/>
    <x v="2"/>
    <x v="0"/>
    <x v="0"/>
    <x v="2"/>
    <x v="0"/>
    <x v="0"/>
    <x v="0"/>
    <n v="1"/>
  </r>
  <r>
    <s v="Rua Maranhao, 1749"/>
    <x v="0"/>
    <x v="3"/>
    <x v="2"/>
    <x v="0"/>
    <x v="18"/>
    <x v="15"/>
    <x v="2"/>
    <x v="0"/>
    <x v="0"/>
    <x v="0"/>
    <x v="0"/>
    <x v="0"/>
    <x v="0"/>
    <n v="1"/>
  </r>
  <r>
    <s v="Rua Maranhao, 1749"/>
    <x v="0"/>
    <x v="3"/>
    <x v="2"/>
    <x v="1"/>
    <x v="11"/>
    <x v="9"/>
    <x v="2"/>
    <x v="0"/>
    <x v="0"/>
    <x v="0"/>
    <x v="0"/>
    <x v="0"/>
    <x v="0"/>
    <n v="1"/>
  </r>
  <r>
    <s v="Rua Maranhao, 1749"/>
    <x v="0"/>
    <x v="3"/>
    <x v="2"/>
    <x v="2"/>
    <x v="8"/>
    <x v="6"/>
    <x v="2"/>
    <x v="0"/>
    <x v="0"/>
    <x v="0"/>
    <x v="0"/>
    <x v="0"/>
    <x v="0"/>
    <n v="1"/>
  </r>
  <r>
    <s v="Rua Brasilia, 1627"/>
    <x v="0"/>
    <x v="3"/>
    <x v="2"/>
    <x v="0"/>
    <x v="6"/>
    <x v="4"/>
    <x v="2"/>
    <x v="0"/>
    <x v="0"/>
    <x v="0"/>
    <x v="0"/>
    <x v="0"/>
    <x v="0"/>
    <n v="1"/>
  </r>
  <r>
    <s v="Rua Brasilia, 1627"/>
    <x v="0"/>
    <x v="3"/>
    <x v="2"/>
    <x v="1"/>
    <x v="7"/>
    <x v="5"/>
    <x v="2"/>
    <x v="0"/>
    <x v="0"/>
    <x v="0"/>
    <x v="0"/>
    <x v="0"/>
    <x v="0"/>
    <n v="1"/>
  </r>
  <r>
    <s v="Rua Brasilia, 1627"/>
    <x v="0"/>
    <x v="3"/>
    <x v="2"/>
    <x v="2"/>
    <x v="8"/>
    <x v="6"/>
    <x v="2"/>
    <x v="0"/>
    <x v="0"/>
    <x v="0"/>
    <x v="0"/>
    <x v="0"/>
    <x v="0"/>
    <n v="1"/>
  </r>
  <r>
    <s v="Rua Alagoas, 4744"/>
    <x v="0"/>
    <x v="4"/>
    <x v="2"/>
    <x v="0"/>
    <x v="9"/>
    <x v="7"/>
    <x v="2"/>
    <x v="0"/>
    <x v="0"/>
    <x v="0"/>
    <x v="0"/>
    <x v="0"/>
    <x v="0"/>
    <n v="1"/>
  </r>
  <r>
    <s v="Rua Alagoas, 4744"/>
    <x v="0"/>
    <x v="4"/>
    <x v="2"/>
    <x v="1"/>
    <x v="7"/>
    <x v="5"/>
    <x v="2"/>
    <x v="0"/>
    <x v="0"/>
    <x v="0"/>
    <x v="0"/>
    <x v="0"/>
    <x v="0"/>
    <n v="1"/>
  </r>
  <r>
    <s v="Rua Alagoas, 4744"/>
    <x v="0"/>
    <x v="4"/>
    <x v="2"/>
    <x v="2"/>
    <x v="8"/>
    <x v="6"/>
    <x v="2"/>
    <x v="0"/>
    <x v="0"/>
    <x v="0"/>
    <x v="0"/>
    <x v="0"/>
    <x v="0"/>
    <n v="1"/>
  </r>
  <r>
    <s v="Rua S, 266"/>
    <x v="0"/>
    <x v="3"/>
    <x v="2"/>
    <x v="0"/>
    <x v="9"/>
    <x v="7"/>
    <x v="2"/>
    <x v="0"/>
    <x v="0"/>
    <x v="0"/>
    <x v="0"/>
    <x v="0"/>
    <x v="0"/>
    <n v="1"/>
  </r>
  <r>
    <s v="Rua S, 266"/>
    <x v="0"/>
    <x v="3"/>
    <x v="2"/>
    <x v="1"/>
    <x v="7"/>
    <x v="5"/>
    <x v="2"/>
    <x v="0"/>
    <x v="0"/>
    <x v="0"/>
    <x v="0"/>
    <x v="0"/>
    <x v="0"/>
    <n v="1"/>
  </r>
  <r>
    <s v="Rua S, 266"/>
    <x v="0"/>
    <x v="3"/>
    <x v="2"/>
    <x v="2"/>
    <x v="8"/>
    <x v="6"/>
    <x v="2"/>
    <x v="0"/>
    <x v="0"/>
    <x v="0"/>
    <x v="0"/>
    <x v="0"/>
    <x v="0"/>
    <n v="1"/>
  </r>
  <r>
    <s v="Rua R, 1323"/>
    <x v="0"/>
    <x v="3"/>
    <x v="2"/>
    <x v="0"/>
    <x v="3"/>
    <x v="1"/>
    <x v="2"/>
    <x v="0"/>
    <x v="0"/>
    <x v="0"/>
    <x v="0"/>
    <x v="0"/>
    <x v="0"/>
    <n v="1"/>
  </r>
  <r>
    <s v="Rua R, 1323"/>
    <x v="0"/>
    <x v="3"/>
    <x v="2"/>
    <x v="1"/>
    <x v="4"/>
    <x v="2"/>
    <x v="2"/>
    <x v="0"/>
    <x v="0"/>
    <x v="0"/>
    <x v="0"/>
    <x v="0"/>
    <x v="0"/>
    <n v="1"/>
  </r>
  <r>
    <s v="Rua R, 1323"/>
    <x v="0"/>
    <x v="3"/>
    <x v="2"/>
    <x v="2"/>
    <x v="5"/>
    <x v="3"/>
    <x v="2"/>
    <x v="0"/>
    <x v="0"/>
    <x v="0"/>
    <x v="0"/>
    <x v="0"/>
    <x v="0"/>
    <n v="1"/>
  </r>
  <r>
    <s v="Rua Sergipe, 804"/>
    <x v="0"/>
    <x v="3"/>
    <x v="2"/>
    <x v="0"/>
    <x v="18"/>
    <x v="15"/>
    <x v="2"/>
    <x v="0"/>
    <x v="0"/>
    <x v="0"/>
    <x v="0"/>
    <x v="0"/>
    <x v="0"/>
    <n v="1"/>
  </r>
  <r>
    <s v="Rua Sergipe, 804"/>
    <x v="0"/>
    <x v="3"/>
    <x v="2"/>
    <x v="1"/>
    <x v="11"/>
    <x v="9"/>
    <x v="2"/>
    <x v="0"/>
    <x v="0"/>
    <x v="0"/>
    <x v="0"/>
    <x v="0"/>
    <x v="0"/>
    <n v="1"/>
  </r>
  <r>
    <s v="Rua Sergipe, 804"/>
    <x v="0"/>
    <x v="3"/>
    <x v="2"/>
    <x v="2"/>
    <x v="13"/>
    <x v="9"/>
    <x v="2"/>
    <x v="0"/>
    <x v="0"/>
    <x v="0"/>
    <x v="0"/>
    <x v="0"/>
    <x v="0"/>
    <n v="1"/>
  </r>
  <r>
    <s v="Rua Rio Grande do Sul, 749"/>
    <x v="0"/>
    <x v="3"/>
    <x v="2"/>
    <x v="0"/>
    <x v="6"/>
    <x v="4"/>
    <x v="2"/>
    <x v="0"/>
    <x v="0"/>
    <x v="0"/>
    <x v="0"/>
    <x v="0"/>
    <x v="0"/>
    <n v="1"/>
  </r>
  <r>
    <s v="Rua Rio Grande do Sul, 749"/>
    <x v="0"/>
    <x v="3"/>
    <x v="2"/>
    <x v="1"/>
    <x v="7"/>
    <x v="5"/>
    <x v="2"/>
    <x v="0"/>
    <x v="0"/>
    <x v="0"/>
    <x v="0"/>
    <x v="0"/>
    <x v="0"/>
    <n v="1"/>
  </r>
  <r>
    <s v="Rua Rio Grande do Sul, 749"/>
    <x v="0"/>
    <x v="3"/>
    <x v="2"/>
    <x v="2"/>
    <x v="8"/>
    <x v="6"/>
    <x v="2"/>
    <x v="0"/>
    <x v="0"/>
    <x v="0"/>
    <x v="0"/>
    <x v="0"/>
    <x v="0"/>
    <n v="1"/>
  </r>
  <r>
    <s v="Rua Belem, 965"/>
    <x v="0"/>
    <x v="3"/>
    <x v="2"/>
    <x v="0"/>
    <x v="18"/>
    <x v="15"/>
    <x v="2"/>
    <x v="0"/>
    <x v="0"/>
    <x v="0"/>
    <x v="0"/>
    <x v="0"/>
    <x v="0"/>
    <n v="1"/>
  </r>
  <r>
    <s v="Rua Belem, 965"/>
    <x v="0"/>
    <x v="3"/>
    <x v="2"/>
    <x v="1"/>
    <x v="11"/>
    <x v="9"/>
    <x v="2"/>
    <x v="0"/>
    <x v="0"/>
    <x v="0"/>
    <x v="0"/>
    <x v="0"/>
    <x v="0"/>
    <n v="1"/>
  </r>
  <r>
    <s v="Rua Belem, 965"/>
    <x v="0"/>
    <x v="3"/>
    <x v="2"/>
    <x v="2"/>
    <x v="12"/>
    <x v="10"/>
    <x v="2"/>
    <x v="0"/>
    <x v="0"/>
    <x v="0"/>
    <x v="0"/>
    <x v="0"/>
    <x v="0"/>
    <n v="1"/>
  </r>
  <r>
    <s v="Rua Para, 513"/>
    <x v="0"/>
    <x v="3"/>
    <x v="2"/>
    <x v="0"/>
    <x v="9"/>
    <x v="7"/>
    <x v="2"/>
    <x v="0"/>
    <x v="0"/>
    <x v="0"/>
    <x v="0"/>
    <x v="0"/>
    <x v="0"/>
    <n v="1"/>
  </r>
  <r>
    <s v="Rua Para, 513"/>
    <x v="0"/>
    <x v="3"/>
    <x v="2"/>
    <x v="1"/>
    <x v="11"/>
    <x v="9"/>
    <x v="2"/>
    <x v="0"/>
    <x v="0"/>
    <x v="0"/>
    <x v="0"/>
    <x v="0"/>
    <x v="0"/>
    <n v="1"/>
  </r>
  <r>
    <s v="Rua Para, 513"/>
    <x v="0"/>
    <x v="3"/>
    <x v="2"/>
    <x v="2"/>
    <x v="8"/>
    <x v="6"/>
    <x v="2"/>
    <x v="0"/>
    <x v="0"/>
    <x v="0"/>
    <x v="0"/>
    <x v="0"/>
    <x v="0"/>
    <n v="1"/>
  </r>
  <r>
    <s v="Rua Goias, 535"/>
    <x v="0"/>
    <x v="3"/>
    <x v="2"/>
    <x v="0"/>
    <x v="18"/>
    <x v="15"/>
    <x v="1"/>
    <x v="0"/>
    <x v="0"/>
    <x v="4"/>
    <x v="0"/>
    <x v="0"/>
    <x v="0"/>
    <n v="1"/>
  </r>
  <r>
    <s v="Rua Goias, 535"/>
    <x v="0"/>
    <x v="3"/>
    <x v="2"/>
    <x v="1"/>
    <x v="11"/>
    <x v="9"/>
    <x v="1"/>
    <x v="0"/>
    <x v="0"/>
    <x v="4"/>
    <x v="0"/>
    <x v="0"/>
    <x v="0"/>
    <n v="1"/>
  </r>
  <r>
    <s v="Rua Goias, 535"/>
    <x v="0"/>
    <x v="3"/>
    <x v="2"/>
    <x v="2"/>
    <x v="13"/>
    <x v="9"/>
    <x v="1"/>
    <x v="0"/>
    <x v="0"/>
    <x v="4"/>
    <x v="0"/>
    <x v="0"/>
    <x v="0"/>
    <n v="1"/>
  </r>
  <r>
    <s v="Rua Mato Grosso, 773"/>
    <x v="0"/>
    <x v="3"/>
    <x v="2"/>
    <x v="0"/>
    <x v="9"/>
    <x v="7"/>
    <x v="2"/>
    <x v="0"/>
    <x v="0"/>
    <x v="0"/>
    <x v="0"/>
    <x v="0"/>
    <x v="0"/>
    <n v="1"/>
  </r>
  <r>
    <s v="Rua Mato Grosso, 773"/>
    <x v="0"/>
    <x v="3"/>
    <x v="2"/>
    <x v="1"/>
    <x v="11"/>
    <x v="9"/>
    <x v="2"/>
    <x v="0"/>
    <x v="0"/>
    <x v="0"/>
    <x v="0"/>
    <x v="0"/>
    <x v="0"/>
    <n v="1"/>
  </r>
  <r>
    <s v="Rua Mato Grosso, 773"/>
    <x v="0"/>
    <x v="3"/>
    <x v="2"/>
    <x v="2"/>
    <x v="8"/>
    <x v="6"/>
    <x v="2"/>
    <x v="0"/>
    <x v="0"/>
    <x v="0"/>
    <x v="0"/>
    <x v="0"/>
    <x v="0"/>
    <n v="1"/>
  </r>
  <r>
    <s v="Rua Amapa, 809"/>
    <x v="0"/>
    <x v="3"/>
    <x v="2"/>
    <x v="0"/>
    <x v="18"/>
    <x v="15"/>
    <x v="2"/>
    <x v="0"/>
    <x v="0"/>
    <x v="0"/>
    <x v="0"/>
    <x v="0"/>
    <x v="0"/>
    <n v="1"/>
  </r>
  <r>
    <s v="Rua Amapa, 809"/>
    <x v="0"/>
    <x v="3"/>
    <x v="2"/>
    <x v="1"/>
    <x v="11"/>
    <x v="9"/>
    <x v="2"/>
    <x v="0"/>
    <x v="0"/>
    <x v="0"/>
    <x v="0"/>
    <x v="0"/>
    <x v="0"/>
    <n v="1"/>
  </r>
  <r>
    <s v="Rua Amapa, 809"/>
    <x v="0"/>
    <x v="3"/>
    <x v="2"/>
    <x v="2"/>
    <x v="8"/>
    <x v="6"/>
    <x v="2"/>
    <x v="0"/>
    <x v="0"/>
    <x v="0"/>
    <x v="0"/>
    <x v="0"/>
    <x v="0"/>
    <n v="1"/>
  </r>
  <r>
    <s v="Rua Alagoas, 815"/>
    <x v="0"/>
    <x v="3"/>
    <x v="2"/>
    <x v="0"/>
    <x v="18"/>
    <x v="15"/>
    <x v="2"/>
    <x v="0"/>
    <x v="0"/>
    <x v="0"/>
    <x v="0"/>
    <x v="0"/>
    <x v="0"/>
    <n v="1"/>
  </r>
  <r>
    <s v="Rua Alagoas, 815"/>
    <x v="0"/>
    <x v="3"/>
    <x v="2"/>
    <x v="1"/>
    <x v="11"/>
    <x v="9"/>
    <x v="2"/>
    <x v="0"/>
    <x v="0"/>
    <x v="0"/>
    <x v="0"/>
    <x v="0"/>
    <x v="0"/>
    <n v="1"/>
  </r>
  <r>
    <s v="Rua Alagoas, 815"/>
    <x v="0"/>
    <x v="3"/>
    <x v="2"/>
    <x v="2"/>
    <x v="8"/>
    <x v="6"/>
    <x v="2"/>
    <x v="0"/>
    <x v="0"/>
    <x v="0"/>
    <x v="0"/>
    <x v="0"/>
    <x v="0"/>
    <n v="1"/>
  </r>
  <r>
    <s v="Avenida Beira-Mar, 1622"/>
    <x v="0"/>
    <x v="4"/>
    <x v="0"/>
    <x v="0"/>
    <x v="35"/>
    <x v="28"/>
    <x v="2"/>
    <x v="0"/>
    <x v="0"/>
    <x v="1"/>
    <x v="0"/>
    <x v="0"/>
    <x v="0"/>
    <n v="1"/>
  </r>
  <r>
    <s v="Avenida Beira-Mar, 1622"/>
    <x v="0"/>
    <x v="4"/>
    <x v="0"/>
    <x v="1"/>
    <x v="17"/>
    <x v="14"/>
    <x v="2"/>
    <x v="0"/>
    <x v="0"/>
    <x v="1"/>
    <x v="0"/>
    <x v="0"/>
    <x v="0"/>
    <n v="1"/>
  </r>
  <r>
    <s v="Avenida Beira-Mar, 1622"/>
    <x v="0"/>
    <x v="4"/>
    <x v="0"/>
    <x v="2"/>
    <x v="37"/>
    <x v="30"/>
    <x v="2"/>
    <x v="0"/>
    <x v="0"/>
    <x v="1"/>
    <x v="0"/>
    <x v="0"/>
    <x v="0"/>
    <n v="1"/>
  </r>
  <r>
    <s v="Rua Amazonas, 1025"/>
    <x v="0"/>
    <x v="3"/>
    <x v="2"/>
    <x v="0"/>
    <x v="6"/>
    <x v="4"/>
    <x v="2"/>
    <x v="0"/>
    <x v="0"/>
    <x v="0"/>
    <x v="0"/>
    <x v="0"/>
    <x v="0"/>
    <n v="1"/>
  </r>
  <r>
    <s v="Rua Amazonas, 1025"/>
    <x v="0"/>
    <x v="3"/>
    <x v="2"/>
    <x v="1"/>
    <x v="4"/>
    <x v="2"/>
    <x v="2"/>
    <x v="0"/>
    <x v="0"/>
    <x v="0"/>
    <x v="0"/>
    <x v="0"/>
    <x v="0"/>
    <n v="1"/>
  </r>
  <r>
    <s v="Rua Amazonas, 1025"/>
    <x v="0"/>
    <x v="3"/>
    <x v="2"/>
    <x v="2"/>
    <x v="5"/>
    <x v="3"/>
    <x v="2"/>
    <x v="0"/>
    <x v="0"/>
    <x v="0"/>
    <x v="0"/>
    <x v="0"/>
    <x v="0"/>
    <n v="1"/>
  </r>
  <r>
    <s v="Rua Espirito Santo, 1129"/>
    <x v="0"/>
    <x v="3"/>
    <x v="2"/>
    <x v="0"/>
    <x v="9"/>
    <x v="7"/>
    <x v="2"/>
    <x v="0"/>
    <x v="0"/>
    <x v="0"/>
    <x v="0"/>
    <x v="0"/>
    <x v="0"/>
    <n v="1"/>
  </r>
  <r>
    <s v="Rua Espirito Santo, 1129"/>
    <x v="0"/>
    <x v="3"/>
    <x v="2"/>
    <x v="1"/>
    <x v="7"/>
    <x v="5"/>
    <x v="2"/>
    <x v="0"/>
    <x v="0"/>
    <x v="0"/>
    <x v="0"/>
    <x v="0"/>
    <x v="0"/>
    <n v="1"/>
  </r>
  <r>
    <s v="Rua Espirito Santo, 1129"/>
    <x v="0"/>
    <x v="3"/>
    <x v="2"/>
    <x v="2"/>
    <x v="8"/>
    <x v="6"/>
    <x v="2"/>
    <x v="0"/>
    <x v="0"/>
    <x v="0"/>
    <x v="0"/>
    <x v="0"/>
    <x v="0"/>
    <n v="1"/>
  </r>
  <r>
    <s v="Rua Para, 1012"/>
    <x v="0"/>
    <x v="3"/>
    <x v="4"/>
    <x v="0"/>
    <x v="10"/>
    <x v="8"/>
    <x v="1"/>
    <x v="0"/>
    <x v="0"/>
    <x v="4"/>
    <x v="0"/>
    <x v="0"/>
    <x v="0"/>
    <n v="1"/>
  </r>
  <r>
    <s v="Rua Para, 1012"/>
    <x v="0"/>
    <x v="3"/>
    <x v="4"/>
    <x v="1"/>
    <x v="11"/>
    <x v="9"/>
    <x v="1"/>
    <x v="0"/>
    <x v="0"/>
    <x v="4"/>
    <x v="0"/>
    <x v="0"/>
    <x v="0"/>
    <n v="1"/>
  </r>
  <r>
    <s v="Rua Para, 1012"/>
    <x v="0"/>
    <x v="3"/>
    <x v="4"/>
    <x v="2"/>
    <x v="13"/>
    <x v="9"/>
    <x v="1"/>
    <x v="0"/>
    <x v="0"/>
    <x v="4"/>
    <x v="0"/>
    <x v="0"/>
    <x v="0"/>
    <n v="1"/>
  </r>
  <r>
    <s v="Rua Belo Horizonte, 1150"/>
    <x v="0"/>
    <x v="3"/>
    <x v="1"/>
    <x v="0"/>
    <x v="3"/>
    <x v="1"/>
    <x v="2"/>
    <x v="0"/>
    <x v="0"/>
    <x v="2"/>
    <x v="0"/>
    <x v="0"/>
    <x v="0"/>
    <n v="1"/>
  </r>
  <r>
    <s v="Rua Belo Horizonte, 1150"/>
    <x v="0"/>
    <x v="3"/>
    <x v="1"/>
    <x v="1"/>
    <x v="16"/>
    <x v="13"/>
    <x v="2"/>
    <x v="0"/>
    <x v="0"/>
    <x v="2"/>
    <x v="0"/>
    <x v="0"/>
    <x v="0"/>
    <n v="1"/>
  </r>
  <r>
    <s v="Rua Belo Horizonte, 1150"/>
    <x v="0"/>
    <x v="3"/>
    <x v="1"/>
    <x v="2"/>
    <x v="5"/>
    <x v="3"/>
    <x v="2"/>
    <x v="0"/>
    <x v="0"/>
    <x v="2"/>
    <x v="0"/>
    <x v="0"/>
    <x v="0"/>
    <n v="1"/>
  </r>
  <r>
    <s v="Rua Rio Grande do Norte, 1277"/>
    <x v="0"/>
    <x v="3"/>
    <x v="2"/>
    <x v="0"/>
    <x v="6"/>
    <x v="4"/>
    <x v="2"/>
    <x v="0"/>
    <x v="0"/>
    <x v="0"/>
    <x v="0"/>
    <x v="0"/>
    <x v="0"/>
    <n v="1"/>
  </r>
  <r>
    <s v="Rua Rio Grande do Norte, 1277"/>
    <x v="0"/>
    <x v="3"/>
    <x v="2"/>
    <x v="1"/>
    <x v="4"/>
    <x v="2"/>
    <x v="2"/>
    <x v="0"/>
    <x v="0"/>
    <x v="0"/>
    <x v="0"/>
    <x v="0"/>
    <x v="0"/>
    <n v="1"/>
  </r>
  <r>
    <s v="Rua Rio Grande do Norte, 1277"/>
    <x v="0"/>
    <x v="3"/>
    <x v="2"/>
    <x v="2"/>
    <x v="5"/>
    <x v="3"/>
    <x v="2"/>
    <x v="0"/>
    <x v="0"/>
    <x v="0"/>
    <x v="0"/>
    <x v="0"/>
    <x v="0"/>
    <n v="1"/>
  </r>
  <r>
    <s v="Rua Belo Horizonte, 1580"/>
    <x v="0"/>
    <x v="4"/>
    <x v="1"/>
    <x v="0"/>
    <x v="3"/>
    <x v="1"/>
    <x v="2"/>
    <x v="0"/>
    <x v="0"/>
    <x v="2"/>
    <x v="0"/>
    <x v="0"/>
    <x v="0"/>
    <n v="1"/>
  </r>
  <r>
    <s v="Rua Belo Horizonte, 1580"/>
    <x v="0"/>
    <x v="4"/>
    <x v="1"/>
    <x v="1"/>
    <x v="16"/>
    <x v="13"/>
    <x v="2"/>
    <x v="0"/>
    <x v="0"/>
    <x v="2"/>
    <x v="0"/>
    <x v="0"/>
    <x v="0"/>
    <n v="1"/>
  </r>
  <r>
    <s v="Rua Belo Horizonte, 1580"/>
    <x v="0"/>
    <x v="4"/>
    <x v="1"/>
    <x v="2"/>
    <x v="5"/>
    <x v="3"/>
    <x v="2"/>
    <x v="0"/>
    <x v="0"/>
    <x v="2"/>
    <x v="0"/>
    <x v="0"/>
    <x v="0"/>
    <n v="1"/>
  </r>
  <r>
    <s v="Rua Roraima, 476"/>
    <x v="0"/>
    <x v="3"/>
    <x v="1"/>
    <x v="0"/>
    <x v="3"/>
    <x v="1"/>
    <x v="2"/>
    <x v="0"/>
    <x v="0"/>
    <x v="0"/>
    <x v="0"/>
    <x v="0"/>
    <x v="0"/>
    <n v="1"/>
  </r>
  <r>
    <s v="Rua Roraima, 476"/>
    <x v="0"/>
    <x v="3"/>
    <x v="1"/>
    <x v="1"/>
    <x v="16"/>
    <x v="13"/>
    <x v="2"/>
    <x v="0"/>
    <x v="0"/>
    <x v="0"/>
    <x v="0"/>
    <x v="0"/>
    <x v="0"/>
    <n v="1"/>
  </r>
  <r>
    <s v="Rua Roraima, 476"/>
    <x v="0"/>
    <x v="3"/>
    <x v="1"/>
    <x v="2"/>
    <x v="5"/>
    <x v="3"/>
    <x v="2"/>
    <x v="0"/>
    <x v="0"/>
    <x v="0"/>
    <x v="0"/>
    <x v="0"/>
    <x v="0"/>
    <n v="1"/>
  </r>
  <r>
    <s v="Rua Paraiba, 33"/>
    <x v="0"/>
    <x v="3"/>
    <x v="2"/>
    <x v="0"/>
    <x v="18"/>
    <x v="15"/>
    <x v="2"/>
    <x v="0"/>
    <x v="0"/>
    <x v="0"/>
    <x v="0"/>
    <x v="0"/>
    <x v="0"/>
    <n v="1"/>
  </r>
  <r>
    <s v="Rua Paraiba, 33"/>
    <x v="0"/>
    <x v="3"/>
    <x v="2"/>
    <x v="1"/>
    <x v="11"/>
    <x v="9"/>
    <x v="2"/>
    <x v="0"/>
    <x v="0"/>
    <x v="0"/>
    <x v="0"/>
    <x v="0"/>
    <x v="0"/>
    <n v="1"/>
  </r>
  <r>
    <s v="Rua Paraiba, 33"/>
    <x v="0"/>
    <x v="3"/>
    <x v="2"/>
    <x v="2"/>
    <x v="8"/>
    <x v="6"/>
    <x v="2"/>
    <x v="0"/>
    <x v="0"/>
    <x v="0"/>
    <x v="0"/>
    <x v="0"/>
    <x v="0"/>
    <n v="1"/>
  </r>
  <r>
    <s v="Travessa Tres, 258"/>
    <x v="0"/>
    <x v="3"/>
    <x v="2"/>
    <x v="0"/>
    <x v="9"/>
    <x v="7"/>
    <x v="2"/>
    <x v="0"/>
    <x v="0"/>
    <x v="0"/>
    <x v="0"/>
    <x v="0"/>
    <x v="0"/>
    <n v="1"/>
  </r>
  <r>
    <s v="Travessa Tres, 258"/>
    <x v="0"/>
    <x v="3"/>
    <x v="2"/>
    <x v="1"/>
    <x v="7"/>
    <x v="5"/>
    <x v="2"/>
    <x v="0"/>
    <x v="0"/>
    <x v="0"/>
    <x v="0"/>
    <x v="0"/>
    <x v="0"/>
    <n v="1"/>
  </r>
  <r>
    <s v="Travessa Tres, 258"/>
    <x v="0"/>
    <x v="3"/>
    <x v="2"/>
    <x v="2"/>
    <x v="8"/>
    <x v="6"/>
    <x v="2"/>
    <x v="0"/>
    <x v="0"/>
    <x v="0"/>
    <x v="0"/>
    <x v="0"/>
    <x v="0"/>
    <n v="1"/>
  </r>
  <r>
    <s v="Rua Paraiba, 466"/>
    <x v="0"/>
    <x v="3"/>
    <x v="2"/>
    <x v="0"/>
    <x v="18"/>
    <x v="15"/>
    <x v="2"/>
    <x v="0"/>
    <x v="0"/>
    <x v="0"/>
    <x v="0"/>
    <x v="0"/>
    <x v="0"/>
    <n v="1"/>
  </r>
  <r>
    <s v="Rua Paraiba, 466"/>
    <x v="0"/>
    <x v="3"/>
    <x v="2"/>
    <x v="1"/>
    <x v="11"/>
    <x v="9"/>
    <x v="2"/>
    <x v="0"/>
    <x v="0"/>
    <x v="0"/>
    <x v="0"/>
    <x v="0"/>
    <x v="0"/>
    <n v="1"/>
  </r>
  <r>
    <s v="Rua Paraiba, 466"/>
    <x v="0"/>
    <x v="3"/>
    <x v="2"/>
    <x v="2"/>
    <x v="8"/>
    <x v="6"/>
    <x v="2"/>
    <x v="0"/>
    <x v="0"/>
    <x v="0"/>
    <x v="0"/>
    <x v="0"/>
    <x v="0"/>
    <n v="1"/>
  </r>
  <r>
    <s v="Rua Fernando de Noronha, 302"/>
    <x v="0"/>
    <x v="3"/>
    <x v="2"/>
    <x v="0"/>
    <x v="6"/>
    <x v="4"/>
    <x v="2"/>
    <x v="0"/>
    <x v="0"/>
    <x v="0"/>
    <x v="0"/>
    <x v="0"/>
    <x v="0"/>
    <n v="1"/>
  </r>
  <r>
    <s v="Rua Fernando de Noronha, 302"/>
    <x v="0"/>
    <x v="3"/>
    <x v="2"/>
    <x v="1"/>
    <x v="7"/>
    <x v="5"/>
    <x v="2"/>
    <x v="0"/>
    <x v="0"/>
    <x v="0"/>
    <x v="0"/>
    <x v="0"/>
    <x v="0"/>
    <n v="1"/>
  </r>
  <r>
    <s v="Rua Fernando de Noronha, 302"/>
    <x v="0"/>
    <x v="3"/>
    <x v="2"/>
    <x v="2"/>
    <x v="8"/>
    <x v="6"/>
    <x v="2"/>
    <x v="0"/>
    <x v="0"/>
    <x v="0"/>
    <x v="0"/>
    <x v="0"/>
    <x v="0"/>
    <n v="1"/>
  </r>
  <r>
    <s v="Rua Rio Grande do Sul, 259"/>
    <x v="0"/>
    <x v="3"/>
    <x v="1"/>
    <x v="0"/>
    <x v="6"/>
    <x v="4"/>
    <x v="2"/>
    <x v="0"/>
    <x v="0"/>
    <x v="0"/>
    <x v="0"/>
    <x v="0"/>
    <x v="0"/>
    <n v="1"/>
  </r>
  <r>
    <s v="Rua Rio Grande do Sul, 259"/>
    <x v="0"/>
    <x v="3"/>
    <x v="1"/>
    <x v="1"/>
    <x v="4"/>
    <x v="2"/>
    <x v="2"/>
    <x v="0"/>
    <x v="0"/>
    <x v="0"/>
    <x v="0"/>
    <x v="0"/>
    <x v="0"/>
    <n v="1"/>
  </r>
  <r>
    <s v="Rua Rio Grande do Sul, 259"/>
    <x v="0"/>
    <x v="3"/>
    <x v="1"/>
    <x v="2"/>
    <x v="5"/>
    <x v="3"/>
    <x v="2"/>
    <x v="0"/>
    <x v="0"/>
    <x v="0"/>
    <x v="0"/>
    <x v="0"/>
    <x v="0"/>
    <n v="1"/>
  </r>
  <r>
    <s v="Avenida Perimetral, 683"/>
    <x v="0"/>
    <x v="3"/>
    <x v="3"/>
    <x v="0"/>
    <x v="27"/>
    <x v="22"/>
    <x v="4"/>
    <x v="0"/>
    <x v="0"/>
    <x v="2"/>
    <x v="0"/>
    <x v="0"/>
    <x v="0"/>
    <n v="1"/>
  </r>
  <r>
    <s v="Avenida Perimetral, 683"/>
    <x v="0"/>
    <x v="3"/>
    <x v="3"/>
    <x v="1"/>
    <x v="17"/>
    <x v="14"/>
    <x v="4"/>
    <x v="0"/>
    <x v="0"/>
    <x v="2"/>
    <x v="0"/>
    <x v="0"/>
    <x v="0"/>
    <n v="1"/>
  </r>
  <r>
    <s v="Avenida Perimetral, 683"/>
    <x v="0"/>
    <x v="3"/>
    <x v="3"/>
    <x v="2"/>
    <x v="22"/>
    <x v="17"/>
    <x v="4"/>
    <x v="0"/>
    <x v="0"/>
    <x v="2"/>
    <x v="0"/>
    <x v="0"/>
    <x v="0"/>
    <n v="1"/>
  </r>
  <r>
    <s v="Rua Rio de Janeiro, 134"/>
    <x v="0"/>
    <x v="3"/>
    <x v="2"/>
    <x v="0"/>
    <x v="18"/>
    <x v="15"/>
    <x v="2"/>
    <x v="0"/>
    <x v="0"/>
    <x v="0"/>
    <x v="0"/>
    <x v="0"/>
    <x v="0"/>
    <n v="1"/>
  </r>
  <r>
    <s v="Rua Rio de Janeiro, 134"/>
    <x v="0"/>
    <x v="3"/>
    <x v="2"/>
    <x v="1"/>
    <x v="11"/>
    <x v="9"/>
    <x v="2"/>
    <x v="0"/>
    <x v="0"/>
    <x v="0"/>
    <x v="0"/>
    <x v="0"/>
    <x v="0"/>
    <n v="1"/>
  </r>
  <r>
    <s v="Rua Rio de Janeiro, 134"/>
    <x v="0"/>
    <x v="3"/>
    <x v="2"/>
    <x v="2"/>
    <x v="8"/>
    <x v="6"/>
    <x v="2"/>
    <x v="0"/>
    <x v="0"/>
    <x v="0"/>
    <x v="0"/>
    <x v="0"/>
    <x v="0"/>
    <n v="1"/>
  </r>
  <r>
    <s v="Rua Alagoas, 165"/>
    <x v="0"/>
    <x v="3"/>
    <x v="2"/>
    <x v="0"/>
    <x v="18"/>
    <x v="15"/>
    <x v="2"/>
    <x v="0"/>
    <x v="0"/>
    <x v="0"/>
    <x v="0"/>
    <x v="0"/>
    <x v="0"/>
    <n v="1"/>
  </r>
  <r>
    <s v="Rua Alagoas, 165"/>
    <x v="0"/>
    <x v="3"/>
    <x v="2"/>
    <x v="1"/>
    <x v="11"/>
    <x v="9"/>
    <x v="2"/>
    <x v="0"/>
    <x v="0"/>
    <x v="0"/>
    <x v="0"/>
    <x v="0"/>
    <x v="0"/>
    <n v="1"/>
  </r>
  <r>
    <s v="Rua Alagoas, 165"/>
    <x v="0"/>
    <x v="3"/>
    <x v="2"/>
    <x v="2"/>
    <x v="13"/>
    <x v="9"/>
    <x v="2"/>
    <x v="0"/>
    <x v="0"/>
    <x v="0"/>
    <x v="0"/>
    <x v="0"/>
    <x v="0"/>
    <n v="1"/>
  </r>
  <r>
    <s v="Rua Rio Grande do Norte, 531"/>
    <x v="0"/>
    <x v="3"/>
    <x v="2"/>
    <x v="0"/>
    <x v="18"/>
    <x v="15"/>
    <x v="2"/>
    <x v="0"/>
    <x v="0"/>
    <x v="0"/>
    <x v="0"/>
    <x v="0"/>
    <x v="0"/>
    <n v="1"/>
  </r>
  <r>
    <s v="Rua Rio Grande do Norte, 531"/>
    <x v="0"/>
    <x v="3"/>
    <x v="2"/>
    <x v="1"/>
    <x v="11"/>
    <x v="9"/>
    <x v="2"/>
    <x v="0"/>
    <x v="0"/>
    <x v="0"/>
    <x v="0"/>
    <x v="0"/>
    <x v="0"/>
    <n v="1"/>
  </r>
  <r>
    <s v="Rua Rio Grande do Norte, 531"/>
    <x v="0"/>
    <x v="3"/>
    <x v="2"/>
    <x v="2"/>
    <x v="8"/>
    <x v="6"/>
    <x v="2"/>
    <x v="0"/>
    <x v="0"/>
    <x v="0"/>
    <x v="0"/>
    <x v="0"/>
    <x v="0"/>
    <n v="1"/>
  </r>
  <r>
    <s v="Rua Rio Grande do Sul, 29"/>
    <x v="0"/>
    <x v="3"/>
    <x v="2"/>
    <x v="0"/>
    <x v="9"/>
    <x v="7"/>
    <x v="2"/>
    <x v="0"/>
    <x v="0"/>
    <x v="0"/>
    <x v="0"/>
    <x v="0"/>
    <x v="0"/>
    <n v="1"/>
  </r>
  <r>
    <s v="Rua Rio Grande do Sul, 29"/>
    <x v="0"/>
    <x v="3"/>
    <x v="2"/>
    <x v="1"/>
    <x v="11"/>
    <x v="9"/>
    <x v="2"/>
    <x v="0"/>
    <x v="0"/>
    <x v="0"/>
    <x v="0"/>
    <x v="0"/>
    <x v="0"/>
    <n v="1"/>
  </r>
  <r>
    <s v="Rua Rio Grande do Sul, 29"/>
    <x v="0"/>
    <x v="3"/>
    <x v="2"/>
    <x v="2"/>
    <x v="8"/>
    <x v="6"/>
    <x v="2"/>
    <x v="0"/>
    <x v="0"/>
    <x v="0"/>
    <x v="0"/>
    <x v="0"/>
    <x v="0"/>
    <n v="1"/>
  </r>
  <r>
    <s v="Rua Rio Grande do Norte, 406"/>
    <x v="0"/>
    <x v="4"/>
    <x v="2"/>
    <x v="0"/>
    <x v="18"/>
    <x v="15"/>
    <x v="2"/>
    <x v="0"/>
    <x v="0"/>
    <x v="0"/>
    <x v="0"/>
    <x v="0"/>
    <x v="0"/>
    <n v="1"/>
  </r>
  <r>
    <s v="Rua Rio Grande do Norte, 406"/>
    <x v="0"/>
    <x v="4"/>
    <x v="2"/>
    <x v="1"/>
    <x v="11"/>
    <x v="9"/>
    <x v="2"/>
    <x v="0"/>
    <x v="0"/>
    <x v="0"/>
    <x v="0"/>
    <x v="0"/>
    <x v="0"/>
    <n v="1"/>
  </r>
  <r>
    <s v="Rua Rio Grande do Norte, 406"/>
    <x v="0"/>
    <x v="4"/>
    <x v="2"/>
    <x v="2"/>
    <x v="8"/>
    <x v="6"/>
    <x v="2"/>
    <x v="0"/>
    <x v="0"/>
    <x v="0"/>
    <x v="0"/>
    <x v="0"/>
    <x v="0"/>
    <n v="1"/>
  </r>
  <r>
    <s v="Rua Espirito Santo, 45"/>
    <x v="0"/>
    <x v="3"/>
    <x v="1"/>
    <x v="0"/>
    <x v="6"/>
    <x v="4"/>
    <x v="2"/>
    <x v="0"/>
    <x v="0"/>
    <x v="0"/>
    <x v="0"/>
    <x v="0"/>
    <x v="0"/>
    <n v="1"/>
  </r>
  <r>
    <s v="Rua Espirito Santo, 45"/>
    <x v="0"/>
    <x v="3"/>
    <x v="1"/>
    <x v="1"/>
    <x v="4"/>
    <x v="2"/>
    <x v="2"/>
    <x v="0"/>
    <x v="0"/>
    <x v="0"/>
    <x v="0"/>
    <x v="0"/>
    <x v="0"/>
    <n v="1"/>
  </r>
  <r>
    <s v="Rua Espirito Santo, 45"/>
    <x v="0"/>
    <x v="3"/>
    <x v="1"/>
    <x v="2"/>
    <x v="5"/>
    <x v="3"/>
    <x v="2"/>
    <x v="0"/>
    <x v="0"/>
    <x v="0"/>
    <x v="0"/>
    <x v="0"/>
    <x v="0"/>
    <n v="1"/>
  </r>
  <r>
    <s v="Rua Bergano, 168"/>
    <x v="0"/>
    <x v="4"/>
    <x v="1"/>
    <x v="0"/>
    <x v="3"/>
    <x v="1"/>
    <x v="2"/>
    <x v="0"/>
    <x v="0"/>
    <x v="0"/>
    <x v="0"/>
    <x v="0"/>
    <x v="0"/>
    <n v="1"/>
  </r>
  <r>
    <s v="Rua Bergano, 168"/>
    <x v="0"/>
    <x v="4"/>
    <x v="1"/>
    <x v="1"/>
    <x v="4"/>
    <x v="2"/>
    <x v="2"/>
    <x v="0"/>
    <x v="0"/>
    <x v="0"/>
    <x v="0"/>
    <x v="0"/>
    <x v="0"/>
    <n v="1"/>
  </r>
  <r>
    <s v="Rua Bergano, 168"/>
    <x v="0"/>
    <x v="4"/>
    <x v="1"/>
    <x v="2"/>
    <x v="5"/>
    <x v="3"/>
    <x v="2"/>
    <x v="0"/>
    <x v="0"/>
    <x v="0"/>
    <x v="0"/>
    <x v="0"/>
    <x v="0"/>
    <n v="1"/>
  </r>
  <r>
    <s v="Travessa 2  Sul, 78"/>
    <x v="0"/>
    <x v="3"/>
    <x v="2"/>
    <x v="0"/>
    <x v="9"/>
    <x v="7"/>
    <x v="2"/>
    <x v="0"/>
    <x v="0"/>
    <x v="0"/>
    <x v="0"/>
    <x v="0"/>
    <x v="0"/>
    <n v="1"/>
  </r>
  <r>
    <s v="Travessa 2  Sul, 78"/>
    <x v="0"/>
    <x v="3"/>
    <x v="2"/>
    <x v="1"/>
    <x v="7"/>
    <x v="5"/>
    <x v="2"/>
    <x v="0"/>
    <x v="0"/>
    <x v="0"/>
    <x v="0"/>
    <x v="0"/>
    <x v="0"/>
    <n v="1"/>
  </r>
  <r>
    <s v="Travessa 2  Sul, 78"/>
    <x v="0"/>
    <x v="3"/>
    <x v="2"/>
    <x v="2"/>
    <x v="8"/>
    <x v="6"/>
    <x v="2"/>
    <x v="0"/>
    <x v="0"/>
    <x v="0"/>
    <x v="0"/>
    <x v="0"/>
    <x v="0"/>
    <n v="1"/>
  </r>
  <r>
    <s v="Rua Alagoas, 460"/>
    <x v="0"/>
    <x v="3"/>
    <x v="2"/>
    <x v="0"/>
    <x v="3"/>
    <x v="1"/>
    <x v="2"/>
    <x v="0"/>
    <x v="0"/>
    <x v="0"/>
    <x v="0"/>
    <x v="0"/>
    <x v="0"/>
    <n v="1"/>
  </r>
  <r>
    <s v="Rua Alagoas, 460"/>
    <x v="0"/>
    <x v="3"/>
    <x v="2"/>
    <x v="1"/>
    <x v="4"/>
    <x v="2"/>
    <x v="2"/>
    <x v="3"/>
    <x v="0"/>
    <x v="0"/>
    <x v="0"/>
    <x v="0"/>
    <x v="0"/>
    <n v="1"/>
  </r>
  <r>
    <s v="Rua Alagoas, 460"/>
    <x v="0"/>
    <x v="3"/>
    <x v="2"/>
    <x v="2"/>
    <x v="5"/>
    <x v="3"/>
    <x v="2"/>
    <x v="4"/>
    <x v="0"/>
    <x v="0"/>
    <x v="0"/>
    <x v="0"/>
    <x v="0"/>
    <n v="1"/>
  </r>
  <r>
    <s v="Rua Piaui, 309"/>
    <x v="0"/>
    <x v="3"/>
    <x v="1"/>
    <x v="0"/>
    <x v="6"/>
    <x v="4"/>
    <x v="2"/>
    <x v="0"/>
    <x v="0"/>
    <x v="0"/>
    <x v="0"/>
    <x v="0"/>
    <x v="0"/>
    <n v="1"/>
  </r>
  <r>
    <s v="Rua Piaui, 309"/>
    <x v="0"/>
    <x v="3"/>
    <x v="1"/>
    <x v="1"/>
    <x v="4"/>
    <x v="2"/>
    <x v="2"/>
    <x v="0"/>
    <x v="0"/>
    <x v="0"/>
    <x v="0"/>
    <x v="0"/>
    <x v="0"/>
    <n v="1"/>
  </r>
  <r>
    <s v="Rua Piaui, 309"/>
    <x v="0"/>
    <x v="3"/>
    <x v="1"/>
    <x v="2"/>
    <x v="5"/>
    <x v="3"/>
    <x v="2"/>
    <x v="0"/>
    <x v="0"/>
    <x v="0"/>
    <x v="0"/>
    <x v="0"/>
    <x v="0"/>
    <n v="1"/>
  </r>
  <r>
    <s v="Rua Adelino Souza de Aguiar, 39"/>
    <x v="0"/>
    <x v="1"/>
    <x v="2"/>
    <x v="0"/>
    <x v="9"/>
    <x v="7"/>
    <x v="4"/>
    <x v="0"/>
    <x v="0"/>
    <x v="0"/>
    <x v="0"/>
    <x v="0"/>
    <x v="0"/>
    <n v="1"/>
  </r>
  <r>
    <s v="Rua Adelino Souza de Aguiar, 39"/>
    <x v="0"/>
    <x v="1"/>
    <x v="2"/>
    <x v="1"/>
    <x v="7"/>
    <x v="5"/>
    <x v="4"/>
    <x v="0"/>
    <x v="0"/>
    <x v="0"/>
    <x v="0"/>
    <x v="0"/>
    <x v="0"/>
    <n v="1"/>
  </r>
  <r>
    <s v="Rua Adelino Souza de Aguiar, 39"/>
    <x v="0"/>
    <x v="1"/>
    <x v="2"/>
    <x v="2"/>
    <x v="8"/>
    <x v="6"/>
    <x v="4"/>
    <x v="0"/>
    <x v="0"/>
    <x v="0"/>
    <x v="0"/>
    <x v="0"/>
    <x v="0"/>
    <n v="1"/>
  </r>
  <r>
    <s v="Rua Dez, 54"/>
    <x v="0"/>
    <x v="5"/>
    <x v="2"/>
    <x v="0"/>
    <x v="3"/>
    <x v="1"/>
    <x v="1"/>
    <x v="0"/>
    <x v="0"/>
    <x v="0"/>
    <x v="0"/>
    <x v="0"/>
    <x v="0"/>
    <n v="1"/>
  </r>
  <r>
    <s v="Rua Dez, 54"/>
    <x v="0"/>
    <x v="5"/>
    <x v="2"/>
    <x v="1"/>
    <x v="4"/>
    <x v="2"/>
    <x v="1"/>
    <x v="0"/>
    <x v="0"/>
    <x v="0"/>
    <x v="0"/>
    <x v="0"/>
    <x v="0"/>
    <n v="1"/>
  </r>
  <r>
    <s v="Rua Dez, 54"/>
    <x v="0"/>
    <x v="5"/>
    <x v="2"/>
    <x v="2"/>
    <x v="5"/>
    <x v="3"/>
    <x v="1"/>
    <x v="0"/>
    <x v="0"/>
    <x v="0"/>
    <x v="0"/>
    <x v="0"/>
    <x v="0"/>
    <n v="1"/>
  </r>
  <r>
    <s v="Rua Santa Clara, 738"/>
    <x v="0"/>
    <x v="4"/>
    <x v="2"/>
    <x v="0"/>
    <x v="9"/>
    <x v="7"/>
    <x v="2"/>
    <x v="0"/>
    <x v="0"/>
    <x v="0"/>
    <x v="0"/>
    <x v="0"/>
    <x v="0"/>
    <n v="1"/>
  </r>
  <r>
    <s v="Rua Santa Clara, 738"/>
    <x v="0"/>
    <x v="4"/>
    <x v="2"/>
    <x v="1"/>
    <x v="7"/>
    <x v="5"/>
    <x v="2"/>
    <x v="0"/>
    <x v="0"/>
    <x v="0"/>
    <x v="0"/>
    <x v="0"/>
    <x v="0"/>
    <n v="1"/>
  </r>
  <r>
    <s v="Rua Santa Clara, 738"/>
    <x v="0"/>
    <x v="4"/>
    <x v="2"/>
    <x v="2"/>
    <x v="8"/>
    <x v="6"/>
    <x v="2"/>
    <x v="6"/>
    <x v="0"/>
    <x v="0"/>
    <x v="0"/>
    <x v="0"/>
    <x v="0"/>
    <n v="1"/>
  </r>
  <r>
    <s v="Rua Sargento Geraldo, 172"/>
    <x v="0"/>
    <x v="3"/>
    <x v="2"/>
    <x v="0"/>
    <x v="6"/>
    <x v="4"/>
    <x v="2"/>
    <x v="0"/>
    <x v="0"/>
    <x v="0"/>
    <x v="0"/>
    <x v="0"/>
    <x v="0"/>
    <n v="1"/>
  </r>
  <r>
    <s v="Rua Sargento Geraldo, 172"/>
    <x v="0"/>
    <x v="3"/>
    <x v="2"/>
    <x v="1"/>
    <x v="7"/>
    <x v="5"/>
    <x v="2"/>
    <x v="0"/>
    <x v="0"/>
    <x v="0"/>
    <x v="0"/>
    <x v="0"/>
    <x v="0"/>
    <n v="1"/>
  </r>
  <r>
    <s v="Rua Sargento Geraldo, 172"/>
    <x v="0"/>
    <x v="3"/>
    <x v="2"/>
    <x v="2"/>
    <x v="8"/>
    <x v="6"/>
    <x v="2"/>
    <x v="0"/>
    <x v="0"/>
    <x v="0"/>
    <x v="0"/>
    <x v="0"/>
    <x v="0"/>
    <n v="1"/>
  </r>
  <r>
    <s v="Rua Um, 80"/>
    <x v="0"/>
    <x v="3"/>
    <x v="2"/>
    <x v="0"/>
    <x v="9"/>
    <x v="7"/>
    <x v="1"/>
    <x v="0"/>
    <x v="0"/>
    <x v="0"/>
    <x v="0"/>
    <x v="0"/>
    <x v="0"/>
    <n v="1"/>
  </r>
  <r>
    <s v="Rua Um, 80"/>
    <x v="0"/>
    <x v="3"/>
    <x v="2"/>
    <x v="1"/>
    <x v="7"/>
    <x v="5"/>
    <x v="1"/>
    <x v="0"/>
    <x v="0"/>
    <x v="0"/>
    <x v="0"/>
    <x v="0"/>
    <x v="0"/>
    <n v="1"/>
  </r>
  <r>
    <s v="Rua Um, 80"/>
    <x v="0"/>
    <x v="3"/>
    <x v="2"/>
    <x v="2"/>
    <x v="8"/>
    <x v="6"/>
    <x v="1"/>
    <x v="0"/>
    <x v="0"/>
    <x v="0"/>
    <x v="0"/>
    <x v="0"/>
    <x v="0"/>
    <n v="1"/>
  </r>
  <r>
    <s v="Rua Castro Alves, 286"/>
    <x v="0"/>
    <x v="3"/>
    <x v="2"/>
    <x v="0"/>
    <x v="10"/>
    <x v="8"/>
    <x v="2"/>
    <x v="0"/>
    <x v="0"/>
    <x v="0"/>
    <x v="0"/>
    <x v="0"/>
    <x v="0"/>
    <n v="1"/>
  </r>
  <r>
    <s v="Rua Castro Alves, 286"/>
    <x v="0"/>
    <x v="3"/>
    <x v="2"/>
    <x v="1"/>
    <x v="17"/>
    <x v="14"/>
    <x v="2"/>
    <x v="0"/>
    <x v="0"/>
    <x v="0"/>
    <x v="0"/>
    <x v="0"/>
    <x v="0"/>
    <n v="1"/>
  </r>
  <r>
    <s v="Rua Castro Alves, 286"/>
    <x v="0"/>
    <x v="3"/>
    <x v="2"/>
    <x v="2"/>
    <x v="5"/>
    <x v="3"/>
    <x v="2"/>
    <x v="0"/>
    <x v="1"/>
    <x v="0"/>
    <x v="0"/>
    <x v="1"/>
    <x v="0"/>
    <n v="1"/>
  </r>
  <r>
    <s v="Rua Eleodoro Franzen, 1335"/>
    <x v="0"/>
    <x v="3"/>
    <x v="4"/>
    <x v="0"/>
    <x v="27"/>
    <x v="22"/>
    <x v="2"/>
    <x v="0"/>
    <x v="0"/>
    <x v="0"/>
    <x v="0"/>
    <x v="0"/>
    <x v="0"/>
    <n v="1"/>
  </r>
  <r>
    <s v="Rua Eleodoro Franzen, 1335"/>
    <x v="0"/>
    <x v="3"/>
    <x v="4"/>
    <x v="1"/>
    <x v="17"/>
    <x v="14"/>
    <x v="2"/>
    <x v="0"/>
    <x v="0"/>
    <x v="0"/>
    <x v="0"/>
    <x v="0"/>
    <x v="0"/>
    <n v="1"/>
  </r>
  <r>
    <s v="Rua Eleodoro Franzen, 1335"/>
    <x v="0"/>
    <x v="3"/>
    <x v="4"/>
    <x v="2"/>
    <x v="40"/>
    <x v="12"/>
    <x v="2"/>
    <x v="1"/>
    <x v="0"/>
    <x v="0"/>
    <x v="0"/>
    <x v="0"/>
    <x v="0"/>
    <n v="1"/>
  </r>
  <r>
    <s v="Rua Um, 2"/>
    <x v="0"/>
    <x v="2"/>
    <x v="2"/>
    <x v="0"/>
    <x v="3"/>
    <x v="1"/>
    <x v="2"/>
    <x v="0"/>
    <x v="0"/>
    <x v="0"/>
    <x v="0"/>
    <x v="0"/>
    <x v="0"/>
    <n v="1"/>
  </r>
  <r>
    <s v="Rua Um, 2"/>
    <x v="0"/>
    <x v="2"/>
    <x v="2"/>
    <x v="1"/>
    <x v="4"/>
    <x v="2"/>
    <x v="2"/>
    <x v="0"/>
    <x v="0"/>
    <x v="0"/>
    <x v="0"/>
    <x v="0"/>
    <x v="0"/>
    <n v="1"/>
  </r>
  <r>
    <s v="Rua Um, 2"/>
    <x v="0"/>
    <x v="2"/>
    <x v="2"/>
    <x v="2"/>
    <x v="5"/>
    <x v="3"/>
    <x v="2"/>
    <x v="0"/>
    <x v="0"/>
    <x v="0"/>
    <x v="0"/>
    <x v="0"/>
    <x v="0"/>
    <n v="1"/>
  </r>
  <r>
    <s v="Rua Dez de Novembro, 364"/>
    <x v="0"/>
    <x v="3"/>
    <x v="2"/>
    <x v="0"/>
    <x v="9"/>
    <x v="7"/>
    <x v="2"/>
    <x v="0"/>
    <x v="0"/>
    <x v="0"/>
    <x v="0"/>
    <x v="0"/>
    <x v="0"/>
    <n v="1"/>
  </r>
  <r>
    <s v="Rua Dez de Novembro, 364"/>
    <x v="0"/>
    <x v="3"/>
    <x v="2"/>
    <x v="1"/>
    <x v="7"/>
    <x v="5"/>
    <x v="2"/>
    <x v="5"/>
    <x v="0"/>
    <x v="0"/>
    <x v="0"/>
    <x v="0"/>
    <x v="0"/>
    <n v="1"/>
  </r>
  <r>
    <s v="Rua Dez de Novembro, 364"/>
    <x v="0"/>
    <x v="3"/>
    <x v="2"/>
    <x v="2"/>
    <x v="8"/>
    <x v="6"/>
    <x v="2"/>
    <x v="0"/>
    <x v="0"/>
    <x v="0"/>
    <x v="0"/>
    <x v="0"/>
    <x v="0"/>
    <n v="1"/>
  </r>
  <r>
    <s v="Avenida Nordeste, 388"/>
    <x v="0"/>
    <x v="1"/>
    <x v="2"/>
    <x v="0"/>
    <x v="6"/>
    <x v="4"/>
    <x v="2"/>
    <x v="0"/>
    <x v="0"/>
    <x v="0"/>
    <x v="0"/>
    <x v="0"/>
    <x v="0"/>
    <n v="1"/>
  </r>
  <r>
    <s v="Avenida Nordeste, 388"/>
    <x v="0"/>
    <x v="1"/>
    <x v="2"/>
    <x v="1"/>
    <x v="4"/>
    <x v="2"/>
    <x v="2"/>
    <x v="0"/>
    <x v="0"/>
    <x v="0"/>
    <x v="0"/>
    <x v="0"/>
    <x v="0"/>
    <n v="1"/>
  </r>
  <r>
    <s v="Avenida Nordeste, 388"/>
    <x v="0"/>
    <x v="1"/>
    <x v="2"/>
    <x v="2"/>
    <x v="5"/>
    <x v="3"/>
    <x v="2"/>
    <x v="0"/>
    <x v="0"/>
    <x v="0"/>
    <x v="0"/>
    <x v="0"/>
    <x v="0"/>
    <n v="1"/>
  </r>
  <r>
    <s v="Rua Mario Totta, 483"/>
    <x v="0"/>
    <x v="1"/>
    <x v="1"/>
    <x v="0"/>
    <x v="23"/>
    <x v="18"/>
    <x v="4"/>
    <x v="0"/>
    <x v="0"/>
    <x v="0"/>
    <x v="0"/>
    <x v="0"/>
    <x v="0"/>
    <n v="1"/>
  </r>
  <r>
    <s v="Rua Mario Totta, 483"/>
    <x v="0"/>
    <x v="1"/>
    <x v="1"/>
    <x v="1"/>
    <x v="16"/>
    <x v="13"/>
    <x v="4"/>
    <x v="0"/>
    <x v="0"/>
    <x v="0"/>
    <x v="0"/>
    <x v="0"/>
    <x v="0"/>
    <n v="1"/>
  </r>
  <r>
    <s v="Rua Mario Totta, 483"/>
    <x v="0"/>
    <x v="1"/>
    <x v="1"/>
    <x v="2"/>
    <x v="5"/>
    <x v="3"/>
    <x v="4"/>
    <x v="0"/>
    <x v="0"/>
    <x v="0"/>
    <x v="0"/>
    <x v="0"/>
    <x v="0"/>
    <n v="1"/>
  </r>
  <r>
    <s v="Rua Santo Amaro, 329"/>
    <x v="0"/>
    <x v="3"/>
    <x v="2"/>
    <x v="0"/>
    <x v="18"/>
    <x v="15"/>
    <x v="2"/>
    <x v="0"/>
    <x v="0"/>
    <x v="0"/>
    <x v="0"/>
    <x v="0"/>
    <x v="0"/>
    <n v="1"/>
  </r>
  <r>
    <s v="Rua Santo Amaro, 329"/>
    <x v="0"/>
    <x v="3"/>
    <x v="2"/>
    <x v="1"/>
    <x v="11"/>
    <x v="9"/>
    <x v="2"/>
    <x v="0"/>
    <x v="0"/>
    <x v="0"/>
    <x v="0"/>
    <x v="0"/>
    <x v="0"/>
    <n v="1"/>
  </r>
  <r>
    <s v="Rua Santo Amaro, 329"/>
    <x v="0"/>
    <x v="3"/>
    <x v="2"/>
    <x v="2"/>
    <x v="8"/>
    <x v="6"/>
    <x v="2"/>
    <x v="0"/>
    <x v="0"/>
    <x v="0"/>
    <x v="0"/>
    <x v="0"/>
    <x v="0"/>
    <n v="1"/>
  </r>
  <r>
    <s v="Rua Santa Fe, 4935"/>
    <x v="0"/>
    <x v="1"/>
    <x v="2"/>
    <x v="0"/>
    <x v="6"/>
    <x v="4"/>
    <x v="0"/>
    <x v="0"/>
    <x v="0"/>
    <x v="0"/>
    <x v="0"/>
    <x v="0"/>
    <x v="0"/>
    <n v="1"/>
  </r>
  <r>
    <s v="Rua Santa Fe, 4935"/>
    <x v="0"/>
    <x v="1"/>
    <x v="2"/>
    <x v="1"/>
    <x v="4"/>
    <x v="2"/>
    <x v="0"/>
    <x v="0"/>
    <x v="0"/>
    <x v="0"/>
    <x v="0"/>
    <x v="0"/>
    <x v="0"/>
    <n v="1"/>
  </r>
  <r>
    <s v="Rua Santa Fe, 4935"/>
    <x v="0"/>
    <x v="1"/>
    <x v="2"/>
    <x v="2"/>
    <x v="5"/>
    <x v="3"/>
    <x v="0"/>
    <x v="0"/>
    <x v="0"/>
    <x v="0"/>
    <x v="0"/>
    <x v="0"/>
    <x v="0"/>
    <n v="1"/>
  </r>
  <r>
    <s v="Rua Parma, 403"/>
    <x v="0"/>
    <x v="4"/>
    <x v="2"/>
    <x v="0"/>
    <x v="18"/>
    <x v="15"/>
    <x v="2"/>
    <x v="0"/>
    <x v="0"/>
    <x v="0"/>
    <x v="0"/>
    <x v="0"/>
    <x v="0"/>
    <n v="1"/>
  </r>
  <r>
    <s v="Rua Parma, 403"/>
    <x v="0"/>
    <x v="4"/>
    <x v="2"/>
    <x v="1"/>
    <x v="11"/>
    <x v="9"/>
    <x v="2"/>
    <x v="0"/>
    <x v="0"/>
    <x v="0"/>
    <x v="0"/>
    <x v="0"/>
    <x v="0"/>
    <n v="1"/>
  </r>
  <r>
    <s v="Rua Parma, 403"/>
    <x v="0"/>
    <x v="4"/>
    <x v="2"/>
    <x v="2"/>
    <x v="8"/>
    <x v="6"/>
    <x v="2"/>
    <x v="0"/>
    <x v="0"/>
    <x v="0"/>
    <x v="0"/>
    <x v="0"/>
    <x v="0"/>
    <n v="1"/>
  </r>
  <r>
    <s v="Rua Veneza, 1125"/>
    <x v="0"/>
    <x v="1"/>
    <x v="2"/>
    <x v="0"/>
    <x v="18"/>
    <x v="15"/>
    <x v="2"/>
    <x v="0"/>
    <x v="0"/>
    <x v="0"/>
    <x v="0"/>
    <x v="0"/>
    <x v="0"/>
    <n v="1"/>
  </r>
  <r>
    <s v="Rua Veneza, 1125"/>
    <x v="0"/>
    <x v="1"/>
    <x v="2"/>
    <x v="1"/>
    <x v="11"/>
    <x v="9"/>
    <x v="2"/>
    <x v="0"/>
    <x v="0"/>
    <x v="0"/>
    <x v="0"/>
    <x v="0"/>
    <x v="0"/>
    <n v="1"/>
  </r>
  <r>
    <s v="Rua Veneza, 1125"/>
    <x v="0"/>
    <x v="1"/>
    <x v="2"/>
    <x v="2"/>
    <x v="8"/>
    <x v="6"/>
    <x v="2"/>
    <x v="0"/>
    <x v="0"/>
    <x v="0"/>
    <x v="0"/>
    <x v="0"/>
    <x v="0"/>
    <n v="1"/>
  </r>
  <r>
    <s v="Rua Reboucas, 2304"/>
    <x v="0"/>
    <x v="1"/>
    <x v="2"/>
    <x v="0"/>
    <x v="9"/>
    <x v="7"/>
    <x v="2"/>
    <x v="0"/>
    <x v="0"/>
    <x v="0"/>
    <x v="0"/>
    <x v="0"/>
    <x v="0"/>
    <n v="1"/>
  </r>
  <r>
    <s v="Rua Reboucas, 2304"/>
    <x v="0"/>
    <x v="1"/>
    <x v="2"/>
    <x v="1"/>
    <x v="7"/>
    <x v="5"/>
    <x v="2"/>
    <x v="0"/>
    <x v="0"/>
    <x v="0"/>
    <x v="0"/>
    <x v="0"/>
    <x v="0"/>
    <n v="1"/>
  </r>
  <r>
    <s v="Rua Reboucas, 2304"/>
    <x v="0"/>
    <x v="1"/>
    <x v="2"/>
    <x v="2"/>
    <x v="8"/>
    <x v="6"/>
    <x v="2"/>
    <x v="0"/>
    <x v="0"/>
    <x v="0"/>
    <x v="0"/>
    <x v="0"/>
    <x v="0"/>
    <n v="1"/>
  </r>
  <r>
    <s v="Rua Milan, 483"/>
    <x v="0"/>
    <x v="3"/>
    <x v="2"/>
    <x v="0"/>
    <x v="10"/>
    <x v="8"/>
    <x v="2"/>
    <x v="0"/>
    <x v="0"/>
    <x v="0"/>
    <x v="0"/>
    <x v="0"/>
    <x v="0"/>
    <n v="1"/>
  </r>
  <r>
    <s v="Rua Milan, 483"/>
    <x v="0"/>
    <x v="3"/>
    <x v="2"/>
    <x v="1"/>
    <x v="11"/>
    <x v="9"/>
    <x v="2"/>
    <x v="0"/>
    <x v="0"/>
    <x v="0"/>
    <x v="0"/>
    <x v="0"/>
    <x v="0"/>
    <n v="1"/>
  </r>
  <r>
    <s v="Rua Milan, 483"/>
    <x v="0"/>
    <x v="3"/>
    <x v="2"/>
    <x v="2"/>
    <x v="13"/>
    <x v="9"/>
    <x v="2"/>
    <x v="0"/>
    <x v="0"/>
    <x v="0"/>
    <x v="0"/>
    <x v="0"/>
    <x v="0"/>
    <n v="1"/>
  </r>
  <r>
    <s v="Rua Andrade Neves, 377"/>
    <x v="0"/>
    <x v="4"/>
    <x v="2"/>
    <x v="0"/>
    <x v="18"/>
    <x v="15"/>
    <x v="2"/>
    <x v="0"/>
    <x v="0"/>
    <x v="0"/>
    <x v="0"/>
    <x v="0"/>
    <x v="0"/>
    <n v="1"/>
  </r>
  <r>
    <s v="Rua Andrade Neves, 377"/>
    <x v="0"/>
    <x v="4"/>
    <x v="2"/>
    <x v="1"/>
    <x v="11"/>
    <x v="9"/>
    <x v="2"/>
    <x v="0"/>
    <x v="0"/>
    <x v="0"/>
    <x v="0"/>
    <x v="0"/>
    <x v="0"/>
    <n v="1"/>
  </r>
  <r>
    <s v="Rua Andrade Neves, 377"/>
    <x v="0"/>
    <x v="4"/>
    <x v="2"/>
    <x v="2"/>
    <x v="13"/>
    <x v="9"/>
    <x v="2"/>
    <x v="0"/>
    <x v="0"/>
    <x v="0"/>
    <x v="0"/>
    <x v="0"/>
    <x v="0"/>
    <n v="1"/>
  </r>
  <r>
    <s v="Avenida Senador Alberto Pasqualini, 158"/>
    <x v="0"/>
    <x v="1"/>
    <x v="0"/>
    <x v="0"/>
    <x v="14"/>
    <x v="11"/>
    <x v="2"/>
    <x v="0"/>
    <x v="0"/>
    <x v="0"/>
    <x v="0"/>
    <x v="0"/>
    <x v="0"/>
    <n v="1"/>
  </r>
  <r>
    <s v="Avenida Senador Alberto Pasqualini, 158"/>
    <x v="0"/>
    <x v="1"/>
    <x v="0"/>
    <x v="1"/>
    <x v="15"/>
    <x v="12"/>
    <x v="2"/>
    <x v="3"/>
    <x v="3"/>
    <x v="0"/>
    <x v="0"/>
    <x v="0"/>
    <x v="1"/>
    <n v="1"/>
  </r>
  <r>
    <s v="Avenida Senador Alberto Pasqualini, 158"/>
    <x v="0"/>
    <x v="1"/>
    <x v="0"/>
    <x v="2"/>
    <x v="20"/>
    <x v="16"/>
    <x v="2"/>
    <x v="0"/>
    <x v="1"/>
    <x v="0"/>
    <x v="0"/>
    <x v="1"/>
    <x v="0"/>
    <n v="1"/>
  </r>
  <r>
    <s v="Rua Mario Totta, 635"/>
    <x v="0"/>
    <x v="1"/>
    <x v="1"/>
    <x v="0"/>
    <x v="18"/>
    <x v="15"/>
    <x v="4"/>
    <x v="0"/>
    <x v="0"/>
    <x v="0"/>
    <x v="0"/>
    <x v="0"/>
    <x v="0"/>
    <n v="1"/>
  </r>
  <r>
    <s v="Rua Mario Totta, 635"/>
    <x v="0"/>
    <x v="1"/>
    <x v="1"/>
    <x v="1"/>
    <x v="11"/>
    <x v="9"/>
    <x v="4"/>
    <x v="0"/>
    <x v="0"/>
    <x v="0"/>
    <x v="0"/>
    <x v="0"/>
    <x v="0"/>
    <n v="1"/>
  </r>
  <r>
    <s v="Rua Mario Totta, 635"/>
    <x v="0"/>
    <x v="1"/>
    <x v="1"/>
    <x v="2"/>
    <x v="12"/>
    <x v="10"/>
    <x v="4"/>
    <x v="0"/>
    <x v="0"/>
    <x v="0"/>
    <x v="0"/>
    <x v="0"/>
    <x v="0"/>
    <n v="1"/>
  </r>
  <r>
    <s v="Rua Santa Fe, 2459"/>
    <x v="0"/>
    <x v="3"/>
    <x v="2"/>
    <x v="0"/>
    <x v="18"/>
    <x v="15"/>
    <x v="2"/>
    <x v="0"/>
    <x v="0"/>
    <x v="0"/>
    <x v="0"/>
    <x v="0"/>
    <x v="0"/>
    <n v="1"/>
  </r>
  <r>
    <s v="Rua Santa Fe, 2459"/>
    <x v="0"/>
    <x v="3"/>
    <x v="2"/>
    <x v="1"/>
    <x v="21"/>
    <x v="10"/>
    <x v="2"/>
    <x v="0"/>
    <x v="0"/>
    <x v="0"/>
    <x v="0"/>
    <x v="0"/>
    <x v="0"/>
    <n v="1"/>
  </r>
  <r>
    <s v="Rua Santa Fe, 2459"/>
    <x v="0"/>
    <x v="3"/>
    <x v="2"/>
    <x v="2"/>
    <x v="13"/>
    <x v="9"/>
    <x v="2"/>
    <x v="0"/>
    <x v="0"/>
    <x v="0"/>
    <x v="0"/>
    <x v="0"/>
    <x v="0"/>
    <n v="1"/>
  </r>
  <r>
    <s v="Rua Padre Reus, 2422"/>
    <x v="0"/>
    <x v="1"/>
    <x v="1"/>
    <x v="0"/>
    <x v="3"/>
    <x v="1"/>
    <x v="2"/>
    <x v="0"/>
    <x v="0"/>
    <x v="0"/>
    <x v="0"/>
    <x v="0"/>
    <x v="0"/>
    <n v="1"/>
  </r>
  <r>
    <s v="Rua Padre Reus, 2422"/>
    <x v="0"/>
    <x v="1"/>
    <x v="1"/>
    <x v="1"/>
    <x v="4"/>
    <x v="2"/>
    <x v="2"/>
    <x v="0"/>
    <x v="0"/>
    <x v="0"/>
    <x v="0"/>
    <x v="0"/>
    <x v="0"/>
    <n v="1"/>
  </r>
  <r>
    <s v="Rua Padre Reus, 2422"/>
    <x v="0"/>
    <x v="1"/>
    <x v="1"/>
    <x v="2"/>
    <x v="5"/>
    <x v="3"/>
    <x v="2"/>
    <x v="0"/>
    <x v="0"/>
    <x v="0"/>
    <x v="0"/>
    <x v="0"/>
    <x v="0"/>
    <n v="1"/>
  </r>
  <r>
    <s v="Rua Santos Dumont, 92"/>
    <x v="0"/>
    <x v="3"/>
    <x v="2"/>
    <x v="0"/>
    <x v="9"/>
    <x v="7"/>
    <x v="2"/>
    <x v="0"/>
    <x v="0"/>
    <x v="0"/>
    <x v="0"/>
    <x v="0"/>
    <x v="0"/>
    <n v="1"/>
  </r>
  <r>
    <s v="Rua Santos Dumont, 92"/>
    <x v="0"/>
    <x v="3"/>
    <x v="2"/>
    <x v="1"/>
    <x v="7"/>
    <x v="5"/>
    <x v="2"/>
    <x v="0"/>
    <x v="0"/>
    <x v="0"/>
    <x v="0"/>
    <x v="0"/>
    <x v="0"/>
    <n v="1"/>
  </r>
  <r>
    <s v="Rua Santos Dumont, 92"/>
    <x v="0"/>
    <x v="3"/>
    <x v="2"/>
    <x v="2"/>
    <x v="13"/>
    <x v="9"/>
    <x v="2"/>
    <x v="0"/>
    <x v="0"/>
    <x v="0"/>
    <x v="0"/>
    <x v="0"/>
    <x v="0"/>
    <n v="1"/>
  </r>
  <r>
    <s v="Avenida Joao Magalhaes, 2167"/>
    <x v="0"/>
    <x v="0"/>
    <x v="3"/>
    <x v="0"/>
    <x v="27"/>
    <x v="22"/>
    <x v="4"/>
    <x v="0"/>
    <x v="0"/>
    <x v="2"/>
    <x v="0"/>
    <x v="0"/>
    <x v="0"/>
    <n v="1"/>
  </r>
  <r>
    <s v="Avenida Joao Magalhaes, 2167"/>
    <x v="0"/>
    <x v="0"/>
    <x v="3"/>
    <x v="1"/>
    <x v="17"/>
    <x v="14"/>
    <x v="4"/>
    <x v="0"/>
    <x v="0"/>
    <x v="2"/>
    <x v="0"/>
    <x v="0"/>
    <x v="0"/>
    <n v="1"/>
  </r>
  <r>
    <s v="Avenida Joao Magalhaes, 2167"/>
    <x v="0"/>
    <x v="0"/>
    <x v="3"/>
    <x v="2"/>
    <x v="40"/>
    <x v="12"/>
    <x v="4"/>
    <x v="0"/>
    <x v="0"/>
    <x v="2"/>
    <x v="0"/>
    <x v="0"/>
    <x v="0"/>
    <n v="1"/>
  </r>
  <r>
    <s v="Rua Dez de Novembro, 248"/>
    <x v="0"/>
    <x v="3"/>
    <x v="1"/>
    <x v="0"/>
    <x v="3"/>
    <x v="1"/>
    <x v="2"/>
    <x v="0"/>
    <x v="0"/>
    <x v="2"/>
    <x v="0"/>
    <x v="0"/>
    <x v="0"/>
    <n v="1"/>
  </r>
  <r>
    <s v="Rua Dez de Novembro, 248"/>
    <x v="0"/>
    <x v="3"/>
    <x v="1"/>
    <x v="1"/>
    <x v="16"/>
    <x v="13"/>
    <x v="2"/>
    <x v="1"/>
    <x v="0"/>
    <x v="2"/>
    <x v="0"/>
    <x v="0"/>
    <x v="0"/>
    <n v="1"/>
  </r>
  <r>
    <s v="Rua Dez de Novembro, 248"/>
    <x v="0"/>
    <x v="3"/>
    <x v="1"/>
    <x v="2"/>
    <x v="5"/>
    <x v="3"/>
    <x v="2"/>
    <x v="3"/>
    <x v="0"/>
    <x v="2"/>
    <x v="0"/>
    <x v="0"/>
    <x v="0"/>
    <n v="1"/>
  </r>
  <r>
    <s v="Rua Assis Brasil, 342"/>
    <x v="0"/>
    <x v="0"/>
    <x v="4"/>
    <x v="0"/>
    <x v="10"/>
    <x v="8"/>
    <x v="1"/>
    <x v="0"/>
    <x v="0"/>
    <x v="0"/>
    <x v="0"/>
    <x v="0"/>
    <x v="0"/>
    <n v="1"/>
  </r>
  <r>
    <s v="Rua Assis Brasil, 342"/>
    <x v="0"/>
    <x v="0"/>
    <x v="4"/>
    <x v="1"/>
    <x v="17"/>
    <x v="14"/>
    <x v="1"/>
    <x v="0"/>
    <x v="0"/>
    <x v="0"/>
    <x v="0"/>
    <x v="0"/>
    <x v="0"/>
    <n v="1"/>
  </r>
  <r>
    <s v="Rua Assis Brasil, 342"/>
    <x v="0"/>
    <x v="0"/>
    <x v="4"/>
    <x v="2"/>
    <x v="22"/>
    <x v="17"/>
    <x v="1"/>
    <x v="0"/>
    <x v="0"/>
    <x v="0"/>
    <x v="0"/>
    <x v="0"/>
    <x v="0"/>
    <n v="1"/>
  </r>
  <r>
    <s v="Rua Vinte e Nove, 780"/>
    <x v="0"/>
    <x v="4"/>
    <x v="2"/>
    <x v="0"/>
    <x v="18"/>
    <x v="15"/>
    <x v="2"/>
    <x v="0"/>
    <x v="0"/>
    <x v="0"/>
    <x v="0"/>
    <x v="0"/>
    <x v="0"/>
    <n v="1"/>
  </r>
  <r>
    <s v="Rua Vinte e Nove, 780"/>
    <x v="0"/>
    <x v="4"/>
    <x v="2"/>
    <x v="1"/>
    <x v="11"/>
    <x v="9"/>
    <x v="2"/>
    <x v="0"/>
    <x v="0"/>
    <x v="0"/>
    <x v="0"/>
    <x v="0"/>
    <x v="0"/>
    <n v="1"/>
  </r>
  <r>
    <s v="Rua Vinte e Nove, 780"/>
    <x v="0"/>
    <x v="4"/>
    <x v="2"/>
    <x v="2"/>
    <x v="13"/>
    <x v="9"/>
    <x v="2"/>
    <x v="0"/>
    <x v="0"/>
    <x v="0"/>
    <x v="0"/>
    <x v="0"/>
    <x v="0"/>
    <n v="1"/>
  </r>
  <r>
    <s v="Rua Prudente de Morais, 696"/>
    <x v="0"/>
    <x v="3"/>
    <x v="2"/>
    <x v="0"/>
    <x v="18"/>
    <x v="15"/>
    <x v="2"/>
    <x v="3"/>
    <x v="0"/>
    <x v="0"/>
    <x v="0"/>
    <x v="0"/>
    <x v="0"/>
    <n v="1"/>
  </r>
  <r>
    <s v="Rua Prudente de Morais, 696"/>
    <x v="0"/>
    <x v="3"/>
    <x v="2"/>
    <x v="1"/>
    <x v="11"/>
    <x v="9"/>
    <x v="2"/>
    <x v="2"/>
    <x v="0"/>
    <x v="0"/>
    <x v="0"/>
    <x v="0"/>
    <x v="0"/>
    <n v="1"/>
  </r>
  <r>
    <s v="Rua Prudente de Morais, 696"/>
    <x v="0"/>
    <x v="3"/>
    <x v="2"/>
    <x v="2"/>
    <x v="13"/>
    <x v="9"/>
    <x v="2"/>
    <x v="2"/>
    <x v="0"/>
    <x v="0"/>
    <x v="0"/>
    <x v="0"/>
    <x v="0"/>
    <n v="1"/>
  </r>
  <r>
    <s v="Rua Joao Goulart, 242"/>
    <x v="0"/>
    <x v="3"/>
    <x v="2"/>
    <x v="0"/>
    <x v="18"/>
    <x v="15"/>
    <x v="2"/>
    <x v="0"/>
    <x v="0"/>
    <x v="0"/>
    <x v="0"/>
    <x v="0"/>
    <x v="0"/>
    <n v="1"/>
  </r>
  <r>
    <s v="Rua Joao Goulart, 242"/>
    <x v="0"/>
    <x v="3"/>
    <x v="2"/>
    <x v="1"/>
    <x v="11"/>
    <x v="9"/>
    <x v="2"/>
    <x v="0"/>
    <x v="0"/>
    <x v="0"/>
    <x v="0"/>
    <x v="0"/>
    <x v="0"/>
    <n v="1"/>
  </r>
  <r>
    <s v="Rua Joao Goulart, 242"/>
    <x v="0"/>
    <x v="3"/>
    <x v="2"/>
    <x v="2"/>
    <x v="13"/>
    <x v="9"/>
    <x v="2"/>
    <x v="0"/>
    <x v="0"/>
    <x v="0"/>
    <x v="0"/>
    <x v="0"/>
    <x v="0"/>
    <n v="1"/>
  </r>
  <r>
    <s v="Rua Belem, 594"/>
    <x v="0"/>
    <x v="1"/>
    <x v="1"/>
    <x v="0"/>
    <x v="3"/>
    <x v="1"/>
    <x v="0"/>
    <x v="0"/>
    <x v="0"/>
    <x v="0"/>
    <x v="0"/>
    <x v="0"/>
    <x v="0"/>
    <n v="1"/>
  </r>
  <r>
    <s v="Rua Belem, 594"/>
    <x v="0"/>
    <x v="1"/>
    <x v="1"/>
    <x v="1"/>
    <x v="16"/>
    <x v="13"/>
    <x v="0"/>
    <x v="0"/>
    <x v="0"/>
    <x v="0"/>
    <x v="0"/>
    <x v="0"/>
    <x v="0"/>
    <n v="1"/>
  </r>
  <r>
    <s v="Rua Belem, 594"/>
    <x v="0"/>
    <x v="1"/>
    <x v="1"/>
    <x v="2"/>
    <x v="5"/>
    <x v="3"/>
    <x v="0"/>
    <x v="0"/>
    <x v="0"/>
    <x v="0"/>
    <x v="0"/>
    <x v="0"/>
    <x v="0"/>
    <n v="1"/>
  </r>
  <r>
    <s v="Rua Veneza, 79"/>
    <x v="0"/>
    <x v="4"/>
    <x v="2"/>
    <x v="0"/>
    <x v="18"/>
    <x v="15"/>
    <x v="2"/>
    <x v="0"/>
    <x v="0"/>
    <x v="0"/>
    <x v="0"/>
    <x v="0"/>
    <x v="0"/>
    <n v="1"/>
  </r>
  <r>
    <s v="Rua Veneza, 79"/>
    <x v="0"/>
    <x v="4"/>
    <x v="2"/>
    <x v="1"/>
    <x v="11"/>
    <x v="9"/>
    <x v="2"/>
    <x v="0"/>
    <x v="0"/>
    <x v="0"/>
    <x v="0"/>
    <x v="0"/>
    <x v="0"/>
    <n v="1"/>
  </r>
  <r>
    <s v="Rua Veneza, 79"/>
    <x v="0"/>
    <x v="4"/>
    <x v="2"/>
    <x v="2"/>
    <x v="13"/>
    <x v="9"/>
    <x v="2"/>
    <x v="0"/>
    <x v="0"/>
    <x v="0"/>
    <x v="0"/>
    <x v="0"/>
    <x v="0"/>
    <n v="1"/>
  </r>
  <r>
    <s v="Rua Quatro, 11"/>
    <x v="0"/>
    <x v="3"/>
    <x v="2"/>
    <x v="0"/>
    <x v="9"/>
    <x v="7"/>
    <x v="2"/>
    <x v="0"/>
    <x v="0"/>
    <x v="0"/>
    <x v="0"/>
    <x v="0"/>
    <x v="0"/>
    <n v="1"/>
  </r>
  <r>
    <s v="Rua Quatro, 11"/>
    <x v="0"/>
    <x v="3"/>
    <x v="2"/>
    <x v="1"/>
    <x v="7"/>
    <x v="5"/>
    <x v="2"/>
    <x v="0"/>
    <x v="0"/>
    <x v="0"/>
    <x v="0"/>
    <x v="0"/>
    <x v="0"/>
    <n v="1"/>
  </r>
  <r>
    <s v="Rua Quatro, 11"/>
    <x v="0"/>
    <x v="3"/>
    <x v="2"/>
    <x v="2"/>
    <x v="8"/>
    <x v="6"/>
    <x v="2"/>
    <x v="0"/>
    <x v="0"/>
    <x v="0"/>
    <x v="0"/>
    <x v="0"/>
    <x v="0"/>
    <n v="1"/>
  </r>
  <r>
    <s v="Rua Fernando de Noronha, 480"/>
    <x v="0"/>
    <x v="3"/>
    <x v="2"/>
    <x v="0"/>
    <x v="9"/>
    <x v="7"/>
    <x v="2"/>
    <x v="0"/>
    <x v="0"/>
    <x v="0"/>
    <x v="0"/>
    <x v="0"/>
    <x v="0"/>
    <n v="1"/>
  </r>
  <r>
    <s v="Rua Fernando de Noronha, 480"/>
    <x v="0"/>
    <x v="3"/>
    <x v="2"/>
    <x v="1"/>
    <x v="11"/>
    <x v="9"/>
    <x v="2"/>
    <x v="0"/>
    <x v="0"/>
    <x v="0"/>
    <x v="0"/>
    <x v="0"/>
    <x v="0"/>
    <n v="1"/>
  </r>
  <r>
    <s v="Rua Fernando de Noronha, 480"/>
    <x v="0"/>
    <x v="3"/>
    <x v="2"/>
    <x v="2"/>
    <x v="8"/>
    <x v="6"/>
    <x v="2"/>
    <x v="0"/>
    <x v="0"/>
    <x v="0"/>
    <x v="0"/>
    <x v="0"/>
    <x v="0"/>
    <n v="1"/>
  </r>
  <r>
    <s v="Avenida Rubem Berta, 851"/>
    <x v="0"/>
    <x v="1"/>
    <x v="3"/>
    <x v="0"/>
    <x v="35"/>
    <x v="28"/>
    <x v="0"/>
    <x v="0"/>
    <x v="0"/>
    <x v="2"/>
    <x v="0"/>
    <x v="0"/>
    <x v="0"/>
    <n v="1"/>
  </r>
  <r>
    <s v="Avenida Rubem Berta, 851"/>
    <x v="0"/>
    <x v="1"/>
    <x v="3"/>
    <x v="1"/>
    <x v="36"/>
    <x v="29"/>
    <x v="0"/>
    <x v="0"/>
    <x v="0"/>
    <x v="2"/>
    <x v="0"/>
    <x v="0"/>
    <x v="0"/>
    <n v="1"/>
  </r>
  <r>
    <s v="Avenida Rubem Berta, 851"/>
    <x v="0"/>
    <x v="1"/>
    <x v="3"/>
    <x v="2"/>
    <x v="20"/>
    <x v="16"/>
    <x v="0"/>
    <x v="0"/>
    <x v="0"/>
    <x v="2"/>
    <x v="0"/>
    <x v="0"/>
    <x v="0"/>
    <n v="1"/>
  </r>
  <r>
    <s v="Rua Joao Pessoa, 1484"/>
    <x v="0"/>
    <x v="3"/>
    <x v="1"/>
    <x v="0"/>
    <x v="9"/>
    <x v="7"/>
    <x v="2"/>
    <x v="0"/>
    <x v="0"/>
    <x v="0"/>
    <x v="0"/>
    <x v="0"/>
    <x v="0"/>
    <n v="1"/>
  </r>
  <r>
    <s v="Rua Joao Pessoa, 1484"/>
    <x v="0"/>
    <x v="3"/>
    <x v="1"/>
    <x v="1"/>
    <x v="11"/>
    <x v="9"/>
    <x v="2"/>
    <x v="0"/>
    <x v="0"/>
    <x v="0"/>
    <x v="0"/>
    <x v="0"/>
    <x v="0"/>
    <n v="1"/>
  </r>
  <r>
    <s v="Rua Joao Pessoa, 1484"/>
    <x v="0"/>
    <x v="3"/>
    <x v="1"/>
    <x v="2"/>
    <x v="12"/>
    <x v="10"/>
    <x v="2"/>
    <x v="0"/>
    <x v="0"/>
    <x v="0"/>
    <x v="0"/>
    <x v="0"/>
    <x v="0"/>
    <n v="1"/>
  </r>
  <r>
    <s v="Rua Sahydi Abrahao, 670"/>
    <x v="0"/>
    <x v="4"/>
    <x v="1"/>
    <x v="0"/>
    <x v="6"/>
    <x v="4"/>
    <x v="2"/>
    <x v="0"/>
    <x v="0"/>
    <x v="0"/>
    <x v="0"/>
    <x v="0"/>
    <x v="0"/>
    <n v="1"/>
  </r>
  <r>
    <s v="Rua Sahydi Abrahao, 670"/>
    <x v="0"/>
    <x v="4"/>
    <x v="1"/>
    <x v="1"/>
    <x v="7"/>
    <x v="5"/>
    <x v="2"/>
    <x v="0"/>
    <x v="0"/>
    <x v="0"/>
    <x v="0"/>
    <x v="0"/>
    <x v="0"/>
    <n v="1"/>
  </r>
  <r>
    <s v="Rua Sahydi Abrahao, 670"/>
    <x v="0"/>
    <x v="4"/>
    <x v="1"/>
    <x v="2"/>
    <x v="8"/>
    <x v="6"/>
    <x v="2"/>
    <x v="0"/>
    <x v="0"/>
    <x v="0"/>
    <x v="0"/>
    <x v="0"/>
    <x v="0"/>
    <n v="1"/>
  </r>
  <r>
    <s v="Rua Getulio Vargas, 502"/>
    <x v="0"/>
    <x v="3"/>
    <x v="1"/>
    <x v="0"/>
    <x v="6"/>
    <x v="4"/>
    <x v="2"/>
    <x v="0"/>
    <x v="0"/>
    <x v="0"/>
    <x v="0"/>
    <x v="0"/>
    <x v="0"/>
    <n v="1"/>
  </r>
  <r>
    <s v="Rua Getulio Vargas, 502"/>
    <x v="0"/>
    <x v="3"/>
    <x v="1"/>
    <x v="1"/>
    <x v="7"/>
    <x v="5"/>
    <x v="2"/>
    <x v="4"/>
    <x v="0"/>
    <x v="0"/>
    <x v="0"/>
    <x v="0"/>
    <x v="0"/>
    <n v="1"/>
  </r>
  <r>
    <s v="Rua Getulio Vargas, 502"/>
    <x v="0"/>
    <x v="3"/>
    <x v="1"/>
    <x v="2"/>
    <x v="8"/>
    <x v="6"/>
    <x v="2"/>
    <x v="4"/>
    <x v="0"/>
    <x v="0"/>
    <x v="0"/>
    <x v="0"/>
    <x v="0"/>
    <n v="1"/>
  </r>
  <r>
    <s v="Avenida da Igreja, 308"/>
    <x v="0"/>
    <x v="1"/>
    <x v="3"/>
    <x v="0"/>
    <x v="10"/>
    <x v="8"/>
    <x v="1"/>
    <x v="0"/>
    <x v="0"/>
    <x v="5"/>
    <x v="0"/>
    <x v="0"/>
    <x v="0"/>
    <n v="1"/>
  </r>
  <r>
    <s v="Avenida da Igreja, 308"/>
    <x v="0"/>
    <x v="1"/>
    <x v="3"/>
    <x v="1"/>
    <x v="11"/>
    <x v="9"/>
    <x v="1"/>
    <x v="0"/>
    <x v="0"/>
    <x v="5"/>
    <x v="0"/>
    <x v="0"/>
    <x v="0"/>
    <n v="1"/>
  </r>
  <r>
    <s v="Avenida da Igreja, 308"/>
    <x v="0"/>
    <x v="1"/>
    <x v="3"/>
    <x v="2"/>
    <x v="12"/>
    <x v="10"/>
    <x v="1"/>
    <x v="0"/>
    <x v="0"/>
    <x v="5"/>
    <x v="0"/>
    <x v="0"/>
    <x v="0"/>
    <n v="1"/>
  </r>
  <r>
    <s v="Rua Deodoro Ritter, 505"/>
    <x v="0"/>
    <x v="2"/>
    <x v="1"/>
    <x v="0"/>
    <x v="3"/>
    <x v="1"/>
    <x v="2"/>
    <x v="0"/>
    <x v="0"/>
    <x v="0"/>
    <x v="0"/>
    <x v="0"/>
    <x v="0"/>
    <n v="1"/>
  </r>
  <r>
    <s v="Rua Deodoro Ritter, 505"/>
    <x v="0"/>
    <x v="2"/>
    <x v="1"/>
    <x v="1"/>
    <x v="4"/>
    <x v="2"/>
    <x v="2"/>
    <x v="0"/>
    <x v="0"/>
    <x v="0"/>
    <x v="0"/>
    <x v="0"/>
    <x v="0"/>
    <n v="1"/>
  </r>
  <r>
    <s v="Rua Deodoro Ritter, 505"/>
    <x v="0"/>
    <x v="2"/>
    <x v="1"/>
    <x v="2"/>
    <x v="5"/>
    <x v="3"/>
    <x v="2"/>
    <x v="0"/>
    <x v="0"/>
    <x v="0"/>
    <x v="0"/>
    <x v="0"/>
    <x v="0"/>
    <n v="1"/>
  </r>
  <r>
    <s v="Avenida Ubatuba de Farias, 123"/>
    <x v="0"/>
    <x v="1"/>
    <x v="3"/>
    <x v="0"/>
    <x v="3"/>
    <x v="1"/>
    <x v="2"/>
    <x v="0"/>
    <x v="0"/>
    <x v="2"/>
    <x v="0"/>
    <x v="0"/>
    <x v="0"/>
    <n v="1"/>
  </r>
  <r>
    <s v="Avenida Ubatuba de Farias, 123"/>
    <x v="0"/>
    <x v="1"/>
    <x v="3"/>
    <x v="1"/>
    <x v="4"/>
    <x v="2"/>
    <x v="2"/>
    <x v="0"/>
    <x v="0"/>
    <x v="2"/>
    <x v="0"/>
    <x v="0"/>
    <x v="0"/>
    <n v="1"/>
  </r>
  <r>
    <s v="Avenida Ubatuba de Farias, 123"/>
    <x v="0"/>
    <x v="1"/>
    <x v="3"/>
    <x v="2"/>
    <x v="5"/>
    <x v="3"/>
    <x v="2"/>
    <x v="0"/>
    <x v="0"/>
    <x v="2"/>
    <x v="0"/>
    <x v="0"/>
    <x v="0"/>
    <n v="1"/>
  </r>
  <r>
    <s v="Rua Pinheiro Veloso, 467"/>
    <x v="0"/>
    <x v="3"/>
    <x v="1"/>
    <x v="0"/>
    <x v="9"/>
    <x v="7"/>
    <x v="2"/>
    <x v="0"/>
    <x v="0"/>
    <x v="0"/>
    <x v="0"/>
    <x v="0"/>
    <x v="0"/>
    <n v="1"/>
  </r>
  <r>
    <s v="Rua Pinheiro Veloso, 467"/>
    <x v="0"/>
    <x v="3"/>
    <x v="1"/>
    <x v="1"/>
    <x v="7"/>
    <x v="5"/>
    <x v="2"/>
    <x v="0"/>
    <x v="0"/>
    <x v="0"/>
    <x v="0"/>
    <x v="0"/>
    <x v="0"/>
    <n v="1"/>
  </r>
  <r>
    <s v="Rua Pinheiro Veloso, 467"/>
    <x v="0"/>
    <x v="3"/>
    <x v="1"/>
    <x v="2"/>
    <x v="8"/>
    <x v="6"/>
    <x v="2"/>
    <x v="2"/>
    <x v="0"/>
    <x v="0"/>
    <x v="0"/>
    <x v="0"/>
    <x v="0"/>
    <n v="1"/>
  </r>
  <r>
    <s v="Rua Julio de Castilhos, 144"/>
    <x v="0"/>
    <x v="3"/>
    <x v="2"/>
    <x v="0"/>
    <x v="9"/>
    <x v="7"/>
    <x v="2"/>
    <x v="0"/>
    <x v="0"/>
    <x v="0"/>
    <x v="0"/>
    <x v="0"/>
    <x v="0"/>
    <n v="1"/>
  </r>
  <r>
    <s v="Rua Julio de Castilhos, 144"/>
    <x v="0"/>
    <x v="3"/>
    <x v="2"/>
    <x v="1"/>
    <x v="11"/>
    <x v="9"/>
    <x v="2"/>
    <x v="0"/>
    <x v="0"/>
    <x v="0"/>
    <x v="0"/>
    <x v="0"/>
    <x v="0"/>
    <n v="1"/>
  </r>
  <r>
    <s v="Rua Julio de Castilhos, 144"/>
    <x v="0"/>
    <x v="3"/>
    <x v="2"/>
    <x v="2"/>
    <x v="8"/>
    <x v="6"/>
    <x v="2"/>
    <x v="0"/>
    <x v="0"/>
    <x v="0"/>
    <x v="0"/>
    <x v="0"/>
    <x v="0"/>
    <n v="1"/>
  </r>
  <r>
    <s v="Rua Doze de Abril, 721"/>
    <x v="0"/>
    <x v="4"/>
    <x v="2"/>
    <x v="0"/>
    <x v="9"/>
    <x v="7"/>
    <x v="2"/>
    <x v="0"/>
    <x v="0"/>
    <x v="0"/>
    <x v="0"/>
    <x v="0"/>
    <x v="0"/>
    <n v="1"/>
  </r>
  <r>
    <s v="Rua Doze de Abril, 721"/>
    <x v="0"/>
    <x v="4"/>
    <x v="2"/>
    <x v="1"/>
    <x v="7"/>
    <x v="5"/>
    <x v="2"/>
    <x v="0"/>
    <x v="0"/>
    <x v="0"/>
    <x v="0"/>
    <x v="0"/>
    <x v="0"/>
    <n v="1"/>
  </r>
  <r>
    <s v="Rua Doze de Abril, 721"/>
    <x v="0"/>
    <x v="4"/>
    <x v="2"/>
    <x v="2"/>
    <x v="8"/>
    <x v="6"/>
    <x v="2"/>
    <x v="0"/>
    <x v="0"/>
    <x v="0"/>
    <x v="0"/>
    <x v="0"/>
    <x v="0"/>
    <n v="1"/>
  </r>
  <r>
    <s v="Avenida da Igreja, 60"/>
    <x v="0"/>
    <x v="1"/>
    <x v="3"/>
    <x v="0"/>
    <x v="9"/>
    <x v="7"/>
    <x v="1"/>
    <x v="0"/>
    <x v="0"/>
    <x v="5"/>
    <x v="0"/>
    <x v="0"/>
    <x v="0"/>
    <n v="1"/>
  </r>
  <r>
    <s v="Avenida da Igreja, 60"/>
    <x v="0"/>
    <x v="1"/>
    <x v="3"/>
    <x v="1"/>
    <x v="11"/>
    <x v="9"/>
    <x v="1"/>
    <x v="0"/>
    <x v="0"/>
    <x v="5"/>
    <x v="0"/>
    <x v="0"/>
    <x v="0"/>
    <n v="1"/>
  </r>
  <r>
    <s v="Avenida da Igreja, 60"/>
    <x v="0"/>
    <x v="1"/>
    <x v="3"/>
    <x v="2"/>
    <x v="8"/>
    <x v="6"/>
    <x v="1"/>
    <x v="0"/>
    <x v="0"/>
    <x v="5"/>
    <x v="0"/>
    <x v="0"/>
    <x v="0"/>
    <n v="1"/>
  </r>
  <r>
    <s v="Avenida Emancipacao, 30"/>
    <x v="0"/>
    <x v="0"/>
    <x v="4"/>
    <x v="0"/>
    <x v="9"/>
    <x v="7"/>
    <x v="2"/>
    <x v="0"/>
    <x v="0"/>
    <x v="1"/>
    <x v="0"/>
    <x v="0"/>
    <x v="0"/>
    <n v="1"/>
  </r>
  <r>
    <s v="Avenida Emancipacao, 30"/>
    <x v="0"/>
    <x v="0"/>
    <x v="4"/>
    <x v="1"/>
    <x v="7"/>
    <x v="5"/>
    <x v="2"/>
    <x v="0"/>
    <x v="0"/>
    <x v="1"/>
    <x v="0"/>
    <x v="0"/>
    <x v="0"/>
    <n v="1"/>
  </r>
  <r>
    <s v="Avenida Emancipacao, 30"/>
    <x v="0"/>
    <x v="0"/>
    <x v="4"/>
    <x v="2"/>
    <x v="8"/>
    <x v="6"/>
    <x v="2"/>
    <x v="0"/>
    <x v="0"/>
    <x v="1"/>
    <x v="0"/>
    <x v="0"/>
    <x v="0"/>
    <n v="1"/>
  </r>
  <r>
    <s v="Rua Jorge Sperb, 226"/>
    <x v="0"/>
    <x v="2"/>
    <x v="2"/>
    <x v="0"/>
    <x v="3"/>
    <x v="1"/>
    <x v="1"/>
    <x v="0"/>
    <x v="0"/>
    <x v="3"/>
    <x v="0"/>
    <x v="0"/>
    <x v="0"/>
    <n v="1"/>
  </r>
  <r>
    <s v="Rua Jorge Sperb, 226"/>
    <x v="0"/>
    <x v="2"/>
    <x v="2"/>
    <x v="1"/>
    <x v="16"/>
    <x v="13"/>
    <x v="1"/>
    <x v="0"/>
    <x v="0"/>
    <x v="3"/>
    <x v="0"/>
    <x v="0"/>
    <x v="0"/>
    <n v="1"/>
  </r>
  <r>
    <s v="Rua Jorge Sperb, 226"/>
    <x v="0"/>
    <x v="2"/>
    <x v="2"/>
    <x v="2"/>
    <x v="5"/>
    <x v="3"/>
    <x v="1"/>
    <x v="0"/>
    <x v="0"/>
    <x v="3"/>
    <x v="0"/>
    <x v="0"/>
    <x v="0"/>
    <n v="1"/>
  </r>
  <r>
    <s v="Rua Jorge Sperb, 39"/>
    <x v="0"/>
    <x v="4"/>
    <x v="1"/>
    <x v="0"/>
    <x v="3"/>
    <x v="1"/>
    <x v="4"/>
    <x v="0"/>
    <x v="0"/>
    <x v="0"/>
    <x v="0"/>
    <x v="0"/>
    <x v="0"/>
    <n v="1"/>
  </r>
  <r>
    <s v="Rua Jorge Sperb, 39"/>
    <x v="0"/>
    <x v="4"/>
    <x v="1"/>
    <x v="1"/>
    <x v="4"/>
    <x v="2"/>
    <x v="4"/>
    <x v="0"/>
    <x v="0"/>
    <x v="0"/>
    <x v="0"/>
    <x v="0"/>
    <x v="0"/>
    <n v="1"/>
  </r>
  <r>
    <s v="Rua Jorge Sperb, 39"/>
    <x v="0"/>
    <x v="4"/>
    <x v="1"/>
    <x v="2"/>
    <x v="5"/>
    <x v="3"/>
    <x v="4"/>
    <x v="0"/>
    <x v="0"/>
    <x v="0"/>
    <x v="0"/>
    <x v="0"/>
    <x v="0"/>
    <n v="1"/>
  </r>
  <r>
    <s v="Rua Fernandes Bastos, 422"/>
    <x v="0"/>
    <x v="1"/>
    <x v="2"/>
    <x v="0"/>
    <x v="3"/>
    <x v="1"/>
    <x v="1"/>
    <x v="0"/>
    <x v="0"/>
    <x v="5"/>
    <x v="0"/>
    <x v="0"/>
    <x v="0"/>
    <n v="1"/>
  </r>
  <r>
    <s v="Rua Fernandes Bastos, 422"/>
    <x v="0"/>
    <x v="1"/>
    <x v="2"/>
    <x v="1"/>
    <x v="4"/>
    <x v="2"/>
    <x v="1"/>
    <x v="0"/>
    <x v="0"/>
    <x v="5"/>
    <x v="0"/>
    <x v="0"/>
    <x v="0"/>
    <n v="1"/>
  </r>
  <r>
    <s v="Rua Fernandes Bastos, 422"/>
    <x v="0"/>
    <x v="1"/>
    <x v="2"/>
    <x v="2"/>
    <x v="5"/>
    <x v="3"/>
    <x v="1"/>
    <x v="0"/>
    <x v="0"/>
    <x v="5"/>
    <x v="0"/>
    <x v="0"/>
    <x v="0"/>
    <n v="1"/>
  </r>
  <r>
    <s v="Avenida Rubem Berta, 737"/>
    <x v="0"/>
    <x v="1"/>
    <x v="2"/>
    <x v="0"/>
    <x v="27"/>
    <x v="22"/>
    <x v="0"/>
    <x v="0"/>
    <x v="0"/>
    <x v="2"/>
    <x v="0"/>
    <x v="0"/>
    <x v="0"/>
    <n v="1"/>
  </r>
  <r>
    <s v="Avenida Rubem Berta, 737"/>
    <x v="0"/>
    <x v="1"/>
    <x v="2"/>
    <x v="1"/>
    <x v="17"/>
    <x v="14"/>
    <x v="0"/>
    <x v="0"/>
    <x v="0"/>
    <x v="2"/>
    <x v="0"/>
    <x v="0"/>
    <x v="0"/>
    <n v="1"/>
  </r>
  <r>
    <s v="Avenida Rubem Berta, 737"/>
    <x v="0"/>
    <x v="1"/>
    <x v="2"/>
    <x v="2"/>
    <x v="37"/>
    <x v="30"/>
    <x v="0"/>
    <x v="0"/>
    <x v="0"/>
    <x v="2"/>
    <x v="0"/>
    <x v="0"/>
    <x v="0"/>
    <n v="1"/>
  </r>
  <r>
    <s v="Avenida Rubem Berta, 1640"/>
    <x v="0"/>
    <x v="1"/>
    <x v="3"/>
    <x v="0"/>
    <x v="10"/>
    <x v="8"/>
    <x v="0"/>
    <x v="0"/>
    <x v="0"/>
    <x v="2"/>
    <x v="0"/>
    <x v="0"/>
    <x v="0"/>
    <n v="1"/>
  </r>
  <r>
    <s v="Avenida Rubem Berta, 1640"/>
    <x v="0"/>
    <x v="1"/>
    <x v="3"/>
    <x v="1"/>
    <x v="17"/>
    <x v="14"/>
    <x v="0"/>
    <x v="0"/>
    <x v="0"/>
    <x v="2"/>
    <x v="0"/>
    <x v="0"/>
    <x v="0"/>
    <n v="1"/>
  </r>
  <r>
    <s v="Avenida Rubem Berta, 1640"/>
    <x v="0"/>
    <x v="1"/>
    <x v="3"/>
    <x v="2"/>
    <x v="22"/>
    <x v="17"/>
    <x v="0"/>
    <x v="0"/>
    <x v="0"/>
    <x v="2"/>
    <x v="0"/>
    <x v="0"/>
    <x v="0"/>
    <n v="1"/>
  </r>
  <r>
    <s v="Travessa Olavo Bilac, 1226"/>
    <x v="0"/>
    <x v="3"/>
    <x v="1"/>
    <x v="0"/>
    <x v="9"/>
    <x v="7"/>
    <x v="2"/>
    <x v="0"/>
    <x v="0"/>
    <x v="0"/>
    <x v="0"/>
    <x v="0"/>
    <x v="0"/>
    <n v="1"/>
  </r>
  <r>
    <s v="Travessa Olavo Bilac, 1226"/>
    <x v="0"/>
    <x v="3"/>
    <x v="1"/>
    <x v="1"/>
    <x v="7"/>
    <x v="5"/>
    <x v="2"/>
    <x v="0"/>
    <x v="0"/>
    <x v="0"/>
    <x v="0"/>
    <x v="0"/>
    <x v="0"/>
    <n v="1"/>
  </r>
  <r>
    <s v="Travessa Olavo Bilac, 1226"/>
    <x v="0"/>
    <x v="3"/>
    <x v="1"/>
    <x v="2"/>
    <x v="8"/>
    <x v="6"/>
    <x v="2"/>
    <x v="4"/>
    <x v="0"/>
    <x v="0"/>
    <x v="0"/>
    <x v="0"/>
    <x v="0"/>
    <n v="1"/>
  </r>
  <r>
    <s v="Rua Jose de Freitas, 1454"/>
    <x v="0"/>
    <x v="3"/>
    <x v="1"/>
    <x v="0"/>
    <x v="9"/>
    <x v="7"/>
    <x v="2"/>
    <x v="0"/>
    <x v="0"/>
    <x v="0"/>
    <x v="0"/>
    <x v="0"/>
    <x v="0"/>
    <n v="1"/>
  </r>
  <r>
    <s v="Rua Jose de Freitas, 1454"/>
    <x v="0"/>
    <x v="3"/>
    <x v="1"/>
    <x v="1"/>
    <x v="4"/>
    <x v="2"/>
    <x v="2"/>
    <x v="0"/>
    <x v="0"/>
    <x v="0"/>
    <x v="0"/>
    <x v="0"/>
    <x v="0"/>
    <n v="1"/>
  </r>
  <r>
    <s v="Rua Jose de Freitas, 1454"/>
    <x v="0"/>
    <x v="3"/>
    <x v="1"/>
    <x v="2"/>
    <x v="5"/>
    <x v="3"/>
    <x v="2"/>
    <x v="0"/>
    <x v="0"/>
    <x v="0"/>
    <x v="0"/>
    <x v="0"/>
    <x v="0"/>
    <n v="1"/>
  </r>
  <r>
    <s v="Rua Josephino Nunes dos Santos, 577"/>
    <x v="0"/>
    <x v="3"/>
    <x v="2"/>
    <x v="0"/>
    <x v="9"/>
    <x v="7"/>
    <x v="2"/>
    <x v="0"/>
    <x v="0"/>
    <x v="0"/>
    <x v="0"/>
    <x v="0"/>
    <x v="0"/>
    <n v="1"/>
  </r>
  <r>
    <s v="Rua Josephino Nunes dos Santos, 577"/>
    <x v="0"/>
    <x v="3"/>
    <x v="2"/>
    <x v="1"/>
    <x v="7"/>
    <x v="5"/>
    <x v="2"/>
    <x v="0"/>
    <x v="0"/>
    <x v="0"/>
    <x v="0"/>
    <x v="0"/>
    <x v="0"/>
    <n v="1"/>
  </r>
  <r>
    <s v="Rua Josephino Nunes dos Santos, 577"/>
    <x v="0"/>
    <x v="3"/>
    <x v="2"/>
    <x v="2"/>
    <x v="8"/>
    <x v="6"/>
    <x v="2"/>
    <x v="0"/>
    <x v="0"/>
    <x v="0"/>
    <x v="0"/>
    <x v="0"/>
    <x v="0"/>
    <n v="1"/>
  </r>
  <r>
    <s v="Rua Heitor L. da Silva, 173"/>
    <x v="0"/>
    <x v="3"/>
    <x v="1"/>
    <x v="0"/>
    <x v="3"/>
    <x v="1"/>
    <x v="2"/>
    <x v="0"/>
    <x v="0"/>
    <x v="0"/>
    <x v="0"/>
    <x v="0"/>
    <x v="0"/>
    <n v="1"/>
  </r>
  <r>
    <s v="Rua Heitor L. da Silva, 173"/>
    <x v="0"/>
    <x v="3"/>
    <x v="1"/>
    <x v="1"/>
    <x v="4"/>
    <x v="2"/>
    <x v="2"/>
    <x v="0"/>
    <x v="0"/>
    <x v="0"/>
    <x v="0"/>
    <x v="0"/>
    <x v="0"/>
    <n v="1"/>
  </r>
  <r>
    <s v="Rua Heitor L. da Silva, 173"/>
    <x v="0"/>
    <x v="3"/>
    <x v="1"/>
    <x v="2"/>
    <x v="5"/>
    <x v="3"/>
    <x v="2"/>
    <x v="0"/>
    <x v="0"/>
    <x v="0"/>
    <x v="0"/>
    <x v="0"/>
    <x v="0"/>
    <n v="1"/>
  </r>
  <r>
    <s v="Rua Santos Dumont, 2075"/>
    <x v="0"/>
    <x v="3"/>
    <x v="1"/>
    <x v="0"/>
    <x v="6"/>
    <x v="4"/>
    <x v="2"/>
    <x v="1"/>
    <x v="0"/>
    <x v="0"/>
    <x v="0"/>
    <x v="0"/>
    <x v="0"/>
    <n v="1"/>
  </r>
  <r>
    <s v="Rua Santos Dumont, 2075"/>
    <x v="0"/>
    <x v="3"/>
    <x v="1"/>
    <x v="1"/>
    <x v="4"/>
    <x v="2"/>
    <x v="2"/>
    <x v="1"/>
    <x v="0"/>
    <x v="0"/>
    <x v="0"/>
    <x v="0"/>
    <x v="0"/>
    <n v="1"/>
  </r>
  <r>
    <s v="Rua Santos Dumont, 2075"/>
    <x v="0"/>
    <x v="3"/>
    <x v="1"/>
    <x v="2"/>
    <x v="5"/>
    <x v="3"/>
    <x v="2"/>
    <x v="1"/>
    <x v="0"/>
    <x v="0"/>
    <x v="0"/>
    <x v="0"/>
    <x v="0"/>
    <n v="1"/>
  </r>
  <r>
    <s v="Rua Jose de Freitas, 256"/>
    <x v="0"/>
    <x v="3"/>
    <x v="2"/>
    <x v="0"/>
    <x v="3"/>
    <x v="1"/>
    <x v="2"/>
    <x v="0"/>
    <x v="0"/>
    <x v="0"/>
    <x v="0"/>
    <x v="0"/>
    <x v="0"/>
    <n v="1"/>
  </r>
  <r>
    <s v="Rua Jose de Freitas, 256"/>
    <x v="0"/>
    <x v="3"/>
    <x v="2"/>
    <x v="1"/>
    <x v="4"/>
    <x v="2"/>
    <x v="2"/>
    <x v="0"/>
    <x v="0"/>
    <x v="0"/>
    <x v="0"/>
    <x v="0"/>
    <x v="0"/>
    <n v="1"/>
  </r>
  <r>
    <s v="Rua Jose de Freitas, 256"/>
    <x v="0"/>
    <x v="3"/>
    <x v="2"/>
    <x v="2"/>
    <x v="5"/>
    <x v="3"/>
    <x v="2"/>
    <x v="0"/>
    <x v="0"/>
    <x v="0"/>
    <x v="0"/>
    <x v="0"/>
    <x v="0"/>
    <n v="1"/>
  </r>
  <r>
    <s v="Rua Guarda Marinho Grenwals, 2734"/>
    <x v="0"/>
    <x v="4"/>
    <x v="2"/>
    <x v="0"/>
    <x v="10"/>
    <x v="8"/>
    <x v="2"/>
    <x v="0"/>
    <x v="0"/>
    <x v="0"/>
    <x v="0"/>
    <x v="0"/>
    <x v="0"/>
    <n v="1"/>
  </r>
  <r>
    <s v="Rua Guarda Marinho Grenwals, 2734"/>
    <x v="0"/>
    <x v="4"/>
    <x v="2"/>
    <x v="1"/>
    <x v="11"/>
    <x v="9"/>
    <x v="2"/>
    <x v="0"/>
    <x v="0"/>
    <x v="0"/>
    <x v="0"/>
    <x v="0"/>
    <x v="0"/>
    <n v="1"/>
  </r>
  <r>
    <s v="Rua Guarda Marinho Grenwals, 2734"/>
    <x v="0"/>
    <x v="4"/>
    <x v="2"/>
    <x v="2"/>
    <x v="13"/>
    <x v="9"/>
    <x v="2"/>
    <x v="2"/>
    <x v="0"/>
    <x v="0"/>
    <x v="0"/>
    <x v="0"/>
    <x v="0"/>
    <n v="1"/>
  </r>
  <r>
    <s v="Rua Vinte e Um de Abril, 1679"/>
    <x v="0"/>
    <x v="4"/>
    <x v="2"/>
    <x v="0"/>
    <x v="9"/>
    <x v="7"/>
    <x v="2"/>
    <x v="0"/>
    <x v="0"/>
    <x v="0"/>
    <x v="0"/>
    <x v="0"/>
    <x v="0"/>
    <n v="1"/>
  </r>
  <r>
    <s v="Rua Vinte e Um de Abril, 1679"/>
    <x v="0"/>
    <x v="4"/>
    <x v="2"/>
    <x v="1"/>
    <x v="11"/>
    <x v="9"/>
    <x v="2"/>
    <x v="0"/>
    <x v="0"/>
    <x v="0"/>
    <x v="0"/>
    <x v="0"/>
    <x v="0"/>
    <n v="1"/>
  </r>
  <r>
    <s v="Rua Vinte e Um de Abril, 1679"/>
    <x v="0"/>
    <x v="4"/>
    <x v="2"/>
    <x v="2"/>
    <x v="8"/>
    <x v="6"/>
    <x v="2"/>
    <x v="0"/>
    <x v="0"/>
    <x v="0"/>
    <x v="0"/>
    <x v="0"/>
    <x v="0"/>
    <n v="1"/>
  </r>
  <r>
    <s v="Rua Sete de Setembro, 1526"/>
    <x v="0"/>
    <x v="3"/>
    <x v="2"/>
    <x v="0"/>
    <x v="6"/>
    <x v="4"/>
    <x v="2"/>
    <x v="0"/>
    <x v="0"/>
    <x v="0"/>
    <x v="0"/>
    <x v="0"/>
    <x v="0"/>
    <n v="1"/>
  </r>
  <r>
    <s v="Rua Sete de Setembro, 1526"/>
    <x v="0"/>
    <x v="3"/>
    <x v="2"/>
    <x v="1"/>
    <x v="7"/>
    <x v="5"/>
    <x v="2"/>
    <x v="0"/>
    <x v="0"/>
    <x v="0"/>
    <x v="0"/>
    <x v="0"/>
    <x v="0"/>
    <n v="1"/>
  </r>
  <r>
    <s v="Rua Sete de Setembro, 1526"/>
    <x v="0"/>
    <x v="3"/>
    <x v="2"/>
    <x v="2"/>
    <x v="8"/>
    <x v="6"/>
    <x v="2"/>
    <x v="0"/>
    <x v="0"/>
    <x v="0"/>
    <x v="0"/>
    <x v="0"/>
    <x v="0"/>
    <n v="1"/>
  </r>
  <r>
    <s v="Avenida Caldas Junior, 2440"/>
    <x v="0"/>
    <x v="4"/>
    <x v="3"/>
    <x v="0"/>
    <x v="23"/>
    <x v="18"/>
    <x v="0"/>
    <x v="0"/>
    <x v="0"/>
    <x v="2"/>
    <x v="0"/>
    <x v="0"/>
    <x v="0"/>
    <n v="1"/>
  </r>
  <r>
    <s v="Avenida Caldas Junior, 2440"/>
    <x v="0"/>
    <x v="4"/>
    <x v="3"/>
    <x v="1"/>
    <x v="16"/>
    <x v="13"/>
    <x v="0"/>
    <x v="0"/>
    <x v="0"/>
    <x v="2"/>
    <x v="0"/>
    <x v="0"/>
    <x v="0"/>
    <n v="1"/>
  </r>
  <r>
    <s v="Avenida Caldas Junior, 2440"/>
    <x v="0"/>
    <x v="4"/>
    <x v="3"/>
    <x v="2"/>
    <x v="5"/>
    <x v="3"/>
    <x v="0"/>
    <x v="0"/>
    <x v="0"/>
    <x v="2"/>
    <x v="0"/>
    <x v="0"/>
    <x v="0"/>
    <n v="1"/>
  </r>
  <r>
    <s v="Rua Andrade Neves, 883"/>
    <x v="0"/>
    <x v="3"/>
    <x v="2"/>
    <x v="0"/>
    <x v="9"/>
    <x v="7"/>
    <x v="2"/>
    <x v="0"/>
    <x v="0"/>
    <x v="0"/>
    <x v="0"/>
    <x v="0"/>
    <x v="0"/>
    <n v="1"/>
  </r>
  <r>
    <s v="Rua Andrade Neves, 883"/>
    <x v="0"/>
    <x v="3"/>
    <x v="2"/>
    <x v="1"/>
    <x v="7"/>
    <x v="5"/>
    <x v="2"/>
    <x v="0"/>
    <x v="0"/>
    <x v="0"/>
    <x v="0"/>
    <x v="0"/>
    <x v="0"/>
    <n v="1"/>
  </r>
  <r>
    <s v="Rua Andrade Neves, 883"/>
    <x v="0"/>
    <x v="3"/>
    <x v="2"/>
    <x v="2"/>
    <x v="8"/>
    <x v="6"/>
    <x v="2"/>
    <x v="0"/>
    <x v="0"/>
    <x v="0"/>
    <x v="0"/>
    <x v="0"/>
    <x v="0"/>
    <n v="1"/>
  </r>
  <r>
    <s v="Rua Tres de Outubro, 1924"/>
    <x v="0"/>
    <x v="3"/>
    <x v="1"/>
    <x v="0"/>
    <x v="6"/>
    <x v="4"/>
    <x v="2"/>
    <x v="0"/>
    <x v="0"/>
    <x v="0"/>
    <x v="0"/>
    <x v="0"/>
    <x v="0"/>
    <n v="1"/>
  </r>
  <r>
    <s v="Rua Tres de Outubro, 1924"/>
    <x v="0"/>
    <x v="3"/>
    <x v="1"/>
    <x v="1"/>
    <x v="7"/>
    <x v="5"/>
    <x v="2"/>
    <x v="0"/>
    <x v="0"/>
    <x v="0"/>
    <x v="0"/>
    <x v="0"/>
    <x v="0"/>
    <n v="1"/>
  </r>
  <r>
    <s v="Rua Tres de Outubro, 1924"/>
    <x v="0"/>
    <x v="3"/>
    <x v="1"/>
    <x v="2"/>
    <x v="5"/>
    <x v="3"/>
    <x v="2"/>
    <x v="0"/>
    <x v="0"/>
    <x v="0"/>
    <x v="0"/>
    <x v="0"/>
    <x v="0"/>
    <n v="1"/>
  </r>
  <r>
    <s v="Travessa Parana, 270"/>
    <x v="0"/>
    <x v="4"/>
    <x v="2"/>
    <x v="0"/>
    <x v="6"/>
    <x v="4"/>
    <x v="2"/>
    <x v="0"/>
    <x v="0"/>
    <x v="0"/>
    <x v="0"/>
    <x v="0"/>
    <x v="0"/>
    <n v="1"/>
  </r>
  <r>
    <s v="Travessa Parana, 270"/>
    <x v="0"/>
    <x v="4"/>
    <x v="2"/>
    <x v="1"/>
    <x v="7"/>
    <x v="5"/>
    <x v="2"/>
    <x v="0"/>
    <x v="0"/>
    <x v="0"/>
    <x v="0"/>
    <x v="0"/>
    <x v="0"/>
    <n v="1"/>
  </r>
  <r>
    <s v="Travessa Parana, 270"/>
    <x v="0"/>
    <x v="4"/>
    <x v="2"/>
    <x v="2"/>
    <x v="8"/>
    <x v="6"/>
    <x v="2"/>
    <x v="0"/>
    <x v="0"/>
    <x v="0"/>
    <x v="0"/>
    <x v="0"/>
    <x v="0"/>
    <n v="1"/>
  </r>
  <r>
    <s v="Avenida Rubem Berta, 2296"/>
    <x v="0"/>
    <x v="1"/>
    <x v="3"/>
    <x v="0"/>
    <x v="18"/>
    <x v="15"/>
    <x v="4"/>
    <x v="0"/>
    <x v="0"/>
    <x v="2"/>
    <x v="0"/>
    <x v="0"/>
    <x v="0"/>
    <n v="1"/>
  </r>
  <r>
    <s v="Avenida Rubem Berta, 2296"/>
    <x v="0"/>
    <x v="1"/>
    <x v="3"/>
    <x v="1"/>
    <x v="11"/>
    <x v="9"/>
    <x v="4"/>
    <x v="0"/>
    <x v="0"/>
    <x v="2"/>
    <x v="0"/>
    <x v="0"/>
    <x v="0"/>
    <n v="1"/>
  </r>
  <r>
    <s v="Avenida Rubem Berta, 2296"/>
    <x v="0"/>
    <x v="1"/>
    <x v="3"/>
    <x v="2"/>
    <x v="12"/>
    <x v="10"/>
    <x v="4"/>
    <x v="0"/>
    <x v="0"/>
    <x v="2"/>
    <x v="0"/>
    <x v="0"/>
    <x v="0"/>
    <n v="1"/>
  </r>
  <r>
    <s v="Rua Humaita, 1074"/>
    <x v="0"/>
    <x v="3"/>
    <x v="2"/>
    <x v="0"/>
    <x v="3"/>
    <x v="1"/>
    <x v="2"/>
    <x v="0"/>
    <x v="0"/>
    <x v="0"/>
    <x v="0"/>
    <x v="0"/>
    <x v="0"/>
    <n v="1"/>
  </r>
  <r>
    <s v="Rua Humaita, 1074"/>
    <x v="0"/>
    <x v="3"/>
    <x v="2"/>
    <x v="1"/>
    <x v="16"/>
    <x v="13"/>
    <x v="2"/>
    <x v="0"/>
    <x v="0"/>
    <x v="0"/>
    <x v="0"/>
    <x v="0"/>
    <x v="0"/>
    <n v="1"/>
  </r>
  <r>
    <s v="Rua Humaita, 1074"/>
    <x v="0"/>
    <x v="3"/>
    <x v="2"/>
    <x v="2"/>
    <x v="5"/>
    <x v="3"/>
    <x v="2"/>
    <x v="0"/>
    <x v="0"/>
    <x v="0"/>
    <x v="0"/>
    <x v="0"/>
    <x v="0"/>
    <n v="1"/>
  </r>
  <r>
    <s v="Travessa Borges de Medeiros, 2133"/>
    <x v="0"/>
    <x v="4"/>
    <x v="2"/>
    <x v="0"/>
    <x v="9"/>
    <x v="7"/>
    <x v="2"/>
    <x v="0"/>
    <x v="0"/>
    <x v="0"/>
    <x v="0"/>
    <x v="0"/>
    <x v="0"/>
    <n v="1"/>
  </r>
  <r>
    <s v="Travessa Borges de Medeiros, 2133"/>
    <x v="0"/>
    <x v="4"/>
    <x v="2"/>
    <x v="1"/>
    <x v="7"/>
    <x v="5"/>
    <x v="2"/>
    <x v="0"/>
    <x v="0"/>
    <x v="0"/>
    <x v="0"/>
    <x v="0"/>
    <x v="0"/>
    <n v="1"/>
  </r>
  <r>
    <s v="Travessa Borges de Medeiros, 2133"/>
    <x v="0"/>
    <x v="4"/>
    <x v="2"/>
    <x v="2"/>
    <x v="8"/>
    <x v="6"/>
    <x v="2"/>
    <x v="0"/>
    <x v="0"/>
    <x v="0"/>
    <x v="0"/>
    <x v="0"/>
    <x v="0"/>
    <n v="1"/>
  </r>
  <r>
    <s v="Rua Getulio Vargas, 908"/>
    <x v="0"/>
    <x v="3"/>
    <x v="4"/>
    <x v="0"/>
    <x v="10"/>
    <x v="8"/>
    <x v="2"/>
    <x v="0"/>
    <x v="0"/>
    <x v="0"/>
    <x v="0"/>
    <x v="0"/>
    <x v="0"/>
    <n v="1"/>
  </r>
  <r>
    <s v="Rua Getulio Vargas, 908"/>
    <x v="0"/>
    <x v="3"/>
    <x v="4"/>
    <x v="1"/>
    <x v="11"/>
    <x v="9"/>
    <x v="2"/>
    <x v="0"/>
    <x v="0"/>
    <x v="0"/>
    <x v="0"/>
    <x v="0"/>
    <x v="0"/>
    <n v="1"/>
  </r>
  <r>
    <s v="Rua Getulio Vargas, 908"/>
    <x v="0"/>
    <x v="3"/>
    <x v="4"/>
    <x v="2"/>
    <x v="12"/>
    <x v="10"/>
    <x v="2"/>
    <x v="0"/>
    <x v="0"/>
    <x v="0"/>
    <x v="0"/>
    <x v="0"/>
    <x v="0"/>
    <n v="1"/>
  </r>
  <r>
    <s v="Rua Santo Amaro, 296"/>
    <x v="0"/>
    <x v="3"/>
    <x v="2"/>
    <x v="0"/>
    <x v="9"/>
    <x v="7"/>
    <x v="2"/>
    <x v="0"/>
    <x v="0"/>
    <x v="0"/>
    <x v="0"/>
    <x v="0"/>
    <x v="0"/>
    <n v="1"/>
  </r>
  <r>
    <s v="Rua Santo Amaro, 296"/>
    <x v="0"/>
    <x v="3"/>
    <x v="2"/>
    <x v="1"/>
    <x v="7"/>
    <x v="5"/>
    <x v="2"/>
    <x v="0"/>
    <x v="0"/>
    <x v="0"/>
    <x v="0"/>
    <x v="0"/>
    <x v="0"/>
    <n v="1"/>
  </r>
  <r>
    <s v="Rua Santo Amaro, 296"/>
    <x v="0"/>
    <x v="3"/>
    <x v="2"/>
    <x v="2"/>
    <x v="8"/>
    <x v="6"/>
    <x v="2"/>
    <x v="6"/>
    <x v="0"/>
    <x v="0"/>
    <x v="0"/>
    <x v="0"/>
    <x v="0"/>
    <n v="1"/>
  </r>
  <r>
    <s v="Avenida Flores da Cunha, 3244"/>
    <x v="0"/>
    <x v="1"/>
    <x v="0"/>
    <x v="0"/>
    <x v="39"/>
    <x v="32"/>
    <x v="0"/>
    <x v="1"/>
    <x v="0"/>
    <x v="2"/>
    <x v="0"/>
    <x v="0"/>
    <x v="0"/>
    <n v="1"/>
  </r>
  <r>
    <s v="Avenida Flores da Cunha, 3244"/>
    <x v="0"/>
    <x v="1"/>
    <x v="0"/>
    <x v="1"/>
    <x v="15"/>
    <x v="12"/>
    <x v="0"/>
    <x v="0"/>
    <x v="2"/>
    <x v="2"/>
    <x v="0"/>
    <x v="1"/>
    <x v="0"/>
    <n v="1"/>
  </r>
  <r>
    <s v="Avenida Flores da Cunha, 3244"/>
    <x v="0"/>
    <x v="1"/>
    <x v="0"/>
    <x v="2"/>
    <x v="29"/>
    <x v="24"/>
    <x v="0"/>
    <x v="0"/>
    <x v="0"/>
    <x v="2"/>
    <x v="0"/>
    <x v="0"/>
    <x v="0"/>
    <n v="1"/>
  </r>
  <r>
    <s v="Avenida Deputado Osvaldo Bastos, 990"/>
    <x v="0"/>
    <x v="2"/>
    <x v="3"/>
    <x v="0"/>
    <x v="30"/>
    <x v="25"/>
    <x v="2"/>
    <x v="0"/>
    <x v="0"/>
    <x v="0"/>
    <x v="0"/>
    <x v="0"/>
    <x v="0"/>
    <n v="1"/>
  </r>
  <r>
    <s v="Avenida Deputado Osvaldo Bastos, 990"/>
    <x v="0"/>
    <x v="2"/>
    <x v="3"/>
    <x v="1"/>
    <x v="31"/>
    <x v="26"/>
    <x v="2"/>
    <x v="0"/>
    <x v="0"/>
    <x v="0"/>
    <x v="0"/>
    <x v="0"/>
    <x v="0"/>
    <n v="1"/>
  </r>
  <r>
    <s v="Avenida Deputado Osvaldo Bastos, 990"/>
    <x v="0"/>
    <x v="2"/>
    <x v="3"/>
    <x v="2"/>
    <x v="26"/>
    <x v="21"/>
    <x v="2"/>
    <x v="0"/>
    <x v="0"/>
    <x v="0"/>
    <x v="0"/>
    <x v="0"/>
    <x v="0"/>
    <n v="1"/>
  </r>
  <r>
    <s v="Rua Andrade Neves, 1379"/>
    <x v="0"/>
    <x v="3"/>
    <x v="2"/>
    <x v="0"/>
    <x v="18"/>
    <x v="15"/>
    <x v="2"/>
    <x v="0"/>
    <x v="0"/>
    <x v="0"/>
    <x v="0"/>
    <x v="0"/>
    <x v="0"/>
    <n v="1"/>
  </r>
  <r>
    <s v="Rua Andrade Neves, 1379"/>
    <x v="0"/>
    <x v="3"/>
    <x v="2"/>
    <x v="1"/>
    <x v="11"/>
    <x v="9"/>
    <x v="2"/>
    <x v="0"/>
    <x v="0"/>
    <x v="0"/>
    <x v="0"/>
    <x v="0"/>
    <x v="0"/>
    <n v="1"/>
  </r>
  <r>
    <s v="Rua Andrade Neves, 1379"/>
    <x v="0"/>
    <x v="3"/>
    <x v="2"/>
    <x v="2"/>
    <x v="8"/>
    <x v="6"/>
    <x v="2"/>
    <x v="0"/>
    <x v="0"/>
    <x v="0"/>
    <x v="0"/>
    <x v="0"/>
    <x v="0"/>
    <n v="1"/>
  </r>
  <r>
    <s v="Rua Pinheiro Machado, 556"/>
    <x v="0"/>
    <x v="3"/>
    <x v="1"/>
    <x v="0"/>
    <x v="6"/>
    <x v="4"/>
    <x v="2"/>
    <x v="0"/>
    <x v="0"/>
    <x v="0"/>
    <x v="0"/>
    <x v="0"/>
    <x v="0"/>
    <n v="1"/>
  </r>
  <r>
    <s v="Rua Pinheiro Machado, 556"/>
    <x v="0"/>
    <x v="3"/>
    <x v="1"/>
    <x v="1"/>
    <x v="4"/>
    <x v="2"/>
    <x v="2"/>
    <x v="0"/>
    <x v="0"/>
    <x v="0"/>
    <x v="0"/>
    <x v="0"/>
    <x v="0"/>
    <n v="1"/>
  </r>
  <r>
    <s v="Rua Pinheiro Machado, 556"/>
    <x v="0"/>
    <x v="3"/>
    <x v="1"/>
    <x v="2"/>
    <x v="5"/>
    <x v="3"/>
    <x v="2"/>
    <x v="0"/>
    <x v="0"/>
    <x v="0"/>
    <x v="0"/>
    <x v="0"/>
    <x v="0"/>
    <n v="1"/>
  </r>
  <r>
    <s v="Rua Tres de Outubro, 3423"/>
    <x v="0"/>
    <x v="3"/>
    <x v="1"/>
    <x v="0"/>
    <x v="6"/>
    <x v="4"/>
    <x v="2"/>
    <x v="0"/>
    <x v="0"/>
    <x v="0"/>
    <x v="0"/>
    <x v="0"/>
    <x v="0"/>
    <n v="1"/>
  </r>
  <r>
    <s v="Rua Tres de Outubro, 3423"/>
    <x v="0"/>
    <x v="3"/>
    <x v="1"/>
    <x v="1"/>
    <x v="4"/>
    <x v="2"/>
    <x v="2"/>
    <x v="0"/>
    <x v="0"/>
    <x v="0"/>
    <x v="0"/>
    <x v="0"/>
    <x v="0"/>
    <n v="1"/>
  </r>
  <r>
    <s v="Rua Tres de Outubro, 3423"/>
    <x v="0"/>
    <x v="3"/>
    <x v="1"/>
    <x v="2"/>
    <x v="5"/>
    <x v="3"/>
    <x v="2"/>
    <x v="0"/>
    <x v="0"/>
    <x v="0"/>
    <x v="0"/>
    <x v="0"/>
    <x v="0"/>
    <n v="1"/>
  </r>
  <r>
    <s v="Rua Pinheiro Machado, 1192"/>
    <x v="0"/>
    <x v="3"/>
    <x v="2"/>
    <x v="0"/>
    <x v="9"/>
    <x v="7"/>
    <x v="2"/>
    <x v="0"/>
    <x v="0"/>
    <x v="0"/>
    <x v="0"/>
    <x v="0"/>
    <x v="0"/>
    <n v="1"/>
  </r>
  <r>
    <s v="Rua Pinheiro Machado, 1192"/>
    <x v="0"/>
    <x v="3"/>
    <x v="2"/>
    <x v="1"/>
    <x v="11"/>
    <x v="9"/>
    <x v="2"/>
    <x v="0"/>
    <x v="0"/>
    <x v="0"/>
    <x v="0"/>
    <x v="0"/>
    <x v="0"/>
    <n v="1"/>
  </r>
  <r>
    <s v="Rua Pinheiro Machado, 1192"/>
    <x v="0"/>
    <x v="3"/>
    <x v="2"/>
    <x v="2"/>
    <x v="8"/>
    <x v="6"/>
    <x v="2"/>
    <x v="0"/>
    <x v="0"/>
    <x v="0"/>
    <x v="0"/>
    <x v="0"/>
    <x v="0"/>
    <n v="1"/>
  </r>
  <r>
    <s v="Rua Brochado da Rocha, 276"/>
    <x v="0"/>
    <x v="3"/>
    <x v="2"/>
    <x v="0"/>
    <x v="9"/>
    <x v="7"/>
    <x v="2"/>
    <x v="0"/>
    <x v="0"/>
    <x v="0"/>
    <x v="0"/>
    <x v="0"/>
    <x v="0"/>
    <n v="1"/>
  </r>
  <r>
    <s v="Rua Brochado da Rocha, 276"/>
    <x v="0"/>
    <x v="3"/>
    <x v="2"/>
    <x v="1"/>
    <x v="7"/>
    <x v="5"/>
    <x v="2"/>
    <x v="0"/>
    <x v="0"/>
    <x v="0"/>
    <x v="0"/>
    <x v="0"/>
    <x v="0"/>
    <n v="1"/>
  </r>
  <r>
    <s v="Rua Brochado da Rocha, 276"/>
    <x v="0"/>
    <x v="3"/>
    <x v="2"/>
    <x v="2"/>
    <x v="8"/>
    <x v="6"/>
    <x v="2"/>
    <x v="0"/>
    <x v="0"/>
    <x v="0"/>
    <x v="0"/>
    <x v="0"/>
    <x v="0"/>
    <n v="1"/>
  </r>
  <r>
    <s v="Rua Manoel Jose Luiz, 291"/>
    <x v="0"/>
    <x v="2"/>
    <x v="2"/>
    <x v="0"/>
    <x v="3"/>
    <x v="1"/>
    <x v="0"/>
    <x v="0"/>
    <x v="0"/>
    <x v="0"/>
    <x v="0"/>
    <x v="0"/>
    <x v="0"/>
    <n v="1"/>
  </r>
  <r>
    <s v="Rua Manoel Jose Luiz, 291"/>
    <x v="0"/>
    <x v="2"/>
    <x v="2"/>
    <x v="1"/>
    <x v="4"/>
    <x v="2"/>
    <x v="0"/>
    <x v="0"/>
    <x v="0"/>
    <x v="0"/>
    <x v="0"/>
    <x v="0"/>
    <x v="0"/>
    <n v="1"/>
  </r>
  <r>
    <s v="Rua Manoel Jose Luiz, 291"/>
    <x v="0"/>
    <x v="2"/>
    <x v="2"/>
    <x v="2"/>
    <x v="5"/>
    <x v="3"/>
    <x v="0"/>
    <x v="0"/>
    <x v="0"/>
    <x v="0"/>
    <x v="0"/>
    <x v="0"/>
    <x v="0"/>
    <n v="1"/>
  </r>
  <r>
    <s v="Avenida Flores da Cunha, 3677"/>
    <x v="0"/>
    <x v="1"/>
    <x v="0"/>
    <x v="0"/>
    <x v="30"/>
    <x v="25"/>
    <x v="0"/>
    <x v="0"/>
    <x v="0"/>
    <x v="2"/>
    <x v="0"/>
    <x v="0"/>
    <x v="0"/>
    <n v="1"/>
  </r>
  <r>
    <s v="Avenida Flores da Cunha, 3677"/>
    <x v="0"/>
    <x v="1"/>
    <x v="0"/>
    <x v="1"/>
    <x v="31"/>
    <x v="26"/>
    <x v="0"/>
    <x v="0"/>
    <x v="0"/>
    <x v="2"/>
    <x v="0"/>
    <x v="0"/>
    <x v="0"/>
    <n v="1"/>
  </r>
  <r>
    <s v="Avenida Flores da Cunha, 3677"/>
    <x v="0"/>
    <x v="1"/>
    <x v="0"/>
    <x v="2"/>
    <x v="26"/>
    <x v="21"/>
    <x v="0"/>
    <x v="0"/>
    <x v="0"/>
    <x v="2"/>
    <x v="0"/>
    <x v="0"/>
    <x v="0"/>
    <n v="1"/>
  </r>
  <r>
    <s v="Rua Padre Reus, 1555"/>
    <x v="0"/>
    <x v="3"/>
    <x v="2"/>
    <x v="0"/>
    <x v="6"/>
    <x v="4"/>
    <x v="2"/>
    <x v="0"/>
    <x v="0"/>
    <x v="0"/>
    <x v="0"/>
    <x v="0"/>
    <x v="0"/>
    <n v="1"/>
  </r>
  <r>
    <s v="Rua Padre Reus, 1555"/>
    <x v="0"/>
    <x v="3"/>
    <x v="2"/>
    <x v="1"/>
    <x v="7"/>
    <x v="5"/>
    <x v="2"/>
    <x v="0"/>
    <x v="0"/>
    <x v="0"/>
    <x v="0"/>
    <x v="0"/>
    <x v="0"/>
    <n v="1"/>
  </r>
  <r>
    <s v="Rua Padre Reus, 1555"/>
    <x v="0"/>
    <x v="3"/>
    <x v="2"/>
    <x v="2"/>
    <x v="8"/>
    <x v="6"/>
    <x v="2"/>
    <x v="0"/>
    <x v="0"/>
    <x v="0"/>
    <x v="0"/>
    <x v="0"/>
    <x v="0"/>
    <n v="1"/>
  </r>
  <r>
    <s v="Rua Eleodoro Franzen, 848"/>
    <x v="0"/>
    <x v="3"/>
    <x v="2"/>
    <x v="0"/>
    <x v="9"/>
    <x v="7"/>
    <x v="2"/>
    <x v="0"/>
    <x v="0"/>
    <x v="0"/>
    <x v="0"/>
    <x v="0"/>
    <x v="0"/>
    <n v="1"/>
  </r>
  <r>
    <s v="Rua Eleodoro Franzen, 848"/>
    <x v="0"/>
    <x v="3"/>
    <x v="2"/>
    <x v="1"/>
    <x v="11"/>
    <x v="9"/>
    <x v="2"/>
    <x v="0"/>
    <x v="0"/>
    <x v="0"/>
    <x v="0"/>
    <x v="0"/>
    <x v="0"/>
    <n v="1"/>
  </r>
  <r>
    <s v="Rua Eleodoro Franzen, 848"/>
    <x v="0"/>
    <x v="3"/>
    <x v="2"/>
    <x v="2"/>
    <x v="8"/>
    <x v="6"/>
    <x v="2"/>
    <x v="0"/>
    <x v="0"/>
    <x v="0"/>
    <x v="0"/>
    <x v="0"/>
    <x v="0"/>
    <n v="1"/>
  </r>
  <r>
    <s v="Rua Eleodoro Franzen, 624"/>
    <x v="0"/>
    <x v="3"/>
    <x v="2"/>
    <x v="0"/>
    <x v="9"/>
    <x v="7"/>
    <x v="2"/>
    <x v="0"/>
    <x v="0"/>
    <x v="0"/>
    <x v="0"/>
    <x v="0"/>
    <x v="0"/>
    <n v="1"/>
  </r>
  <r>
    <s v="Rua Eleodoro Franzen, 624"/>
    <x v="0"/>
    <x v="3"/>
    <x v="2"/>
    <x v="1"/>
    <x v="11"/>
    <x v="9"/>
    <x v="2"/>
    <x v="0"/>
    <x v="0"/>
    <x v="0"/>
    <x v="0"/>
    <x v="0"/>
    <x v="0"/>
    <n v="1"/>
  </r>
  <r>
    <s v="Rua Eleodoro Franzen, 624"/>
    <x v="0"/>
    <x v="3"/>
    <x v="2"/>
    <x v="2"/>
    <x v="8"/>
    <x v="6"/>
    <x v="2"/>
    <x v="0"/>
    <x v="0"/>
    <x v="0"/>
    <x v="0"/>
    <x v="0"/>
    <x v="0"/>
    <n v="1"/>
  </r>
  <r>
    <s v="Rua Franca, 102"/>
    <x v="0"/>
    <x v="1"/>
    <x v="2"/>
    <x v="0"/>
    <x v="9"/>
    <x v="7"/>
    <x v="2"/>
    <x v="0"/>
    <x v="0"/>
    <x v="0"/>
    <x v="0"/>
    <x v="0"/>
    <x v="0"/>
    <n v="1"/>
  </r>
  <r>
    <s v="Rua Franca, 102"/>
    <x v="0"/>
    <x v="1"/>
    <x v="2"/>
    <x v="1"/>
    <x v="7"/>
    <x v="5"/>
    <x v="2"/>
    <x v="0"/>
    <x v="0"/>
    <x v="0"/>
    <x v="0"/>
    <x v="0"/>
    <x v="0"/>
    <n v="1"/>
  </r>
  <r>
    <s v="Rua Franca, 102"/>
    <x v="0"/>
    <x v="1"/>
    <x v="2"/>
    <x v="2"/>
    <x v="8"/>
    <x v="6"/>
    <x v="2"/>
    <x v="0"/>
    <x v="0"/>
    <x v="0"/>
    <x v="0"/>
    <x v="0"/>
    <x v="0"/>
    <n v="1"/>
  </r>
  <r>
    <s v="Rua Bolivia, 356"/>
    <x v="0"/>
    <x v="3"/>
    <x v="2"/>
    <x v="0"/>
    <x v="9"/>
    <x v="7"/>
    <x v="2"/>
    <x v="0"/>
    <x v="0"/>
    <x v="0"/>
    <x v="0"/>
    <x v="0"/>
    <x v="0"/>
    <n v="1"/>
  </r>
  <r>
    <s v="Rua Bolivia, 356"/>
    <x v="0"/>
    <x v="3"/>
    <x v="2"/>
    <x v="1"/>
    <x v="11"/>
    <x v="9"/>
    <x v="2"/>
    <x v="0"/>
    <x v="0"/>
    <x v="0"/>
    <x v="0"/>
    <x v="0"/>
    <x v="0"/>
    <n v="1"/>
  </r>
  <r>
    <s v="Rua Bolivia, 356"/>
    <x v="0"/>
    <x v="3"/>
    <x v="2"/>
    <x v="2"/>
    <x v="8"/>
    <x v="6"/>
    <x v="2"/>
    <x v="0"/>
    <x v="0"/>
    <x v="0"/>
    <x v="0"/>
    <x v="0"/>
    <x v="0"/>
    <n v="1"/>
  </r>
  <r>
    <s v="Rua Pernambuco, 1657"/>
    <x v="0"/>
    <x v="4"/>
    <x v="1"/>
    <x v="0"/>
    <x v="6"/>
    <x v="4"/>
    <x v="2"/>
    <x v="0"/>
    <x v="0"/>
    <x v="0"/>
    <x v="0"/>
    <x v="0"/>
    <x v="0"/>
    <n v="1"/>
  </r>
  <r>
    <s v="Rua Pernambuco, 1657"/>
    <x v="0"/>
    <x v="4"/>
    <x v="1"/>
    <x v="1"/>
    <x v="4"/>
    <x v="2"/>
    <x v="2"/>
    <x v="0"/>
    <x v="0"/>
    <x v="0"/>
    <x v="0"/>
    <x v="0"/>
    <x v="0"/>
    <n v="1"/>
  </r>
  <r>
    <s v="Rua Pernambuco, 1657"/>
    <x v="0"/>
    <x v="4"/>
    <x v="1"/>
    <x v="2"/>
    <x v="5"/>
    <x v="3"/>
    <x v="2"/>
    <x v="0"/>
    <x v="0"/>
    <x v="0"/>
    <x v="0"/>
    <x v="0"/>
    <x v="0"/>
    <n v="1"/>
  </r>
  <r>
    <s v="Rua Xavantes, 263"/>
    <x v="0"/>
    <x v="1"/>
    <x v="2"/>
    <x v="0"/>
    <x v="9"/>
    <x v="7"/>
    <x v="2"/>
    <x v="0"/>
    <x v="0"/>
    <x v="0"/>
    <x v="0"/>
    <x v="0"/>
    <x v="0"/>
    <n v="1"/>
  </r>
  <r>
    <s v="Rua Xavantes, 263"/>
    <x v="0"/>
    <x v="1"/>
    <x v="2"/>
    <x v="1"/>
    <x v="7"/>
    <x v="5"/>
    <x v="2"/>
    <x v="0"/>
    <x v="0"/>
    <x v="0"/>
    <x v="0"/>
    <x v="0"/>
    <x v="0"/>
    <n v="1"/>
  </r>
  <r>
    <s v="Rua Xavantes, 263"/>
    <x v="0"/>
    <x v="1"/>
    <x v="2"/>
    <x v="2"/>
    <x v="8"/>
    <x v="6"/>
    <x v="2"/>
    <x v="0"/>
    <x v="0"/>
    <x v="0"/>
    <x v="0"/>
    <x v="0"/>
    <x v="0"/>
    <n v="1"/>
  </r>
  <r>
    <s v="Rua Santa Catarina, 939"/>
    <x v="0"/>
    <x v="3"/>
    <x v="2"/>
    <x v="0"/>
    <x v="10"/>
    <x v="8"/>
    <x v="1"/>
    <x v="0"/>
    <x v="0"/>
    <x v="0"/>
    <x v="0"/>
    <x v="0"/>
    <x v="0"/>
    <n v="1"/>
  </r>
  <r>
    <s v="Rua Santa Catarina, 939"/>
    <x v="0"/>
    <x v="3"/>
    <x v="2"/>
    <x v="1"/>
    <x v="11"/>
    <x v="9"/>
    <x v="1"/>
    <x v="2"/>
    <x v="0"/>
    <x v="0"/>
    <x v="0"/>
    <x v="0"/>
    <x v="0"/>
    <n v="1"/>
  </r>
  <r>
    <s v="Rua Santa Catarina, 939"/>
    <x v="0"/>
    <x v="3"/>
    <x v="2"/>
    <x v="2"/>
    <x v="12"/>
    <x v="10"/>
    <x v="1"/>
    <x v="2"/>
    <x v="0"/>
    <x v="0"/>
    <x v="0"/>
    <x v="0"/>
    <x v="0"/>
    <n v="1"/>
  </r>
  <r>
    <s v="Rua Quarenta, 150"/>
    <x v="0"/>
    <x v="4"/>
    <x v="1"/>
    <x v="0"/>
    <x v="3"/>
    <x v="1"/>
    <x v="2"/>
    <x v="0"/>
    <x v="0"/>
    <x v="0"/>
    <x v="0"/>
    <x v="0"/>
    <x v="0"/>
    <n v="1"/>
  </r>
  <r>
    <s v="Rua Quarenta, 150"/>
    <x v="0"/>
    <x v="4"/>
    <x v="1"/>
    <x v="1"/>
    <x v="4"/>
    <x v="2"/>
    <x v="2"/>
    <x v="0"/>
    <x v="0"/>
    <x v="0"/>
    <x v="0"/>
    <x v="0"/>
    <x v="0"/>
    <n v="1"/>
  </r>
  <r>
    <s v="Rua Quarenta, 150"/>
    <x v="0"/>
    <x v="4"/>
    <x v="1"/>
    <x v="2"/>
    <x v="5"/>
    <x v="3"/>
    <x v="2"/>
    <x v="0"/>
    <x v="0"/>
    <x v="0"/>
    <x v="0"/>
    <x v="0"/>
    <x v="0"/>
    <n v="1"/>
  </r>
  <r>
    <s v="Rua Parque Janio, 682"/>
    <x v="0"/>
    <x v="3"/>
    <x v="2"/>
    <x v="0"/>
    <x v="9"/>
    <x v="7"/>
    <x v="1"/>
    <x v="0"/>
    <x v="0"/>
    <x v="0"/>
    <x v="0"/>
    <x v="0"/>
    <x v="0"/>
    <n v="1"/>
  </r>
  <r>
    <s v="Rua Parque Janio, 682"/>
    <x v="0"/>
    <x v="3"/>
    <x v="2"/>
    <x v="1"/>
    <x v="11"/>
    <x v="9"/>
    <x v="1"/>
    <x v="0"/>
    <x v="0"/>
    <x v="0"/>
    <x v="0"/>
    <x v="0"/>
    <x v="0"/>
    <n v="1"/>
  </r>
  <r>
    <s v="Rua Parque Janio, 682"/>
    <x v="0"/>
    <x v="3"/>
    <x v="2"/>
    <x v="2"/>
    <x v="8"/>
    <x v="6"/>
    <x v="1"/>
    <x v="6"/>
    <x v="0"/>
    <x v="0"/>
    <x v="0"/>
    <x v="0"/>
    <x v="0"/>
    <n v="1"/>
  </r>
  <r>
    <s v="Rua Parque Janio, 730"/>
    <x v="0"/>
    <x v="4"/>
    <x v="1"/>
    <x v="0"/>
    <x v="6"/>
    <x v="4"/>
    <x v="0"/>
    <x v="0"/>
    <x v="0"/>
    <x v="0"/>
    <x v="0"/>
    <x v="0"/>
    <x v="0"/>
    <n v="1"/>
  </r>
  <r>
    <s v="Rua Parque Janio, 730"/>
    <x v="0"/>
    <x v="4"/>
    <x v="1"/>
    <x v="1"/>
    <x v="4"/>
    <x v="2"/>
    <x v="0"/>
    <x v="0"/>
    <x v="0"/>
    <x v="0"/>
    <x v="0"/>
    <x v="0"/>
    <x v="0"/>
    <n v="1"/>
  </r>
  <r>
    <s v="Rua Parque Janio, 730"/>
    <x v="0"/>
    <x v="4"/>
    <x v="1"/>
    <x v="2"/>
    <x v="5"/>
    <x v="3"/>
    <x v="0"/>
    <x v="0"/>
    <x v="0"/>
    <x v="0"/>
    <x v="0"/>
    <x v="0"/>
    <x v="0"/>
    <n v="1"/>
  </r>
  <r>
    <s v="Rua Octavio Rodolfo dos Santos, 1988"/>
    <x v="0"/>
    <x v="3"/>
    <x v="1"/>
    <x v="0"/>
    <x v="6"/>
    <x v="4"/>
    <x v="2"/>
    <x v="0"/>
    <x v="0"/>
    <x v="0"/>
    <x v="0"/>
    <x v="0"/>
    <x v="0"/>
    <n v="1"/>
  </r>
  <r>
    <s v="Rua Octavio Rodolfo dos Santos, 1988"/>
    <x v="0"/>
    <x v="3"/>
    <x v="1"/>
    <x v="1"/>
    <x v="7"/>
    <x v="5"/>
    <x v="2"/>
    <x v="0"/>
    <x v="0"/>
    <x v="0"/>
    <x v="0"/>
    <x v="0"/>
    <x v="0"/>
    <n v="1"/>
  </r>
  <r>
    <s v="Rua Octavio Rodolfo dos Santos, 1988"/>
    <x v="0"/>
    <x v="3"/>
    <x v="1"/>
    <x v="2"/>
    <x v="8"/>
    <x v="6"/>
    <x v="2"/>
    <x v="4"/>
    <x v="0"/>
    <x v="0"/>
    <x v="0"/>
    <x v="0"/>
    <x v="0"/>
    <n v="1"/>
  </r>
  <r>
    <s v="Rua Onze, 57"/>
    <x v="0"/>
    <x v="3"/>
    <x v="2"/>
    <x v="0"/>
    <x v="6"/>
    <x v="4"/>
    <x v="2"/>
    <x v="0"/>
    <x v="0"/>
    <x v="0"/>
    <x v="0"/>
    <x v="0"/>
    <x v="0"/>
    <n v="1"/>
  </r>
  <r>
    <s v="Rua Onze, 57"/>
    <x v="0"/>
    <x v="3"/>
    <x v="2"/>
    <x v="1"/>
    <x v="4"/>
    <x v="2"/>
    <x v="2"/>
    <x v="0"/>
    <x v="0"/>
    <x v="0"/>
    <x v="0"/>
    <x v="0"/>
    <x v="0"/>
    <n v="1"/>
  </r>
  <r>
    <s v="Rua Onze, 57"/>
    <x v="0"/>
    <x v="3"/>
    <x v="2"/>
    <x v="2"/>
    <x v="5"/>
    <x v="3"/>
    <x v="2"/>
    <x v="0"/>
    <x v="0"/>
    <x v="0"/>
    <x v="0"/>
    <x v="0"/>
    <x v="0"/>
    <n v="1"/>
  </r>
  <r>
    <s v="Rua Bruno Oscar Koetz, 1102"/>
    <x v="0"/>
    <x v="3"/>
    <x v="1"/>
    <x v="0"/>
    <x v="6"/>
    <x v="4"/>
    <x v="3"/>
    <x v="0"/>
    <x v="0"/>
    <x v="0"/>
    <x v="0"/>
    <x v="0"/>
    <x v="0"/>
    <n v="1"/>
  </r>
  <r>
    <s v="Rua Bruno Oscar Koetz, 1102"/>
    <x v="0"/>
    <x v="3"/>
    <x v="1"/>
    <x v="1"/>
    <x v="4"/>
    <x v="2"/>
    <x v="3"/>
    <x v="0"/>
    <x v="0"/>
    <x v="0"/>
    <x v="0"/>
    <x v="0"/>
    <x v="0"/>
    <n v="1"/>
  </r>
  <r>
    <s v="Rua Bruno Oscar Koetz, 1102"/>
    <x v="0"/>
    <x v="3"/>
    <x v="1"/>
    <x v="2"/>
    <x v="5"/>
    <x v="3"/>
    <x v="3"/>
    <x v="0"/>
    <x v="0"/>
    <x v="0"/>
    <x v="0"/>
    <x v="0"/>
    <x v="0"/>
    <n v="1"/>
  </r>
  <r>
    <s v="Rua Uruguai, 15"/>
    <x v="0"/>
    <x v="3"/>
    <x v="1"/>
    <x v="0"/>
    <x v="6"/>
    <x v="4"/>
    <x v="2"/>
    <x v="0"/>
    <x v="0"/>
    <x v="0"/>
    <x v="0"/>
    <x v="0"/>
    <x v="0"/>
    <n v="1"/>
  </r>
  <r>
    <s v="Rua Uruguai, 15"/>
    <x v="0"/>
    <x v="3"/>
    <x v="1"/>
    <x v="1"/>
    <x v="4"/>
    <x v="2"/>
    <x v="2"/>
    <x v="0"/>
    <x v="0"/>
    <x v="0"/>
    <x v="0"/>
    <x v="0"/>
    <x v="0"/>
    <n v="1"/>
  </r>
  <r>
    <s v="Rua Uruguai, 15"/>
    <x v="0"/>
    <x v="3"/>
    <x v="1"/>
    <x v="2"/>
    <x v="5"/>
    <x v="3"/>
    <x v="2"/>
    <x v="0"/>
    <x v="0"/>
    <x v="0"/>
    <x v="0"/>
    <x v="0"/>
    <x v="0"/>
    <n v="1"/>
  </r>
  <r>
    <s v="Avenida A-Treze, 826"/>
    <x v="0"/>
    <x v="2"/>
    <x v="2"/>
    <x v="0"/>
    <x v="9"/>
    <x v="7"/>
    <x v="2"/>
    <x v="0"/>
    <x v="0"/>
    <x v="1"/>
    <x v="0"/>
    <x v="0"/>
    <x v="0"/>
    <n v="1"/>
  </r>
  <r>
    <s v="Avenida A-Treze, 826"/>
    <x v="0"/>
    <x v="2"/>
    <x v="2"/>
    <x v="1"/>
    <x v="7"/>
    <x v="5"/>
    <x v="2"/>
    <x v="0"/>
    <x v="0"/>
    <x v="1"/>
    <x v="0"/>
    <x v="0"/>
    <x v="0"/>
    <n v="1"/>
  </r>
  <r>
    <s v="Avenida A-Treze, 826"/>
    <x v="0"/>
    <x v="2"/>
    <x v="2"/>
    <x v="2"/>
    <x v="13"/>
    <x v="9"/>
    <x v="2"/>
    <x v="0"/>
    <x v="0"/>
    <x v="1"/>
    <x v="0"/>
    <x v="0"/>
    <x v="0"/>
    <n v="1"/>
  </r>
  <r>
    <s v="Estrada -Osorio, 7790"/>
    <x v="0"/>
    <x v="5"/>
    <x v="1"/>
    <x v="0"/>
    <x v="6"/>
    <x v="4"/>
    <x v="1"/>
    <x v="6"/>
    <x v="0"/>
    <x v="0"/>
    <x v="0"/>
    <x v="0"/>
    <x v="0"/>
    <n v="1"/>
  </r>
  <r>
    <s v="Estrada -Osorio, 7790"/>
    <x v="0"/>
    <x v="5"/>
    <x v="1"/>
    <x v="1"/>
    <x v="4"/>
    <x v="2"/>
    <x v="1"/>
    <x v="3"/>
    <x v="0"/>
    <x v="0"/>
    <x v="0"/>
    <x v="0"/>
    <x v="0"/>
    <n v="1"/>
  </r>
  <r>
    <s v="Estrada -Osorio, 7790"/>
    <x v="0"/>
    <x v="5"/>
    <x v="1"/>
    <x v="2"/>
    <x v="5"/>
    <x v="3"/>
    <x v="1"/>
    <x v="6"/>
    <x v="0"/>
    <x v="0"/>
    <x v="0"/>
    <x v="0"/>
    <x v="0"/>
    <n v="1"/>
  </r>
  <r>
    <s v="Rua Vinte e Dois, 430"/>
    <x v="0"/>
    <x v="5"/>
    <x v="2"/>
    <x v="0"/>
    <x v="6"/>
    <x v="4"/>
    <x v="1"/>
    <x v="0"/>
    <x v="0"/>
    <x v="0"/>
    <x v="0"/>
    <x v="0"/>
    <x v="0"/>
    <n v="1"/>
  </r>
  <r>
    <s v="Rua Vinte e Dois, 430"/>
    <x v="0"/>
    <x v="5"/>
    <x v="2"/>
    <x v="1"/>
    <x v="4"/>
    <x v="2"/>
    <x v="1"/>
    <x v="0"/>
    <x v="0"/>
    <x v="0"/>
    <x v="0"/>
    <x v="0"/>
    <x v="0"/>
    <n v="1"/>
  </r>
  <r>
    <s v="Rua Vinte e Dois, 430"/>
    <x v="0"/>
    <x v="5"/>
    <x v="2"/>
    <x v="2"/>
    <x v="5"/>
    <x v="3"/>
    <x v="1"/>
    <x v="0"/>
    <x v="0"/>
    <x v="0"/>
    <x v="0"/>
    <x v="0"/>
    <x v="0"/>
    <n v="1"/>
  </r>
  <r>
    <s v="Rua Manoel da Silva Mendes, 1418"/>
    <x v="0"/>
    <x v="0"/>
    <x v="4"/>
    <x v="0"/>
    <x v="9"/>
    <x v="7"/>
    <x v="2"/>
    <x v="0"/>
    <x v="0"/>
    <x v="0"/>
    <x v="0"/>
    <x v="0"/>
    <x v="0"/>
    <n v="1"/>
  </r>
  <r>
    <s v="Rua Manoel da Silva Mendes, 1418"/>
    <x v="0"/>
    <x v="0"/>
    <x v="4"/>
    <x v="1"/>
    <x v="11"/>
    <x v="9"/>
    <x v="2"/>
    <x v="0"/>
    <x v="0"/>
    <x v="0"/>
    <x v="0"/>
    <x v="0"/>
    <x v="0"/>
    <n v="1"/>
  </r>
  <r>
    <s v="Rua Manoel da Silva Mendes, 1418"/>
    <x v="0"/>
    <x v="0"/>
    <x v="4"/>
    <x v="2"/>
    <x v="13"/>
    <x v="9"/>
    <x v="2"/>
    <x v="0"/>
    <x v="0"/>
    <x v="0"/>
    <x v="0"/>
    <x v="0"/>
    <x v="0"/>
    <n v="1"/>
  </r>
  <r>
    <s v="Rua Dezesseis"/>
    <x v="0"/>
    <x v="3"/>
    <x v="4"/>
    <x v="0"/>
    <x v="10"/>
    <x v="8"/>
    <x v="2"/>
    <x v="0"/>
    <x v="0"/>
    <x v="0"/>
    <x v="0"/>
    <x v="0"/>
    <x v="0"/>
    <n v="1"/>
  </r>
  <r>
    <s v="Rua Dezesseis"/>
    <x v="0"/>
    <x v="3"/>
    <x v="4"/>
    <x v="1"/>
    <x v="11"/>
    <x v="9"/>
    <x v="2"/>
    <x v="0"/>
    <x v="0"/>
    <x v="0"/>
    <x v="0"/>
    <x v="0"/>
    <x v="0"/>
    <n v="1"/>
  </r>
  <r>
    <s v="Rua Dezesseis"/>
    <x v="0"/>
    <x v="3"/>
    <x v="4"/>
    <x v="2"/>
    <x v="12"/>
    <x v="10"/>
    <x v="2"/>
    <x v="0"/>
    <x v="0"/>
    <x v="0"/>
    <x v="0"/>
    <x v="0"/>
    <x v="0"/>
    <n v="1"/>
  </r>
  <r>
    <s v="Rua Lurdes de Lima Manito, 191"/>
    <x v="0"/>
    <x v="5"/>
    <x v="2"/>
    <x v="0"/>
    <x v="9"/>
    <x v="7"/>
    <x v="2"/>
    <x v="0"/>
    <x v="0"/>
    <x v="0"/>
    <x v="0"/>
    <x v="0"/>
    <x v="0"/>
    <n v="1"/>
  </r>
  <r>
    <s v="Rua Lurdes de Lima Manito, 191"/>
    <x v="0"/>
    <x v="5"/>
    <x v="2"/>
    <x v="1"/>
    <x v="11"/>
    <x v="9"/>
    <x v="2"/>
    <x v="0"/>
    <x v="0"/>
    <x v="0"/>
    <x v="0"/>
    <x v="0"/>
    <x v="0"/>
    <n v="1"/>
  </r>
  <r>
    <s v="Rua Lurdes de Lima Manito, 191"/>
    <x v="0"/>
    <x v="5"/>
    <x v="2"/>
    <x v="2"/>
    <x v="8"/>
    <x v="6"/>
    <x v="2"/>
    <x v="0"/>
    <x v="0"/>
    <x v="0"/>
    <x v="0"/>
    <x v="0"/>
    <x v="0"/>
    <n v="1"/>
  </r>
  <r>
    <s v="Rua Angelica Diehl, 721"/>
    <x v="0"/>
    <x v="3"/>
    <x v="1"/>
    <x v="0"/>
    <x v="6"/>
    <x v="4"/>
    <x v="2"/>
    <x v="0"/>
    <x v="0"/>
    <x v="0"/>
    <x v="0"/>
    <x v="0"/>
    <x v="0"/>
    <n v="1"/>
  </r>
  <r>
    <s v="Rua Angelica Diehl, 721"/>
    <x v="0"/>
    <x v="3"/>
    <x v="1"/>
    <x v="1"/>
    <x v="4"/>
    <x v="2"/>
    <x v="2"/>
    <x v="0"/>
    <x v="0"/>
    <x v="0"/>
    <x v="0"/>
    <x v="0"/>
    <x v="0"/>
    <n v="1"/>
  </r>
  <r>
    <s v="Rua Angelica Diehl, 721"/>
    <x v="0"/>
    <x v="3"/>
    <x v="1"/>
    <x v="2"/>
    <x v="5"/>
    <x v="3"/>
    <x v="2"/>
    <x v="0"/>
    <x v="0"/>
    <x v="0"/>
    <x v="0"/>
    <x v="0"/>
    <x v="0"/>
    <n v="1"/>
  </r>
  <r>
    <s v="Rua Santo Cristo, 173"/>
    <x v="0"/>
    <x v="3"/>
    <x v="1"/>
    <x v="0"/>
    <x v="6"/>
    <x v="4"/>
    <x v="2"/>
    <x v="0"/>
    <x v="0"/>
    <x v="0"/>
    <x v="0"/>
    <x v="0"/>
    <x v="0"/>
    <n v="1"/>
  </r>
  <r>
    <s v="Rua Santo Cristo, 173"/>
    <x v="0"/>
    <x v="3"/>
    <x v="1"/>
    <x v="1"/>
    <x v="4"/>
    <x v="2"/>
    <x v="2"/>
    <x v="0"/>
    <x v="0"/>
    <x v="0"/>
    <x v="0"/>
    <x v="0"/>
    <x v="0"/>
    <n v="1"/>
  </r>
  <r>
    <s v="Rua Santo Cristo, 173"/>
    <x v="0"/>
    <x v="3"/>
    <x v="1"/>
    <x v="2"/>
    <x v="5"/>
    <x v="3"/>
    <x v="2"/>
    <x v="0"/>
    <x v="0"/>
    <x v="0"/>
    <x v="0"/>
    <x v="0"/>
    <x v="0"/>
    <n v="1"/>
  </r>
  <r>
    <s v="Rua Sao Francisco de Assis, 537"/>
    <x v="0"/>
    <x v="4"/>
    <x v="2"/>
    <x v="0"/>
    <x v="9"/>
    <x v="7"/>
    <x v="2"/>
    <x v="0"/>
    <x v="0"/>
    <x v="0"/>
    <x v="0"/>
    <x v="0"/>
    <x v="0"/>
    <n v="1"/>
  </r>
  <r>
    <s v="Rua Sao Francisco de Assis, 537"/>
    <x v="0"/>
    <x v="4"/>
    <x v="2"/>
    <x v="1"/>
    <x v="7"/>
    <x v="5"/>
    <x v="2"/>
    <x v="0"/>
    <x v="0"/>
    <x v="0"/>
    <x v="0"/>
    <x v="0"/>
    <x v="0"/>
    <n v="1"/>
  </r>
  <r>
    <s v="Rua Sao Francisco de Assis, 537"/>
    <x v="0"/>
    <x v="4"/>
    <x v="2"/>
    <x v="2"/>
    <x v="8"/>
    <x v="6"/>
    <x v="2"/>
    <x v="0"/>
    <x v="0"/>
    <x v="0"/>
    <x v="0"/>
    <x v="0"/>
    <x v="0"/>
    <n v="1"/>
  </r>
  <r>
    <s v="Rua Sidnei Ferri, 837"/>
    <x v="0"/>
    <x v="5"/>
    <x v="1"/>
    <x v="0"/>
    <x v="6"/>
    <x v="4"/>
    <x v="2"/>
    <x v="0"/>
    <x v="0"/>
    <x v="0"/>
    <x v="0"/>
    <x v="0"/>
    <x v="0"/>
    <n v="1"/>
  </r>
  <r>
    <s v="Rua Sidnei Ferri, 837"/>
    <x v="0"/>
    <x v="5"/>
    <x v="1"/>
    <x v="1"/>
    <x v="7"/>
    <x v="5"/>
    <x v="2"/>
    <x v="0"/>
    <x v="0"/>
    <x v="0"/>
    <x v="0"/>
    <x v="0"/>
    <x v="0"/>
    <n v="1"/>
  </r>
  <r>
    <s v="Rua Sidnei Ferri, 837"/>
    <x v="0"/>
    <x v="5"/>
    <x v="1"/>
    <x v="2"/>
    <x v="5"/>
    <x v="3"/>
    <x v="2"/>
    <x v="0"/>
    <x v="0"/>
    <x v="0"/>
    <x v="0"/>
    <x v="0"/>
    <x v="0"/>
    <n v="1"/>
  </r>
  <r>
    <s v="Rua Manoel da Silva Mendes, 1074"/>
    <x v="0"/>
    <x v="4"/>
    <x v="1"/>
    <x v="0"/>
    <x v="3"/>
    <x v="1"/>
    <x v="2"/>
    <x v="0"/>
    <x v="0"/>
    <x v="2"/>
    <x v="0"/>
    <x v="0"/>
    <x v="0"/>
    <n v="1"/>
  </r>
  <r>
    <s v="Rua Manoel da Silva Mendes, 1074"/>
    <x v="0"/>
    <x v="4"/>
    <x v="1"/>
    <x v="1"/>
    <x v="4"/>
    <x v="2"/>
    <x v="2"/>
    <x v="0"/>
    <x v="0"/>
    <x v="2"/>
    <x v="0"/>
    <x v="0"/>
    <x v="0"/>
    <n v="1"/>
  </r>
  <r>
    <s v="Rua Manoel da Silva Mendes, 1074"/>
    <x v="0"/>
    <x v="4"/>
    <x v="1"/>
    <x v="2"/>
    <x v="5"/>
    <x v="3"/>
    <x v="2"/>
    <x v="0"/>
    <x v="0"/>
    <x v="2"/>
    <x v="0"/>
    <x v="0"/>
    <x v="0"/>
    <n v="1"/>
  </r>
  <r>
    <s v="Avenida Central, 443"/>
    <x v="0"/>
    <x v="0"/>
    <x v="4"/>
    <x v="0"/>
    <x v="6"/>
    <x v="4"/>
    <x v="0"/>
    <x v="0"/>
    <x v="0"/>
    <x v="2"/>
    <x v="0"/>
    <x v="0"/>
    <x v="0"/>
    <n v="1"/>
  </r>
  <r>
    <s v="Avenida Central, 443"/>
    <x v="0"/>
    <x v="0"/>
    <x v="4"/>
    <x v="1"/>
    <x v="7"/>
    <x v="5"/>
    <x v="0"/>
    <x v="0"/>
    <x v="0"/>
    <x v="2"/>
    <x v="0"/>
    <x v="0"/>
    <x v="0"/>
    <n v="1"/>
  </r>
  <r>
    <s v="Avenida Central, 443"/>
    <x v="0"/>
    <x v="0"/>
    <x v="4"/>
    <x v="2"/>
    <x v="8"/>
    <x v="6"/>
    <x v="0"/>
    <x v="0"/>
    <x v="0"/>
    <x v="2"/>
    <x v="0"/>
    <x v="0"/>
    <x v="0"/>
    <n v="1"/>
  </r>
  <r>
    <s v="Rua Hildebrando Pinheiro Veloso, 1304"/>
    <x v="0"/>
    <x v="3"/>
    <x v="1"/>
    <x v="0"/>
    <x v="9"/>
    <x v="7"/>
    <x v="2"/>
    <x v="0"/>
    <x v="0"/>
    <x v="0"/>
    <x v="0"/>
    <x v="0"/>
    <x v="0"/>
    <n v="1"/>
  </r>
  <r>
    <s v="Rua Hildebrando Pinheiro Veloso, 1304"/>
    <x v="0"/>
    <x v="3"/>
    <x v="1"/>
    <x v="1"/>
    <x v="7"/>
    <x v="5"/>
    <x v="2"/>
    <x v="0"/>
    <x v="0"/>
    <x v="0"/>
    <x v="0"/>
    <x v="0"/>
    <x v="0"/>
    <n v="1"/>
  </r>
  <r>
    <s v="Rua Hildebrando Pinheiro Veloso, 1304"/>
    <x v="0"/>
    <x v="3"/>
    <x v="1"/>
    <x v="2"/>
    <x v="8"/>
    <x v="6"/>
    <x v="2"/>
    <x v="4"/>
    <x v="0"/>
    <x v="0"/>
    <x v="0"/>
    <x v="0"/>
    <x v="0"/>
    <n v="1"/>
  </r>
  <r>
    <s v="Rua A-Sete da Verbenas, 528"/>
    <x v="0"/>
    <x v="3"/>
    <x v="2"/>
    <x v="0"/>
    <x v="18"/>
    <x v="15"/>
    <x v="2"/>
    <x v="0"/>
    <x v="0"/>
    <x v="0"/>
    <x v="0"/>
    <x v="0"/>
    <x v="0"/>
    <n v="1"/>
  </r>
  <r>
    <s v="Rua A-Sete da Verbenas, 528"/>
    <x v="0"/>
    <x v="3"/>
    <x v="2"/>
    <x v="1"/>
    <x v="11"/>
    <x v="9"/>
    <x v="2"/>
    <x v="0"/>
    <x v="0"/>
    <x v="0"/>
    <x v="0"/>
    <x v="0"/>
    <x v="0"/>
    <n v="1"/>
  </r>
  <r>
    <s v="Rua A-Sete da Verbenas, 528"/>
    <x v="0"/>
    <x v="3"/>
    <x v="2"/>
    <x v="2"/>
    <x v="13"/>
    <x v="9"/>
    <x v="2"/>
    <x v="0"/>
    <x v="0"/>
    <x v="0"/>
    <x v="0"/>
    <x v="0"/>
    <x v="0"/>
    <n v="1"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  <r>
    <m/>
    <x v="2"/>
    <x v="7"/>
    <x v="5"/>
    <x v="3"/>
    <x v="41"/>
    <x v="33"/>
    <x v="5"/>
    <x v="7"/>
    <x v="4"/>
    <x v="6"/>
    <x v="1"/>
    <x v="2"/>
    <x v="2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">
  <r>
    <n v="38"/>
    <s v="PVCP"/>
    <s v="Avenida Beira-Mar, 1577"/>
    <n v="-29.992885000000001"/>
    <n v="-50.127079999999999"/>
    <s v="C1"/>
    <x v="0"/>
    <s v="P5"/>
    <s v="LED"/>
    <n v="99"/>
    <n v="0"/>
    <n v="0"/>
    <n v="198"/>
    <n v="2"/>
    <n v="4.5"/>
    <n v="8.5"/>
    <m/>
    <m/>
    <n v="0"/>
    <n v="5"/>
    <n v="0"/>
    <n v="0"/>
    <n v="2.5"/>
    <n v="3"/>
    <n v="0"/>
    <s v="Unilateral"/>
    <s v="Braço"/>
    <n v="27.3"/>
    <n v="8.1999999999999993"/>
    <n v="1"/>
    <n v="0.2"/>
    <n v="2.5"/>
    <n v="2.299999999999999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5666666666666735E-2"/>
    <n v="0.47368421052631593"/>
    <s v="-"/>
    <n v="31.07"/>
    <n v="0.56000000000000005"/>
    <m/>
    <m/>
    <m/>
    <m/>
    <s v="ATENDE"/>
    <s v="ATENDE"/>
    <s v="ATENDE"/>
    <s v="ATENDE"/>
    <s v="C1"/>
    <s v="P5"/>
    <n v="2.3020000000000005"/>
    <n v="16.510000000000002"/>
    <n v="4.38"/>
    <n v="5"/>
    <n v="1"/>
    <s v="ATENDE"/>
    <s v="ATENDE"/>
    <s v="ATENDE"/>
    <s v="P5"/>
    <n v="3.0000000000000027E-2"/>
    <n v="5.15"/>
    <n v="1.34"/>
    <n v="5"/>
    <n v="1"/>
    <s v="ATENDE"/>
    <s v="ATENDE"/>
    <s v="ATENDE"/>
    <x v="0"/>
    <s v=" SL VT 9.1 120W"/>
    <s v="LUM LED SL VT 9.1 120W"/>
    <m/>
    <e v="#N/A"/>
    <n v="1"/>
    <n v="120"/>
    <n v="0"/>
    <n v="18730"/>
    <n v="0"/>
    <n v="0"/>
    <n v="5"/>
    <s v="Médio II"/>
    <m/>
    <s v=""/>
    <s v=""/>
    <m/>
    <m/>
    <m/>
    <m/>
    <m/>
    <m/>
    <n v="120"/>
    <n v="99"/>
    <n v="219"/>
    <n v="-0.21212121212121215"/>
    <m/>
    <m/>
    <s v="Sim"/>
    <m/>
  </r>
  <r>
    <n v="38"/>
    <s v="PVCP"/>
    <s v="Avenida Beira-Mar, 1577"/>
    <n v="-29.992885000000001"/>
    <n v="-50.127079999999999"/>
    <s v="C1"/>
    <x v="0"/>
    <s v="P5"/>
    <s v="LED"/>
    <n v="99"/>
    <n v="0"/>
    <n v="0"/>
    <n v="198"/>
    <n v="2"/>
    <n v="4.5"/>
    <n v="8.5"/>
    <m/>
    <m/>
    <n v="0"/>
    <n v="5"/>
    <n v="0"/>
    <n v="0"/>
    <n v="2.5"/>
    <n v="3"/>
    <n v="0"/>
    <s v="Unilateral"/>
    <s v="Braço"/>
    <n v="27.3"/>
    <n v="8.1999999999999993"/>
    <n v="1"/>
    <n v="0.2"/>
    <n v="2.5"/>
    <n v="2.299999999999999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1.8000000000000016E-2"/>
    <n v="0.34210526315789469"/>
    <s v="-"/>
    <n v="30.54"/>
    <n v="0.51"/>
    <m/>
    <m/>
    <m/>
    <m/>
    <s v="ATENDE"/>
    <s v="ATENDE"/>
    <s v="ATENDE"/>
    <s v="ATENDE"/>
    <s v="C1"/>
    <s v="P5"/>
    <n v="3.1959999999999997"/>
    <n v="20.98"/>
    <n v="13.59"/>
    <n v="5"/>
    <n v="1"/>
    <s v="ATENDE"/>
    <s v="ATENDE"/>
    <s v="ATENDE"/>
    <s v="P5"/>
    <n v="0.1419999999999999"/>
    <n v="5.71"/>
    <n v="2.84"/>
    <n v="5"/>
    <n v="1"/>
    <s v="ATENDE"/>
    <s v="ATENDE"/>
    <s v="ATENDE"/>
    <x v="1"/>
    <s v="SX-INLPP120HF"/>
    <s v="SXINLPP120K40L12CZF7PHF"/>
    <m/>
    <e v="#N/A"/>
    <n v="1"/>
    <n v="120"/>
    <e v="#N/A"/>
    <n v="20748"/>
    <n v="0"/>
    <n v="0"/>
    <n v="5"/>
    <s v="Médio II"/>
    <m/>
    <s v=""/>
    <s v=""/>
    <m/>
    <m/>
    <m/>
    <m/>
    <m/>
    <m/>
    <n v="120"/>
    <n v="99"/>
    <n v="219"/>
    <n v="-0.21212121212121215"/>
    <m/>
    <m/>
    <s v="Sim"/>
    <m/>
  </r>
  <r>
    <n v="38"/>
    <s v="PVCP"/>
    <s v="Avenida Beira-Mar, 1577"/>
    <n v="-29.992885000000001"/>
    <n v="-50.127079999999999"/>
    <s v="C1"/>
    <x v="0"/>
    <s v="P5"/>
    <s v="LED"/>
    <n v="99"/>
    <n v="0"/>
    <n v="0"/>
    <n v="198"/>
    <n v="2"/>
    <n v="4.5"/>
    <n v="8.5"/>
    <m/>
    <m/>
    <n v="0"/>
    <n v="5"/>
    <n v="0"/>
    <n v="0"/>
    <n v="2.5"/>
    <n v="3"/>
    <n v="0"/>
    <s v="Unilateral"/>
    <s v="Braço"/>
    <n v="27.3"/>
    <n v="8.1999999999999993"/>
    <n v="1"/>
    <n v="0.2"/>
    <n v="2.5"/>
    <n v="2.299999999999999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4.9666666666666526E-2"/>
    <n v="0.60526315789473673"/>
    <s v="-"/>
    <n v="31.49"/>
    <n v="0.61"/>
    <m/>
    <m/>
    <m/>
    <m/>
    <s v="ATENDE"/>
    <s v="ATENDE"/>
    <s v="ATENDE"/>
    <s v="ATENDE"/>
    <s v="C1"/>
    <s v="P5"/>
    <n v="1.5539999999999998"/>
    <n v="12.77"/>
    <n v="7.92"/>
    <n v="5"/>
    <n v="1"/>
    <s v="ATENDE"/>
    <s v="ATENDE"/>
    <s v="ATENDE"/>
    <s v="P5"/>
    <n v="0.45399999999999996"/>
    <n v="7.27"/>
    <n v="4.22"/>
    <n v="5"/>
    <n v="1"/>
    <s v="ATENDE"/>
    <s v="ATENDE"/>
    <s v="ATENDE"/>
    <x v="2"/>
    <s v="SIGMAGPTLRRSMNDL120W_82IBBR_x000a_"/>
    <s v="SIGMAGPTLRRSMNDL120W_82IBBR_x000a_S1-10C1MUN6.5"/>
    <m/>
    <e v="#N/A"/>
    <n v="1"/>
    <n v="120"/>
    <n v="0"/>
    <n v="19640"/>
    <n v="0"/>
    <n v="0"/>
    <n v="5"/>
    <s v="Médio II"/>
    <s v="Longo II"/>
    <n v="3.5"/>
    <n v="8.5"/>
    <m/>
    <m/>
    <m/>
    <m/>
    <m/>
    <m/>
    <n v="120"/>
    <n v="99"/>
    <n v="219"/>
    <n v="-0.21212121212121215"/>
    <m/>
    <m/>
    <s v="Sim"/>
    <m/>
  </r>
  <r>
    <n v="126"/>
    <s v="PCVP"/>
    <s v="Avenida Beira-Mar, 500 [Q]"/>
    <n v="-29.982797000000001"/>
    <n v="-50.122660000000003"/>
    <s v="C1"/>
    <x v="1"/>
    <s v="P6"/>
    <s v="LED"/>
    <n v="99"/>
    <n v="0"/>
    <n v="0"/>
    <n v="198"/>
    <n v="2"/>
    <n v="3"/>
    <n v="8.4"/>
    <m/>
    <m/>
    <n v="0"/>
    <n v="3"/>
    <n v="0"/>
    <n v="2.5"/>
    <n v="0"/>
    <n v="0"/>
    <n v="0"/>
    <s v="Bilateral alternada"/>
    <s v="Braço"/>
    <n v="55.8"/>
    <n v="7.3"/>
    <n v="1"/>
    <n v="0.3"/>
    <n v="0.5"/>
    <n v="0.2"/>
    <s v="-"/>
    <s v="-"/>
    <s v="Sim"/>
    <n v="3"/>
    <n v="0"/>
    <n v="0"/>
    <n v="0"/>
    <n v="0"/>
    <n v="0"/>
    <s v="-"/>
    <n v="0"/>
    <m/>
    <n v="30"/>
    <n v="0.38"/>
    <s v="-"/>
    <n v="0.38"/>
    <s v="-"/>
    <n v="14"/>
    <s v="ATENDE"/>
    <n v="-4.0000000000000036E-3"/>
    <n v="0.52631578947368407"/>
    <s v="-"/>
    <n v="29.88"/>
    <n v="0.57999999999999996"/>
    <m/>
    <m/>
    <m/>
    <m/>
    <s v="ATENDE"/>
    <s v="ATENDIMENTO LIMIAR"/>
    <s v="ATENDE"/>
    <s v="ATENDE"/>
    <s v="C1"/>
    <s v="P6"/>
    <n v="6.4466666666666663"/>
    <n v="22.34"/>
    <n v="0.63"/>
    <n v="3"/>
    <n v="0.6"/>
    <s v="ATENDE"/>
    <s v="ATENDE"/>
    <s v="ATENDE"/>
    <s v="P6"/>
    <n v="4.2266666666666666"/>
    <n v="15.68"/>
    <n v="9.94"/>
    <n v="3"/>
    <n v="0.6"/>
    <s v="ATENDE"/>
    <s v="ATENDE"/>
    <s v="ATENDE"/>
    <x v="0"/>
    <s v=" SL VT 9.1 120W"/>
    <s v="LUM LED SL VT 9.1 120W"/>
    <m/>
    <e v="#N/A"/>
    <n v="1"/>
    <n v="120"/>
    <e v="#N/A"/>
    <n v="18730"/>
    <n v="0"/>
    <n v="0"/>
    <n v="10"/>
    <s v="Curto I"/>
    <s v="Longo II"/>
    <n v="3.5"/>
    <n v="8.5"/>
    <m/>
    <m/>
    <m/>
    <m/>
    <m/>
    <m/>
    <n v="120"/>
    <n v="99"/>
    <n v="219"/>
    <n v="-0.21212121212121215"/>
    <m/>
    <m/>
    <s v="Sim"/>
    <m/>
  </r>
  <r>
    <n v="126"/>
    <s v="PCVP"/>
    <s v="Avenida Beira-Mar, 500 [Q]"/>
    <n v="-29.982797000000001"/>
    <n v="-50.122660000000003"/>
    <s v="C1"/>
    <x v="1"/>
    <s v="P6"/>
    <s v="LED"/>
    <n v="99"/>
    <n v="0"/>
    <n v="0"/>
    <n v="198"/>
    <n v="2"/>
    <n v="3"/>
    <n v="8.4"/>
    <m/>
    <m/>
    <n v="0"/>
    <n v="3"/>
    <n v="0"/>
    <n v="2.5"/>
    <n v="0"/>
    <n v="0"/>
    <n v="0"/>
    <s v="Bilateral alternada"/>
    <s v="Braço"/>
    <n v="55.8"/>
    <n v="7.3"/>
    <n v="1"/>
    <n v="0.3"/>
    <n v="0.5"/>
    <n v="0.2"/>
    <s v="-"/>
    <s v="-"/>
    <s v="Sim"/>
    <n v="3"/>
    <n v="0"/>
    <n v="0"/>
    <n v="0"/>
    <n v="0"/>
    <n v="0"/>
    <s v="-"/>
    <n v="0"/>
    <m/>
    <n v="30"/>
    <n v="0.38"/>
    <s v="-"/>
    <n v="0.38"/>
    <s v="-"/>
    <n v="14"/>
    <s v="ATENDE"/>
    <n v="0.22533333333333316"/>
    <n v="0.57894736842105265"/>
    <s v="-"/>
    <n v="36.76"/>
    <n v="0.6"/>
    <m/>
    <m/>
    <m/>
    <m/>
    <s v="ATENDE"/>
    <s v="ATENDE"/>
    <s v="ATENDE"/>
    <s v="ATENDE"/>
    <s v="C1"/>
    <s v="P6"/>
    <n v="6.19"/>
    <n v="21.57"/>
    <n v="0.63"/>
    <n v="3"/>
    <n v="0.6"/>
    <s v="ATENDE"/>
    <s v="ATENDE"/>
    <s v="ATENDE"/>
    <s v="P6"/>
    <n v="3.1066666666666665"/>
    <n v="12.32"/>
    <n v="7.3"/>
    <n v="3"/>
    <n v="0.6"/>
    <s v="ATENDE"/>
    <s v="ATENDE"/>
    <s v="ATENDE"/>
    <x v="1"/>
    <s v="SX-INLPP120HF"/>
    <s v="SXINLPP120K40L12CZF7PHF"/>
    <m/>
    <e v="#N/A"/>
    <n v="1"/>
    <n v="120"/>
    <e v="#N/A"/>
    <n v="20748"/>
    <n v="0"/>
    <n v="0"/>
    <n v="10"/>
    <s v="Curto I"/>
    <s v="Longo I"/>
    <n v="2.8"/>
    <n v="8"/>
    <m/>
    <m/>
    <m/>
    <m/>
    <m/>
    <m/>
    <n v="120"/>
    <n v="99"/>
    <n v="219"/>
    <n v="-0.21212121212121215"/>
    <m/>
    <m/>
    <s v="Sim"/>
    <m/>
  </r>
  <r>
    <n v="126"/>
    <s v="PCVP"/>
    <s v="Avenida Beira-Mar, 500 [Q]"/>
    <n v="-29.982797000000001"/>
    <n v="-50.122660000000003"/>
    <s v="C1"/>
    <x v="1"/>
    <s v="P6"/>
    <s v="LED"/>
    <n v="99"/>
    <n v="0"/>
    <n v="0"/>
    <n v="198"/>
    <n v="2"/>
    <n v="3"/>
    <n v="8.4"/>
    <m/>
    <m/>
    <n v="0"/>
    <n v="3"/>
    <n v="0"/>
    <n v="2.5"/>
    <n v="0"/>
    <n v="0"/>
    <n v="0"/>
    <s v="Bilateral alternada"/>
    <s v="Braço"/>
    <n v="55.8"/>
    <n v="7.3"/>
    <n v="1"/>
    <n v="0.3"/>
    <n v="0.5"/>
    <n v="0.2"/>
    <s v="-"/>
    <s v="-"/>
    <s v="Sim"/>
    <n v="3"/>
    <n v="0"/>
    <n v="0"/>
    <n v="0"/>
    <n v="0"/>
    <n v="0"/>
    <s v="-"/>
    <n v="0"/>
    <m/>
    <n v="30"/>
    <n v="0.38"/>
    <s v="-"/>
    <n v="0.38"/>
    <s v="-"/>
    <n v="14"/>
    <s v="ATENDE"/>
    <n v="2.6999999999999913E-2"/>
    <n v="0.68421052631578938"/>
    <s v="-"/>
    <n v="30.81"/>
    <n v="0.64"/>
    <m/>
    <m/>
    <m/>
    <m/>
    <s v="ATENDE"/>
    <s v="ATENDE"/>
    <s v="ATENDE"/>
    <s v="ATENDE"/>
    <s v="C1"/>
    <s v="P6"/>
    <n v="5.2466666666666661"/>
    <n v="18.739999999999998"/>
    <n v="0.69"/>
    <n v="3"/>
    <n v="0.6"/>
    <s v="ATENDE"/>
    <s v="ATENDE"/>
    <s v="ATENDE"/>
    <s v="P6"/>
    <n v="3.003333333333333"/>
    <n v="12.01"/>
    <n v="8.7200000000000006"/>
    <n v="3"/>
    <n v="0.6"/>
    <s v="ATENDE"/>
    <s v="ATENDE"/>
    <s v="ATENDE"/>
    <x v="2"/>
    <s v="SIGMAGPTLRRSMNDL120W_82IBBR_x000a_"/>
    <s v="SIGMAGPTLRRSMNDL120W_82IBBR_x000a_S1-10C1MUN6.5"/>
    <m/>
    <e v="#N/A"/>
    <n v="1"/>
    <n v="120"/>
    <n v="0"/>
    <n v="19640"/>
    <n v="0"/>
    <n v="0"/>
    <n v="10"/>
    <s v="Curto I"/>
    <s v="Longo II"/>
    <n v="3.5"/>
    <n v="8.5"/>
    <m/>
    <m/>
    <m/>
    <m/>
    <m/>
    <m/>
    <n v="120"/>
    <n v="99"/>
    <n v="219"/>
    <n v="-0.21212121212121215"/>
    <m/>
    <m/>
    <s v="Sim"/>
    <m/>
  </r>
  <r>
    <n v="1"/>
    <s v="PVP"/>
    <s v="Condominio Maritimo "/>
    <n v="-29.995958000000002"/>
    <n v="-50.194662000000001"/>
    <s v="C5"/>
    <x v="0"/>
    <s v="P6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6"/>
    <n v="8.1"/>
    <n v="1"/>
    <n v="0.3"/>
    <n v="2.5"/>
    <n v="2.200000000000000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133333333333331"/>
    <n v="2.2777777777777777"/>
    <s v="-"/>
    <n v="8.56"/>
    <n v="0.59"/>
    <m/>
    <m/>
    <m/>
    <m/>
    <s v="ATENDE"/>
    <s v="ATENDE"/>
    <s v="ATENDE"/>
    <s v="ATENDE"/>
    <s v="C5"/>
    <s v="P6"/>
    <n v="1.7233333333333332"/>
    <n v="8.17"/>
    <n v="5.58"/>
    <n v="3"/>
    <n v="0.6"/>
    <s v="ATENDE"/>
    <s v="ATENDE"/>
    <s v="ATENDE"/>
    <s v="P6"/>
    <n v="1.1666666666666665"/>
    <n v="6.5"/>
    <n v="4.3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Médio II"/>
    <m/>
    <s v=""/>
    <s v=""/>
    <m/>
    <m/>
    <m/>
    <m/>
    <m/>
    <m/>
    <n v="28"/>
    <n v="50"/>
    <n v="78"/>
    <n v="0.43999999999999995"/>
    <m/>
    <m/>
    <s v="Não"/>
    <m/>
  </r>
  <r>
    <n v="1"/>
    <s v="PVP"/>
    <s v="Condominio Maritimo "/>
    <n v="-29.995958000000002"/>
    <n v="-50.194662000000001"/>
    <s v="C5"/>
    <x v="0"/>
    <s v="P6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6"/>
    <n v="8.1"/>
    <n v="1"/>
    <n v="0.3"/>
    <n v="2.5"/>
    <n v="2.200000000000000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0666666666666673"/>
    <n v="3"/>
    <s v="-"/>
    <n v="10.55"/>
    <n v="0.72"/>
    <m/>
    <m/>
    <m/>
    <m/>
    <s v="ATENDE"/>
    <s v="ATENDE"/>
    <s v="ATENDE"/>
    <s v="ATENDE"/>
    <s v="C5"/>
    <s v="P6"/>
    <n v="2.4533333333333331"/>
    <n v="10.36"/>
    <n v="9.07"/>
    <n v="3"/>
    <n v="0.6"/>
    <s v="ATENDE"/>
    <s v="ATENDE"/>
    <s v="ATENDE"/>
    <s v="P6"/>
    <n v="1.4666666666666668"/>
    <n v="7.4"/>
    <n v="5.8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Médio II"/>
    <m/>
    <s v=""/>
    <s v=""/>
    <m/>
    <m/>
    <m/>
    <m/>
    <m/>
    <m/>
    <n v="31"/>
    <n v="50"/>
    <n v="81"/>
    <n v="0.38"/>
    <m/>
    <m/>
    <s v="Não"/>
    <m/>
  </r>
  <r>
    <n v="1"/>
    <s v="PVP"/>
    <s v="Condominio Maritimo "/>
    <n v="-29.995958000000002"/>
    <n v="-50.194662000000001"/>
    <s v="C5"/>
    <x v="0"/>
    <s v="P6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6"/>
    <n v="8.1"/>
    <n v="1"/>
    <n v="0.3"/>
    <n v="2.5"/>
    <n v="2.200000000000000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2800000000000016"/>
    <n v="2.7777777777777781"/>
    <s v="-"/>
    <n v="10.71"/>
    <n v="0.68"/>
    <m/>
    <m/>
    <m/>
    <m/>
    <s v="ATENDE"/>
    <s v="ATENDE"/>
    <s v="ATENDE"/>
    <s v="ATENDE"/>
    <s v="C5"/>
    <s v="P6"/>
    <n v="2.3166666666666664"/>
    <n v="9.9499999999999993"/>
    <n v="8.58"/>
    <n v="3"/>
    <n v="0.6"/>
    <s v="ATENDE"/>
    <s v="ATENDE"/>
    <s v="ATENDE"/>
    <s v="P6"/>
    <n v="1.4833333333333334"/>
    <n v="7.45"/>
    <n v="5.8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I"/>
    <m/>
    <s v=""/>
    <s v=""/>
    <m/>
    <m/>
    <m/>
    <m/>
    <m/>
    <m/>
    <n v="30"/>
    <n v="50"/>
    <n v="80"/>
    <n v="0.4"/>
    <m/>
    <m/>
    <s v="Não"/>
    <m/>
  </r>
  <r>
    <n v="2"/>
    <s v="PVP"/>
    <s v="Marina Park Residence"/>
    <n v="-29.997437999999999"/>
    <n v="-50.185203000000001"/>
    <s v="C5"/>
    <x v="0"/>
    <s v="P6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3.9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266666666666683"/>
    <n v="1.0555555555555558"/>
    <s v="-"/>
    <n v="9.4700000000000006"/>
    <n v="0.37"/>
    <m/>
    <m/>
    <m/>
    <m/>
    <s v="ATENDE"/>
    <s v="ATENDE"/>
    <s v="ATENDE"/>
    <s v="ATENDE"/>
    <s v="C5"/>
    <s v="P6"/>
    <n v="1.3033333333333332"/>
    <n v="6.91"/>
    <n v="2.1800000000000002"/>
    <n v="3"/>
    <n v="0.6"/>
    <s v="ATENDE"/>
    <s v="ATENDE"/>
    <s v="ATENDE"/>
    <s v="P6"/>
    <n v="0.67333333333333312"/>
    <n v="5.0199999999999996"/>
    <n v="2.09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50"/>
    <n v="85"/>
    <n v="0.30000000000000004"/>
    <m/>
    <m/>
    <s v="Não"/>
    <m/>
  </r>
  <r>
    <n v="2"/>
    <s v="PVP"/>
    <s v="Marina Park Residence"/>
    <n v="-29.997437999999999"/>
    <n v="-50.185203000000001"/>
    <s v="C5"/>
    <x v="0"/>
    <s v="P6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3.9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866666666666679"/>
    <n v="1.0555555555555558"/>
    <s v="-"/>
    <n v="9.14"/>
    <n v="0.37"/>
    <m/>
    <m/>
    <m/>
    <m/>
    <s v="ATENDE"/>
    <s v="ATENDE"/>
    <s v="ATENDE"/>
    <s v="ATENDE"/>
    <s v="C5"/>
    <s v="P6"/>
    <n v="1.0633333333333335"/>
    <n v="6.19"/>
    <n v="1.1000000000000001"/>
    <n v="3"/>
    <n v="0.6"/>
    <s v="ATENDE"/>
    <s v="ATENDE"/>
    <s v="ATENDE"/>
    <s v="P6"/>
    <n v="0.33999999999999986"/>
    <n v="4.0199999999999996"/>
    <n v="1.7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50"/>
    <n v="81"/>
    <n v="0.38"/>
    <m/>
    <m/>
    <s v="Não"/>
    <m/>
  </r>
  <r>
    <n v="2"/>
    <s v="PVP"/>
    <s v="Marina Park Residence"/>
    <n v="-29.997437999999999"/>
    <n v="-50.185203000000001"/>
    <s v="C5"/>
    <x v="0"/>
    <s v="P6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3.9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999999999999996"/>
    <n v="1.5555555555555558"/>
    <s v="-"/>
    <n v="9"/>
    <n v="0.46"/>
    <m/>
    <m/>
    <m/>
    <m/>
    <s v="ATENDE"/>
    <s v="ATENDE"/>
    <s v="ATENDE"/>
    <s v="ATENDE"/>
    <s v="C5"/>
    <s v="P6"/>
    <n v="1.1099999999999999"/>
    <n v="6.33"/>
    <n v="2.4700000000000002"/>
    <n v="3"/>
    <n v="0.6"/>
    <s v="ATENDE"/>
    <s v="ATENDE"/>
    <s v="ATENDE"/>
    <s v="P6"/>
    <n v="0.27"/>
    <n v="3.81"/>
    <n v="2.2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Não"/>
    <m/>
  </r>
  <r>
    <n v="3"/>
    <s v="VP"/>
    <s v="Avenida Central Jardim do Eden, 497"/>
    <n v="-30.069248999999999"/>
    <n v="-50.164009"/>
    <s v="C5"/>
    <x v="0"/>
    <s v="P6"/>
    <s v="Vapor de sódio"/>
    <n v="250"/>
    <n v="30"/>
    <n v="0"/>
    <n v="1000"/>
    <n v="2"/>
    <n v="0"/>
    <n v="7"/>
    <m/>
    <m/>
    <n v="0"/>
    <n v="3"/>
    <n v="7.5"/>
    <n v="0"/>
    <n v="0"/>
    <n v="0"/>
    <n v="0"/>
    <s v="Canteiro central"/>
    <s v="Braço"/>
    <n v="35.299999999999997"/>
    <n v="7"/>
    <n v="2"/>
    <n v="3.1"/>
    <n v="1.3"/>
    <n v="-1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8.9333333333333265E-2"/>
    <n v="1.1111111111111112"/>
    <s v="-"/>
    <n v="8.17"/>
    <n v="0.3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16999999999999993"/>
    <n v="3.51"/>
    <n v="2.02"/>
    <n v="3"/>
    <n v="0.6"/>
    <s v="ATENDE"/>
    <s v="ATENDE"/>
    <s v="ATENDE"/>
    <x v="0"/>
    <s v=" SL VT 9.1 35W"/>
    <s v="LUM LED SL VT 9.1 35W"/>
    <m/>
    <n v="0"/>
    <n v="2"/>
    <n v="35"/>
    <n v="0"/>
    <n v="5955.62"/>
    <n v="0"/>
    <n v="0"/>
    <n v="10"/>
    <s v="Curto II"/>
    <m/>
    <s v=""/>
    <s v=""/>
    <m/>
    <m/>
    <m/>
    <m/>
    <m/>
    <m/>
    <n v="35"/>
    <n v="250"/>
    <n v="570"/>
    <n v="0.86"/>
    <m/>
    <m/>
    <s v="Sim"/>
    <m/>
  </r>
  <r>
    <n v="3"/>
    <s v="VP"/>
    <s v="Avenida Central Jardim do Eden, 497"/>
    <n v="-30.069248999999999"/>
    <n v="-50.164009"/>
    <s v="C5"/>
    <x v="0"/>
    <s v="P6"/>
    <s v="Vapor de sódio"/>
    <n v="250"/>
    <n v="30"/>
    <n v="0"/>
    <n v="1000"/>
    <n v="2"/>
    <n v="0"/>
    <n v="7"/>
    <m/>
    <m/>
    <n v="0"/>
    <n v="3"/>
    <n v="7.5"/>
    <n v="0"/>
    <n v="0"/>
    <n v="0"/>
    <n v="0"/>
    <s v="Canteiro central"/>
    <s v="Braço"/>
    <n v="35.299999999999997"/>
    <n v="7"/>
    <n v="2"/>
    <n v="3.1"/>
    <n v="1.3"/>
    <n v="-1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18799999999999994"/>
    <n v="1.8333333333333335"/>
    <s v="-"/>
    <n v="8.91"/>
    <n v="0.51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20666666666666678"/>
    <n v="3.62"/>
    <n v="2.42"/>
    <n v="3"/>
    <n v="0.6"/>
    <s v="ATENDE"/>
    <s v="ATENDE"/>
    <s v="ATENDE"/>
    <x v="1"/>
    <s v="SX-INEVO040HF"/>
    <s v="SXINEVO040K40L12CZF7PHF"/>
    <m/>
    <n v="0"/>
    <n v="2"/>
    <n v="39"/>
    <n v="0"/>
    <n v="6552"/>
    <n v="0"/>
    <n v="0"/>
    <n v="10"/>
    <s v="Curto II"/>
    <m/>
    <s v=""/>
    <s v=""/>
    <m/>
    <m/>
    <m/>
    <m/>
    <m/>
    <m/>
    <n v="39"/>
    <n v="250"/>
    <n v="578"/>
    <n v="0.84399999999999997"/>
    <m/>
    <m/>
    <s v="Sim"/>
    <m/>
  </r>
  <r>
    <n v="3"/>
    <s v="VP"/>
    <s v="Avenida Central Jardim do Eden, 497"/>
    <n v="-30.069248999999999"/>
    <n v="-50.164009"/>
    <s v="C5"/>
    <x v="0"/>
    <s v="P6"/>
    <s v="Vapor de sódio"/>
    <n v="250"/>
    <n v="30"/>
    <n v="0"/>
    <n v="1000"/>
    <n v="2"/>
    <n v="0"/>
    <n v="7"/>
    <m/>
    <m/>
    <n v="0"/>
    <n v="3"/>
    <n v="7.5"/>
    <n v="0"/>
    <n v="0"/>
    <n v="0"/>
    <n v="0"/>
    <s v="Canteiro central"/>
    <s v="Braço"/>
    <n v="35.299999999999997"/>
    <n v="7"/>
    <n v="2"/>
    <n v="3.1"/>
    <n v="1.3"/>
    <n v="-1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7066666666666648"/>
    <n v="1.2222222222222223"/>
    <s v="-"/>
    <n v="10.28"/>
    <n v="0.4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4.0000000000000036E-2"/>
    <n v="3.12"/>
    <n v="2.0099999999999998"/>
    <n v="3"/>
    <n v="0.6"/>
    <s v="ATENDE"/>
    <s v="ATENDE"/>
    <s v="ATENDE"/>
    <x v="2"/>
    <s v="SIGSAGPTLRRSSNDL_40W_50IBBRS_x000a_"/>
    <s v="SIGSAGPTLRRSSNDL_40W_50IBBRS_x000a_1-10C1MUN6.5"/>
    <m/>
    <n v="0"/>
    <n v="2"/>
    <n v="40"/>
    <n v="0"/>
    <n v="6641"/>
    <n v="0"/>
    <n v="0"/>
    <m/>
    <s v="Curto II"/>
    <m/>
    <s v=""/>
    <s v=""/>
    <m/>
    <m/>
    <m/>
    <m/>
    <m/>
    <m/>
    <n v="40"/>
    <n v="250"/>
    <n v="580"/>
    <n v="0.84"/>
    <m/>
    <m/>
    <s v="Sim"/>
    <m/>
  </r>
  <r>
    <n v="4"/>
    <s v="PVP"/>
    <s v="Rua A-Tres Boca-de-Leao, 220"/>
    <n v="-30.065290000000001"/>
    <n v="-50.160902"/>
    <s v="C5"/>
    <x v="0"/>
    <s v="P6"/>
    <s v="Vapor de sódio"/>
    <n v="100"/>
    <n v="17"/>
    <n v="0"/>
    <n v="200"/>
    <n v="2"/>
    <n v="3"/>
    <n v="6.9"/>
    <m/>
    <m/>
    <n v="0"/>
    <n v="3"/>
    <n v="0"/>
    <n v="0"/>
    <n v="0"/>
    <n v="0"/>
    <n v="0"/>
    <s v="Unilateral"/>
    <s v="Braço"/>
    <n v="32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666666666666663"/>
    <n v="1.4444444444444446"/>
    <s v="-"/>
    <n v="9.65"/>
    <n v="0.44"/>
    <m/>
    <m/>
    <m/>
    <m/>
    <s v="ATENDE"/>
    <s v="ATENDE"/>
    <s v="ATENDE"/>
    <s v="ATENDE"/>
    <s v="C5"/>
    <s v="P6"/>
    <n v="1.5933333333333333"/>
    <n v="7.78"/>
    <n v="2.89"/>
    <n v="3"/>
    <n v="0.6"/>
    <s v="ATENDE"/>
    <s v="ATENDE"/>
    <s v="ATENDE"/>
    <s v="P6"/>
    <n v="0.67666666666666675"/>
    <n v="5.03"/>
    <n v="2.4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4"/>
    <s v="PVP"/>
    <s v="Rua A-Tres Boca-de-Leao, 220"/>
    <n v="-30.065290000000001"/>
    <n v="-50.160902"/>
    <s v="C5"/>
    <x v="0"/>
    <s v="P6"/>
    <s v="Vapor de sódio"/>
    <n v="100"/>
    <n v="17"/>
    <n v="0"/>
    <n v="200"/>
    <n v="2"/>
    <n v="3"/>
    <n v="6.9"/>
    <m/>
    <m/>
    <n v="0"/>
    <n v="3"/>
    <n v="0"/>
    <n v="0"/>
    <n v="0"/>
    <n v="0"/>
    <n v="0"/>
    <s v="Unilateral"/>
    <s v="Braço"/>
    <n v="32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13333333333334"/>
    <n v="1.8888888888888893"/>
    <s v="-"/>
    <n v="9.31"/>
    <n v="0.52"/>
    <m/>
    <m/>
    <m/>
    <m/>
    <s v="ATENDE"/>
    <s v="ATENDE"/>
    <s v="ATENDE"/>
    <s v="ATENDE"/>
    <s v="C5"/>
    <s v="P6"/>
    <n v="1.3833333333333333"/>
    <n v="7.15"/>
    <n v="1.97"/>
    <n v="3"/>
    <n v="0.6"/>
    <s v="ATENDE"/>
    <s v="ATENDE"/>
    <s v="ATENDE"/>
    <s v="P6"/>
    <n v="0.33000000000000007"/>
    <n v="3.99"/>
    <n v="2.1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4"/>
    <s v="PVP"/>
    <s v="Rua A-Tres Boca-de-Leao, 220"/>
    <n v="-30.065290000000001"/>
    <n v="-50.160902"/>
    <s v="C5"/>
    <x v="0"/>
    <s v="P6"/>
    <s v="Vapor de sódio"/>
    <n v="100"/>
    <n v="17"/>
    <n v="0"/>
    <n v="200"/>
    <n v="2"/>
    <n v="3"/>
    <n v="6.9"/>
    <m/>
    <m/>
    <n v="0"/>
    <n v="3"/>
    <n v="0"/>
    <n v="0"/>
    <n v="0"/>
    <n v="0"/>
    <n v="0"/>
    <s v="Unilateral"/>
    <s v="Braço"/>
    <n v="32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1666666666666665"/>
    <s v="-"/>
    <n v="9.15"/>
    <n v="0.56999999999999995"/>
    <m/>
    <m/>
    <m/>
    <m/>
    <s v="ATENDE"/>
    <s v="ATENDE"/>
    <s v="ATENDE"/>
    <s v="ATENDE"/>
    <s v="C5"/>
    <s v="P6"/>
    <n v="1.4033333333333333"/>
    <n v="7.21"/>
    <n v="3.38"/>
    <n v="3"/>
    <n v="0.6"/>
    <s v="ATENDE"/>
    <s v="ATENDE"/>
    <s v="ATENDE"/>
    <s v="P6"/>
    <n v="0.26666666666666661"/>
    <n v="3.8"/>
    <n v="2.4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"/>
    <s v="PV"/>
    <s v="Marina Park Residence"/>
    <n v="-29.996541000000001"/>
    <n v="-50.187240000000003"/>
    <s v="C4"/>
    <x v="0"/>
    <s v="P6"/>
    <s v="LED"/>
    <n v="50"/>
    <n v="0"/>
    <n v="0"/>
    <n v="100"/>
    <n v="2"/>
    <n v="2"/>
    <n v="7"/>
    <m/>
    <m/>
    <n v="0"/>
    <n v="0"/>
    <n v="0"/>
    <n v="0"/>
    <n v="0"/>
    <n v="0"/>
    <n v="0"/>
    <s v="Unilateral"/>
    <s v="Braço"/>
    <n v="33.5"/>
    <n v="7"/>
    <n v="1"/>
    <n v="0.2"/>
    <n v="2.5"/>
    <n v="2.299999999999999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799999999999989"/>
    <n v="0.94444444444444442"/>
    <s v="-"/>
    <n v="11.28"/>
    <n v="0.35"/>
    <m/>
    <m/>
    <m/>
    <m/>
    <s v="ATENDE"/>
    <s v="ATENDE"/>
    <s v="ATENDE"/>
    <s v="ATENDE"/>
    <s v="C4"/>
    <s v="P6"/>
    <n v="1.4233333333333333"/>
    <n v="7.27"/>
    <n v="3.01"/>
    <n v="3"/>
    <n v="0.6"/>
    <s v="ATENDE"/>
    <s v="ATENDE"/>
    <s v="ATENDE"/>
    <s v="-"/>
    <e v="#VALUE!"/>
    <m/>
    <m/>
    <s v="-"/>
    <s v="-"/>
    <s v="-"/>
    <s v="-"/>
    <s v="-"/>
    <x v="0"/>
    <s v=" SL VT 9.1 44W"/>
    <s v="LUM LED SL VT 9.1 44W"/>
    <m/>
    <n v="0"/>
    <n v="1"/>
    <n v="44"/>
    <n v="0"/>
    <n v="7657.99"/>
    <n v="0"/>
    <n v="0"/>
    <m/>
    <s v="Médio II"/>
    <m/>
    <s v=""/>
    <s v=""/>
    <m/>
    <m/>
    <m/>
    <m/>
    <m/>
    <m/>
    <n v="44"/>
    <n v="50"/>
    <n v="94"/>
    <n v="0.12"/>
    <m/>
    <m/>
    <s v="Não"/>
    <m/>
  </r>
  <r>
    <n v="7"/>
    <s v="PV"/>
    <s v="Marina Park Residence"/>
    <n v="-29.996541000000001"/>
    <n v="-50.187240000000003"/>
    <s v="C4"/>
    <x v="0"/>
    <s v="P6"/>
    <s v="LED"/>
    <n v="50"/>
    <n v="0"/>
    <n v="0"/>
    <n v="100"/>
    <n v="2"/>
    <n v="2"/>
    <n v="7"/>
    <m/>
    <m/>
    <n v="0"/>
    <n v="0"/>
    <n v="0"/>
    <n v="0"/>
    <n v="0"/>
    <n v="0"/>
    <n v="0"/>
    <s v="Unilateral"/>
    <s v="Braço"/>
    <n v="33.5"/>
    <n v="7"/>
    <n v="1"/>
    <n v="0.2"/>
    <n v="2.5"/>
    <n v="2.299999999999999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6000000000000068E-2"/>
    <n v="1.3333333333333335"/>
    <s v="-"/>
    <n v="10.76"/>
    <n v="0.42"/>
    <m/>
    <m/>
    <m/>
    <m/>
    <s v="ATENDE"/>
    <s v="ATENDE"/>
    <s v="ATENDE"/>
    <s v="ATENDE"/>
    <s v="C4"/>
    <s v="P6"/>
    <n v="1.21"/>
    <n v="6.63"/>
    <n v="2.61"/>
    <n v="3"/>
    <n v="0.6"/>
    <s v="ATENDE"/>
    <s v="ATENDE"/>
    <s v="ATENDE"/>
    <s v="-"/>
    <e v="#VALUE!"/>
    <m/>
    <m/>
    <s v="-"/>
    <s v="-"/>
    <s v="-"/>
    <s v="-"/>
    <s v="-"/>
    <x v="1"/>
    <s v="SX-INEVO040HF"/>
    <s v="SXINEVO040K40L12CZF7PHF"/>
    <m/>
    <n v="0"/>
    <n v="1"/>
    <n v="39"/>
    <n v="0"/>
    <n v="6552"/>
    <n v="0"/>
    <n v="0"/>
    <m/>
    <s v="Médio II"/>
    <m/>
    <s v=""/>
    <s v=""/>
    <m/>
    <m/>
    <m/>
    <m/>
    <m/>
    <m/>
    <n v="39"/>
    <n v="50"/>
    <n v="89"/>
    <n v="0.21999999999999997"/>
    <m/>
    <m/>
    <s v="Não"/>
    <m/>
  </r>
  <r>
    <n v="7"/>
    <s v="PV"/>
    <s v="Marina Park Residence"/>
    <n v="-29.996541000000001"/>
    <n v="-50.187240000000003"/>
    <s v="C4"/>
    <x v="0"/>
    <s v="P6"/>
    <s v="LED"/>
    <n v="50"/>
    <n v="0"/>
    <n v="0"/>
    <n v="100"/>
    <n v="2"/>
    <n v="2"/>
    <n v="7"/>
    <m/>
    <m/>
    <n v="0"/>
    <n v="0"/>
    <n v="0"/>
    <n v="0"/>
    <n v="0"/>
    <n v="0"/>
    <n v="0"/>
    <s v="Unilateral"/>
    <s v="Braço"/>
    <n v="33.5"/>
    <n v="7"/>
    <n v="1"/>
    <n v="0.2"/>
    <n v="2.5"/>
    <n v="2.299999999999999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799999999999998"/>
    <n v="1.166666666666667"/>
    <s v="-"/>
    <n v="12.28"/>
    <n v="0.39"/>
    <m/>
    <m/>
    <m/>
    <m/>
    <s v="ATENDE"/>
    <s v="ATENDE"/>
    <s v="ATENDE"/>
    <s v="ATENDE"/>
    <s v="C4"/>
    <s v="P6"/>
    <n v="1.3000000000000003"/>
    <n v="6.9"/>
    <n v="2.85"/>
    <n v="3"/>
    <n v="0.6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Médio II"/>
    <m/>
    <s v=""/>
    <s v=""/>
    <m/>
    <m/>
    <m/>
    <m/>
    <m/>
    <m/>
    <n v="40"/>
    <n v="50"/>
    <n v="90"/>
    <n v="0.19999999999999996"/>
    <m/>
    <m/>
    <s v="Não"/>
    <m/>
  </r>
  <r>
    <n v="5"/>
    <s v="PVP"/>
    <s v="Rua R Seis, 57"/>
    <n v="-30.068598999999999"/>
    <n v="-50.163373999999997"/>
    <s v="C5"/>
    <x v="0"/>
    <s v="P6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4666666666666623E-2"/>
    <n v="1.8333333333333335"/>
    <s v="-"/>
    <n v="7.76"/>
    <n v="0.51"/>
    <m/>
    <m/>
    <m/>
    <m/>
    <s v="ATENDE"/>
    <s v="ATENDE"/>
    <s v="ATENDE"/>
    <s v="ATENDE"/>
    <s v="C5"/>
    <s v="P6"/>
    <n v="0.98666666666666658"/>
    <n v="5.96"/>
    <n v="2.9"/>
    <n v="3"/>
    <n v="0.6"/>
    <s v="ATENDE"/>
    <s v="ATENDE"/>
    <s v="ATENDE"/>
    <s v="-"/>
    <e v="#VALUE!"/>
    <n v="4.4800000000000004"/>
    <n v="2.4900000000000002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5"/>
    <s v="PVP"/>
    <s v="Rua R Seis, 57"/>
    <n v="-30.068598999999999"/>
    <n v="-50.163373999999997"/>
    <s v="C5"/>
    <x v="0"/>
    <s v="P6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800000000000003"/>
    <n v="3.0555555555555554"/>
    <s v="-"/>
    <n v="9.66"/>
    <n v="0.73"/>
    <m/>
    <m/>
    <m/>
    <m/>
    <s v="ATENDE"/>
    <s v="ATENDE"/>
    <s v="ATENDE"/>
    <s v="ATENDE"/>
    <s v="C5"/>
    <s v="P6"/>
    <n v="1.2666666666666666"/>
    <n v="6.8"/>
    <n v="3.23"/>
    <n v="3"/>
    <n v="0.6"/>
    <s v="ATENDE"/>
    <s v="ATENDE"/>
    <s v="ATENDE"/>
    <s v="-"/>
    <e v="#VALUE!"/>
    <n v="4.6399999999999997"/>
    <n v="2.46"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5"/>
    <s v="PVP"/>
    <s v="Rua R Seis, 57"/>
    <n v="-30.068598999999999"/>
    <n v="-50.163373999999997"/>
    <s v="C5"/>
    <x v="0"/>
    <s v="P6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600000000000002"/>
    <n v="2.666666666666667"/>
    <s v="-"/>
    <n v="9.57"/>
    <n v="0.66"/>
    <m/>
    <m/>
    <m/>
    <m/>
    <s v="ATENDE"/>
    <s v="ATENDE"/>
    <s v="ATENDE"/>
    <s v="ATENDE"/>
    <s v="C5"/>
    <s v="P6"/>
    <n v="1.3033333333333332"/>
    <n v="6.91"/>
    <n v="4.09"/>
    <n v="3"/>
    <n v="0.6"/>
    <s v="ATENDE"/>
    <s v="ATENDE"/>
    <s v="ATENDE"/>
    <s v="-"/>
    <e v="#VALUE!"/>
    <n v="4.33"/>
    <n v="2.64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"/>
    <s v="PVP"/>
    <s v="Condominio Maritimo "/>
    <n v="-29.995253000000002"/>
    <n v="-50.194110000000002"/>
    <s v="C5"/>
    <x v="0"/>
    <s v="P6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7"/>
    <n v="8.1"/>
    <n v="1"/>
    <n v="1.4"/>
    <n v="2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066666666666673"/>
    <n v="2.4444444444444446"/>
    <s v="-"/>
    <n v="8.6300000000000008"/>
    <n v="0.62"/>
    <m/>
    <m/>
    <m/>
    <m/>
    <s v="ATENDE"/>
    <s v="ATENDE"/>
    <s v="ATENDE"/>
    <s v="ATENDE"/>
    <s v="C5"/>
    <s v="-"/>
    <e v="#VALUE!"/>
    <n v="7.57"/>
    <n v="4.84"/>
    <s v="-"/>
    <s v="-"/>
    <s v="-"/>
    <s v="-"/>
    <s v="-"/>
    <s v="P6"/>
    <n v="1.4533333333333336"/>
    <n v="7.36"/>
    <n v="5.16"/>
    <n v="3"/>
    <n v="0.6"/>
    <s v="ATENDE"/>
    <s v="ATENDE"/>
    <s v="ATENDE"/>
    <x v="0"/>
    <s v=" SL VT 9.1 28W"/>
    <s v="LUM LED SL VT 9.1 28W"/>
    <m/>
    <e v="#N/A"/>
    <n v="1"/>
    <n v="28"/>
    <e v="#N/A"/>
    <n v="4927.3500000000004"/>
    <n v="0"/>
    <n v="0"/>
    <m/>
    <s v="Médio II"/>
    <m/>
    <s v=""/>
    <s v=""/>
    <m/>
    <m/>
    <m/>
    <m/>
    <m/>
    <m/>
    <n v="28"/>
    <n v="50"/>
    <n v="78"/>
    <n v="0.43999999999999995"/>
    <m/>
    <m/>
    <s v="Não"/>
    <m/>
  </r>
  <r>
    <n v="6"/>
    <s v="PVP"/>
    <s v="Condominio Maritimo "/>
    <n v="-29.995253000000002"/>
    <n v="-50.194110000000002"/>
    <s v="C5"/>
    <x v="0"/>
    <s v="P6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7"/>
    <n v="8.1"/>
    <n v="1"/>
    <n v="1.4"/>
    <n v="2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066666666666675"/>
    <n v="3.3888888888888893"/>
    <s v="-"/>
    <n v="10.73"/>
    <n v="0.79"/>
    <m/>
    <m/>
    <m/>
    <m/>
    <s v="ATENDE"/>
    <s v="ATENDE"/>
    <s v="ATENDE"/>
    <s v="ATENDE"/>
    <s v="C5"/>
    <s v="-"/>
    <e v="#VALUE!"/>
    <n v="9.14"/>
    <n v="7.15"/>
    <s v="-"/>
    <s v="-"/>
    <s v="-"/>
    <s v="-"/>
    <s v="-"/>
    <s v="P6"/>
    <n v="2.0933333333333333"/>
    <n v="9.2799999999999994"/>
    <n v="8.23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Médio II"/>
    <m/>
    <s v=""/>
    <s v=""/>
    <m/>
    <m/>
    <m/>
    <m/>
    <m/>
    <m/>
    <n v="31"/>
    <n v="50"/>
    <n v="81"/>
    <n v="0.38"/>
    <m/>
    <m/>
    <s v="Não"/>
    <m/>
  </r>
  <r>
    <n v="6"/>
    <s v="PVP"/>
    <s v="Condominio Maritimo "/>
    <n v="-29.995253000000002"/>
    <n v="-50.194110000000002"/>
    <s v="C5"/>
    <x v="0"/>
    <s v="P6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7"/>
    <n v="8.1"/>
    <n v="1"/>
    <n v="1.4"/>
    <n v="2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4399999999999995"/>
    <n v="3.166666666666667"/>
    <s v="-"/>
    <n v="10.83"/>
    <n v="0.75"/>
    <m/>
    <m/>
    <m/>
    <m/>
    <s v="ATENDE"/>
    <s v="ATENDE"/>
    <s v="ATENDE"/>
    <s v="ATENDE"/>
    <s v="C5"/>
    <s v="-"/>
    <e v="#VALUE!"/>
    <n v="9.07"/>
    <n v="6.9"/>
    <s v="-"/>
    <s v="-"/>
    <s v="-"/>
    <s v="-"/>
    <s v="-"/>
    <s v="P6"/>
    <n v="1.8566666666666669"/>
    <n v="8.57"/>
    <n v="7.5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I"/>
    <m/>
    <s v=""/>
    <s v=""/>
    <m/>
    <m/>
    <m/>
    <m/>
    <m/>
    <m/>
    <n v="30"/>
    <n v="50"/>
    <n v="80"/>
    <n v="0.4"/>
    <m/>
    <m/>
    <s v="Não"/>
    <m/>
  </r>
  <r>
    <n v="8"/>
    <s v="PVP"/>
    <s v="Rua Olavo Nunes, 12"/>
    <n v="-30.067307"/>
    <n v="-50.160387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1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"/>
    <n v="1.2777777777777777"/>
    <s v="-"/>
    <n v="7.5"/>
    <n v="0.41"/>
    <m/>
    <m/>
    <m/>
    <m/>
    <s v="ATENDE"/>
    <s v="ATENDE"/>
    <s v="ATENDE"/>
    <s v="ATENDE"/>
    <s v="C5"/>
    <s v="P6"/>
    <n v="1.1266666666666665"/>
    <n v="6.38"/>
    <n v="2.44"/>
    <n v="3"/>
    <n v="0.6"/>
    <s v="ATENDE"/>
    <s v="ATENDE"/>
    <s v="ATENDE"/>
    <s v="-"/>
    <e v="#VALUE!"/>
    <n v="4.29"/>
    <n v="2.14"/>
    <s v="-"/>
    <s v="-"/>
    <s v="-"/>
    <s v="-"/>
    <s v="-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8"/>
    <s v="PVP"/>
    <s v="Rua Olavo Nunes, 12"/>
    <n v="-30.067307"/>
    <n v="-50.160387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1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53333333333334"/>
    <n v="1.8333333333333335"/>
    <s v="-"/>
    <n v="9.34"/>
    <n v="0.51"/>
    <m/>
    <m/>
    <m/>
    <m/>
    <s v="ATENDE"/>
    <s v="ATENDE"/>
    <s v="ATENDE"/>
    <s v="ATENDE"/>
    <s v="C5"/>
    <s v="P6"/>
    <n v="1.4866666666666668"/>
    <n v="7.46"/>
    <n v="2.25"/>
    <n v="3"/>
    <n v="0.6"/>
    <s v="ATENDE"/>
    <s v="ATENDE"/>
    <s v="ATENDE"/>
    <s v="-"/>
    <e v="#VALUE!"/>
    <n v="4.3600000000000003"/>
    <n v="2.5299999999999998"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"/>
    <s v="PVP"/>
    <s v="Rua Olavo Nunes, 12"/>
    <n v="-30.067307"/>
    <n v="-50.160387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1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399999999999998"/>
    <n v="2.1666666666666665"/>
    <s v="-"/>
    <n v="9.18"/>
    <n v="0.56999999999999995"/>
    <m/>
    <m/>
    <m/>
    <m/>
    <s v="ATENDE"/>
    <s v="ATENDE"/>
    <s v="ATENDE"/>
    <s v="ATENDE"/>
    <s v="C5"/>
    <s v="P6"/>
    <n v="1.4899999999999998"/>
    <n v="7.47"/>
    <n v="3.64"/>
    <n v="3"/>
    <n v="0.6"/>
    <s v="ATENDE"/>
    <s v="ATENDE"/>
    <s v="ATENDE"/>
    <s v="-"/>
    <e v="#VALUE!"/>
    <n v="4.09"/>
    <n v="2.81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9"/>
    <s v="PVP"/>
    <s v="Rua Creta, 55"/>
    <n v="-30.075956999999999"/>
    <n v="-50.166178000000002"/>
    <s v="C5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2.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066666666666661"/>
    <n v="1.3888888888888888"/>
    <s v="-"/>
    <n v="9.5299999999999994"/>
    <n v="0.43"/>
    <m/>
    <m/>
    <m/>
    <m/>
    <s v="ATENDE"/>
    <s v="ATENDE"/>
    <s v="ATENDE"/>
    <s v="ATENDE"/>
    <s v="C5"/>
    <s v="P6"/>
    <n v="1.5133333333333332"/>
    <n v="7.54"/>
    <n v="2.73"/>
    <n v="3"/>
    <n v="0.6"/>
    <s v="ATENDE"/>
    <s v="ATENDE"/>
    <s v="ATENDE"/>
    <s v="P6"/>
    <n v="0.65666666666666651"/>
    <n v="4.97"/>
    <n v="2.3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9"/>
    <s v="PVP"/>
    <s v="Rua Creta, 55"/>
    <n v="-30.075956999999999"/>
    <n v="-50.166178000000002"/>
    <s v="C5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2.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666666666666657"/>
    <n v="1.7222222222222223"/>
    <s v="-"/>
    <n v="9.1999999999999993"/>
    <n v="0.49"/>
    <m/>
    <m/>
    <m/>
    <m/>
    <s v="ATENDE"/>
    <s v="ATENDE"/>
    <s v="ATENDE"/>
    <s v="ATENDE"/>
    <s v="C5"/>
    <s v="P6"/>
    <n v="1.3000000000000003"/>
    <n v="6.9"/>
    <n v="1.77"/>
    <n v="3"/>
    <n v="0.6"/>
    <s v="ATENDE"/>
    <s v="ATENDE"/>
    <s v="ATENDE"/>
    <s v="P6"/>
    <n v="0.31333333333333324"/>
    <n v="3.94"/>
    <n v="2.0699999999999998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9"/>
    <s v="PVP"/>
    <s v="Rua Creta, 55"/>
    <n v="-30.075956999999999"/>
    <n v="-50.166178000000002"/>
    <s v="C5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2.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533333333333315"/>
    <n v="2.0555555555555558"/>
    <s v="-"/>
    <n v="9.0399999999999991"/>
    <n v="0.55000000000000004"/>
    <m/>
    <m/>
    <m/>
    <m/>
    <s v="ATENDE"/>
    <s v="ATENDE"/>
    <s v="ATENDE"/>
    <s v="ATENDE"/>
    <s v="C5"/>
    <s v="P6"/>
    <n v="1.3199999999999998"/>
    <n v="6.96"/>
    <n v="3.17"/>
    <n v="3"/>
    <n v="0.6"/>
    <s v="ATENDE"/>
    <s v="ATENDE"/>
    <s v="ATENDE"/>
    <s v="P6"/>
    <n v="0.25333333333333319"/>
    <n v="3.76"/>
    <n v="2.3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"/>
    <s v="PVP"/>
    <s v="Rua Almirante Tamandare, 874"/>
    <n v="-29.986407"/>
    <n v="-50.131107999999998"/>
    <s v="C4"/>
    <x v="0"/>
    <s v="P6"/>
    <s v="Vapor de sódio"/>
    <n v="100"/>
    <n v="17"/>
    <n v="0"/>
    <n v="200"/>
    <n v="2"/>
    <n v="4.5"/>
    <n v="10"/>
    <m/>
    <m/>
    <n v="0"/>
    <n v="4.5"/>
    <n v="0"/>
    <n v="0"/>
    <n v="0"/>
    <n v="0"/>
    <n v="0"/>
    <s v="Unilateral"/>
    <s v="Braço"/>
    <n v="37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52"/>
    <n v="0.61111111111111116"/>
    <s v="-"/>
    <n v="12.52"/>
    <n v="0.28999999999999998"/>
    <m/>
    <m/>
    <m/>
    <m/>
    <s v="ATENDE"/>
    <s v="ATENDE"/>
    <s v="ATENDE"/>
    <s v="ATENDE"/>
    <s v="C4"/>
    <s v="P6"/>
    <n v="1.9499999999999997"/>
    <n v="8.85"/>
    <n v="3.1"/>
    <n v="3"/>
    <n v="0.6"/>
    <s v="ATENDE"/>
    <s v="ATENDE"/>
    <s v="ATENDE"/>
    <s v="-"/>
    <e v="#VALUE!"/>
    <n v="4.46"/>
    <n v="1.43"/>
    <s v="-"/>
    <s v="-"/>
    <s v="-"/>
    <s v="-"/>
    <s v="-"/>
    <x v="0"/>
    <s v=" SL VT 9.1 65W"/>
    <s v="LUM LED SL VT 9.1 65W"/>
    <m/>
    <n v="0"/>
    <n v="1"/>
    <n v="65"/>
    <n v="0"/>
    <n v="10496"/>
    <n v="0"/>
    <n v="0"/>
    <n v="5"/>
    <s v="Curto II"/>
    <m/>
    <s v=""/>
    <s v=""/>
    <m/>
    <m/>
    <m/>
    <m/>
    <m/>
    <m/>
    <n v="65"/>
    <n v="100"/>
    <n v="165"/>
    <n v="0.35"/>
    <m/>
    <m/>
    <s v="Sim"/>
    <m/>
  </r>
  <r>
    <n v="12"/>
    <s v="PVP"/>
    <s v="Rua Almirante Tamandare, 874"/>
    <n v="-29.986407"/>
    <n v="-50.131107999999998"/>
    <s v="C4"/>
    <x v="0"/>
    <s v="P6"/>
    <s v="Vapor de sódio"/>
    <n v="100"/>
    <n v="17"/>
    <n v="0"/>
    <n v="200"/>
    <n v="2"/>
    <n v="4.5"/>
    <n v="10"/>
    <m/>
    <m/>
    <n v="0"/>
    <n v="4.5"/>
    <n v="0"/>
    <n v="0"/>
    <n v="0"/>
    <n v="0"/>
    <n v="0"/>
    <s v="Unilateral"/>
    <s v="Braço"/>
    <n v="37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9999999999999"/>
    <n v="1.3333333333333335"/>
    <s v="-"/>
    <n v="11.34"/>
    <n v="0.42"/>
    <m/>
    <m/>
    <m/>
    <m/>
    <s v="ATENDE"/>
    <s v="ATENDE"/>
    <s v="ATENDE"/>
    <s v="ATENDE"/>
    <s v="C4"/>
    <s v="P6"/>
    <n v="1.37"/>
    <n v="7.11"/>
    <n v="0.84"/>
    <n v="3"/>
    <n v="0.6"/>
    <s v="ATENDE"/>
    <s v="ATENDE"/>
    <s v="ATENDE"/>
    <s v="-"/>
    <e v="#VALUE!"/>
    <n v="3.82"/>
    <n v="1.77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n v="5"/>
    <s v="Curto II"/>
    <m/>
    <s v=""/>
    <s v=""/>
    <m/>
    <m/>
    <m/>
    <m/>
    <m/>
    <m/>
    <n v="50"/>
    <n v="100"/>
    <n v="150"/>
    <n v="0.5"/>
    <m/>
    <m/>
    <s v="Sim"/>
    <m/>
  </r>
  <r>
    <n v="12"/>
    <s v="PVP"/>
    <s v="Rua Almirante Tamandare, 874"/>
    <n v="-29.986407"/>
    <n v="-50.131107999999998"/>
    <s v="C4"/>
    <x v="0"/>
    <s v="P6"/>
    <s v="Vapor de sódio"/>
    <n v="100"/>
    <n v="17"/>
    <n v="0"/>
    <n v="200"/>
    <n v="2"/>
    <n v="4.5"/>
    <n v="10"/>
    <m/>
    <m/>
    <n v="0"/>
    <n v="4.5"/>
    <n v="0"/>
    <n v="0"/>
    <n v="0"/>
    <n v="0"/>
    <n v="0"/>
    <s v="Unilateral"/>
    <s v="Braço"/>
    <n v="37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100000000000009"/>
    <n v="1.2222222222222223"/>
    <s v="-"/>
    <n v="12.21"/>
    <n v="0.4"/>
    <m/>
    <m/>
    <m/>
    <m/>
    <s v="ATENDE"/>
    <s v="ATENDE"/>
    <s v="ATENDE"/>
    <s v="ATENDE"/>
    <s v="C4"/>
    <s v="P6"/>
    <n v="1.4066666666666667"/>
    <n v="7.22"/>
    <n v="1.05"/>
    <n v="3"/>
    <n v="0.6"/>
    <s v="ATENDE"/>
    <s v="ATENDE"/>
    <s v="ATENDE"/>
    <s v="-"/>
    <e v="#VALUE!"/>
    <n v="3.8"/>
    <n v="2.29"/>
    <s v="-"/>
    <s v="-"/>
    <s v="-"/>
    <s v="-"/>
    <s v="-"/>
    <x v="2"/>
    <s v="SIGSAGPTLRRSSNDL_60W_73IBBRS_x000a_"/>
    <s v="SIGSAGPTLRRSSNDL_60W_73IBBRS_x000a_1-10C1MUN6.5"/>
    <m/>
    <e v="#N/A"/>
    <n v="1"/>
    <n v="60"/>
    <n v="0"/>
    <n v="9453"/>
    <n v="0"/>
    <n v="0"/>
    <n v="10"/>
    <s v="Curto II"/>
    <m/>
    <s v=""/>
    <s v=""/>
    <m/>
    <m/>
    <m/>
    <m/>
    <m/>
    <m/>
    <n v="60"/>
    <n v="100"/>
    <n v="160"/>
    <n v="0.4"/>
    <m/>
    <m/>
    <s v="Sim"/>
    <m/>
  </r>
  <r>
    <n v="10"/>
    <s v="PVP"/>
    <s v="Rua A-Seis dos Jasmins, 128"/>
    <n v="-30.065522000000001"/>
    <n v="-50.162438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1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933333333333332"/>
    <n v="1.2222222222222223"/>
    <s v="-"/>
    <n v="8.6199999999999992"/>
    <n v="0.4"/>
    <m/>
    <m/>
    <m/>
    <m/>
    <s v="ATENDE"/>
    <s v="ATENDE"/>
    <s v="ATENDE"/>
    <s v="ATENDE"/>
    <s v="C5"/>
    <s v="P6"/>
    <n v="1.3066666666666666"/>
    <n v="6.92"/>
    <n v="2.4500000000000002"/>
    <n v="3"/>
    <n v="0.6"/>
    <s v="ATENDE"/>
    <s v="ATENDE"/>
    <s v="ATENDE"/>
    <s v="P6"/>
    <n v="0.76333333333333342"/>
    <n v="5.29"/>
    <n v="2.44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"/>
    <s v="PVP"/>
    <s v="Rua A-Seis dos Jasmins, 128"/>
    <n v="-30.065522000000001"/>
    <n v="-50.162438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1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1.3333333333333335"/>
    <s v="-"/>
    <n v="8.32"/>
    <n v="0.42"/>
    <m/>
    <m/>
    <m/>
    <m/>
    <s v="ATENDE"/>
    <s v="ATENDE"/>
    <s v="ATENDE"/>
    <s v="ATENDE"/>
    <s v="C5"/>
    <s v="P6"/>
    <n v="1.1266666666666665"/>
    <n v="6.38"/>
    <n v="1.68"/>
    <n v="3"/>
    <n v="0.6"/>
    <s v="ATENDE"/>
    <s v="ATENDE"/>
    <s v="ATENDE"/>
    <s v="P6"/>
    <n v="0.49666666666666681"/>
    <n v="4.49"/>
    <n v="2.39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"/>
    <s v="PVP"/>
    <s v="Rua A-Seis dos Jasmins, 128"/>
    <n v="-30.065522000000001"/>
    <n v="-50.162438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1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7333333333333494E-2"/>
    <n v="1.7777777777777777"/>
    <s v="-"/>
    <n v="8.23"/>
    <n v="0.5"/>
    <m/>
    <m/>
    <m/>
    <m/>
    <s v="ATENDE"/>
    <s v="ATENDE"/>
    <s v="ATENDE"/>
    <s v="ATENDE"/>
    <s v="C5"/>
    <s v="P6"/>
    <n v="1.1333333333333333"/>
    <n v="6.4"/>
    <n v="2.85"/>
    <n v="3"/>
    <n v="0.6"/>
    <s v="ATENDE"/>
    <s v="ATENDE"/>
    <s v="ATENDE"/>
    <s v="P6"/>
    <n v="0.37333333333333329"/>
    <n v="4.12"/>
    <n v="2.8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"/>
    <s v="PVP"/>
    <s v="Rua Hildebrando Pinheiro Veloso, 1170"/>
    <n v="-30.013687000000001"/>
    <n v="-50.173386999999998"/>
    <s v="C5"/>
    <x v="0"/>
    <s v="P6"/>
    <s v="LED"/>
    <n v="50"/>
    <n v="0"/>
    <n v="0"/>
    <n v="100"/>
    <n v="2"/>
    <n v="3.5"/>
    <n v="7.5"/>
    <m/>
    <m/>
    <n v="0"/>
    <n v="3.5"/>
    <n v="0"/>
    <n v="0"/>
    <n v="0"/>
    <n v="0"/>
    <n v="0"/>
    <s v="Unilateral"/>
    <s v="Braço"/>
    <n v="40.4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3333333333334156E-3"/>
    <n v="0.44444444444444464"/>
    <s v="-"/>
    <n v="7.57"/>
    <n v="0.26"/>
    <m/>
    <m/>
    <m/>
    <m/>
    <s v="ATENDE"/>
    <s v="ATENDE"/>
    <s v="ATENDE"/>
    <s v="ATENDE"/>
    <s v="C5"/>
    <s v="P6"/>
    <n v="0.88666666666666671"/>
    <n v="5.66"/>
    <n v="1.03"/>
    <n v="3"/>
    <n v="0.6"/>
    <s v="ATENDE"/>
    <s v="ATENDE"/>
    <s v="ATENDE"/>
    <s v="P6"/>
    <n v="0.18333333333333335"/>
    <n v="3.55"/>
    <n v="0.96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50"/>
    <n v="85"/>
    <n v="0.30000000000000004"/>
    <m/>
    <m/>
    <s v="Sim"/>
    <m/>
  </r>
  <r>
    <n v="11"/>
    <s v="PVP"/>
    <s v="Rua Hildebrando Pinheiro Veloso, 1170"/>
    <n v="-30.013687000000001"/>
    <n v="-50.173386999999998"/>
    <s v="C5"/>
    <x v="0"/>
    <s v="P6"/>
    <s v="LED"/>
    <n v="50"/>
    <n v="0"/>
    <n v="0"/>
    <n v="100"/>
    <n v="2"/>
    <n v="3.5"/>
    <n v="7.5"/>
    <m/>
    <m/>
    <n v="0"/>
    <n v="3.5"/>
    <n v="0"/>
    <n v="0"/>
    <n v="0"/>
    <n v="0"/>
    <n v="0"/>
    <s v="Unilateral"/>
    <s v="Braço"/>
    <n v="40.4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000000000000012"/>
    <n v="0.66666666666666674"/>
    <s v="-"/>
    <n v="8.5500000000000007"/>
    <n v="0.3"/>
    <m/>
    <m/>
    <m/>
    <m/>
    <s v="ATENDE"/>
    <s v="ATENDE"/>
    <s v="ATENDE"/>
    <s v="ATENDE"/>
    <s v="C5"/>
    <s v="P6"/>
    <n v="1.1666666666666665"/>
    <n v="6.5"/>
    <n v="1.03"/>
    <n v="3"/>
    <n v="0.6"/>
    <s v="ATENDE"/>
    <s v="ATENDE"/>
    <s v="ATENDE"/>
    <s v="P6"/>
    <n v="8.0000000000000071E-2"/>
    <n v="3.24"/>
    <n v="1.1399999999999999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11"/>
    <s v="PVP"/>
    <s v="Rua Hildebrando Pinheiro Veloso, 1170"/>
    <n v="-30.013687000000001"/>
    <n v="-50.173386999999998"/>
    <s v="C5"/>
    <x v="0"/>
    <s v="P6"/>
    <s v="LED"/>
    <n v="50"/>
    <n v="0"/>
    <n v="0"/>
    <n v="100"/>
    <n v="2"/>
    <n v="3.5"/>
    <n v="7.5"/>
    <m/>
    <m/>
    <n v="0"/>
    <n v="3.5"/>
    <n v="0"/>
    <n v="0"/>
    <n v="0"/>
    <n v="0"/>
    <n v="0"/>
    <s v="Unilateral"/>
    <s v="Braço"/>
    <n v="40.4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400000000000001"/>
    <n v="-5.5555555555555469E-2"/>
    <s v="-"/>
    <n v="9.48"/>
    <n v="0.17"/>
    <m/>
    <m/>
    <m/>
    <m/>
    <s v="ATENDE"/>
    <s v="ATENDE"/>
    <s v="ATENDIMENTO LIMIAR"/>
    <s v="ATENDE"/>
    <s v="C5"/>
    <s v="P6"/>
    <n v="1.0500000000000003"/>
    <n v="6.15"/>
    <n v="0.7"/>
    <n v="3"/>
    <n v="0.6"/>
    <s v="ATENDE"/>
    <s v="ATENDE"/>
    <s v="ATENDE"/>
    <s v="P6"/>
    <n v="0.19333333333333336"/>
    <n v="3.58"/>
    <n v="1.3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n v="5"/>
    <s v="Curto II"/>
    <m/>
    <s v=""/>
    <s v=""/>
    <m/>
    <m/>
    <m/>
    <m/>
    <m/>
    <m/>
    <n v="40"/>
    <n v="50"/>
    <n v="90"/>
    <n v="0.19999999999999996"/>
    <m/>
    <m/>
    <s v="Sim"/>
    <m/>
  </r>
  <r>
    <n v="13"/>
    <s v="PVP"/>
    <s v="Rua Sete de Setembro, 2721"/>
    <n v="-30.005317999999999"/>
    <n v="-50.13946800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7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8000000000000043E-2"/>
    <n v="0.44444444444444464"/>
    <s v="-"/>
    <n v="7.86"/>
    <n v="0.26"/>
    <m/>
    <m/>
    <m/>
    <m/>
    <s v="ATENDE"/>
    <s v="ATENDE"/>
    <s v="ATENDE"/>
    <s v="ATENDE"/>
    <s v="C5"/>
    <s v="P6"/>
    <n v="1.0866666666666664"/>
    <n v="6.26"/>
    <n v="1.31"/>
    <n v="3"/>
    <n v="0.6"/>
    <s v="ATENDE"/>
    <s v="ATENDE"/>
    <s v="ATENDE"/>
    <s v="P6"/>
    <n v="0.51333333333333342"/>
    <n v="4.54"/>
    <n v="1.4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3"/>
    <s v="PVP"/>
    <s v="Rua Sete de Setembro, 2721"/>
    <n v="-30.005317999999999"/>
    <n v="-50.13946800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7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666666666666676"/>
    <n v="0.66666666666666674"/>
    <s v="-"/>
    <n v="8.9"/>
    <n v="0.3"/>
    <m/>
    <m/>
    <m/>
    <m/>
    <s v="ATENDE"/>
    <s v="ATENDE"/>
    <s v="ATENDE"/>
    <s v="ATENDE"/>
    <s v="C5"/>
    <s v="P6"/>
    <n v="1.4133333333333336"/>
    <n v="7.24"/>
    <n v="1.41"/>
    <n v="3"/>
    <n v="0.6"/>
    <s v="ATENDE"/>
    <s v="ATENDE"/>
    <s v="ATENDE"/>
    <s v="P6"/>
    <n v="0.58000000000000007"/>
    <n v="4.74"/>
    <n v="2.0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3"/>
    <s v="PVP"/>
    <s v="Rua Sete de Setembro, 2721"/>
    <n v="-30.005317999999999"/>
    <n v="-50.13946800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7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733333333333326"/>
    <n v="5.555555555555558E-2"/>
    <s v="-"/>
    <n v="10.029999999999999"/>
    <n v="0.19"/>
    <m/>
    <m/>
    <m/>
    <m/>
    <s v="ATENDE"/>
    <s v="ATENDE"/>
    <s v="ATENDE"/>
    <s v="ATENDE"/>
    <s v="C5"/>
    <s v="P6"/>
    <n v="1.5466666666666664"/>
    <n v="7.64"/>
    <n v="1.35"/>
    <n v="3"/>
    <n v="0.6"/>
    <s v="ATENDE"/>
    <s v="ATENDE"/>
    <s v="ATENDE"/>
    <s v="P6"/>
    <n v="0.33666666666666667"/>
    <n v="4.01"/>
    <n v="1.0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4"/>
    <s v="PVP"/>
    <s v="Rua Octavio Rodolfo dos Santos, 2080"/>
    <n v="-30.01745"/>
    <n v="-50.175666999999997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1.5"/>
    <n v="7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266666666666653"/>
    <n v="0.50000000000000022"/>
    <s v="-"/>
    <n v="8.8699999999999992"/>
    <n v="0.27"/>
    <m/>
    <m/>
    <m/>
    <m/>
    <s v="ATENDE"/>
    <s v="ATENDE"/>
    <s v="ATENDE"/>
    <s v="ATENDE"/>
    <s v="C5"/>
    <s v="P6"/>
    <n v="1.4300000000000002"/>
    <n v="7.29"/>
    <n v="1.8"/>
    <n v="3"/>
    <n v="0.6"/>
    <s v="ATENDE"/>
    <s v="ATENDE"/>
    <s v="ATENDE"/>
    <s v="P6"/>
    <n v="0.8"/>
    <n v="5.4"/>
    <n v="1.97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14"/>
    <s v="PVP"/>
    <s v="Rua Octavio Rodolfo dos Santos, 2080"/>
    <n v="-30.01745"/>
    <n v="-50.175666999999997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1.5"/>
    <n v="7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53333333333333"/>
    <n v="0.50000000000000022"/>
    <s v="-"/>
    <n v="8.44"/>
    <n v="0.27"/>
    <m/>
    <m/>
    <m/>
    <m/>
    <s v="ATENDE"/>
    <s v="ATENDE"/>
    <s v="ATENDE"/>
    <s v="ATENDE"/>
    <s v="C5"/>
    <s v="P6"/>
    <n v="1.2966666666666664"/>
    <n v="6.89"/>
    <n v="1.18"/>
    <n v="3"/>
    <n v="0.6"/>
    <s v="ATENDE"/>
    <s v="ATENDE"/>
    <s v="ATENDE"/>
    <s v="P6"/>
    <n v="0.54"/>
    <n v="4.62"/>
    <n v="1.81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4"/>
    <s v="PVP"/>
    <s v="Rua Octavio Rodolfo dos Santos, 2080"/>
    <n v="-30.01745"/>
    <n v="-50.175666999999997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1.5"/>
    <n v="7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9866666666666659"/>
    <n v="-5.5555555555555469E-2"/>
    <s v="-"/>
    <n v="11.24"/>
    <n v="0.17"/>
    <m/>
    <m/>
    <m/>
    <m/>
    <s v="ATENDE"/>
    <s v="ATENDE"/>
    <s v="ATENDIMENTO LIMIAR"/>
    <s v="ATENDE"/>
    <s v="C5"/>
    <s v="P6"/>
    <n v="1.6933333333333334"/>
    <n v="8.08"/>
    <n v="1.1100000000000001"/>
    <n v="3"/>
    <n v="0.6"/>
    <s v="ATENDE"/>
    <s v="ATENDE"/>
    <s v="ATENDE"/>
    <s v="P6"/>
    <n v="0.7566666666666666"/>
    <n v="5.27"/>
    <n v="1.69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n v="5"/>
    <s v="Curto II"/>
    <m/>
    <s v=""/>
    <s v=""/>
    <m/>
    <m/>
    <m/>
    <m/>
    <m/>
    <m/>
    <n v="50"/>
    <n v="150"/>
    <n v="200"/>
    <n v="0.66666666666666674"/>
    <m/>
    <m/>
    <s v="Sim"/>
    <m/>
  </r>
  <r>
    <n v="17"/>
    <s v="PV"/>
    <s v="Avenida Fernandes Bastos, 3933"/>
    <n v="-29.998543000000002"/>
    <n v="-50.179307999999999"/>
    <s v="C1"/>
    <x v="0"/>
    <s v="P5"/>
    <s v="Vapor de sódio"/>
    <n v="100"/>
    <n v="17"/>
    <n v="0"/>
    <n v="200"/>
    <n v="2"/>
    <n v="4"/>
    <n v="5"/>
    <m/>
    <m/>
    <n v="0"/>
    <n v="0"/>
    <n v="0"/>
    <n v="0"/>
    <n v="0"/>
    <n v="0"/>
    <n v="0"/>
    <s v="Unilateral"/>
    <s v="Braço"/>
    <n v="42.4"/>
    <n v="7"/>
    <n v="1"/>
    <n v="5"/>
    <n v="1.3"/>
    <n v="-3.7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7.0333333333333359E-2"/>
    <n v="-5.2631578947368474E-2"/>
    <s v="-"/>
    <n v="32.11"/>
    <n v="0.36"/>
    <m/>
    <m/>
    <m/>
    <m/>
    <s v="ATENDE"/>
    <s v="ATENDE"/>
    <s v="ATENDIMENTO LIMIAR"/>
    <s v="ATENDE"/>
    <s v="C1"/>
    <s v="P5"/>
    <n v="7.0019999999999989"/>
    <n v="40.01"/>
    <n v="9.2200000000000006"/>
    <n v="5"/>
    <n v="1"/>
    <s v="ATENDE"/>
    <s v="ATENDE"/>
    <s v="ATENDE"/>
    <s v="-"/>
    <e v="#VALUE!"/>
    <m/>
    <m/>
    <s v="-"/>
    <s v="-"/>
    <s v="-"/>
    <s v="-"/>
    <s v="-"/>
    <x v="0"/>
    <s v=" SL VT 9.3 200W"/>
    <s v="LUM LED SL VT 9.3 200W"/>
    <m/>
    <e v="#N/A"/>
    <n v="1"/>
    <n v="200"/>
    <n v="0"/>
    <n v="32740.2"/>
    <n v="0"/>
    <n v="0"/>
    <n v="10"/>
    <s v="Curto II"/>
    <m/>
    <s v=""/>
    <s v=""/>
    <m/>
    <m/>
    <m/>
    <m/>
    <m/>
    <m/>
    <n v="200"/>
    <n v="100"/>
    <n v="300"/>
    <n v="-1"/>
    <m/>
    <m/>
    <s v="Sim"/>
    <m/>
  </r>
  <r>
    <n v="17"/>
    <s v="PV"/>
    <s v="Avenida Fernandes Bastos, 3933"/>
    <n v="-29.998543000000002"/>
    <n v="-50.179307999999999"/>
    <s v="C1"/>
    <x v="0"/>
    <s v="P5"/>
    <s v="Vapor de sódio"/>
    <n v="100"/>
    <n v="17"/>
    <n v="0"/>
    <n v="200"/>
    <n v="2"/>
    <n v="4"/>
    <n v="5"/>
    <m/>
    <m/>
    <n v="0"/>
    <n v="0"/>
    <n v="0"/>
    <n v="0"/>
    <n v="0"/>
    <n v="0"/>
    <n v="0"/>
    <s v="Unilateral"/>
    <s v="Braço"/>
    <n v="42.4"/>
    <n v="7"/>
    <n v="1"/>
    <n v="5"/>
    <n v="1.3"/>
    <n v="-3.7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5.166666666666675E-2"/>
    <n v="0.34210526315789469"/>
    <s v="-"/>
    <n v="31.55"/>
    <n v="0.51"/>
    <m/>
    <m/>
    <m/>
    <m/>
    <s v="ATENDE"/>
    <s v="ATENDE"/>
    <s v="ATENDE"/>
    <s v="ATENDE"/>
    <s v="C1"/>
    <s v="P5"/>
    <n v="8.4439999999999991"/>
    <n v="47.22"/>
    <n v="33.51"/>
    <n v="5"/>
    <n v="1"/>
    <s v="ATENDE"/>
    <s v="ATENDE"/>
    <s v="ATENDE"/>
    <s v="-"/>
    <e v="#VALUE!"/>
    <m/>
    <m/>
    <s v="-"/>
    <s v="-"/>
    <s v="-"/>
    <s v="-"/>
    <s v="-"/>
    <x v="1"/>
    <s v="SX-INLPP090HF"/>
    <s v="SXINLPP090K40L12CZF7PHF"/>
    <m/>
    <e v="#N/A"/>
    <n v="1"/>
    <n v="90"/>
    <n v="0"/>
    <n v="15476"/>
    <n v="0"/>
    <n v="0"/>
    <n v="10"/>
    <s v="Curto II"/>
    <m/>
    <s v=""/>
    <s v=""/>
    <s v="APEA"/>
    <n v="1"/>
    <m/>
    <s v="Redução do distanciamento entre postes de 42.40 para 21.20"/>
    <m/>
    <m/>
    <n v="90"/>
    <n v="100"/>
    <n v="190"/>
    <n v="9.9999999999999978E-2"/>
    <m/>
    <m/>
    <s v="Sim"/>
    <m/>
  </r>
  <r>
    <n v="17"/>
    <s v="PV"/>
    <s v="Avenida Fernandes Bastos, 3933"/>
    <n v="-29.998543000000002"/>
    <n v="-50.179307999999999"/>
    <s v="C1"/>
    <x v="0"/>
    <s v="P5"/>
    <s v="Vapor de sódio"/>
    <n v="100"/>
    <n v="17"/>
    <n v="0"/>
    <n v="200"/>
    <n v="2"/>
    <n v="4"/>
    <n v="5"/>
    <m/>
    <m/>
    <n v="0"/>
    <n v="0"/>
    <n v="0"/>
    <n v="0"/>
    <n v="0"/>
    <n v="0"/>
    <n v="0"/>
    <s v="Unilateral"/>
    <s v="Braço"/>
    <n v="42.4"/>
    <n v="7"/>
    <n v="1"/>
    <n v="5"/>
    <n v="1.3"/>
    <n v="-3.7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16366666666666663"/>
    <n v="-2.6315789473684181E-2"/>
    <s v="-"/>
    <n v="34.909999999999997"/>
    <n v="0.37"/>
    <m/>
    <m/>
    <m/>
    <m/>
    <s v="ATENDE"/>
    <s v="ATENDE"/>
    <s v="ATENDIMENTO LIMIAR"/>
    <s v="ATENDE"/>
    <s v="C1"/>
    <s v="P5"/>
    <n v="6.6639999999999997"/>
    <n v="38.32"/>
    <n v="9.5660000000000007"/>
    <n v="5"/>
    <n v="1"/>
    <s v="ATENDE"/>
    <s v="ATENDE"/>
    <s v="ATENDE"/>
    <s v="-"/>
    <e v="#VALUE!"/>
    <m/>
    <m/>
    <s v="-"/>
    <s v="-"/>
    <s v="-"/>
    <s v="-"/>
    <s v="-"/>
    <x v="2"/>
    <s v="SIGMAGPTLRRSMNDL120W_82IBBR_x000a_"/>
    <s v="SIGMAGPTLRRSMNDL120W_82IBBR_x000a_S1-10C1MUN6.5"/>
    <m/>
    <e v="#N/A"/>
    <n v="1"/>
    <n v="120"/>
    <e v="#N/A"/>
    <n v="19640"/>
    <n v="0"/>
    <n v="0"/>
    <n v="10"/>
    <s v="Curto II"/>
    <m/>
    <s v=""/>
    <s v=""/>
    <s v="APEA"/>
    <n v="1"/>
    <m/>
    <s v="Redução do distanciamento entre postes de 42.40 para 21.20"/>
    <m/>
    <m/>
    <n v="120"/>
    <n v="100"/>
    <n v="220"/>
    <n v="-0.19999999999999996"/>
    <m/>
    <m/>
    <s v="Sim"/>
    <m/>
  </r>
  <r>
    <n v="15"/>
    <s v="PVP"/>
    <s v="Rua Santa Maria, 172"/>
    <n v="-30.059480000000001"/>
    <n v="-50.157082000000003"/>
    <s v="C5"/>
    <x v="0"/>
    <s v="P6"/>
    <s v="Vapor de sódio"/>
    <n v="100"/>
    <n v="17"/>
    <n v="0"/>
    <n v="200"/>
    <n v="1"/>
    <n v="1.5"/>
    <n v="3.5"/>
    <m/>
    <m/>
    <n v="0"/>
    <n v="1.5"/>
    <n v="0"/>
    <n v="0"/>
    <n v="0"/>
    <n v="0"/>
    <n v="0"/>
    <s v="Unilateral"/>
    <s v="Braço"/>
    <n v="2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133333333333349"/>
    <n v="1.8888888888888893"/>
    <s v="-"/>
    <n v="10.06"/>
    <n v="0.52"/>
    <m/>
    <m/>
    <m/>
    <m/>
    <s v="ATENDE"/>
    <s v="ATENDE"/>
    <s v="ATENDE"/>
    <s v="ATENDE"/>
    <s v="C5"/>
    <s v="P6"/>
    <n v="1.8566666666666669"/>
    <n v="8.57"/>
    <n v="4.55"/>
    <n v="3"/>
    <n v="0.6"/>
    <s v="ATENDE"/>
    <s v="ATENDE"/>
    <s v="ATENDE"/>
    <s v="P6"/>
    <n v="2.1566666666666667"/>
    <n v="9.4700000000000006"/>
    <n v="5.51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5"/>
    <s v="PVP"/>
    <s v="Rua Santa Maria, 172"/>
    <n v="-30.059480000000001"/>
    <n v="-50.157082000000003"/>
    <s v="C5"/>
    <x v="0"/>
    <s v="P6"/>
    <s v="Vapor de sódio"/>
    <n v="100"/>
    <n v="17"/>
    <n v="0"/>
    <n v="200"/>
    <n v="1"/>
    <n v="1.5"/>
    <n v="3.5"/>
    <m/>
    <m/>
    <n v="0"/>
    <n v="1.5"/>
    <n v="0"/>
    <n v="0"/>
    <n v="0"/>
    <n v="0"/>
    <n v="0"/>
    <s v="Unilateral"/>
    <s v="Braço"/>
    <n v="2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599999999999988"/>
    <n v="2.666666666666667"/>
    <s v="-"/>
    <n v="8.3699999999999992"/>
    <n v="0.66"/>
    <m/>
    <m/>
    <m/>
    <m/>
    <s v="ATENDE"/>
    <s v="ATENDE"/>
    <s v="ATENDE"/>
    <s v="ATENDE"/>
    <s v="C5"/>
    <s v="P6"/>
    <n v="1.37"/>
    <n v="7.11"/>
    <n v="4.59"/>
    <n v="3"/>
    <n v="0.6"/>
    <s v="ATENDE"/>
    <s v="ATENDE"/>
    <s v="ATENDE"/>
    <s v="P6"/>
    <n v="1.6566666666666667"/>
    <n v="7.97"/>
    <n v="6.22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15"/>
    <s v="PVP"/>
    <s v="Rua Santa Maria, 172"/>
    <n v="-30.059480000000001"/>
    <n v="-50.157082000000003"/>
    <s v="C5"/>
    <x v="0"/>
    <s v="P6"/>
    <s v="Vapor de sódio"/>
    <n v="100"/>
    <n v="17"/>
    <n v="0"/>
    <n v="200"/>
    <n v="1"/>
    <n v="1.5"/>
    <n v="3.5"/>
    <m/>
    <m/>
    <n v="0"/>
    <n v="1.5"/>
    <n v="0"/>
    <n v="0"/>
    <n v="0"/>
    <n v="0"/>
    <n v="0"/>
    <s v="Unilateral"/>
    <s v="Braço"/>
    <n v="2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9600000000000017"/>
    <n v="2.666666666666667"/>
    <s v="-"/>
    <n v="12.72"/>
    <n v="0.66"/>
    <m/>
    <m/>
    <m/>
    <m/>
    <s v="ATENDE"/>
    <s v="ATENDE"/>
    <s v="ATENDE"/>
    <s v="ATENDE"/>
    <s v="C5"/>
    <s v="P6"/>
    <n v="2.4033333333333338"/>
    <n v="10.210000000000001"/>
    <n v="6.94"/>
    <n v="3"/>
    <n v="0.6"/>
    <s v="ATENDE"/>
    <s v="ATENDE"/>
    <s v="ATENDE"/>
    <s v="P6"/>
    <n v="2.8666666666666667"/>
    <n v="11.6"/>
    <n v="9.1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6"/>
    <s v="V"/>
    <s v="Estrada Estancia Velha, 1"/>
    <n v="-29.995180000000001"/>
    <n v="-50.233502999999999"/>
    <s v="C5"/>
    <x v="0"/>
    <n v="0"/>
    <s v="Vapor de sódio"/>
    <n v="100"/>
    <n v="17"/>
    <n v="0"/>
    <n v="200"/>
    <n v="2"/>
    <n v="0"/>
    <n v="6.3"/>
    <m/>
    <m/>
    <n v="0"/>
    <n v="0"/>
    <n v="0"/>
    <n v="0"/>
    <n v="0"/>
    <n v="0"/>
    <n v="0"/>
    <s v="Unilateral"/>
    <s v="Braço"/>
    <n v="19.8"/>
    <n v="7"/>
    <n v="1"/>
    <n v="4.2"/>
    <n v="1.3"/>
    <n v="-2.9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066666666666654"/>
    <n v="1.9444444444444446"/>
    <s v="-"/>
    <n v="8.93"/>
    <n v="0.5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6"/>
    <s v="V"/>
    <s v="Estrada Estancia Velha, 1"/>
    <n v="-29.995180000000001"/>
    <n v="-50.233502999999999"/>
    <s v="C5"/>
    <x v="0"/>
    <n v="0"/>
    <s v="Vapor de sódio"/>
    <n v="100"/>
    <n v="17"/>
    <n v="0"/>
    <n v="200"/>
    <n v="2"/>
    <n v="0"/>
    <n v="6.3"/>
    <m/>
    <m/>
    <n v="0"/>
    <n v="0"/>
    <n v="0"/>
    <n v="0"/>
    <n v="0"/>
    <n v="0"/>
    <n v="0"/>
    <s v="Unilateral"/>
    <s v="Braço"/>
    <n v="19.8"/>
    <n v="7"/>
    <n v="1"/>
    <n v="4.2"/>
    <n v="1.3"/>
    <n v="-2.9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813333333333333"/>
    <n v="0.88888888888888906"/>
    <s v="-"/>
    <n v="10.36"/>
    <n v="0.34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6"/>
    <s v="V"/>
    <s v="Estrada Estancia Velha, 1"/>
    <n v="-29.995180000000001"/>
    <n v="-50.233502999999999"/>
    <s v="C5"/>
    <x v="0"/>
    <n v="0"/>
    <s v="Vapor de sódio"/>
    <n v="100"/>
    <n v="17"/>
    <n v="0"/>
    <n v="200"/>
    <n v="2"/>
    <n v="0"/>
    <n v="6.3"/>
    <m/>
    <m/>
    <n v="0"/>
    <n v="0"/>
    <n v="0"/>
    <n v="0"/>
    <n v="0"/>
    <n v="0"/>
    <n v="0"/>
    <s v="Unilateral"/>
    <s v="Braço"/>
    <n v="19.8"/>
    <n v="7"/>
    <n v="1"/>
    <n v="4.2"/>
    <n v="1.3"/>
    <n v="-2.9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600000000000004"/>
    <n v="1.3888888888888888"/>
    <s v="-"/>
    <n v="9.7200000000000006"/>
    <n v="0.4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8"/>
    <s v="PVP"/>
    <s v="Rua Wadir Azevedo Fonseca, 690"/>
    <n v="-30.008151999999999"/>
    <n v="-50.172303999999997"/>
    <s v="C5"/>
    <x v="0"/>
    <s v="P6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Suporte"/>
    <n v="35.5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599999999999993"/>
    <n v="1"/>
    <s v="-"/>
    <n v="8.82"/>
    <n v="0.36"/>
    <m/>
    <m/>
    <m/>
    <m/>
    <s v="ATENDE"/>
    <s v="ATENDE"/>
    <s v="ATENDE"/>
    <s v="ATENDE"/>
    <s v="C5"/>
    <s v="P6"/>
    <n v="1.3366666666666664"/>
    <n v="7.01"/>
    <n v="2.16"/>
    <n v="3"/>
    <n v="0.6"/>
    <s v="ATENDE"/>
    <s v="ATENDE"/>
    <s v="ATENDE"/>
    <s v="P6"/>
    <n v="0.79666666666666663"/>
    <n v="5.39"/>
    <n v="2.319999999999999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8"/>
    <s v="PVP"/>
    <s v="Rua Wadir Azevedo Fonseca, 690"/>
    <n v="-30.008151999999999"/>
    <n v="-50.172303999999997"/>
    <s v="C5"/>
    <x v="0"/>
    <s v="P6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Suporte"/>
    <n v="35.5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59999999999999"/>
    <n v="0.94444444444444442"/>
    <s v="-"/>
    <n v="8.52"/>
    <n v="0.35"/>
    <m/>
    <m/>
    <m/>
    <m/>
    <s v="ATENDE"/>
    <s v="ATENDE"/>
    <s v="ATENDE"/>
    <s v="ATENDE"/>
    <s v="C5"/>
    <s v="P6"/>
    <n v="1.1400000000000001"/>
    <n v="6.42"/>
    <n v="1.23"/>
    <n v="3"/>
    <n v="0.6"/>
    <s v="ATENDE"/>
    <s v="ATENDE"/>
    <s v="ATENDE"/>
    <s v="P6"/>
    <n v="0.5199999999999998"/>
    <n v="4.5599999999999996"/>
    <n v="2.1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18"/>
    <s v="PVP"/>
    <s v="Rua Wadir Azevedo Fonseca, 690"/>
    <n v="-30.008151999999999"/>
    <n v="-50.172303999999997"/>
    <s v="C5"/>
    <x v="0"/>
    <s v="P6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Suporte"/>
    <n v="35.5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86666666666667"/>
    <n v="1.4444444444444446"/>
    <s v="-"/>
    <n v="8.39"/>
    <n v="0.44"/>
    <m/>
    <m/>
    <m/>
    <m/>
    <s v="ATENDE"/>
    <s v="ATENDE"/>
    <s v="ATENDE"/>
    <s v="ATENDE"/>
    <s v="C5"/>
    <s v="P6"/>
    <n v="1.1566666666666667"/>
    <n v="6.47"/>
    <n v="2.4900000000000002"/>
    <n v="3"/>
    <n v="0.6"/>
    <s v="ATENDE"/>
    <s v="ATENDE"/>
    <s v="ATENDE"/>
    <s v="P6"/>
    <n v="0.39666666666666672"/>
    <n v="4.1900000000000004"/>
    <n v="2.7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19"/>
    <s v="PVP"/>
    <s v="Rua Joao Arthur Kirsh, 330"/>
    <n v="-30.015253000000001"/>
    <n v="-50.174124999999997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6.5"/>
    <n v="6.7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799999999999993"/>
    <n v="0.66666666666666674"/>
    <s v="-"/>
    <n v="8.76"/>
    <n v="0.3"/>
    <m/>
    <m/>
    <m/>
    <m/>
    <s v="ATENDE"/>
    <s v="ATENDE"/>
    <s v="ATENDE"/>
    <s v="ATENDE"/>
    <s v="C5"/>
    <s v="P6"/>
    <n v="1.4700000000000002"/>
    <n v="7.41"/>
    <n v="1.74"/>
    <n v="3"/>
    <n v="0.6"/>
    <s v="ATENDE"/>
    <s v="ATENDE"/>
    <s v="ATENDE"/>
    <s v="-"/>
    <e v="#VALUE!"/>
    <n v="4.4000000000000004"/>
    <n v="1.52"/>
    <s v="-"/>
    <s v="-"/>
    <s v="-"/>
    <s v="-"/>
    <s v="-"/>
    <x v="0"/>
    <s v=" SL VT 9.1 35W"/>
    <s v="LUM LED SL VT 9.1 35W"/>
    <m/>
    <n v="0"/>
    <n v="1"/>
    <n v="35"/>
    <n v="0"/>
    <n v="5955.62"/>
    <n v="0"/>
    <n v="0"/>
    <m/>
    <s v="Curto I"/>
    <m/>
    <s v=""/>
    <s v=""/>
    <m/>
    <m/>
    <m/>
    <m/>
    <m/>
    <m/>
    <n v="35"/>
    <n v="70"/>
    <n v="105"/>
    <n v="0.5"/>
    <m/>
    <m/>
    <s v="Sim"/>
    <m/>
  </r>
  <r>
    <n v="19"/>
    <s v="PVP"/>
    <s v="Rua Joao Arthur Kirsh, 330"/>
    <n v="-30.015253000000001"/>
    <n v="-50.174124999999997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6.5"/>
    <n v="6.7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399999999999989"/>
    <n v="0.44444444444444464"/>
    <s v="-"/>
    <n v="8.43"/>
    <n v="0.26"/>
    <m/>
    <m/>
    <m/>
    <m/>
    <s v="ATENDE"/>
    <s v="ATENDE"/>
    <s v="ATENDE"/>
    <s v="ATENDE"/>
    <s v="C5"/>
    <s v="P6"/>
    <n v="1.29"/>
    <n v="6.87"/>
    <n v="0.78"/>
    <n v="3"/>
    <n v="0.6"/>
    <s v="ATENDE"/>
    <s v="ATENDE"/>
    <s v="ATENDE"/>
    <s v="-"/>
    <e v="#VALUE!"/>
    <n v="3.41"/>
    <n v="1.1399999999999999"/>
    <s v="-"/>
    <s v="-"/>
    <s v="-"/>
    <s v="-"/>
    <s v="-"/>
    <x v="1"/>
    <s v="SX-INEVO030HF"/>
    <s v="SXINEVO030K40L12CZF7PHF"/>
    <m/>
    <n v="0"/>
    <n v="1"/>
    <n v="31"/>
    <n v="0"/>
    <n v="5270"/>
    <n v="0"/>
    <n v="0"/>
    <m/>
    <s v="Curto I"/>
    <m/>
    <s v=""/>
    <s v=""/>
    <m/>
    <m/>
    <m/>
    <m/>
    <m/>
    <m/>
    <n v="31"/>
    <n v="70"/>
    <n v="101"/>
    <n v="0.55714285714285716"/>
    <m/>
    <m/>
    <s v="Sim"/>
    <m/>
  </r>
  <r>
    <n v="19"/>
    <s v="PVP"/>
    <s v="Rua Joao Arthur Kirsh, 330"/>
    <n v="-30.015253000000001"/>
    <n v="-50.174124999999997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6.5"/>
    <n v="6.7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133333333333328"/>
    <n v="0.94444444444444442"/>
    <s v="-"/>
    <n v="8.26"/>
    <n v="0.35"/>
    <m/>
    <m/>
    <m/>
    <m/>
    <s v="ATENDE"/>
    <s v="ATENDE"/>
    <s v="ATENDE"/>
    <s v="ATENDE"/>
    <s v="C5"/>
    <s v="P6"/>
    <n v="1.2933333333333334"/>
    <n v="6.88"/>
    <n v="1.95"/>
    <n v="3"/>
    <n v="0.6"/>
    <s v="ATENDE"/>
    <s v="ATENDE"/>
    <s v="ATENDE"/>
    <s v="-"/>
    <e v="#VALUE!"/>
    <n v="3.29"/>
    <n v="1.76"/>
    <s v="-"/>
    <s v="-"/>
    <s v="-"/>
    <s v="-"/>
    <s v="-"/>
    <x v="2"/>
    <s v="SIGSAGPTLRRSSNDL_30W_38IBBRS_x000a_"/>
    <s v="SIGSAGPTLRRSSNDL_30W_38IBBRS_x000a_1-10C1MUN6.5"/>
    <m/>
    <n v="0"/>
    <n v="1"/>
    <n v="30"/>
    <n v="0"/>
    <n v="5266"/>
    <n v="0"/>
    <n v="0"/>
    <m/>
    <s v="Curto I"/>
    <m/>
    <s v=""/>
    <s v=""/>
    <m/>
    <m/>
    <m/>
    <m/>
    <m/>
    <m/>
    <n v="30"/>
    <n v="70"/>
    <n v="100"/>
    <n v="0.5714285714285714"/>
    <m/>
    <m/>
    <s v="Sim"/>
    <m/>
  </r>
  <r>
    <n v="22"/>
    <s v="PVP"/>
    <s v="Rua Vinte e Quatro de Setembro, 833"/>
    <n v="-29.984576000000001"/>
    <n v="-50.135525000000001"/>
    <s v="C4"/>
    <x v="0"/>
    <s v="P6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43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100000000000004"/>
    <n v="0.33333333333333326"/>
    <s v="-"/>
    <n v="11.71"/>
    <n v="0.24"/>
    <m/>
    <m/>
    <m/>
    <m/>
    <s v="ATENDE"/>
    <s v="ATENDE"/>
    <s v="ATENDE"/>
    <s v="ATENDE"/>
    <s v="C4"/>
    <s v="P6"/>
    <n v="1.2066666666666666"/>
    <n v="6.62"/>
    <n v="1.83"/>
    <n v="3"/>
    <n v="0.6"/>
    <s v="ATENDE"/>
    <s v="ATENDE"/>
    <s v="ATENDE"/>
    <s v="P6"/>
    <n v="0.34666666666666668"/>
    <n v="4.04"/>
    <n v="0.82"/>
    <n v="3"/>
    <n v="0.6"/>
    <s v="ATENDE"/>
    <s v="ATENDE"/>
    <s v="ATENDE"/>
    <x v="0"/>
    <s v=" SL VT 9.1 65W"/>
    <s v="LUM LED SL VT 9.1 65W"/>
    <m/>
    <e v="#N/A"/>
    <n v="1"/>
    <n v="65"/>
    <e v="#N/A"/>
    <n v="10496"/>
    <n v="0"/>
    <n v="0"/>
    <m/>
    <s v="Médio II"/>
    <m/>
    <s v=""/>
    <s v=""/>
    <m/>
    <m/>
    <m/>
    <m/>
    <m/>
    <m/>
    <n v="65"/>
    <n v="50"/>
    <n v="115"/>
    <n v="-0.30000000000000004"/>
    <m/>
    <m/>
    <s v="Sim"/>
    <m/>
  </r>
  <r>
    <n v="22"/>
    <s v="PVP"/>
    <s v="Rua Vinte e Quatro de Setembro, 833"/>
    <n v="-29.984576000000001"/>
    <n v="-50.135525000000001"/>
    <s v="C4"/>
    <x v="0"/>
    <s v="P6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43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52100000000000013"/>
    <n v="0.44444444444444464"/>
    <s v="-"/>
    <n v="15.21"/>
    <n v="0.26"/>
    <m/>
    <m/>
    <m/>
    <m/>
    <s v="ATENDE"/>
    <s v="ATENDE"/>
    <s v="ATENDE"/>
    <s v="ATENDE"/>
    <s v="C4"/>
    <s v="P6"/>
    <n v="1.9266666666666663"/>
    <n v="8.7799999999999994"/>
    <n v="2.56"/>
    <n v="3"/>
    <n v="0.6"/>
    <s v="ATENDE"/>
    <s v="ATENDE"/>
    <s v="ATENDE"/>
    <s v="P6"/>
    <n v="0.48333333333333339"/>
    <n v="4.45"/>
    <n v="1.08"/>
    <n v="3"/>
    <n v="0.6"/>
    <s v="ATENDE"/>
    <s v="ATENDE"/>
    <s v="ATENDE"/>
    <x v="1"/>
    <s v="SX-INLPP070HF"/>
    <s v="SXINLPP070K40L12CZF7PHF"/>
    <m/>
    <e v="#N/A"/>
    <n v="1"/>
    <n v="70"/>
    <e v="#N/A"/>
    <n v="11970"/>
    <n v="0"/>
    <n v="0"/>
    <m/>
    <s v="Médio II"/>
    <m/>
    <s v=""/>
    <s v=""/>
    <m/>
    <m/>
    <m/>
    <m/>
    <m/>
    <m/>
    <n v="70"/>
    <n v="50"/>
    <n v="120"/>
    <n v="-0.39999999999999991"/>
    <m/>
    <m/>
    <s v="Sim"/>
    <m/>
  </r>
  <r>
    <n v="22"/>
    <s v="PVP"/>
    <s v="Rua Vinte e Quatro de Setembro, 833"/>
    <n v="-29.984576000000001"/>
    <n v="-50.135525000000001"/>
    <s v="C4"/>
    <x v="0"/>
    <s v="P6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43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000000000000012"/>
    <n v="-5.5555555555555469E-2"/>
    <s v="-"/>
    <n v="11.4"/>
    <n v="0.17"/>
    <m/>
    <m/>
    <m/>
    <m/>
    <s v="ATENDE"/>
    <s v="ATENDE"/>
    <s v="ATENDIMENTO LIMIAR"/>
    <s v="ATENDE"/>
    <s v="C4"/>
    <s v="P6"/>
    <n v="0.80333333333333345"/>
    <n v="5.41"/>
    <n v="0.6"/>
    <n v="3"/>
    <n v="0.6"/>
    <s v="ATENDE"/>
    <s v="ATENDE"/>
    <s v="ATENDE"/>
    <s v="P6"/>
    <n v="0.10666666666666669"/>
    <n v="3.32"/>
    <n v="1.18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n v="4"/>
    <s v="Médio II"/>
    <m/>
    <s v=""/>
    <s v=""/>
    <m/>
    <m/>
    <m/>
    <m/>
    <m/>
    <m/>
    <n v="60"/>
    <n v="50"/>
    <n v="110"/>
    <n v="-0.19999999999999996"/>
    <m/>
    <m/>
    <s v="Sim"/>
    <m/>
  </r>
  <r>
    <n v="23"/>
    <s v="PVP"/>
    <s v="Rua Vinte e Quatro de Setembro, 959"/>
    <n v="-29.991803000000001"/>
    <n v="-50.131960999999997"/>
    <s v="C4"/>
    <x v="0"/>
    <s v="P6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33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00000000000003"/>
    <n v="1.3333333333333335"/>
    <s v="-"/>
    <n v="11.59"/>
    <n v="0.42"/>
    <m/>
    <m/>
    <m/>
    <m/>
    <s v="ATENDE"/>
    <s v="ATENDE"/>
    <s v="ATENDE"/>
    <s v="ATENDE"/>
    <s v="C4"/>
    <s v="P6"/>
    <n v="1.1800000000000002"/>
    <n v="6.54"/>
    <n v="2.77"/>
    <n v="3"/>
    <n v="0.6"/>
    <s v="ATENDE"/>
    <s v="ATENDE"/>
    <s v="ATENDE"/>
    <s v="-"/>
    <e v="#VALUE!"/>
    <n v="4.45"/>
    <n v="2.3199999999999998"/>
    <s v="-"/>
    <s v="-"/>
    <s v="-"/>
    <s v="-"/>
    <s v="-"/>
    <x v="0"/>
    <s v=" SL VT 9.1 52W"/>
    <s v="LUM LED SL VT 9.1 52W"/>
    <m/>
    <n v="0"/>
    <n v="1"/>
    <n v="52"/>
    <n v="0"/>
    <n v="8960.18"/>
    <n v="0"/>
    <n v="0"/>
    <m/>
    <s v="Médio II"/>
    <m/>
    <s v=""/>
    <s v=""/>
    <m/>
    <m/>
    <m/>
    <m/>
    <m/>
    <m/>
    <n v="52"/>
    <n v="50"/>
    <n v="102"/>
    <n v="-4.0000000000000036E-2"/>
    <m/>
    <m/>
    <s v="Sim"/>
    <m/>
  </r>
  <r>
    <n v="23"/>
    <s v="PVP"/>
    <s v="Rua Vinte e Quatro de Setembro, 959"/>
    <n v="-29.991803000000001"/>
    <n v="-50.131960999999997"/>
    <s v="C4"/>
    <x v="0"/>
    <s v="P6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33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6999999999999988"/>
    <n v="1.9444444444444446"/>
    <s v="-"/>
    <n v="13.7"/>
    <n v="0.53"/>
    <m/>
    <m/>
    <m/>
    <m/>
    <s v="ATENDE"/>
    <s v="ATENDE"/>
    <s v="ATENDE"/>
    <s v="ATENDE"/>
    <s v="C4"/>
    <s v="P6"/>
    <n v="1.21"/>
    <n v="6.63"/>
    <n v="1.78"/>
    <n v="3"/>
    <n v="0.6"/>
    <s v="ATENDE"/>
    <s v="ATENDE"/>
    <s v="ATENDE"/>
    <s v="-"/>
    <e v="#VALUE!"/>
    <n v="4.41"/>
    <n v="1.63"/>
    <s v="-"/>
    <s v="-"/>
    <s v="-"/>
    <s v="-"/>
    <s v="-"/>
    <x v="1"/>
    <s v="SX-INEVO050HF"/>
    <s v="SXINEVO050K40L12CZF7PHF"/>
    <m/>
    <n v="0"/>
    <n v="1"/>
    <n v="50"/>
    <n v="0"/>
    <n v="8650"/>
    <n v="0"/>
    <n v="0"/>
    <m/>
    <s v="Médio II"/>
    <m/>
    <s v=""/>
    <s v=""/>
    <m/>
    <m/>
    <m/>
    <m/>
    <m/>
    <m/>
    <n v="50"/>
    <n v="50"/>
    <n v="100"/>
    <n v="0"/>
    <m/>
    <m/>
    <s v="Sim"/>
    <m/>
  </r>
  <r>
    <n v="23"/>
    <s v="PVP"/>
    <s v="Rua Vinte e Quatro de Setembro, 959"/>
    <n v="-29.991803000000001"/>
    <n v="-50.131960999999997"/>
    <s v="C4"/>
    <x v="0"/>
    <s v="P6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33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2"/>
    <n v="1.8888888888888893"/>
    <s v="-"/>
    <n v="10.199999999999999"/>
    <n v="0.52"/>
    <m/>
    <m/>
    <m/>
    <m/>
    <s v="ATENDE"/>
    <s v="ATENDE"/>
    <s v="ATENDE"/>
    <s v="ATENDE"/>
    <s v="C4"/>
    <s v="P6"/>
    <n v="0.56666666666666665"/>
    <n v="4.7"/>
    <n v="1.33"/>
    <n v="3"/>
    <n v="0.6"/>
    <s v="ATENDE"/>
    <s v="ATENDE"/>
    <s v="ATENDE"/>
    <s v="-"/>
    <e v="#VALUE!"/>
    <n v="3"/>
    <n v="1.4"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n v="5"/>
    <s v="Médio II"/>
    <m/>
    <s v=""/>
    <s v=""/>
    <m/>
    <m/>
    <m/>
    <m/>
    <m/>
    <m/>
    <n v="40"/>
    <n v="50"/>
    <n v="90"/>
    <n v="0.19999999999999996"/>
    <m/>
    <m/>
    <s v="Sim"/>
    <m/>
  </r>
  <r>
    <n v="20"/>
    <s v="PVP"/>
    <s v="Rua R, 451"/>
    <n v="-30.017976999999998"/>
    <n v="-50.175055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.15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6666666666665986E-3"/>
    <n v="1.2777777777777777"/>
    <s v="-"/>
    <n v="7.55"/>
    <n v="0.41"/>
    <m/>
    <m/>
    <m/>
    <m/>
    <s v="ATENDE"/>
    <s v="ATENDE"/>
    <s v="ATENDE"/>
    <s v="ATENDE"/>
    <s v="C5"/>
    <s v="P6"/>
    <n v="1.37"/>
    <n v="7.11"/>
    <n v="2.79"/>
    <n v="3"/>
    <n v="0.6"/>
    <s v="ATENDE"/>
    <s v="ATENDE"/>
    <s v="ATENDE"/>
    <s v="P6"/>
    <n v="0.32333333333333347"/>
    <n v="3.97"/>
    <n v="2.09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20"/>
    <s v="PVP"/>
    <s v="Rua R, 451"/>
    <n v="-30.017976999999998"/>
    <n v="-50.175055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.15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53333333333334"/>
    <n v="2.0555555555555558"/>
    <s v="-"/>
    <n v="9.34"/>
    <n v="0.55000000000000004"/>
    <m/>
    <m/>
    <m/>
    <m/>
    <s v="ATENDE"/>
    <s v="ATENDE"/>
    <s v="ATENDE"/>
    <s v="ATENDE"/>
    <s v="C5"/>
    <s v="P6"/>
    <n v="1.8433333333333333"/>
    <n v="8.5299999999999994"/>
    <n v="3.1"/>
    <n v="3"/>
    <n v="0.6"/>
    <s v="ATENDE"/>
    <s v="ATENDE"/>
    <s v="ATENDE"/>
    <s v="P6"/>
    <n v="0.24666666666666681"/>
    <n v="3.74"/>
    <n v="2.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20"/>
    <s v="PVP"/>
    <s v="Rua R, 451"/>
    <n v="-30.017976999999998"/>
    <n v="-50.175055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.15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1111111111111116"/>
    <s v="-"/>
    <n v="9.15"/>
    <n v="0.56000000000000005"/>
    <m/>
    <m/>
    <m/>
    <m/>
    <s v="ATENDE"/>
    <s v="ATENDE"/>
    <s v="ATENDE"/>
    <s v="ATENDE"/>
    <s v="C5"/>
    <s v="P6"/>
    <n v="1.83"/>
    <n v="8.49"/>
    <n v="4.3600000000000003"/>
    <n v="3"/>
    <n v="0.6"/>
    <s v="ATENDE"/>
    <s v="ATENDE"/>
    <s v="ATENDE"/>
    <s v="P6"/>
    <n v="0.20666666666666678"/>
    <n v="3.62"/>
    <n v="2.47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1"/>
    <s v="PVP"/>
    <s v="Rua Tuiuti, 1032"/>
    <n v="-30.006892000000001"/>
    <n v="-50.135013999999998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1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5866666666666656"/>
    <n v="2.7222222222222228"/>
    <s v="-"/>
    <n v="10.94"/>
    <n v="0.67"/>
    <m/>
    <m/>
    <m/>
    <m/>
    <s v="ATENDE"/>
    <s v="ATENDE"/>
    <s v="ATENDE"/>
    <s v="ATENDE"/>
    <s v="C5"/>
    <s v="P6"/>
    <n v="2.0099999999999998"/>
    <n v="9.0299999999999994"/>
    <n v="6.24"/>
    <n v="3"/>
    <n v="0.6"/>
    <s v="ATENDE"/>
    <s v="ATENDE"/>
    <s v="ATENDE"/>
    <s v="P6"/>
    <n v="1.3366666666666664"/>
    <n v="7.01"/>
    <n v="5.1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21"/>
    <s v="PVP"/>
    <s v="Rua Tuiuti, 1032"/>
    <n v="-30.006892000000001"/>
    <n v="-50.135013999999998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1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133333333333338"/>
    <n v="3.4444444444444446"/>
    <s v="-"/>
    <n v="9.16"/>
    <n v="0.8"/>
    <m/>
    <m/>
    <m/>
    <m/>
    <s v="ATENDE"/>
    <s v="ATENDE"/>
    <s v="ATENDE"/>
    <s v="ATENDE"/>
    <s v="C5"/>
    <s v="P6"/>
    <n v="1.4466666666666668"/>
    <n v="7.34"/>
    <n v="5.38"/>
    <n v="3"/>
    <n v="0.6"/>
    <s v="ATENDE"/>
    <s v="ATENDE"/>
    <s v="ATENDE"/>
    <s v="P6"/>
    <n v="0.82000000000000006"/>
    <n v="5.46"/>
    <n v="3.74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50"/>
    <n v="172.5"/>
    <n v="0.85"/>
    <m/>
    <m/>
    <s v="Sim"/>
    <m/>
  </r>
  <r>
    <n v="21"/>
    <s v="PVP"/>
    <s v="Rua Tuiuti, 1032"/>
    <n v="-30.006892000000001"/>
    <n v="-50.135013999999998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1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8"/>
    <n v="3.0555555555555554"/>
    <s v="-"/>
    <n v="13.5"/>
    <n v="0.73"/>
    <m/>
    <m/>
    <m/>
    <m/>
    <s v="ATENDE"/>
    <s v="ATENDE"/>
    <s v="ATENDE"/>
    <s v="ATENDE"/>
    <s v="C5"/>
    <s v="P6"/>
    <n v="2.5133333333333332"/>
    <n v="10.54"/>
    <n v="7.79"/>
    <n v="3"/>
    <n v="0.6"/>
    <s v="ATENDE"/>
    <s v="ATENDE"/>
    <s v="ATENDE"/>
    <s v="P6"/>
    <n v="1.35"/>
    <n v="7.05"/>
    <n v="5.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6"/>
    <s v="VP"/>
    <s v="Avenida Militao Almeida, 703"/>
    <n v="-29.995464999999999"/>
    <n v="-50.146115000000002"/>
    <s v="C1"/>
    <x v="0"/>
    <s v="P6"/>
    <s v="LED"/>
    <n v="50"/>
    <n v="0"/>
    <n v="0"/>
    <n v="200"/>
    <n v="2"/>
    <n v="0"/>
    <n v="8.5"/>
    <m/>
    <m/>
    <n v="0"/>
    <n v="4"/>
    <n v="3"/>
    <n v="0"/>
    <n v="0"/>
    <n v="3.5"/>
    <n v="2"/>
    <s v="Canteiro central"/>
    <s v="Braço"/>
    <n v="27.1"/>
    <n v="8"/>
    <n v="2"/>
    <n v="2.5"/>
    <n v="2.5"/>
    <n v="0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1333333333333222E-2"/>
    <n v="0.18421052631578938"/>
    <s v="-"/>
    <n v="31.24"/>
    <n v="0.45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4.2766666666666664"/>
    <n v="15.83"/>
    <n v="10.26"/>
    <n v="3"/>
    <n v="0.6"/>
    <s v="ATENDE"/>
    <s v="ATENDE"/>
    <s v="ATENDE"/>
    <x v="0"/>
    <s v=" SL VT 9.1 100W"/>
    <s v="LUM LED SL VT 9.1 100W"/>
    <m/>
    <e v="#N/A"/>
    <n v="2"/>
    <n v="100"/>
    <e v="#N/A"/>
    <n v="15900"/>
    <n v="0"/>
    <n v="0"/>
    <n v="10"/>
    <s v="Médio II"/>
    <m/>
    <m/>
    <m/>
    <m/>
    <m/>
    <m/>
    <m/>
    <m/>
    <m/>
    <n v="100"/>
    <n v="50"/>
    <n v="300"/>
    <n v="-1"/>
    <m/>
    <m/>
    <s v="Sim"/>
    <m/>
  </r>
  <r>
    <n v="26"/>
    <s v="VP"/>
    <s v="Avenida Militao Almeida, 703"/>
    <n v="-29.995464999999999"/>
    <n v="-50.146115000000002"/>
    <s v="C1"/>
    <x v="0"/>
    <s v="P6"/>
    <s v="LED"/>
    <n v="50"/>
    <n v="0"/>
    <n v="0"/>
    <n v="200"/>
    <n v="2"/>
    <n v="0"/>
    <n v="8.5"/>
    <m/>
    <m/>
    <n v="0"/>
    <n v="4"/>
    <n v="3"/>
    <n v="0"/>
    <n v="0"/>
    <n v="3.5"/>
    <n v="2"/>
    <s v="Canteiro central"/>
    <s v="Braço"/>
    <n v="27.1"/>
    <n v="8"/>
    <n v="2"/>
    <n v="2.5"/>
    <n v="2.5"/>
    <n v="0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7.433333333333314E-2"/>
    <n v="0.34210526315789469"/>
    <s v="-"/>
    <n v="32.229999999999997"/>
    <n v="0.51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3.7233333333333336"/>
    <n v="14.17"/>
    <n v="8.43"/>
    <n v="3"/>
    <n v="0.6"/>
    <s v="ATENDE"/>
    <s v="ATENDE"/>
    <s v="ATENDE"/>
    <x v="1"/>
    <s v="SX-INLPP090HF"/>
    <s v="SXINLPP090K40L12CZF7PHF"/>
    <m/>
    <e v="#N/A"/>
    <n v="2"/>
    <n v="90"/>
    <e v="#N/A"/>
    <n v="15476"/>
    <n v="0"/>
    <n v="0"/>
    <m/>
    <s v="Médio II"/>
    <m/>
    <m/>
    <m/>
    <m/>
    <m/>
    <m/>
    <m/>
    <m/>
    <m/>
    <n v="90"/>
    <n v="50"/>
    <n v="280"/>
    <n v="-0.8"/>
    <m/>
    <m/>
    <s v="Sim"/>
    <m/>
  </r>
  <r>
    <n v="26"/>
    <s v="VP"/>
    <s v="Avenida Militao Almeida, 703"/>
    <n v="-29.995464999999999"/>
    <n v="-50.146115000000002"/>
    <s v="C1"/>
    <x v="0"/>
    <s v="P6"/>
    <s v="LED"/>
    <n v="50"/>
    <n v="0"/>
    <n v="0"/>
    <n v="200"/>
    <n v="2"/>
    <n v="0"/>
    <n v="8.5"/>
    <m/>
    <m/>
    <n v="0"/>
    <n v="4"/>
    <n v="3"/>
    <n v="0"/>
    <n v="0"/>
    <n v="3.5"/>
    <n v="2"/>
    <s v="Canteiro central"/>
    <s v="Braço"/>
    <n v="27.1"/>
    <n v="8"/>
    <n v="2"/>
    <n v="2.5"/>
    <n v="2.5"/>
    <n v="0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2.4666666666666615E-2"/>
    <n v="0.23684210526315774"/>
    <s v="-"/>
    <n v="30.74"/>
    <n v="0.47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2.0233333333333334"/>
    <n v="9.07"/>
    <n v="6.39"/>
    <n v="3"/>
    <n v="0.6"/>
    <s v="ATENDE"/>
    <s v="ATENDE"/>
    <s v="ATENDE"/>
    <x v="2"/>
    <s v="SIGSAGPTLRRSSNDL100W125IBBRS_x000a_"/>
    <s v="SIGSAGPTLRRSSNDL100W125IBBRS_x000a_1-10C1MUN6.5"/>
    <m/>
    <e v="#N/A"/>
    <n v="2"/>
    <n v="100"/>
    <n v="0"/>
    <n v="15162"/>
    <n v="0"/>
    <n v="0"/>
    <m/>
    <s v="Médio II"/>
    <m/>
    <m/>
    <m/>
    <m/>
    <m/>
    <m/>
    <m/>
    <m/>
    <m/>
    <n v="100"/>
    <n v="50"/>
    <n v="300"/>
    <n v="-1"/>
    <m/>
    <m/>
    <s v="Sim"/>
    <m/>
  </r>
  <r>
    <n v="27"/>
    <s v="PVP"/>
    <s v="Avenida Emancipacao, 1747"/>
    <n v="-29.99577"/>
    <n v="-50.144157999999997"/>
    <s v="C1"/>
    <x v="0"/>
    <s v="P6"/>
    <s v="LED"/>
    <n v="50"/>
    <n v="0"/>
    <n v="0"/>
    <n v="200"/>
    <n v="2"/>
    <n v="0"/>
    <n v="8"/>
    <m/>
    <m/>
    <n v="0"/>
    <n v="4"/>
    <n v="10"/>
    <n v="0"/>
    <n v="0"/>
    <n v="0"/>
    <n v="0"/>
    <s v="Canteiro central"/>
    <s v="Braço"/>
    <n v="43.2"/>
    <n v="2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3.2333333333333325E-2"/>
    <n v="-2.6315789473684181E-2"/>
    <s v="-"/>
    <n v="30.97"/>
    <n v="0.37"/>
    <m/>
    <m/>
    <m/>
    <m/>
    <s v="ATENDE"/>
    <s v="ATENDE"/>
    <s v="ATENDIMENTO LIMIAR"/>
    <s v="ATENDE"/>
    <s v="C1"/>
    <s v="-"/>
    <e v="#VALUE!"/>
    <n v="37.520000000000003"/>
    <n v="15.06"/>
    <s v="-"/>
    <s v="-"/>
    <s v="-"/>
    <s v="-"/>
    <s v="-"/>
    <s v="P6"/>
    <n v="3.9266666666666667"/>
    <n v="14.78"/>
    <n v="8.82"/>
    <n v="3"/>
    <n v="0.6"/>
    <s v="ATENDE"/>
    <s v="ATENDE"/>
    <s v="ATENDE"/>
    <x v="0"/>
    <s v=" SL VT 9.3 200W"/>
    <s v="LUM LED SL VT 9.3 200W"/>
    <m/>
    <n v="0"/>
    <n v="2"/>
    <n v="200"/>
    <n v="0"/>
    <n v="32740.2"/>
    <n v="0"/>
    <n v="0"/>
    <n v="10"/>
    <s v="Médio II"/>
    <s v="Longo I"/>
    <n v="2.8"/>
    <n v="8"/>
    <m/>
    <m/>
    <m/>
    <m/>
    <m/>
    <m/>
    <n v="200"/>
    <n v="50"/>
    <n v="500"/>
    <n v="-3"/>
    <m/>
    <m/>
    <s v="Sim"/>
    <m/>
  </r>
  <r>
    <n v="27"/>
    <s v="PVP"/>
    <s v="Avenida Emancipacao, 1747"/>
    <n v="-29.99577"/>
    <n v="-50.144157999999997"/>
    <s v="C1"/>
    <x v="0"/>
    <s v="P6"/>
    <s v="LED"/>
    <n v="50"/>
    <n v="0"/>
    <n v="0"/>
    <n v="200"/>
    <n v="2"/>
    <n v="0"/>
    <n v="8"/>
    <m/>
    <m/>
    <n v="0"/>
    <n v="4"/>
    <n v="10"/>
    <n v="0"/>
    <n v="0"/>
    <n v="0"/>
    <n v="0"/>
    <s v="Canteiro central"/>
    <s v="Braço"/>
    <n v="43.2"/>
    <n v="2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3.3333333333340764E-4"/>
    <n v="0.57894736842105265"/>
    <s v="-"/>
    <n v="29.99"/>
    <n v="0.6"/>
    <m/>
    <m/>
    <m/>
    <m/>
    <s v="ATENDE"/>
    <s v="ATENDIMENTO LIMIAR"/>
    <s v="ATENDE"/>
    <s v="ATENDE"/>
    <s v="C1"/>
    <s v="-"/>
    <e v="#VALUE!"/>
    <n v="36.770000000000003"/>
    <n v="27.28"/>
    <s v="-"/>
    <s v="-"/>
    <s v="-"/>
    <s v="-"/>
    <s v="-"/>
    <s v="P6"/>
    <n v="3.8233333333333333"/>
    <n v="14.47"/>
    <n v="11.64"/>
    <n v="3"/>
    <n v="0.6"/>
    <s v="ATENDE"/>
    <s v="ATENDE"/>
    <s v="ATENDE"/>
    <x v="1"/>
    <s v="SX-INLPP090HF"/>
    <s v="SXINLPP090K40L12CZF7PHF"/>
    <m/>
    <n v="0"/>
    <n v="2"/>
    <n v="90"/>
    <n v="0"/>
    <n v="15476"/>
    <n v="0"/>
    <n v="0"/>
    <n v="10"/>
    <s v="Médio II"/>
    <m/>
    <s v=""/>
    <s v=""/>
    <s v="APES-2"/>
    <n v="1"/>
    <m/>
    <s v="Redução do distanciamento entre postes de 43.2 para 21.6."/>
    <m/>
    <m/>
    <n v="90"/>
    <n v="50"/>
    <n v="280"/>
    <n v="-0.8"/>
    <m/>
    <m/>
    <s v="Sim"/>
    <m/>
  </r>
  <r>
    <n v="27"/>
    <s v="PVP"/>
    <s v="Avenida Emancipacao, 1747"/>
    <n v="-29.99577"/>
    <n v="-50.144157999999997"/>
    <s v="C1"/>
    <x v="0"/>
    <s v="P6"/>
    <s v="LED"/>
    <n v="50"/>
    <n v="0"/>
    <n v="0"/>
    <n v="200"/>
    <n v="2"/>
    <n v="0"/>
    <n v="8"/>
    <m/>
    <m/>
    <n v="0"/>
    <n v="4"/>
    <n v="10"/>
    <n v="0"/>
    <n v="0"/>
    <n v="0"/>
    <n v="0"/>
    <s v="Canteiro central"/>
    <s v="Braço"/>
    <n v="43.2"/>
    <n v="2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17100000000000004"/>
    <n v="0.28947368421052633"/>
    <s v="-"/>
    <n v="35.130000000000003"/>
    <n v="0.49"/>
    <m/>
    <m/>
    <m/>
    <m/>
    <s v="ATENDE"/>
    <s v="ATENDE"/>
    <s v="ATENDE"/>
    <s v="ATENDE"/>
    <s v="C1"/>
    <s v="-"/>
    <e v="#VALUE!"/>
    <n v="46.56"/>
    <n v="32"/>
    <s v="-"/>
    <s v="-"/>
    <s v="-"/>
    <s v="-"/>
    <s v="-"/>
    <s v="P6"/>
    <n v="3.3666666666666663"/>
    <n v="13.1"/>
    <n v="11.02"/>
    <n v="3"/>
    <n v="0.6"/>
    <s v="ATENDE"/>
    <s v="ATENDE"/>
    <s v="ATENDE"/>
    <x v="2"/>
    <s v="SIGMAGPTLRRSMNDL120W_82IBBR_x000a_"/>
    <s v="SIGMAGPTLRRSMNDL120W_82IBBR_x000a_S1-10C1MUN6.5"/>
    <m/>
    <n v="0"/>
    <n v="2"/>
    <n v="120"/>
    <n v="0"/>
    <n v="19640"/>
    <n v="0"/>
    <n v="0"/>
    <n v="10"/>
    <s v="Médio II"/>
    <m/>
    <s v=""/>
    <s v=""/>
    <s v="APES-2"/>
    <n v="1"/>
    <m/>
    <s v="Redução do distanciamento entre postes de 43.2 para 21.6."/>
    <m/>
    <m/>
    <n v="120"/>
    <n v="50"/>
    <n v="340"/>
    <n v="-1.4"/>
    <m/>
    <m/>
    <s v="Sim"/>
    <m/>
  </r>
  <r>
    <n v="28"/>
    <s v="PVP"/>
    <s v="Rua Firmiano Osorio, 88"/>
    <n v="-29.992228000000001"/>
    <n v="-50.141682000000003"/>
    <s v="C4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3000000000000167E-2"/>
    <n v="1"/>
    <s v="-"/>
    <n v="10.63"/>
    <n v="0.36"/>
    <m/>
    <m/>
    <m/>
    <m/>
    <s v="ATENDE"/>
    <s v="ATENDE"/>
    <s v="ATENDE"/>
    <s v="ATENDE"/>
    <s v="C4"/>
    <s v="P6"/>
    <n v="1.7799999999999998"/>
    <n v="8.34"/>
    <n v="2.87"/>
    <n v="3"/>
    <n v="0.6"/>
    <s v="ATENDE"/>
    <s v="ATENDE"/>
    <s v="ATENDE"/>
    <s v="P6"/>
    <n v="1.1933333333333334"/>
    <n v="6.58"/>
    <n v="3.03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28"/>
    <s v="PVP"/>
    <s v="Rua Firmiano Osorio, 88"/>
    <n v="-29.992228000000001"/>
    <n v="-50.141682000000003"/>
    <s v="C4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4000000000000012E-2"/>
    <n v="1.4444444444444446"/>
    <s v="-"/>
    <n v="10.14"/>
    <n v="0.44"/>
    <m/>
    <m/>
    <m/>
    <m/>
    <s v="ATENDE"/>
    <s v="ATENDE"/>
    <s v="ATENDE"/>
    <s v="ATENDE"/>
    <s v="C4"/>
    <s v="P6"/>
    <n v="1.6133333333333333"/>
    <n v="7.84"/>
    <n v="2.56"/>
    <n v="3"/>
    <n v="0.6"/>
    <s v="ATENDE"/>
    <s v="ATENDE"/>
    <s v="ATENDE"/>
    <s v="P6"/>
    <n v="0.89333333333333331"/>
    <n v="5.68"/>
    <n v="3.5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28"/>
    <s v="PVP"/>
    <s v="Rua Firmiano Osorio, 88"/>
    <n v="-29.992228000000001"/>
    <n v="-50.141682000000003"/>
    <s v="C4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600000000000013"/>
    <n v="1"/>
    <s v="-"/>
    <n v="11.46"/>
    <n v="0.36"/>
    <m/>
    <m/>
    <m/>
    <m/>
    <s v="ATENDE"/>
    <s v="ATENDE"/>
    <s v="ATENDE"/>
    <s v="ATENDE"/>
    <s v="C4"/>
    <s v="P6"/>
    <n v="1.7466666666666666"/>
    <n v="8.24"/>
    <n v="2.73"/>
    <n v="3"/>
    <n v="0.6"/>
    <s v="ATENDE"/>
    <s v="ATENDE"/>
    <s v="ATENDE"/>
    <s v="P6"/>
    <n v="0.61666666666666647"/>
    <n v="4.8499999999999996"/>
    <n v="2.1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50"/>
    <n v="90"/>
    <n v="0.19999999999999996"/>
    <m/>
    <m/>
    <s v="Sim"/>
    <m/>
  </r>
  <r>
    <n v="24"/>
    <s v="PVV"/>
    <s v="Rua Marcilio Dias, 1819"/>
    <n v="-30.000693999999999"/>
    <n v="-50.135185"/>
    <s v="C5"/>
    <x v="0"/>
    <s v="P6"/>
    <s v="Vapor de sódio"/>
    <n v="100"/>
    <n v="17"/>
    <n v="0"/>
    <n v="200"/>
    <n v="2"/>
    <n v="2.5"/>
    <n v="7"/>
    <m/>
    <m/>
    <n v="5"/>
    <n v="0"/>
    <n v="3.5"/>
    <n v="0"/>
    <n v="0"/>
    <n v="0"/>
    <n v="0"/>
    <s v="Unilateral"/>
    <s v="Braço"/>
    <n v="32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000000000000009"/>
    <n v="1.8888888888888893"/>
    <s v="-"/>
    <n v="8.25"/>
    <n v="0.52"/>
    <m/>
    <m/>
    <m/>
    <m/>
    <s v="ATENDE"/>
    <s v="ATENDE"/>
    <s v="ATENDE"/>
    <s v="ATENDE"/>
    <s v="C5"/>
    <s v="P6"/>
    <n v="1.3733333333333335"/>
    <n v="7.12"/>
    <n v="4.12"/>
    <n v="3"/>
    <n v="0.6"/>
    <s v="ATENDE"/>
    <s v="ATENDE"/>
    <s v="ATENDE"/>
    <s v="-"/>
    <e v="#VALUE!"/>
    <m/>
    <m/>
    <s v="-"/>
    <s v="-"/>
    <s v="-"/>
    <s v="-"/>
    <s v="-"/>
    <x v="0"/>
    <s v=" SL VT 9.1 65W"/>
    <s v="LUM LED SL VT 9.1 65W"/>
    <m/>
    <n v="0"/>
    <n v="1"/>
    <n v="65"/>
    <n v="0"/>
    <n v="10496"/>
    <n v="0"/>
    <n v="0"/>
    <n v="10"/>
    <s v="Curto II"/>
    <s v="Longo II"/>
    <n v="3.5"/>
    <n v="8.5"/>
    <m/>
    <m/>
    <m/>
    <m/>
    <m/>
    <m/>
    <n v="65"/>
    <n v="100"/>
    <n v="165"/>
    <n v="0.35"/>
    <m/>
    <m/>
    <s v="Sim"/>
    <m/>
  </r>
  <r>
    <n v="24"/>
    <s v="PVV"/>
    <s v="Rua Marcilio Dias, 1819"/>
    <n v="-30.000693999999999"/>
    <n v="-50.135185"/>
    <s v="C5"/>
    <x v="0"/>
    <s v="P6"/>
    <s v="Vapor de sódio"/>
    <n v="100"/>
    <n v="17"/>
    <n v="0"/>
    <n v="200"/>
    <n v="2"/>
    <n v="2.5"/>
    <n v="7"/>
    <m/>
    <m/>
    <n v="5"/>
    <n v="0"/>
    <n v="3.5"/>
    <n v="0"/>
    <n v="0"/>
    <n v="0"/>
    <n v="0"/>
    <s v="Unilateral"/>
    <s v="Braço"/>
    <n v="32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8666666666666663E-2"/>
    <n v="2.5555555555555558"/>
    <s v="-"/>
    <n v="8.09"/>
    <n v="0.64"/>
    <m/>
    <m/>
    <m/>
    <m/>
    <s v="ATENDE"/>
    <s v="ATENDE"/>
    <s v="ATENDE"/>
    <s v="ATENDE"/>
    <s v="C5"/>
    <s v="P6"/>
    <n v="0.67333333333333312"/>
    <n v="5.0199999999999996"/>
    <n v="1.67"/>
    <n v="3"/>
    <n v="0.6"/>
    <s v="ATENDE"/>
    <s v="ATENDE"/>
    <s v="ATENDE"/>
    <s v="-"/>
    <e v="#VALUE!"/>
    <m/>
    <m/>
    <s v="-"/>
    <s v="-"/>
    <s v="-"/>
    <s v="-"/>
    <s v="-"/>
    <x v="1"/>
    <s v="SX-INEVO060HF"/>
    <s v="SXINEVO060K40L12CZF7PHF"/>
    <m/>
    <e v="#N/A"/>
    <n v="1"/>
    <n v="60"/>
    <n v="0"/>
    <n v="9600"/>
    <n v="0"/>
    <n v="0"/>
    <n v="10"/>
    <s v="Curto II"/>
    <s v="Longo II"/>
    <n v="3.5"/>
    <n v="8.5"/>
    <m/>
    <m/>
    <m/>
    <m/>
    <m/>
    <m/>
    <n v="60"/>
    <n v="100"/>
    <n v="160"/>
    <n v="0.4"/>
    <m/>
    <m/>
    <s v="Sim"/>
    <m/>
  </r>
  <r>
    <n v="24"/>
    <s v="PVV"/>
    <s v="Rua Marcilio Dias, 1819"/>
    <n v="-30.000693999999999"/>
    <n v="-50.135185"/>
    <s v="C5"/>
    <x v="0"/>
    <s v="P6"/>
    <s v="Vapor de sódio"/>
    <n v="100"/>
    <n v="17"/>
    <n v="0"/>
    <n v="200"/>
    <n v="2"/>
    <n v="2.5"/>
    <n v="7"/>
    <m/>
    <m/>
    <n v="5"/>
    <n v="0"/>
    <n v="3.5"/>
    <n v="0"/>
    <n v="0"/>
    <n v="0"/>
    <n v="0"/>
    <s v="Unilateral"/>
    <s v="Braço"/>
    <n v="32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5333333333333226E-2"/>
    <n v="2.2222222222222223"/>
    <s v="-"/>
    <n v="7.84"/>
    <n v="0.57999999999999996"/>
    <m/>
    <m/>
    <m/>
    <m/>
    <s v="ATENDE"/>
    <s v="ATENDE"/>
    <s v="ATENDE"/>
    <s v="ATENDE"/>
    <s v="C5"/>
    <s v="P6"/>
    <n v="1.2833333333333332"/>
    <n v="6.85"/>
    <n v="3.61"/>
    <n v="3"/>
    <n v="0.6"/>
    <s v="ATENDE"/>
    <s v="ATENDE"/>
    <s v="ATENDE"/>
    <s v="-"/>
    <e v="#VALUE!"/>
    <m/>
    <m/>
    <s v="-"/>
    <s v="-"/>
    <s v="-"/>
    <s v="-"/>
    <s v="-"/>
    <x v="2"/>
    <s v="SIGSAGPTLRRSSNDL_68W_83IBBRS_x000a_"/>
    <s v="SIGSAGPTLRRSSNDL_68W_83IBBRS_x000a_1-10C1MUN6.5"/>
    <m/>
    <e v="#N/A"/>
    <n v="1"/>
    <n v="68"/>
    <n v="0"/>
    <n v="10884"/>
    <n v="0"/>
    <n v="0"/>
    <n v="10"/>
    <s v="Curto II"/>
    <s v="Longo II"/>
    <n v="3.5"/>
    <n v="8.5"/>
    <m/>
    <m/>
    <m/>
    <m/>
    <m/>
    <m/>
    <n v="68"/>
    <n v="100"/>
    <n v="168"/>
    <n v="0.31999999999999995"/>
    <m/>
    <m/>
    <s v="Sim"/>
    <m/>
  </r>
  <r>
    <n v="25"/>
    <s v="PVP"/>
    <s v=" Rua Pinheiro Machado, 1100"/>
    <n v="-29.993053"/>
    <n v="-50.133004999999997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400000000000001"/>
    <n v="1.2777777777777777"/>
    <s v="-"/>
    <n v="9.48"/>
    <n v="0.41"/>
    <m/>
    <m/>
    <m/>
    <m/>
    <s v="ATENDE"/>
    <s v="ATENDE"/>
    <s v="ATENDE"/>
    <s v="ATENDE"/>
    <s v="C5"/>
    <s v="P6"/>
    <n v="1.5133333333333332"/>
    <n v="7.54"/>
    <n v="2.72"/>
    <n v="3"/>
    <n v="0.6"/>
    <s v="ATENDE"/>
    <s v="ATENDE"/>
    <s v="ATENDE"/>
    <s v="P6"/>
    <n v="0.82666666666666688"/>
    <n v="5.48"/>
    <n v="2.5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25"/>
    <s v="PVP"/>
    <s v=" Rua Pinheiro Machado, 1100"/>
    <n v="-29.993053"/>
    <n v="-50.133004999999997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133333333333338"/>
    <n v="1.5"/>
    <s v="-"/>
    <n v="9.16"/>
    <n v="0.45"/>
    <m/>
    <m/>
    <m/>
    <m/>
    <s v="ATENDE"/>
    <s v="ATENDE"/>
    <s v="ATENDE"/>
    <s v="ATENDE"/>
    <s v="C5"/>
    <s v="P6"/>
    <n v="1.3033333333333332"/>
    <n v="6.91"/>
    <n v="1.8"/>
    <n v="3"/>
    <n v="0.6"/>
    <s v="ATENDE"/>
    <s v="ATENDE"/>
    <s v="ATENDE"/>
    <s v="P6"/>
    <n v="0.51"/>
    <n v="4.53"/>
    <n v="2.4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25"/>
    <s v="PVP"/>
    <s v=" Rua Pinheiro Machado, 1100"/>
    <n v="-29.993053"/>
    <n v="-50.133004999999997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266666666666655"/>
    <n v="1.9444444444444446"/>
    <s v="-"/>
    <n v="9.02"/>
    <n v="0.53"/>
    <m/>
    <m/>
    <m/>
    <m/>
    <s v="ATENDE"/>
    <s v="ATENDE"/>
    <s v="ATENDE"/>
    <s v="ATENDE"/>
    <s v="C5"/>
    <s v="P6"/>
    <n v="1.3199999999999998"/>
    <n v="6.96"/>
    <n v="3.18"/>
    <n v="3"/>
    <n v="0.6"/>
    <s v="ATENDE"/>
    <s v="ATENDE"/>
    <s v="ATENDE"/>
    <s v="P6"/>
    <n v="0.40333333333333332"/>
    <n v="4.21"/>
    <n v="2.8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9"/>
    <s v="PVP"/>
    <s v="Avenida Atlantica, 1665"/>
    <n v="-29.991734999999998"/>
    <n v="-50.141092999999998"/>
    <s v="C5"/>
    <x v="0"/>
    <s v="P6"/>
    <s v="LED"/>
    <n v="50"/>
    <n v="0"/>
    <n v="0"/>
    <n v="100"/>
    <n v="2"/>
    <n v="4.5"/>
    <n v="4.5"/>
    <m/>
    <m/>
    <n v="0"/>
    <n v="4.5"/>
    <n v="0"/>
    <n v="0"/>
    <n v="0"/>
    <n v="2"/>
    <n v="2"/>
    <s v="Unilateral"/>
    <s v="Braço"/>
    <n v="37.9"/>
    <n v="7"/>
    <n v="1"/>
    <n v="5"/>
    <n v="2.5"/>
    <n v="-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80000000000001"/>
    <n v="1.1111111111111112"/>
    <s v="-"/>
    <n v="8.31"/>
    <n v="0.38"/>
    <m/>
    <m/>
    <m/>
    <m/>
    <s v="ATENDE"/>
    <s v="ATENDE"/>
    <s v="ATENDE"/>
    <s v="ATENDE"/>
    <s v="C5"/>
    <s v="P6"/>
    <n v="1.5566666666666666"/>
    <n v="7.67"/>
    <n v="1.85"/>
    <n v="3"/>
    <n v="0.6"/>
    <s v="ATENDE"/>
    <s v="ATENDE"/>
    <s v="ATENDE"/>
    <s v="-"/>
    <e v="#VALUE!"/>
    <n v="3.17"/>
    <n v="1.66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n v="8"/>
    <s v="Médio II"/>
    <m/>
    <s v=""/>
    <s v=""/>
    <m/>
    <m/>
    <m/>
    <m/>
    <m/>
    <m/>
    <n v="44"/>
    <n v="50"/>
    <n v="94"/>
    <n v="0.12"/>
    <m/>
    <m/>
    <s v="Sim"/>
    <m/>
  </r>
  <r>
    <n v="29"/>
    <s v="PVP"/>
    <s v="Avenida Atlantica, 1665"/>
    <n v="-29.991734999999998"/>
    <n v="-50.141092999999998"/>
    <s v="C5"/>
    <x v="0"/>
    <s v="P6"/>
    <s v="LED"/>
    <n v="50"/>
    <n v="0"/>
    <n v="0"/>
    <n v="100"/>
    <n v="2"/>
    <n v="4.5"/>
    <n v="4.5"/>
    <m/>
    <m/>
    <n v="0"/>
    <n v="4.5"/>
    <n v="0"/>
    <n v="0"/>
    <n v="0"/>
    <n v="2"/>
    <n v="2"/>
    <s v="Unilateral"/>
    <s v="Braço"/>
    <n v="37.9"/>
    <n v="7"/>
    <n v="1"/>
    <n v="5"/>
    <n v="2.5"/>
    <n v="-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3333333333334156E-3"/>
    <n v="2.5555555555555558"/>
    <s v="-"/>
    <n v="7.57"/>
    <n v="0.64"/>
    <m/>
    <m/>
    <m/>
    <m/>
    <s v="ATENDE"/>
    <s v="ATENDE"/>
    <s v="ATENDE"/>
    <s v="ATENDE"/>
    <s v="C5"/>
    <s v="P6"/>
    <n v="0.87333333333333329"/>
    <n v="5.62"/>
    <n v="1.97"/>
    <n v="3"/>
    <n v="0.6"/>
    <s v="ATENDE"/>
    <s v="ATENDE"/>
    <s v="ATENDE"/>
    <s v="-"/>
    <e v="#VALUE!"/>
    <n v="3.57"/>
    <n v="2.0099999999999998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n v="5"/>
    <s v="Médio II"/>
    <s v="Longo II"/>
    <n v="3.5"/>
    <n v="8.5"/>
    <m/>
    <m/>
    <m/>
    <m/>
    <m/>
    <m/>
    <n v="39"/>
    <n v="50"/>
    <n v="89"/>
    <n v="0.21999999999999997"/>
    <m/>
    <m/>
    <s v="Sim"/>
    <m/>
  </r>
  <r>
    <n v="29"/>
    <s v="PVP"/>
    <s v="Avenida Atlantica, 1665"/>
    <n v="-29.991734999999998"/>
    <n v="-50.141092999999998"/>
    <s v="C5"/>
    <x v="0"/>
    <s v="P6"/>
    <s v="LED"/>
    <n v="50"/>
    <n v="0"/>
    <n v="0"/>
    <n v="100"/>
    <n v="2"/>
    <n v="4.5"/>
    <n v="4.5"/>
    <m/>
    <m/>
    <n v="0"/>
    <n v="4.5"/>
    <n v="0"/>
    <n v="0"/>
    <n v="0"/>
    <n v="2"/>
    <n v="2"/>
    <s v="Unilateral"/>
    <s v="Braço"/>
    <n v="37.9"/>
    <n v="7"/>
    <n v="1"/>
    <n v="5"/>
    <n v="2.5"/>
    <n v="-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666666666666676"/>
    <n v="2.3888888888888888"/>
    <s v="-"/>
    <n v="8.9"/>
    <n v="0.61"/>
    <m/>
    <m/>
    <m/>
    <m/>
    <s v="ATENDE"/>
    <s v="ATENDE"/>
    <s v="ATENDE"/>
    <s v="ATENDE"/>
    <s v="C5"/>
    <s v="P6"/>
    <n v="0.9800000000000002"/>
    <n v="5.94"/>
    <n v="2.16"/>
    <n v="3"/>
    <n v="0.6"/>
    <s v="ATENDE"/>
    <s v="ATENDE"/>
    <s v="ATENDE"/>
    <s v="-"/>
    <e v="#VALUE!"/>
    <n v="3.08"/>
    <n v="1.71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n v="0"/>
    <n v="0"/>
    <n v="5"/>
    <s v="Médio II"/>
    <s v="Longo II"/>
    <n v="3.5"/>
    <n v="8.5"/>
    <m/>
    <m/>
    <m/>
    <m/>
    <m/>
    <m/>
    <n v="40"/>
    <n v="50"/>
    <n v="90"/>
    <n v="0.19999999999999996"/>
    <m/>
    <m/>
    <s v="Sim"/>
    <m/>
  </r>
  <r>
    <n v="30"/>
    <s v="PVP"/>
    <s v="Rua Siqueira Campos, 1167"/>
    <n v="-29.986891"/>
    <n v="-50.142586999999999"/>
    <s v="C5"/>
    <x v="0"/>
    <s v="P5"/>
    <s v="Vapor de mercúr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866666666666679"/>
    <n v="1.2222222222222223"/>
    <s v="-"/>
    <n v="9.14"/>
    <n v="0.4"/>
    <m/>
    <m/>
    <m/>
    <m/>
    <s v="ATENDE"/>
    <s v="ATENDE"/>
    <s v="ATENDE"/>
    <s v="ATENDE"/>
    <s v="C5"/>
    <s v="P5"/>
    <n v="0.52"/>
    <n v="7.6"/>
    <n v="2.6"/>
    <n v="5"/>
    <n v="1"/>
    <s v="ATENDE"/>
    <s v="ATENDE"/>
    <s v="ATENDE"/>
    <s v="P5"/>
    <n v="1.4000000000000012E-2"/>
    <n v="5.07"/>
    <n v="2.31"/>
    <n v="5"/>
    <n v="1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"/>
    <s v="PVP"/>
    <s v="Rua Siqueira Campos, 1167"/>
    <n v="-29.986891"/>
    <n v="-50.142586999999999"/>
    <s v="C5"/>
    <x v="0"/>
    <s v="P5"/>
    <s v="Vapor de mercúr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59999999999999"/>
    <n v="1.1111111111111112"/>
    <s v="-"/>
    <n v="8.52"/>
    <n v="0.38"/>
    <m/>
    <m/>
    <m/>
    <m/>
    <s v="ATENDE"/>
    <s v="ATENDE"/>
    <s v="ATENDE"/>
    <s v="ATENDE"/>
    <s v="C5"/>
    <s v="P5"/>
    <n v="0.21399999999999997"/>
    <n v="6.07"/>
    <n v="1"/>
    <n v="5"/>
    <n v="1"/>
    <s v="ATENDE"/>
    <s v="ATENDE"/>
    <s v="ATENDE"/>
    <s v="P5"/>
    <n v="1.0000000000000009E-2"/>
    <n v="5.05"/>
    <n v="3.38"/>
    <n v="5"/>
    <n v="1"/>
    <s v="ATENDE"/>
    <s v="ATENDE"/>
    <s v="ATENDE"/>
    <x v="1"/>
    <s v="SX-INEVO030HF"/>
    <s v="SXINEVO030K40L12CZF7PHF"/>
    <m/>
    <e v="#N/A"/>
    <n v="1"/>
    <n v="31"/>
    <e v="#N/A"/>
    <n v="5270"/>
    <n v="0"/>
    <n v="0"/>
    <n v="6"/>
    <s v="Curto II"/>
    <m/>
    <s v=""/>
    <s v=""/>
    <m/>
    <m/>
    <m/>
    <m/>
    <m/>
    <m/>
    <n v="31"/>
    <n v="100"/>
    <n v="131"/>
    <n v="0.69"/>
    <m/>
    <m/>
    <s v="Sim"/>
    <m/>
  </r>
  <r>
    <n v="30"/>
    <s v="PVP"/>
    <s v="Rua Siqueira Campos, 1167"/>
    <n v="-29.986891"/>
    <n v="-50.142586999999999"/>
    <s v="C5"/>
    <x v="0"/>
    <s v="P5"/>
    <s v="Vapor de mercúr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3466666666666662"/>
    <n v="1.3888888888888888"/>
    <s v="-"/>
    <n v="11.51"/>
    <n v="0.43"/>
    <m/>
    <m/>
    <m/>
    <m/>
    <s v="ATENDE"/>
    <s v="ATENDE"/>
    <s v="ATENDE"/>
    <s v="ATENDE"/>
    <s v="C5"/>
    <s v="P5"/>
    <n v="0.68799999999999994"/>
    <n v="8.44"/>
    <n v="2.75"/>
    <n v="5"/>
    <n v="1"/>
    <s v="ATENDE"/>
    <s v="ATENDE"/>
    <s v="ATENDE"/>
    <s v="P5"/>
    <n v="8.5999999999999854E-2"/>
    <n v="5.43"/>
    <n v="3.37"/>
    <n v="5"/>
    <n v="1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n v="5"/>
    <s v="Curto II"/>
    <m/>
    <s v=""/>
    <s v=""/>
    <m/>
    <m/>
    <m/>
    <m/>
    <m/>
    <m/>
    <n v="40"/>
    <n v="100"/>
    <n v="140"/>
    <n v="0.6"/>
    <m/>
    <m/>
    <s v="Sim"/>
    <m/>
  </r>
  <r>
    <n v="31"/>
    <s v="PVP"/>
    <s v="Rua A da Silva, 455"/>
    <n v="-29.990476000000001"/>
    <n v="-50.144948999999997"/>
    <s v="C5"/>
    <x v="0"/>
    <s v="P6"/>
    <s v="Vapor de sódi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7.299999999999997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999999999999994"/>
    <n v="5.555555555555558E-2"/>
    <s v="-"/>
    <n v="8.85"/>
    <n v="0.19"/>
    <m/>
    <m/>
    <m/>
    <m/>
    <s v="ATENDE"/>
    <s v="ATENDE"/>
    <s v="ATENDE"/>
    <s v="ATENDE"/>
    <s v="C5"/>
    <s v="P6"/>
    <n v="1.3166666666666669"/>
    <n v="6.95"/>
    <n v="0.73"/>
    <n v="3"/>
    <n v="0.6"/>
    <s v="ATENDE"/>
    <s v="ATENDE"/>
    <s v="ATENDE"/>
    <s v="P6"/>
    <n v="5.0000000000000044E-2"/>
    <n v="3.15"/>
    <n v="0.9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n v="2"/>
    <s v="Curto II"/>
    <m/>
    <s v=""/>
    <s v=""/>
    <m/>
    <m/>
    <m/>
    <m/>
    <m/>
    <m/>
    <n v="35"/>
    <n v="100"/>
    <n v="135"/>
    <n v="0.65"/>
    <m/>
    <m/>
    <s v="Sim"/>
    <m/>
  </r>
  <r>
    <n v="31"/>
    <s v="PVP"/>
    <s v="Rua A da Silva, 455"/>
    <n v="-29.990476000000001"/>
    <n v="-50.144948999999997"/>
    <s v="C5"/>
    <x v="0"/>
    <s v="P6"/>
    <s v="Vapor de sódi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7.299999999999997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3455E-2"/>
    <n v="0.33333333333333326"/>
    <s v="-"/>
    <n v="7.9"/>
    <n v="0.24"/>
    <m/>
    <m/>
    <m/>
    <m/>
    <s v="ATENDE"/>
    <s v="ATENDE"/>
    <s v="ATENDE"/>
    <s v="ATENDE"/>
    <s v="C5"/>
    <s v="P6"/>
    <n v="0.78333333333333321"/>
    <n v="5.35"/>
    <n v="0.64"/>
    <n v="3"/>
    <n v="0.6"/>
    <s v="ATENDE"/>
    <s v="ATENDE"/>
    <s v="ATENDE"/>
    <s v="P6"/>
    <n v="0.12333333333333329"/>
    <n v="3.37"/>
    <n v="1.26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s v="Médio I"/>
    <n v="1.8"/>
    <n v="7"/>
    <m/>
    <m/>
    <m/>
    <m/>
    <m/>
    <m/>
    <n v="31"/>
    <n v="100"/>
    <n v="131"/>
    <n v="0.69"/>
    <m/>
    <m/>
    <s v="Sim"/>
    <m/>
  </r>
  <r>
    <n v="31"/>
    <s v="PVP"/>
    <s v="Rua A da Silva, 455"/>
    <n v="-29.990476000000001"/>
    <n v="-50.144948999999997"/>
    <s v="C5"/>
    <x v="0"/>
    <s v="P6"/>
    <s v="Vapor de sódi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7.299999999999997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4666666666666623E-2"/>
    <n v="1"/>
    <s v="-"/>
    <n v="7.76"/>
    <n v="0.36"/>
    <m/>
    <m/>
    <m/>
    <m/>
    <s v="ATENDE"/>
    <s v="ATENDE"/>
    <s v="ATENDE"/>
    <s v="ATENDE"/>
    <s v="C5"/>
    <s v="P6"/>
    <n v="0.82666666666666688"/>
    <n v="5.48"/>
    <n v="1.75"/>
    <n v="3"/>
    <n v="0.6"/>
    <s v="ATENDE"/>
    <s v="ATENDE"/>
    <s v="ATENDE"/>
    <s v="P6"/>
    <n v="7.3333333333333472E-2"/>
    <n v="3.22"/>
    <n v="1.8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s v="Médio I"/>
    <n v="1.8"/>
    <n v="7"/>
    <m/>
    <m/>
    <m/>
    <m/>
    <m/>
    <m/>
    <n v="30"/>
    <n v="100"/>
    <n v="130"/>
    <n v="0.7"/>
    <m/>
    <m/>
    <s v="Sim"/>
    <m/>
  </r>
  <r>
    <n v="34"/>
    <s v="PVP"/>
    <s v="Rua Sahydi Abrahao, 438"/>
    <n v="-29.986681000000001"/>
    <n v="-50.134658000000002"/>
    <s v="C2"/>
    <x v="0"/>
    <s v="P6"/>
    <s v="Vapor de sódio"/>
    <n v="250"/>
    <n v="30"/>
    <n v="0"/>
    <n v="500"/>
    <n v="2"/>
    <n v="4"/>
    <n v="4.5"/>
    <m/>
    <m/>
    <n v="0"/>
    <n v="3"/>
    <n v="0"/>
    <n v="0"/>
    <n v="0"/>
    <n v="2"/>
    <n v="2"/>
    <s v="Unilateral"/>
    <s v="Braço"/>
    <n v="20.100000000000001"/>
    <n v="7"/>
    <n v="1"/>
    <n v="0.4"/>
    <n v="2.2000000000000002"/>
    <n v="1.800000000000000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3149999999999995"/>
    <n v="1.464285714285714"/>
    <s v="-"/>
    <n v="22.63"/>
    <n v="0.69"/>
    <m/>
    <m/>
    <m/>
    <m/>
    <s v="ATENDE"/>
    <s v="ATENDE"/>
    <s v="ATENDE"/>
    <s v="ATENDE"/>
    <s v="C2"/>
    <s v="P6"/>
    <n v="3.2166666666666668"/>
    <n v="12.65"/>
    <n v="7.7"/>
    <n v="3"/>
    <n v="0.6"/>
    <s v="ATENDE"/>
    <s v="ATENDE"/>
    <s v="ATENDE"/>
    <s v="P6"/>
    <n v="2.5266666666666668"/>
    <n v="10.58"/>
    <n v="7.45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Médio I"/>
    <m/>
    <s v=""/>
    <s v=""/>
    <m/>
    <m/>
    <m/>
    <m/>
    <m/>
    <m/>
    <n v="52"/>
    <n v="250"/>
    <n v="302"/>
    <n v="0.79200000000000004"/>
    <m/>
    <m/>
    <s v="Sim"/>
    <m/>
  </r>
  <r>
    <n v="34"/>
    <s v="PVP"/>
    <s v="Rua Sahydi Abrahao, 438"/>
    <n v="-29.986681000000001"/>
    <n v="-50.134658000000002"/>
    <s v="C2"/>
    <x v="0"/>
    <s v="P6"/>
    <s v="Vapor de sódio"/>
    <n v="250"/>
    <n v="30"/>
    <n v="0"/>
    <n v="500"/>
    <n v="2"/>
    <n v="4"/>
    <n v="4.5"/>
    <m/>
    <m/>
    <n v="0"/>
    <n v="3"/>
    <n v="0"/>
    <n v="0"/>
    <n v="0"/>
    <n v="2"/>
    <n v="2"/>
    <s v="Unilateral"/>
    <s v="Braço"/>
    <n v="20.100000000000001"/>
    <n v="7"/>
    <n v="1"/>
    <n v="0.4"/>
    <n v="2.2000000000000002"/>
    <n v="1.800000000000000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33650000000000002"/>
    <n v="1.8928571428571428"/>
    <s v="-"/>
    <n v="26.73"/>
    <n v="0.81"/>
    <m/>
    <m/>
    <m/>
    <m/>
    <s v="ATENDE"/>
    <s v="ATENDE"/>
    <s v="ATENDE"/>
    <s v="ATENDE"/>
    <s v="C2"/>
    <s v="P6"/>
    <n v="3.3633333333333333"/>
    <n v="13.09"/>
    <n v="6.88"/>
    <n v="3"/>
    <n v="0.6"/>
    <s v="ATENDE"/>
    <s v="ATENDE"/>
    <s v="ATENDE"/>
    <s v="P6"/>
    <n v="2.8066666666666666"/>
    <n v="11.42"/>
    <n v="6.66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Médio I"/>
    <m/>
    <s v=""/>
    <s v=""/>
    <m/>
    <m/>
    <m/>
    <m/>
    <m/>
    <m/>
    <n v="50"/>
    <n v="250"/>
    <n v="300"/>
    <n v="0.8"/>
    <m/>
    <m/>
    <s v="Sim"/>
    <m/>
  </r>
  <r>
    <n v="34"/>
    <s v="PVP"/>
    <s v="Rua Sahydi Abrahao, 438"/>
    <n v="-29.986681000000001"/>
    <n v="-50.134658000000002"/>
    <s v="C2"/>
    <x v="0"/>
    <s v="P6"/>
    <s v="Vapor de sódio"/>
    <n v="250"/>
    <n v="30"/>
    <n v="0"/>
    <n v="500"/>
    <n v="2"/>
    <n v="4"/>
    <n v="4.5"/>
    <m/>
    <m/>
    <n v="0"/>
    <n v="3"/>
    <n v="0"/>
    <n v="0"/>
    <n v="0"/>
    <n v="2"/>
    <n v="2"/>
    <s v="Unilateral"/>
    <s v="Braço"/>
    <n v="20.100000000000001"/>
    <n v="7"/>
    <n v="1"/>
    <n v="0.4"/>
    <n v="2.2000000000000002"/>
    <n v="1.800000000000000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25749999999999984"/>
    <n v="1.5714285714285712"/>
    <s v="-"/>
    <n v="25.15"/>
    <n v="0.72"/>
    <m/>
    <m/>
    <m/>
    <m/>
    <s v="ATENDE"/>
    <s v="ATENDE"/>
    <s v="ATENDE"/>
    <s v="ATENDE"/>
    <s v="C2"/>
    <s v="P6"/>
    <n v="3.24"/>
    <n v="12.72"/>
    <n v="7.52"/>
    <n v="3"/>
    <n v="0.6"/>
    <s v="ATENDE"/>
    <s v="ATENDE"/>
    <s v="ATENDE"/>
    <s v="P6"/>
    <n v="1.0466666666666664"/>
    <n v="6.14"/>
    <n v="2.81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Médio I"/>
    <m/>
    <s v=""/>
    <s v=""/>
    <m/>
    <m/>
    <m/>
    <m/>
    <m/>
    <m/>
    <n v="50"/>
    <n v="250"/>
    <n v="300"/>
    <n v="0.8"/>
    <m/>
    <m/>
    <s v="Sim"/>
    <m/>
  </r>
  <r>
    <n v="35"/>
    <s v="PVP"/>
    <s v="Rua Amancio Amaral, 1181"/>
    <n v="-29.984991999999998"/>
    <n v="-50.132489"/>
    <s v="C3"/>
    <x v="0"/>
    <s v="P6"/>
    <s v="Vapor de sódio"/>
    <n v="150"/>
    <n v="22"/>
    <n v="0"/>
    <n v="300"/>
    <n v="2"/>
    <n v="4"/>
    <n v="4"/>
    <m/>
    <m/>
    <n v="0"/>
    <n v="4"/>
    <n v="0"/>
    <n v="0"/>
    <n v="0"/>
    <n v="2"/>
    <n v="2"/>
    <s v="Unilateral"/>
    <s v="Braço"/>
    <n v="26.45"/>
    <n v="8"/>
    <n v="1"/>
    <n v="0.4"/>
    <n v="2.2999999999999998"/>
    <n v="1.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3.400000000000003E-2"/>
    <n v="2.4444444444444446"/>
    <s v="-"/>
    <n v="15.51"/>
    <n v="0.62"/>
    <m/>
    <m/>
    <m/>
    <m/>
    <s v="ATENDE"/>
    <s v="ATENDE"/>
    <s v="ATENDE"/>
    <s v="ATENDE"/>
    <s v="C3"/>
    <s v="P6"/>
    <n v="2.0666666666666664"/>
    <n v="9.1999999999999993"/>
    <n v="5.53"/>
    <n v="3"/>
    <n v="0.6"/>
    <s v="ATENDE"/>
    <s v="ATENDE"/>
    <s v="ATENDE"/>
    <s v="P6"/>
    <n v="1.9766666666666666"/>
    <n v="8.93"/>
    <n v="5.66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Médio II"/>
    <m/>
    <s v=""/>
    <s v=""/>
    <m/>
    <m/>
    <m/>
    <m/>
    <m/>
    <m/>
    <n v="52"/>
    <n v="150"/>
    <n v="202"/>
    <n v="0.65333333333333332"/>
    <m/>
    <m/>
    <s v="Não"/>
    <m/>
  </r>
  <r>
    <n v="35"/>
    <s v="PVP"/>
    <s v="Rua Amancio Amaral, 1181"/>
    <n v="-29.984991999999998"/>
    <n v="-50.132489"/>
    <s v="C3"/>
    <x v="0"/>
    <s v="P6"/>
    <s v="Vapor de sódio"/>
    <n v="150"/>
    <n v="22"/>
    <n v="0"/>
    <n v="300"/>
    <n v="2"/>
    <n v="4"/>
    <n v="4"/>
    <m/>
    <m/>
    <n v="0"/>
    <n v="4"/>
    <n v="0"/>
    <n v="0"/>
    <n v="0"/>
    <n v="2"/>
    <n v="2"/>
    <s v="Unilateral"/>
    <s v="Braço"/>
    <n v="26.45"/>
    <n v="8"/>
    <n v="1"/>
    <n v="0.4"/>
    <n v="2.2999999999999998"/>
    <n v="1.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666666666666656"/>
    <n v="3.2222222222222223"/>
    <s v="-"/>
    <n v="18.25"/>
    <n v="0.76"/>
    <m/>
    <m/>
    <m/>
    <m/>
    <s v="ATENDE"/>
    <s v="ATENDE"/>
    <s v="ATENDE"/>
    <s v="ATENDE"/>
    <s v="C3"/>
    <s v="P6"/>
    <n v="2.2333333333333329"/>
    <n v="9.6999999999999993"/>
    <n v="5.0999999999999996"/>
    <n v="3"/>
    <n v="0.6"/>
    <s v="ATENDE"/>
    <s v="ATENDE"/>
    <s v="ATENDE"/>
    <s v="P6"/>
    <n v="2.4233333333333333"/>
    <n v="10.27"/>
    <n v="6.21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Médio II"/>
    <m/>
    <s v=""/>
    <s v=""/>
    <m/>
    <m/>
    <m/>
    <m/>
    <m/>
    <m/>
    <n v="50"/>
    <n v="150"/>
    <n v="200"/>
    <n v="0.66666666666666674"/>
    <m/>
    <m/>
    <s v="Não"/>
    <m/>
  </r>
  <r>
    <n v="35"/>
    <s v="PVP"/>
    <s v="Rua Amancio Amaral, 1181"/>
    <n v="-29.984991999999998"/>
    <n v="-50.132489"/>
    <s v="C3"/>
    <x v="0"/>
    <s v="P6"/>
    <s v="Vapor de sódio"/>
    <n v="150"/>
    <n v="22"/>
    <n v="0"/>
    <n v="300"/>
    <n v="2"/>
    <n v="4"/>
    <n v="4"/>
    <m/>
    <m/>
    <n v="0"/>
    <n v="4"/>
    <n v="0"/>
    <n v="0"/>
    <n v="0"/>
    <n v="2"/>
    <n v="2"/>
    <s v="Unilateral"/>
    <s v="Braço"/>
    <n v="26.45"/>
    <n v="8"/>
    <n v="1"/>
    <n v="0.4"/>
    <n v="2.2999999999999998"/>
    <n v="1.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8400000000000016"/>
    <n v="3.166666666666667"/>
    <s v="-"/>
    <n v="17.760000000000002"/>
    <n v="0.75"/>
    <m/>
    <m/>
    <m/>
    <m/>
    <s v="ATENDE"/>
    <s v="ATENDE"/>
    <s v="ATENDE"/>
    <s v="ATENDE"/>
    <s v="C3"/>
    <s v="P6"/>
    <n v="2.1066666666666669"/>
    <n v="9.32"/>
    <n v="5.56"/>
    <n v="3"/>
    <n v="0.6"/>
    <s v="ATENDE"/>
    <s v="ATENDE"/>
    <s v="ATENDE"/>
    <s v="P6"/>
    <n v="1.0733333333333333"/>
    <n v="6.22"/>
    <n v="3.49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m/>
    <s v="Médio II"/>
    <m/>
    <s v=""/>
    <s v=""/>
    <m/>
    <m/>
    <m/>
    <m/>
    <m/>
    <m/>
    <n v="50"/>
    <n v="150"/>
    <n v="200"/>
    <n v="0.66666666666666674"/>
    <m/>
    <m/>
    <s v="Não"/>
    <m/>
  </r>
  <r>
    <n v="36"/>
    <s v="PVP"/>
    <s v="Rua Navegante, 210"/>
    <n v="-29.987494999999999"/>
    <n v="-50.126356999999999"/>
    <s v="C4"/>
    <x v="0"/>
    <s v="P6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8.4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1.8333333333333335"/>
    <s v="-"/>
    <n v="11.31"/>
    <n v="0.51"/>
    <m/>
    <m/>
    <m/>
    <m/>
    <s v="ATENDE"/>
    <s v="ATENDE"/>
    <s v="ATENDE"/>
    <s v="ATENDE"/>
    <s v="C4"/>
    <s v="P6"/>
    <n v="1.5933333333333333"/>
    <n v="7.78"/>
    <n v="3.5"/>
    <n v="3"/>
    <n v="0.6"/>
    <s v="ATENDE"/>
    <s v="ATENDE"/>
    <s v="ATENDE"/>
    <s v="P6"/>
    <n v="0.87000000000000011"/>
    <n v="5.61"/>
    <n v="2.93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6"/>
    <s v="PVP"/>
    <s v="Rua Navegante, 210"/>
    <n v="-29.987494999999999"/>
    <n v="-50.126356999999999"/>
    <s v="C4"/>
    <x v="0"/>
    <s v="P6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8.4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99999999999997E-2"/>
    <n v="2.5"/>
    <s v="-"/>
    <n v="10.91"/>
    <n v="0.63"/>
    <m/>
    <m/>
    <m/>
    <m/>
    <s v="ATENDE"/>
    <s v="ATENDE"/>
    <s v="ATENDE"/>
    <s v="ATENDE"/>
    <s v="C4"/>
    <s v="P6"/>
    <n v="1.2933333333333334"/>
    <n v="6.88"/>
    <n v="2.4500000000000002"/>
    <n v="3"/>
    <n v="0.6"/>
    <s v="ATENDE"/>
    <s v="ATENDE"/>
    <s v="ATENDE"/>
    <s v="P6"/>
    <n v="0.46666666666666679"/>
    <n v="4.4000000000000004"/>
    <n v="1.9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6"/>
    <s v="PVP"/>
    <s v="Rua Navegante, 210"/>
    <n v="-29.987494999999999"/>
    <n v="-50.126356999999999"/>
    <s v="C4"/>
    <x v="0"/>
    <s v="P6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8.4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2.5"/>
    <s v="-"/>
    <n v="10.74"/>
    <n v="0.63"/>
    <m/>
    <m/>
    <m/>
    <m/>
    <s v="ATENDE"/>
    <s v="ATENDE"/>
    <s v="ATENDE"/>
    <s v="ATENDE"/>
    <s v="C4"/>
    <s v="P6"/>
    <n v="1.3766666666666665"/>
    <n v="7.13"/>
    <n v="3.79"/>
    <n v="3"/>
    <n v="0.6"/>
    <s v="ATENDE"/>
    <s v="ATENDE"/>
    <s v="ATENDE"/>
    <s v="P6"/>
    <n v="0.41333333333333333"/>
    <n v="4.24"/>
    <n v="2.49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7"/>
    <s v="PV"/>
    <s v="Rua Tres de Outubro, 1335"/>
    <n v="-29.989436000000001"/>
    <n v="-50.126370000000001"/>
    <s v="C3"/>
    <x v="0"/>
    <s v="P5"/>
    <s v="Vapor de sódio"/>
    <n v="100"/>
    <n v="17"/>
    <n v="0"/>
    <n v="200"/>
    <n v="2"/>
    <n v="4"/>
    <n v="7"/>
    <m/>
    <m/>
    <n v="0"/>
    <n v="0"/>
    <n v="0"/>
    <n v="0"/>
    <n v="0"/>
    <n v="0"/>
    <n v="0"/>
    <s v="Unilateral"/>
    <s v="Braço"/>
    <n v="26.6"/>
    <n v="7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9.4666666666666677E-2"/>
    <n v="1.9444444444444446"/>
    <s v="-"/>
    <n v="16.420000000000002"/>
    <n v="0.53"/>
    <m/>
    <m/>
    <m/>
    <m/>
    <s v="ATENDE"/>
    <s v="ATENDE"/>
    <s v="ATENDE"/>
    <s v="ATENDE"/>
    <s v="C3"/>
    <s v="P5"/>
    <n v="1.298"/>
    <n v="11.49"/>
    <n v="5.83"/>
    <n v="5"/>
    <n v="1"/>
    <s v="ATENDE"/>
    <s v="ATENDE"/>
    <s v="ATENDE"/>
    <s v="-"/>
    <e v="#VALUE!"/>
    <m/>
    <m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37"/>
    <s v="PV"/>
    <s v="Rua Tres de Outubro, 1335"/>
    <n v="-29.989436000000001"/>
    <n v="-50.126370000000001"/>
    <s v="C3"/>
    <x v="0"/>
    <s v="P5"/>
    <s v="Vapor de sódio"/>
    <n v="100"/>
    <n v="17"/>
    <n v="0"/>
    <n v="200"/>
    <n v="2"/>
    <n v="4"/>
    <n v="7"/>
    <m/>
    <m/>
    <n v="0"/>
    <n v="0"/>
    <n v="0"/>
    <n v="0"/>
    <n v="0"/>
    <n v="0"/>
    <n v="0"/>
    <s v="Unilateral"/>
    <s v="Braço"/>
    <n v="26.6"/>
    <n v="7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9733333333333345"/>
    <n v="2.7777777777777781"/>
    <s v="-"/>
    <n v="19.46"/>
    <n v="0.68"/>
    <m/>
    <m/>
    <m/>
    <m/>
    <s v="ATENDE"/>
    <s v="ATENDE"/>
    <s v="ATENDE"/>
    <s v="ATENDE"/>
    <s v="C3"/>
    <s v="P5"/>
    <n v="1.4820000000000002"/>
    <n v="12.41"/>
    <n v="5.72"/>
    <n v="5"/>
    <n v="1"/>
    <s v="ATENDE"/>
    <s v="ATENDE"/>
    <s v="ATENDE"/>
    <s v="-"/>
    <e v="#VALUE!"/>
    <m/>
    <m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37"/>
    <s v="PV"/>
    <s v="Rua Tres de Outubro, 1335"/>
    <n v="-29.989436000000001"/>
    <n v="-50.126370000000001"/>
    <s v="C3"/>
    <x v="0"/>
    <s v="P5"/>
    <s v="Vapor de sódio"/>
    <n v="100"/>
    <n v="17"/>
    <n v="0"/>
    <n v="200"/>
    <n v="2"/>
    <n v="4"/>
    <n v="7"/>
    <m/>
    <m/>
    <n v="0"/>
    <n v="0"/>
    <n v="0"/>
    <n v="0"/>
    <n v="0"/>
    <n v="0"/>
    <n v="0"/>
    <s v="Unilateral"/>
    <s v="Braço"/>
    <n v="26.6"/>
    <n v="7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6.6666666666659324E-4"/>
    <n v="2.3333333333333335"/>
    <s v="-"/>
    <n v="15.01"/>
    <n v="0.6"/>
    <m/>
    <m/>
    <m/>
    <m/>
    <s v="ATENDE"/>
    <s v="ATENDE"/>
    <s v="ATENDE"/>
    <s v="ATENDE"/>
    <s v="C3"/>
    <s v="P5"/>
    <n v="0.92399999999999993"/>
    <n v="9.6199999999999992"/>
    <n v="5.26"/>
    <n v="5"/>
    <n v="1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32"/>
    <s v="PVP"/>
    <s v="Rua Francisco Caetano Azevedo, 201"/>
    <n v="-29.984348000000001"/>
    <n v="-50.14138599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200000000000014"/>
    <n v="1.5"/>
    <s v="-"/>
    <n v="8.64"/>
    <n v="0.45"/>
    <m/>
    <m/>
    <m/>
    <m/>
    <s v="ATENDE"/>
    <s v="ATENDE"/>
    <s v="ATENDE"/>
    <s v="ATENDE"/>
    <s v="C5"/>
    <s v="P6"/>
    <n v="1.4166666666666665"/>
    <n v="7.25"/>
    <n v="2.88"/>
    <n v="3"/>
    <n v="0.6"/>
    <s v="ATENDE"/>
    <s v="ATENDE"/>
    <s v="ATENDE"/>
    <s v="P6"/>
    <n v="0.76666666666666661"/>
    <n v="5.3"/>
    <n v="2.69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2"/>
    <s v="PVP"/>
    <s v="Rua Francisco Caetano Azevedo, 201"/>
    <n v="-29.984348000000001"/>
    <n v="-50.14138599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066666666666669"/>
    <n v="1.9444444444444446"/>
    <s v="-"/>
    <n v="8.33"/>
    <n v="0.53"/>
    <m/>
    <m/>
    <m/>
    <m/>
    <s v="ATENDE"/>
    <s v="ATENDE"/>
    <s v="ATENDE"/>
    <s v="ATENDE"/>
    <s v="C5"/>
    <s v="P6"/>
    <n v="1.25"/>
    <n v="6.75"/>
    <n v="2.36"/>
    <n v="3"/>
    <n v="0.6"/>
    <s v="ATENDE"/>
    <s v="ATENDE"/>
    <s v="ATENDE"/>
    <s v="P6"/>
    <n v="0.49666666666666681"/>
    <n v="4.49"/>
    <n v="2.7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2"/>
    <s v="PVP"/>
    <s v="Rua Francisco Caetano Azevedo, 201"/>
    <n v="-29.984348000000001"/>
    <n v="-50.14138599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866666666666668E-2"/>
    <n v="2.2222222222222223"/>
    <s v="-"/>
    <n v="8.24"/>
    <n v="0.57999999999999996"/>
    <m/>
    <m/>
    <m/>
    <m/>
    <s v="ATENDE"/>
    <s v="ATENDE"/>
    <s v="ATENDE"/>
    <s v="ATENDE"/>
    <s v="C5"/>
    <s v="P6"/>
    <n v="1.25"/>
    <n v="6.75"/>
    <n v="3.37"/>
    <n v="3"/>
    <n v="0.6"/>
    <s v="ATENDE"/>
    <s v="ATENDE"/>
    <s v="ATENDE"/>
    <s v="P6"/>
    <n v="0.37666666666666671"/>
    <n v="4.13"/>
    <n v="2.9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3"/>
    <s v="V"/>
    <s v="Rua Saldanha da Gama, 128"/>
    <n v="-29.982942999999999"/>
    <n v="-50.134264999999999"/>
    <s v="C5"/>
    <x v="0"/>
    <n v="0"/>
    <s v="Vapor de mercúrio"/>
    <n v="100"/>
    <n v="17"/>
    <n v="0"/>
    <n v="400"/>
    <n v="1"/>
    <n v="0"/>
    <n v="2.5"/>
    <m/>
    <m/>
    <n v="0"/>
    <n v="0"/>
    <n v="0"/>
    <n v="0"/>
    <n v="0"/>
    <n v="0"/>
    <n v="0"/>
    <s v="Unilateral"/>
    <s v="Braço"/>
    <n v="29.9"/>
    <n v="6"/>
    <n v="2"/>
    <n v="0"/>
    <n v="1.3"/>
    <n v="1.3"/>
    <s v="-"/>
    <s v="-"/>
    <s v="Sim"/>
    <n v="4"/>
    <n v="0"/>
    <n v="0"/>
    <n v="0"/>
    <n v="0"/>
    <n v="0"/>
    <s v="-"/>
    <n v="0"/>
    <m/>
    <n v="7.5"/>
    <n v="0.18"/>
    <s v="-"/>
    <n v="0.18"/>
    <s v="-"/>
    <n v="16"/>
    <s v="ATENDE"/>
    <n v="0.33333333333333326"/>
    <n v="1.166666666666667"/>
    <s v="-"/>
    <n v="10"/>
    <n v="0.39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17W"/>
    <s v="LUM LED SL VT 9.1 17W"/>
    <m/>
    <e v="#N/A"/>
    <n v="2"/>
    <n v="17"/>
    <n v="0"/>
    <n v="2929.66"/>
    <n v="0"/>
    <n v="0"/>
    <m/>
    <s v="Curto II"/>
    <m/>
    <s v=""/>
    <s v=""/>
    <m/>
    <m/>
    <m/>
    <m/>
    <m/>
    <m/>
    <n v="17"/>
    <n v="100"/>
    <n v="234"/>
    <n v="0.83"/>
    <m/>
    <m/>
    <s v="Sim"/>
    <m/>
  </r>
  <r>
    <n v="33"/>
    <s v="V"/>
    <s v="Rua Saldanha da Gama, 128"/>
    <n v="-29.982942999999999"/>
    <n v="-50.134264999999999"/>
    <s v="C5"/>
    <x v="0"/>
    <n v="0"/>
    <s v="Vapor de mercúrio"/>
    <n v="100"/>
    <n v="17"/>
    <n v="0"/>
    <n v="400"/>
    <n v="1"/>
    <n v="0"/>
    <n v="2.5"/>
    <m/>
    <m/>
    <n v="0"/>
    <n v="0"/>
    <n v="0"/>
    <n v="0"/>
    <n v="0"/>
    <n v="0"/>
    <n v="0"/>
    <s v="Unilateral"/>
    <s v="Braço"/>
    <n v="29.9"/>
    <n v="6"/>
    <n v="2"/>
    <n v="0"/>
    <n v="1.3"/>
    <n v="1.3"/>
    <s v="-"/>
    <s v="-"/>
    <s v="Sim"/>
    <n v="4"/>
    <n v="0"/>
    <n v="0"/>
    <n v="0"/>
    <n v="0"/>
    <n v="0"/>
    <s v="-"/>
    <n v="0"/>
    <m/>
    <n v="7.5"/>
    <n v="0.18"/>
    <s v="-"/>
    <n v="0.18"/>
    <s v="-"/>
    <n v="16"/>
    <s v="ATENDE"/>
    <n v="0.78800000000000003"/>
    <n v="1.2222222222222223"/>
    <s v="-"/>
    <n v="13.41"/>
    <n v="0.4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20HF"/>
    <s v="SXINEVO020K40L12CZF7PHF"/>
    <m/>
    <e v="#N/A"/>
    <n v="2"/>
    <n v="22.5"/>
    <n v="0"/>
    <n v="3825"/>
    <n v="0"/>
    <n v="0"/>
    <m/>
    <s v="Curto II"/>
    <m/>
    <s v=""/>
    <s v=""/>
    <m/>
    <m/>
    <m/>
    <m/>
    <m/>
    <m/>
    <n v="22.5"/>
    <n v="100"/>
    <n v="245"/>
    <n v="0.77500000000000002"/>
    <m/>
    <m/>
    <s v="Sim"/>
    <m/>
  </r>
  <r>
    <n v="33"/>
    <s v="V"/>
    <s v="Rua Saldanha da Gama, 128"/>
    <n v="-29.982942999999999"/>
    <n v="-50.134264999999999"/>
    <s v="C5"/>
    <x v="0"/>
    <n v="0"/>
    <s v="Vapor de mercúrio"/>
    <n v="100"/>
    <n v="17"/>
    <n v="0"/>
    <n v="400"/>
    <n v="1"/>
    <n v="0"/>
    <n v="2.5"/>
    <m/>
    <m/>
    <n v="0"/>
    <n v="0"/>
    <n v="0"/>
    <n v="0"/>
    <n v="0"/>
    <n v="0"/>
    <n v="0"/>
    <s v="Unilateral"/>
    <s v="Braço"/>
    <n v="29.9"/>
    <n v="6"/>
    <n v="2"/>
    <n v="0"/>
    <n v="1.3"/>
    <n v="1.3"/>
    <s v="-"/>
    <s v="-"/>
    <s v="Sim"/>
    <n v="4"/>
    <n v="0"/>
    <n v="0"/>
    <n v="0"/>
    <n v="0"/>
    <n v="0"/>
    <s v="-"/>
    <n v="0"/>
    <m/>
    <n v="7.5"/>
    <n v="0.18"/>
    <s v="-"/>
    <n v="0.18"/>
    <s v="-"/>
    <n v="16"/>
    <s v="ATENDE"/>
    <n v="1.6533333333333333"/>
    <n v="1.5555555555555558"/>
    <s v="-"/>
    <n v="19.899999999999999"/>
    <n v="0.46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2"/>
    <n v="30"/>
    <n v="0"/>
    <n v="5266"/>
    <n v="0"/>
    <n v="0"/>
    <m/>
    <s v="Curto II"/>
    <m/>
    <s v=""/>
    <s v=""/>
    <m/>
    <m/>
    <m/>
    <m/>
    <m/>
    <m/>
    <n v="30"/>
    <n v="100"/>
    <n v="260"/>
    <n v="0.7"/>
    <m/>
    <m/>
    <s v="Sim"/>
    <m/>
  </r>
  <r>
    <n v="40"/>
    <s v="VP"/>
    <s v="Avenida Emancipacao, 2894"/>
    <n v="-30.004162999999998"/>
    <n v="-50.14913"/>
    <s v="C2"/>
    <x v="0"/>
    <s v="P6"/>
    <s v="LED"/>
    <n v="300"/>
    <n v="0"/>
    <n v="0"/>
    <n v="1200"/>
    <n v="2"/>
    <n v="0"/>
    <n v="8.1999999999999993"/>
    <m/>
    <m/>
    <n v="0"/>
    <n v="3.8"/>
    <n v="10"/>
    <n v="0"/>
    <n v="0"/>
    <n v="0"/>
    <n v="0"/>
    <s v="Canteiro central"/>
    <s v="Braço"/>
    <n v="45.1"/>
    <n v="7.6"/>
    <n v="2"/>
    <n v="5.6"/>
    <n v="2.5"/>
    <n v="-3.0999999999999996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8000000000000016E-2"/>
    <n v="0.35714285714285698"/>
    <s v="-"/>
    <n v="20.36"/>
    <n v="0.38"/>
    <m/>
    <m/>
    <m/>
    <m/>
    <s v="ATENDE"/>
    <s v="ATENDE"/>
    <s v="ATENDE"/>
    <s v="ATENDE"/>
    <s v="C2"/>
    <s v="-"/>
    <e v="#VALUE!"/>
    <s v=" -"/>
    <s v=" -"/>
    <s v="-"/>
    <s v="-"/>
    <s v="-"/>
    <s v="-"/>
    <s v="-"/>
    <s v="P6"/>
    <n v="1.7666666666666671"/>
    <n v="8.3000000000000007"/>
    <n v="4.63"/>
    <n v="3"/>
    <n v="0.6"/>
    <s v="ATENDE"/>
    <s v="ATENDE"/>
    <s v="ATENDE"/>
    <x v="0"/>
    <s v=" SL VT 9.1 155W"/>
    <s v="LUM LED SL VT 9.1 155W"/>
    <m/>
    <n v="0"/>
    <n v="2"/>
    <n v="155"/>
    <n v="0"/>
    <n v="24540"/>
    <n v="0"/>
    <n v="0"/>
    <n v="10"/>
    <s v="Médio II"/>
    <s v="Longo I"/>
    <n v="2.8"/>
    <n v="8"/>
    <m/>
    <m/>
    <m/>
    <m/>
    <m/>
    <m/>
    <n v="155"/>
    <n v="300"/>
    <n v="910"/>
    <n v="0.48333333333333328"/>
    <m/>
    <m/>
    <s v="Sim"/>
    <m/>
  </r>
  <r>
    <n v="40"/>
    <s v="VP"/>
    <s v="Avenida Emancipacao, 2894"/>
    <n v="-30.004162999999998"/>
    <n v="-50.14913"/>
    <s v="C2"/>
    <x v="0"/>
    <s v="P6"/>
    <s v="LED"/>
    <n v="300"/>
    <n v="0"/>
    <n v="0"/>
    <n v="1200"/>
    <n v="2"/>
    <n v="0"/>
    <n v="8.1999999999999993"/>
    <m/>
    <m/>
    <n v="0"/>
    <n v="3.8"/>
    <n v="10"/>
    <n v="0"/>
    <n v="0"/>
    <n v="0"/>
    <n v="0"/>
    <s v="Canteiro central"/>
    <s v="Braço"/>
    <n v="45.1"/>
    <n v="7.6"/>
    <n v="2"/>
    <n v="5.6"/>
    <n v="2.5"/>
    <n v="-3.0999999999999996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4450000000000007"/>
    <n v="0.21428571428571419"/>
    <s v="-"/>
    <n v="22.89"/>
    <n v="0.34"/>
    <m/>
    <m/>
    <m/>
    <m/>
    <s v="ATENDE"/>
    <s v="ATENDE"/>
    <s v="ATENDE"/>
    <s v="ATENDE"/>
    <s v="C2"/>
    <s v="-"/>
    <e v="#VALUE!"/>
    <s v=" -"/>
    <s v=" -"/>
    <s v="-"/>
    <s v="-"/>
    <s v="-"/>
    <s v="-"/>
    <s v="-"/>
    <s v="P6"/>
    <n v="1.5033333333333334"/>
    <n v="7.51"/>
    <n v="4.42"/>
    <n v="3"/>
    <n v="0.6"/>
    <s v="ATENDE"/>
    <s v="ATENDE"/>
    <s v="ATENDE"/>
    <x v="1"/>
    <s v="SX-INLPE150HF"/>
    <s v="SXINLPE150K40L12CZF7PHF"/>
    <m/>
    <n v="0"/>
    <n v="2"/>
    <n v="146"/>
    <n v="0"/>
    <n v="26908"/>
    <n v="0"/>
    <n v="0"/>
    <n v="10"/>
    <s v="Médio II"/>
    <m/>
    <s v=""/>
    <s v=""/>
    <m/>
    <m/>
    <m/>
    <m/>
    <m/>
    <m/>
    <n v="146"/>
    <n v="300"/>
    <n v="892"/>
    <n v="0.51333333333333331"/>
    <m/>
    <m/>
    <s v="Sim"/>
    <m/>
  </r>
  <r>
    <n v="40"/>
    <s v="VP"/>
    <s v="Avenida Emancipacao, 2894"/>
    <n v="-30.004162999999998"/>
    <n v="-50.14913"/>
    <s v="C2"/>
    <x v="0"/>
    <s v="P6"/>
    <s v="LED"/>
    <n v="300"/>
    <n v="0"/>
    <n v="0"/>
    <n v="1200"/>
    <n v="2"/>
    <n v="0"/>
    <n v="8.1999999999999993"/>
    <m/>
    <m/>
    <n v="0"/>
    <n v="3.8"/>
    <n v="10"/>
    <n v="0"/>
    <n v="0"/>
    <n v="0"/>
    <n v="0"/>
    <s v="Canteiro central"/>
    <s v="Braço"/>
    <n v="45.1"/>
    <n v="7.6"/>
    <n v="2"/>
    <n v="5.6"/>
    <n v="2.5"/>
    <n v="-3.0999999999999996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2000000000000011E-2"/>
    <n v="0.8214285714285714"/>
    <s v="-"/>
    <n v="20.239999999999998"/>
    <n v="0.51"/>
    <m/>
    <m/>
    <m/>
    <m/>
    <s v="ATENDE"/>
    <s v="ATENDE"/>
    <s v="ATENDE"/>
    <s v="ATENDE"/>
    <s v="C2"/>
    <s v="-"/>
    <e v="#VALUE!"/>
    <s v=" -"/>
    <s v=" -"/>
    <s v="-"/>
    <s v="-"/>
    <s v="-"/>
    <s v="-"/>
    <s v="-"/>
    <s v="P6"/>
    <n v="1.6966666666666668"/>
    <n v="8.09"/>
    <n v="6.22"/>
    <n v="3"/>
    <n v="0.6"/>
    <s v="ATENDE"/>
    <s v="ATENDE"/>
    <s v="ATENDE"/>
    <x v="2"/>
    <s v="SIGMAGPTLRRSMNDL150W102IBBR_x000a_"/>
    <s v="SIGMAGPTLRRSMNDL150W102IBBR_x000a_S1-10C1MUN6.5"/>
    <m/>
    <n v="0"/>
    <n v="2"/>
    <n v="150"/>
    <n v="0"/>
    <n v="23000"/>
    <n v="0"/>
    <n v="0"/>
    <n v="10"/>
    <s v="Médio II"/>
    <s v="Longo II"/>
    <n v="3.5"/>
    <n v="8.5"/>
    <m/>
    <m/>
    <m/>
    <m/>
    <m/>
    <m/>
    <n v="150"/>
    <n v="300"/>
    <n v="900"/>
    <n v="0.5"/>
    <m/>
    <m/>
    <s v="Sim"/>
    <m/>
  </r>
  <r>
    <n v="39"/>
    <s v="PVP"/>
    <s v="Rua Marrocos, 348"/>
    <n v="-30.001194999999999"/>
    <n v="-50.156247"/>
    <s v="C5"/>
    <x v="0"/>
    <s v="P6"/>
    <s v="Vapor de sódio"/>
    <n v="100"/>
    <n v="17"/>
    <n v="0"/>
    <n v="200"/>
    <n v="2"/>
    <n v="2.5"/>
    <n v="7"/>
    <m/>
    <m/>
    <n v="0"/>
    <n v="2.5"/>
    <n v="2.5"/>
    <n v="0"/>
    <n v="0"/>
    <n v="0"/>
    <n v="0"/>
    <s v="Unilateral"/>
    <s v="Braço"/>
    <n v="21.8"/>
    <n v="7.5"/>
    <n v="1"/>
    <n v="0.8"/>
    <n v="1.3"/>
    <n v="0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7999999999999989"/>
    <n v="2.5555555555555558"/>
    <s v="-"/>
    <n v="10.35"/>
    <n v="0.64"/>
    <m/>
    <m/>
    <m/>
    <m/>
    <s v="ATENDE"/>
    <s v="ATENDE"/>
    <s v="ATENDE"/>
    <s v="ATENDE"/>
    <s v="C5"/>
    <s v="P6"/>
    <n v="2.1300000000000003"/>
    <n v="9.39"/>
    <n v="6.21"/>
    <n v="3"/>
    <n v="0.6"/>
    <s v="ATENDE"/>
    <s v="ATENDE"/>
    <s v="ATENDE"/>
    <s v="P6"/>
    <n v="0.15666666666666673"/>
    <n v="3.47"/>
    <n v="2.4900000000000002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39"/>
    <s v="PVP"/>
    <s v="Rua Marrocos, 348"/>
    <n v="-30.001194999999999"/>
    <n v="-50.156247"/>
    <s v="C5"/>
    <x v="0"/>
    <s v="P6"/>
    <s v="Vapor de sódio"/>
    <n v="100"/>
    <n v="17"/>
    <n v="0"/>
    <n v="200"/>
    <n v="2"/>
    <n v="2.5"/>
    <n v="7"/>
    <m/>
    <m/>
    <n v="0"/>
    <n v="2.5"/>
    <n v="2.5"/>
    <n v="0"/>
    <n v="0"/>
    <n v="0"/>
    <n v="0"/>
    <s v="Unilateral"/>
    <s v="Braço"/>
    <n v="21.8"/>
    <n v="7.5"/>
    <n v="1"/>
    <n v="0.8"/>
    <n v="1.3"/>
    <n v="0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86666666666667"/>
    <n v="3.2777777777777777"/>
    <s v="-"/>
    <n v="8.39"/>
    <n v="0.77"/>
    <m/>
    <m/>
    <m/>
    <m/>
    <s v="ATENDE"/>
    <s v="ATENDE"/>
    <s v="ATENDE"/>
    <s v="ATENDE"/>
    <s v="C5"/>
    <s v="P6"/>
    <n v="1.3133333333333335"/>
    <n v="6.94"/>
    <n v="4.8899999999999997"/>
    <n v="3"/>
    <n v="0.6"/>
    <s v="ATENDE"/>
    <s v="ATENDE"/>
    <s v="ATENDE"/>
    <s v="P6"/>
    <n v="1.6666666666666607E-2"/>
    <n v="3.05"/>
    <n v="2.0299999999999998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39"/>
    <s v="PVP"/>
    <s v="Rua Marrocos, 348"/>
    <n v="-30.001194999999999"/>
    <n v="-50.156247"/>
    <s v="C5"/>
    <x v="0"/>
    <s v="P6"/>
    <s v="Vapor de sódio"/>
    <n v="100"/>
    <n v="17"/>
    <n v="0"/>
    <n v="200"/>
    <n v="2"/>
    <n v="2.5"/>
    <n v="7"/>
    <m/>
    <m/>
    <n v="0"/>
    <n v="2.5"/>
    <n v="2.5"/>
    <n v="0"/>
    <n v="0"/>
    <n v="0"/>
    <n v="0"/>
    <s v="Unilateral"/>
    <s v="Braço"/>
    <n v="21.8"/>
    <n v="7.5"/>
    <n v="1"/>
    <n v="0.8"/>
    <n v="1.3"/>
    <n v="0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8666666666666676"/>
    <n v="2.9444444444444442"/>
    <s v="-"/>
    <n v="12.65"/>
    <n v="0.71"/>
    <m/>
    <m/>
    <m/>
    <m/>
    <s v="ATENDE"/>
    <s v="ATENDE"/>
    <s v="ATENDE"/>
    <s v="ATENDE"/>
    <s v="C5"/>
    <s v="P6"/>
    <n v="2.5966666666666662"/>
    <n v="10.79"/>
    <n v="7.91"/>
    <n v="3"/>
    <n v="0.6"/>
    <s v="ATENDE"/>
    <s v="ATENDE"/>
    <s v="ATENDE"/>
    <s v="P6"/>
    <n v="6.6666666666666652E-2"/>
    <n v="3.2"/>
    <n v="2.22000000000000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41"/>
    <s v="PVP"/>
    <s v="Avenida Nordeste, 530"/>
    <n v="-30.007919000000001"/>
    <n v="-50.141629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4666666666666677E-2"/>
    <n v="0.5555555555555558"/>
    <s v="-"/>
    <n v="8.2100000000000009"/>
    <n v="0.28000000000000003"/>
    <m/>
    <m/>
    <m/>
    <m/>
    <s v="ATENDE"/>
    <s v="ATENDE"/>
    <s v="ATENDE"/>
    <s v="ATENDE"/>
    <s v="C5"/>
    <s v="P6"/>
    <n v="1.2733333333333334"/>
    <n v="6.82"/>
    <n v="1.74"/>
    <n v="3"/>
    <n v="0.6"/>
    <s v="ATENDE"/>
    <s v="ATENDE"/>
    <s v="ATENDE"/>
    <s v="P6"/>
    <n v="0.7699999999999998"/>
    <n v="5.31"/>
    <n v="1.95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41"/>
    <s v="PVP"/>
    <s v="Avenida Nordeste, 530"/>
    <n v="-30.007919000000001"/>
    <n v="-50.141629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1333333333333222E-2"/>
    <n v="0.5555555555555558"/>
    <s v="-"/>
    <n v="7.81"/>
    <n v="0.28000000000000003"/>
    <m/>
    <m/>
    <m/>
    <m/>
    <s v="ATENDE"/>
    <s v="ATENDE"/>
    <s v="ATENDE"/>
    <s v="ATENDE"/>
    <s v="C5"/>
    <s v="P6"/>
    <n v="1.1566666666666667"/>
    <n v="6.47"/>
    <n v="1.17"/>
    <n v="3"/>
    <n v="0.6"/>
    <s v="ATENDE"/>
    <s v="ATENDE"/>
    <s v="ATENDE"/>
    <s v="P6"/>
    <n v="0.56333333333333346"/>
    <n v="4.6900000000000004"/>
    <n v="2.0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41"/>
    <s v="PVP"/>
    <s v="Avenida Nordeste, 530"/>
    <n v="-30.007919000000001"/>
    <n v="-50.141629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399999999999991"/>
    <n v="0.22222222222222232"/>
    <s v="-"/>
    <n v="8.58"/>
    <n v="0.22"/>
    <m/>
    <m/>
    <m/>
    <m/>
    <s v="ATENDE"/>
    <s v="ATENDE"/>
    <s v="ATENDE"/>
    <s v="ATENDE"/>
    <s v="C5"/>
    <s v="P6"/>
    <n v="0.58333333333333326"/>
    <n v="4.75"/>
    <n v="1.17"/>
    <n v="3"/>
    <n v="0.6"/>
    <s v="ATENDE"/>
    <s v="ATENDE"/>
    <s v="ATENDE"/>
    <s v="P6"/>
    <n v="1.0433333333333334"/>
    <n v="6.13"/>
    <n v="1.8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100"/>
    <n v="140"/>
    <n v="0.6"/>
    <m/>
    <m/>
    <s v="Sim"/>
    <m/>
  </r>
  <r>
    <n v="42"/>
    <s v="PVP"/>
    <s v="Rua Santos Dumont, 3485"/>
    <n v="-30.007477000000002"/>
    <n v="-50.144216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5.1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666666666666663"/>
    <n v="2.0000000000000004"/>
    <s v="-"/>
    <n v="9.65"/>
    <n v="0.54"/>
    <m/>
    <m/>
    <m/>
    <m/>
    <s v="ATENDE"/>
    <s v="ATENDE"/>
    <s v="ATENDE"/>
    <s v="ATENDE"/>
    <s v="C5"/>
    <s v="P6"/>
    <n v="1.65"/>
    <n v="7.95"/>
    <n v="4.38"/>
    <n v="3"/>
    <n v="0.6"/>
    <s v="ATENDE"/>
    <s v="ATENDE"/>
    <s v="ATENDE"/>
    <s v="P6"/>
    <n v="0.88666666666666671"/>
    <n v="5.66"/>
    <n v="3.5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42"/>
    <s v="PVP"/>
    <s v="Rua Santos Dumont, 3485"/>
    <n v="-30.007477000000002"/>
    <n v="-50.144216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5.1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7333333333333254E-2"/>
    <n v="3"/>
    <s v="-"/>
    <n v="8.08"/>
    <n v="0.72"/>
    <m/>
    <m/>
    <m/>
    <m/>
    <s v="ATENDE"/>
    <s v="ATENDE"/>
    <s v="ATENDE"/>
    <s v="ATENDE"/>
    <s v="C5"/>
    <s v="P6"/>
    <n v="1.1433333333333331"/>
    <n v="6.43"/>
    <n v="3.94"/>
    <n v="3"/>
    <n v="0.6"/>
    <s v="ATENDE"/>
    <s v="ATENDE"/>
    <s v="ATENDE"/>
    <s v="P6"/>
    <n v="0.40000000000000013"/>
    <n v="4.2"/>
    <n v="3.43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42"/>
    <s v="PVP"/>
    <s v="Rua Santos Dumont, 3485"/>
    <n v="-30.007477000000002"/>
    <n v="-50.144216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5.1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7866666666666666"/>
    <n v="2.7222222222222228"/>
    <s v="-"/>
    <n v="11.84"/>
    <n v="0.67"/>
    <m/>
    <m/>
    <m/>
    <m/>
    <s v="ATENDE"/>
    <s v="ATENDE"/>
    <s v="ATENDE"/>
    <s v="ATENDE"/>
    <s v="C5"/>
    <s v="P6"/>
    <n v="2.0833333333333335"/>
    <n v="9.25"/>
    <n v="6.12"/>
    <n v="3"/>
    <n v="0.6"/>
    <s v="ATENDE"/>
    <s v="ATENDE"/>
    <s v="ATENDE"/>
    <s v="P6"/>
    <n v="0.82000000000000006"/>
    <n v="5.46"/>
    <n v="3.5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43"/>
    <s v="PVP"/>
    <s v="Rua Castro Alves, 1029"/>
    <n v="-30.005645000000001"/>
    <n v="-50.145743000000003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4.200000000000003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733333333333333"/>
    <n v="1.3888888888888888"/>
    <s v="-"/>
    <n v="8.68"/>
    <n v="0.43"/>
    <m/>
    <m/>
    <m/>
    <m/>
    <s v="ATENDE"/>
    <s v="ATENDE"/>
    <s v="ATENDE"/>
    <s v="ATENDE"/>
    <s v="C5"/>
    <s v="P6"/>
    <n v="1.2933333333333334"/>
    <n v="6.88"/>
    <n v="2.74"/>
    <n v="3"/>
    <n v="0.6"/>
    <s v="ATENDE"/>
    <s v="ATENDE"/>
    <s v="ATENDE"/>
    <s v="P6"/>
    <n v="0.87000000000000011"/>
    <n v="5.61"/>
    <n v="2.82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Médio I"/>
    <m/>
    <s v=""/>
    <s v=""/>
    <m/>
    <m/>
    <m/>
    <m/>
    <m/>
    <m/>
    <n v="35"/>
    <n v="70"/>
    <n v="105"/>
    <n v="0.5"/>
    <m/>
    <m/>
    <s v="Sim"/>
    <m/>
  </r>
  <r>
    <n v="43"/>
    <s v="PVP"/>
    <s v="Rua Castro Alves, 1029"/>
    <n v="-30.005645000000001"/>
    <n v="-50.145743000000003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4.200000000000003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733333333333351"/>
    <n v="1.7222222222222223"/>
    <s v="-"/>
    <n v="8.3800000000000008"/>
    <n v="0.49"/>
    <m/>
    <m/>
    <m/>
    <m/>
    <s v="ATENDE"/>
    <s v="ATENDE"/>
    <s v="ATENDE"/>
    <s v="ATENDE"/>
    <s v="C5"/>
    <s v="P6"/>
    <n v="1.1033333333333331"/>
    <n v="6.31"/>
    <n v="2.12"/>
    <n v="3"/>
    <n v="0.6"/>
    <s v="ATENDE"/>
    <s v="ATENDE"/>
    <s v="ATENDE"/>
    <s v="P6"/>
    <n v="0.62000000000000011"/>
    <n v="4.8600000000000003"/>
    <n v="2.97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Médio I"/>
    <m/>
    <s v=""/>
    <s v=""/>
    <m/>
    <m/>
    <m/>
    <m/>
    <m/>
    <m/>
    <n v="31"/>
    <n v="70"/>
    <n v="101"/>
    <n v="0.55714285714285716"/>
    <m/>
    <m/>
    <s v="Sim"/>
    <m/>
  </r>
  <r>
    <n v="43"/>
    <s v="PVP"/>
    <s v="Rua Castro Alves, 1029"/>
    <n v="-30.005645000000001"/>
    <n v="-50.145743000000003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4.200000000000003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2.0555555555555558"/>
    <s v="-"/>
    <n v="8.32"/>
    <n v="0.55000000000000004"/>
    <m/>
    <m/>
    <m/>
    <m/>
    <s v="ATENDE"/>
    <s v="ATENDE"/>
    <s v="ATENDE"/>
    <s v="ATENDE"/>
    <s v="C5"/>
    <s v="P6"/>
    <n v="1.1133333333333333"/>
    <n v="6.34"/>
    <n v="3.17"/>
    <n v="3"/>
    <n v="0.6"/>
    <s v="ATENDE"/>
    <s v="ATENDE"/>
    <s v="ATENDE"/>
    <s v="P6"/>
    <n v="0.47666666666666657"/>
    <n v="4.43"/>
    <n v="3.1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"/>
    <m/>
    <s v=""/>
    <s v=""/>
    <m/>
    <m/>
    <m/>
    <m/>
    <m/>
    <m/>
    <n v="30"/>
    <n v="70"/>
    <n v="100"/>
    <n v="0.5714285714285714"/>
    <m/>
    <m/>
    <s v="Sim"/>
    <m/>
  </r>
  <r>
    <n v="44"/>
    <s v="VP"/>
    <s v="Avenida Osvaldo Aranha, 823"/>
    <n v="-30.005476000000002"/>
    <n v="-50.144716000000003"/>
    <s v="C2"/>
    <x v="0"/>
    <s v="P6"/>
    <s v="LED"/>
    <n v="50"/>
    <n v="0"/>
    <n v="0"/>
    <n v="200"/>
    <n v="2"/>
    <n v="0"/>
    <n v="7"/>
    <m/>
    <m/>
    <n v="0"/>
    <n v="4.3"/>
    <n v="3"/>
    <n v="0"/>
    <n v="0"/>
    <n v="0"/>
    <n v="0"/>
    <s v="Unilateral"/>
    <s v="Braço"/>
    <n v="37.299999999999997"/>
    <n v="7.5"/>
    <n v="2"/>
    <n v="1.5"/>
    <n v="1.9"/>
    <n v="0.39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2.9999999999998916E-3"/>
    <n v="-3.5714285714285698E-2"/>
    <s v="-"/>
    <n v="20.059999999999999"/>
    <n v="0.27"/>
    <m/>
    <m/>
    <m/>
    <m/>
    <s v="ATENDE"/>
    <s v="ATENDE"/>
    <s v="ATENDIMENTO LIMIAR"/>
    <s v="ATENDE"/>
    <s v="C2"/>
    <s v="-"/>
    <e v="#VALUE!"/>
    <m/>
    <m/>
    <s v="-"/>
    <s v="-"/>
    <s v="-"/>
    <s v="-"/>
    <s v="-"/>
    <s v="P6"/>
    <n v="6.5533333333333337"/>
    <n v="22.66"/>
    <n v="8.06"/>
    <n v="3"/>
    <n v="0.6"/>
    <s v="ATENDE"/>
    <s v="ATENDE"/>
    <s v="ATENDE"/>
    <x v="0"/>
    <s v=" SL VT 9.1 72W"/>
    <s v="LUM LED SL VT 9.1 72W"/>
    <m/>
    <n v="0"/>
    <n v="2"/>
    <n v="72"/>
    <n v="0"/>
    <n v="12107"/>
    <n v="0"/>
    <n v="0"/>
    <n v="5"/>
    <s v="Médio I"/>
    <m/>
    <s v=""/>
    <s v=""/>
    <m/>
    <m/>
    <m/>
    <m/>
    <m/>
    <m/>
    <n v="72"/>
    <n v="50"/>
    <n v="244"/>
    <n v="-0.43999999999999995"/>
    <m/>
    <m/>
    <s v="Sim"/>
    <m/>
  </r>
  <r>
    <n v="44"/>
    <s v="VP"/>
    <s v="Avenida Osvaldo Aranha, 823"/>
    <n v="-30.005476000000002"/>
    <n v="-50.144716000000003"/>
    <s v="C2"/>
    <x v="0"/>
    <s v="P6"/>
    <s v="LED"/>
    <n v="50"/>
    <n v="0"/>
    <n v="0"/>
    <n v="200"/>
    <n v="2"/>
    <n v="0"/>
    <n v="7"/>
    <m/>
    <m/>
    <n v="0"/>
    <n v="4.3"/>
    <n v="3"/>
    <n v="0"/>
    <n v="0"/>
    <n v="0"/>
    <n v="0"/>
    <s v="Unilateral"/>
    <s v="Braço"/>
    <n v="37.299999999999997"/>
    <n v="7.5"/>
    <n v="2"/>
    <n v="1.5"/>
    <n v="1.9"/>
    <n v="0.39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7449999999999988"/>
    <n v="0.14285714285714279"/>
    <s v="-"/>
    <n v="23.49"/>
    <n v="0.32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8.08"/>
    <n v="27.24"/>
    <n v="11.6"/>
    <n v="3"/>
    <n v="0.6"/>
    <s v="ATENDE"/>
    <s v="ATENDE"/>
    <s v="ATENDE"/>
    <x v="1"/>
    <s v="SX-INLPP070HF"/>
    <s v="SXINLPP070K40L12CZF7PHF"/>
    <m/>
    <n v="0"/>
    <n v="2"/>
    <n v="70"/>
    <n v="0"/>
    <n v="11970"/>
    <n v="0"/>
    <n v="0"/>
    <m/>
    <s v="Médio I"/>
    <m/>
    <s v=""/>
    <s v=""/>
    <m/>
    <m/>
    <m/>
    <m/>
    <m/>
    <m/>
    <n v="70"/>
    <n v="50"/>
    <n v="240"/>
    <n v="-0.39999999999999991"/>
    <m/>
    <m/>
    <s v="Sim"/>
    <m/>
  </r>
  <r>
    <n v="44"/>
    <s v="VP"/>
    <s v="Avenida Osvaldo Aranha, 823"/>
    <n v="-30.005476000000002"/>
    <n v="-50.144716000000003"/>
    <s v="C2"/>
    <x v="0"/>
    <s v="P6"/>
    <s v="LED"/>
    <n v="50"/>
    <n v="0"/>
    <n v="0"/>
    <n v="200"/>
    <n v="2"/>
    <n v="0"/>
    <n v="7"/>
    <m/>
    <m/>
    <n v="0"/>
    <n v="4.3"/>
    <n v="3"/>
    <n v="0"/>
    <n v="0"/>
    <n v="0"/>
    <n v="0"/>
    <s v="Unilateral"/>
    <s v="Braço"/>
    <n v="37.299999999999997"/>
    <n v="7.5"/>
    <n v="2"/>
    <n v="1.5"/>
    <n v="1.9"/>
    <n v="0.39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5499999999999847E-2"/>
    <n v="0.24999999999999978"/>
    <s v="-"/>
    <n v="20.309999999999999"/>
    <n v="0.3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6.95"/>
    <n v="23.85"/>
    <n v="9.09"/>
    <n v="3"/>
    <n v="0.6"/>
    <s v="ATENDE"/>
    <s v="ATENDE"/>
    <s v="ATENDE"/>
    <x v="2"/>
    <s v="SIGSAGPTLRRSSNDL_68W_83IBBRS_x000a_"/>
    <s v="SIGSAGPTLRRSSNDL_68W_83IBBRS_x000a_1-10C1MUN6.5"/>
    <m/>
    <n v="0"/>
    <n v="2"/>
    <n v="68"/>
    <n v="0"/>
    <n v="10884"/>
    <n v="0"/>
    <n v="0"/>
    <m/>
    <s v="Médio I"/>
    <m/>
    <s v=""/>
    <s v=""/>
    <m/>
    <m/>
    <m/>
    <m/>
    <m/>
    <m/>
    <n v="68"/>
    <n v="50"/>
    <n v="236"/>
    <n v="-0.3600000000000001"/>
    <m/>
    <m/>
    <s v="Sim"/>
    <m/>
  </r>
  <r>
    <n v="45"/>
    <s v="PVP"/>
    <s v="Rua Santos Dumont, 3265"/>
    <n v="-30.006542"/>
    <n v="-50.143819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6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333333333333332"/>
    <n v="2.1111111111111116"/>
    <s v="-"/>
    <n v="8.65"/>
    <n v="0.56000000000000005"/>
    <m/>
    <m/>
    <m/>
    <m/>
    <s v="ATENDE"/>
    <s v="ATENDE"/>
    <s v="ATENDE"/>
    <s v="ATENDE"/>
    <s v="C5"/>
    <s v="P6"/>
    <n v="1.4733333333333332"/>
    <n v="7.42"/>
    <n v="4.1399999999999997"/>
    <n v="3"/>
    <n v="0.6"/>
    <s v="ATENDE"/>
    <s v="ATENDE"/>
    <s v="ATENDE"/>
    <s v="P6"/>
    <n v="0.79333333333333322"/>
    <n v="5.38"/>
    <n v="3.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45"/>
    <s v="PVP"/>
    <s v="Rua Santos Dumont, 3265"/>
    <n v="-30.006542"/>
    <n v="-50.143819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6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599999999999994"/>
    <n v="3.166666666666667"/>
    <s v="-"/>
    <n v="10.77"/>
    <n v="0.75"/>
    <m/>
    <m/>
    <m/>
    <m/>
    <s v="ATENDE"/>
    <s v="ATENDE"/>
    <s v="ATENDE"/>
    <s v="ATENDE"/>
    <s v="C5"/>
    <s v="P6"/>
    <n v="1.9033333333333338"/>
    <n v="8.7100000000000009"/>
    <n v="5.92"/>
    <n v="3"/>
    <n v="0.6"/>
    <s v="ATENDE"/>
    <s v="ATENDE"/>
    <s v="ATENDE"/>
    <s v="P6"/>
    <n v="0.93666666666666654"/>
    <n v="5.81"/>
    <n v="3.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45"/>
    <s v="PVP"/>
    <s v="Rua Santos Dumont, 3265"/>
    <n v="-30.006542"/>
    <n v="-50.143819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6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2399999999999993"/>
    <n v="2.833333333333333"/>
    <s v="-"/>
    <n v="10.68"/>
    <n v="0.69"/>
    <m/>
    <m/>
    <m/>
    <m/>
    <s v="ATENDE"/>
    <s v="ATENDE"/>
    <s v="ATENDE"/>
    <s v="ATENDE"/>
    <s v="C5"/>
    <s v="P6"/>
    <n v="1.9066666666666667"/>
    <n v="8.7200000000000006"/>
    <n v="5.89"/>
    <n v="3"/>
    <n v="0.6"/>
    <s v="ATENDE"/>
    <s v="ATENDE"/>
    <s v="ATENDE"/>
    <s v="P6"/>
    <n v="0.77666666666666662"/>
    <n v="5.33"/>
    <n v="3.6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46"/>
    <s v="PVP"/>
    <s v="Rua Sete de Setembro, 2841"/>
    <n v="-30.007815999999998"/>
    <n v="-50.14156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066666666666673"/>
    <n v="0.38888888888888884"/>
    <s v="-"/>
    <n v="8.6300000000000008"/>
    <n v="0.25"/>
    <m/>
    <m/>
    <m/>
    <m/>
    <s v="ATENDE"/>
    <s v="ATENDE"/>
    <s v="ATENDE"/>
    <s v="ATENDE"/>
    <s v="C5"/>
    <s v="P6"/>
    <n v="1.46"/>
    <n v="7.38"/>
    <n v="1.58"/>
    <n v="3"/>
    <n v="0.6"/>
    <s v="ATENDE"/>
    <s v="ATENDE"/>
    <s v="ATENDE"/>
    <s v="P6"/>
    <n v="0.66999999999999993"/>
    <n v="5.01"/>
    <n v="1.67"/>
    <n v="3"/>
    <n v="0.6"/>
    <s v="ATENDE"/>
    <s v="ATENDE"/>
    <s v="ATENDE"/>
    <x v="0"/>
    <s v=" SL VT 9.1 44W"/>
    <s v="LUM LED SL VT 9.1 44W"/>
    <m/>
    <n v="0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46"/>
    <s v="PVP"/>
    <s v="Rua Sete de Setembro, 2841"/>
    <n v="-30.007815999999998"/>
    <n v="-50.14156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4666666666666677E-2"/>
    <n v="0.22222222222222232"/>
    <s v="-"/>
    <n v="8.2100000000000009"/>
    <n v="0.22"/>
    <m/>
    <m/>
    <m/>
    <m/>
    <s v="ATENDE"/>
    <s v="ATENDE"/>
    <s v="ATENDE"/>
    <s v="ATENDE"/>
    <s v="C5"/>
    <s v="P6"/>
    <n v="1.3399999999999999"/>
    <n v="7.02"/>
    <n v="0.88"/>
    <n v="3"/>
    <n v="0.6"/>
    <s v="ATENDE"/>
    <s v="ATENDE"/>
    <s v="ATENDE"/>
    <s v="P6"/>
    <n v="0.37999999999999989"/>
    <n v="4.1399999999999997"/>
    <n v="1.31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46"/>
    <s v="PVP"/>
    <s v="Rua Sete de Setembro, 2841"/>
    <n v="-30.007815999999998"/>
    <n v="-50.14156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066666666666673"/>
    <n v="0.2777777777777779"/>
    <s v="-"/>
    <n v="8.6300000000000008"/>
    <n v="0.23"/>
    <m/>
    <m/>
    <m/>
    <m/>
    <s v="ATENDE"/>
    <s v="ATENDE"/>
    <s v="ATENDE"/>
    <s v="ATENDE"/>
    <s v="C5"/>
    <s v="P6"/>
    <n v="0.66333333333333333"/>
    <n v="4.99"/>
    <n v="1.24"/>
    <n v="3"/>
    <n v="0.6"/>
    <s v="ATENDE"/>
    <s v="ATENDE"/>
    <s v="ATENDE"/>
    <s v="P6"/>
    <n v="0.96666666666666679"/>
    <n v="5.9"/>
    <n v="1.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100"/>
    <n v="140"/>
    <n v="0.6"/>
    <m/>
    <m/>
    <s v="Sim"/>
    <m/>
  </r>
  <r>
    <n v="47"/>
    <s v="VP"/>
    <s v="Avenida Osvaldo Aranha, 1888"/>
    <n v="-30.007114000000001"/>
    <n v="-50.140794"/>
    <s v="C2"/>
    <x v="0"/>
    <s v="P6"/>
    <s v="Vapor de sódio"/>
    <n v="150"/>
    <n v="22"/>
    <n v="0"/>
    <n v="600"/>
    <n v="2"/>
    <n v="0"/>
    <n v="7"/>
    <m/>
    <m/>
    <n v="0"/>
    <n v="4"/>
    <n v="4"/>
    <n v="0"/>
    <n v="0"/>
    <n v="0"/>
    <n v="0"/>
    <s v="Unilateral"/>
    <s v="Braço"/>
    <n v="31"/>
    <n v="7.5"/>
    <n v="2"/>
    <n v="2"/>
    <n v="1.3"/>
    <n v="-0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9.8999999999999977E-2"/>
    <n v="0.14285714285714279"/>
    <s v="-"/>
    <n v="21.98"/>
    <n v="0.32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6.77"/>
    <n v="23.31"/>
    <n v="12.54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m/>
    <s v="Curto II"/>
    <m/>
    <s v=""/>
    <s v=""/>
    <m/>
    <m/>
    <m/>
    <m/>
    <m/>
    <m/>
    <n v="28"/>
    <n v="150"/>
    <n v="356"/>
    <n v="0.81333333333333335"/>
    <m/>
    <m/>
    <s v="Sim"/>
    <m/>
  </r>
  <r>
    <n v="47"/>
    <s v="VP"/>
    <s v="Avenida Osvaldo Aranha, 1888"/>
    <n v="-30.007114000000001"/>
    <n v="-50.140794"/>
    <s v="C2"/>
    <x v="0"/>
    <s v="P6"/>
    <s v="Vapor de sódio"/>
    <n v="150"/>
    <n v="22"/>
    <n v="0"/>
    <n v="600"/>
    <n v="2"/>
    <n v="0"/>
    <n v="7"/>
    <m/>
    <m/>
    <n v="0"/>
    <n v="4"/>
    <n v="4"/>
    <n v="0"/>
    <n v="0"/>
    <n v="0"/>
    <n v="0"/>
    <s v="Unilateral"/>
    <s v="Braço"/>
    <n v="31"/>
    <n v="7.5"/>
    <n v="2"/>
    <n v="2"/>
    <n v="1.3"/>
    <n v="-0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-1.0000000000000009E-2"/>
    <n v="0.85714285714285698"/>
    <s v="-"/>
    <n v="19.8"/>
    <n v="0.52"/>
    <m/>
    <m/>
    <m/>
    <m/>
    <s v="ATENDE"/>
    <s v="ATENDIMENTO LIMIAR"/>
    <s v="ATENDE"/>
    <s v="ATENDE"/>
    <s v="C2"/>
    <s v="-"/>
    <e v="#VALUE!"/>
    <m/>
    <m/>
    <s v="-"/>
    <s v="-"/>
    <s v="-"/>
    <s v="-"/>
    <s v="-"/>
    <s v="P6"/>
    <n v="6.87"/>
    <n v="23.61"/>
    <n v="14.88"/>
    <n v="3"/>
    <n v="0.6"/>
    <s v="ATENDE"/>
    <s v="ATENDE"/>
    <s v="ATENDE"/>
    <x v="1"/>
    <s v="SX-INEVO030HF"/>
    <s v="SXINEVO030K40L12CZF7PHF"/>
    <m/>
    <e v="#N/A"/>
    <n v="2"/>
    <n v="31"/>
    <n v="0"/>
    <n v="5270"/>
    <n v="0"/>
    <n v="0"/>
    <m/>
    <s v="Curto II"/>
    <m/>
    <s v=""/>
    <s v=""/>
    <m/>
    <m/>
    <m/>
    <m/>
    <m/>
    <m/>
    <n v="31"/>
    <n v="150"/>
    <n v="362"/>
    <n v="0.79333333333333333"/>
    <m/>
    <m/>
    <s v="Sim"/>
    <m/>
  </r>
  <r>
    <n v="47"/>
    <s v="VP"/>
    <s v="Avenida Osvaldo Aranha, 1888"/>
    <n v="-30.007114000000001"/>
    <n v="-50.140794"/>
    <s v="C2"/>
    <x v="0"/>
    <s v="P6"/>
    <s v="Vapor de sódio"/>
    <n v="150"/>
    <n v="22"/>
    <n v="0"/>
    <n v="600"/>
    <n v="2"/>
    <n v="0"/>
    <n v="7"/>
    <m/>
    <m/>
    <n v="0"/>
    <n v="4"/>
    <n v="4"/>
    <n v="0"/>
    <n v="0"/>
    <n v="0"/>
    <n v="0"/>
    <s v="Unilateral"/>
    <s v="Braço"/>
    <n v="31"/>
    <n v="7.5"/>
    <n v="2"/>
    <n v="2"/>
    <n v="1.3"/>
    <n v="-0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8999999999999906E-2"/>
    <n v="0.60714285714285698"/>
    <s v="-"/>
    <n v="20.38"/>
    <n v="0.4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7.4700000000000006"/>
    <n v="25.41"/>
    <n v="15.78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m/>
    <s v="Curto II"/>
    <m/>
    <s v=""/>
    <s v=""/>
    <m/>
    <m/>
    <m/>
    <m/>
    <m/>
    <m/>
    <n v="30"/>
    <n v="150"/>
    <n v="360"/>
    <n v="0.8"/>
    <m/>
    <m/>
    <s v="Sim"/>
    <m/>
  </r>
  <r>
    <n v="48"/>
    <s v="VP"/>
    <s v="Avenida Flores da Cunha, 3464"/>
    <n v="-30.003426000000001"/>
    <n v="-50.141114999999999"/>
    <s v="C1"/>
    <x v="0"/>
    <s v="P6"/>
    <s v="Vapor de sódio"/>
    <n v="250"/>
    <n v="30"/>
    <n v="0"/>
    <n v="1000"/>
    <n v="2"/>
    <n v="0"/>
    <n v="8.5"/>
    <m/>
    <m/>
    <n v="0"/>
    <n v="4"/>
    <n v="10"/>
    <n v="0"/>
    <n v="0"/>
    <n v="0"/>
    <n v="0"/>
    <s v="Canteiro central"/>
    <s v="Braço"/>
    <n v="35.799999999999997"/>
    <n v="6.8"/>
    <n v="2"/>
    <n v="5"/>
    <n v="1.3"/>
    <n v="-3.7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5.4999999999999938E-2"/>
    <n v="2.6315789473684292E-2"/>
    <s v="-"/>
    <n v="31.65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1.73"/>
    <n v="8.19"/>
    <n v="4.07"/>
    <n v="3"/>
    <n v="0.6"/>
    <s v="ATENDE"/>
    <s v="ATENDE"/>
    <s v="ATENDE"/>
    <x v="0"/>
    <s v=" SL VT 9.6 215W"/>
    <s v="LUM LED SL VT 9.6 215W"/>
    <m/>
    <n v="0"/>
    <n v="2"/>
    <n v="215"/>
    <n v="0"/>
    <n v="31800.799999999999"/>
    <n v="0"/>
    <n v="0"/>
    <n v="10"/>
    <s v="Curto II"/>
    <m/>
    <s v=""/>
    <s v=""/>
    <m/>
    <m/>
    <m/>
    <m/>
    <m/>
    <m/>
    <n v="215"/>
    <n v="250"/>
    <n v="930"/>
    <n v="0.14000000000000001"/>
    <m/>
    <m/>
    <s v="Sim"/>
    <m/>
  </r>
  <r>
    <n v="48"/>
    <s v="VP"/>
    <s v="Avenida Flores da Cunha, 3464"/>
    <n v="-30.003426000000001"/>
    <n v="-50.141114999999999"/>
    <s v="C1"/>
    <x v="0"/>
    <s v="P6"/>
    <s v="Vapor de sódio"/>
    <n v="250"/>
    <n v="30"/>
    <n v="0"/>
    <n v="1000"/>
    <n v="2"/>
    <n v="0"/>
    <n v="8.5"/>
    <m/>
    <m/>
    <n v="0"/>
    <n v="4"/>
    <n v="10"/>
    <n v="0"/>
    <n v="0"/>
    <n v="0"/>
    <n v="0"/>
    <s v="Canteiro central"/>
    <s v="Braço"/>
    <n v="35.799999999999997"/>
    <n v="6.8"/>
    <n v="2"/>
    <n v="5"/>
    <n v="1.3"/>
    <n v="-3.7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9999999999998934E-3"/>
    <n v="-2.6315789473684181E-2"/>
    <s v="-"/>
    <n v="30.15"/>
    <n v="0.37"/>
    <m/>
    <m/>
    <m/>
    <m/>
    <s v="ATENDE"/>
    <s v="ATENDE"/>
    <s v="ATENDIMENTO LIMIAR"/>
    <s v="ATENDE"/>
    <s v="C1"/>
    <s v="-"/>
    <e v="#VALUE!"/>
    <s v=" -"/>
    <s v=" -"/>
    <s v="-"/>
    <s v="-"/>
    <s v="-"/>
    <s v="-"/>
    <s v="-"/>
    <s v="P6"/>
    <n v="2.2166666666666668"/>
    <n v="9.65"/>
    <n v="5.86"/>
    <n v="3"/>
    <n v="0.6"/>
    <s v="ATENDE"/>
    <s v="ATENDE"/>
    <s v="ATENDE"/>
    <x v="1"/>
    <s v="SX-INLPP090HF"/>
    <s v="SXINLPP090K40L12CZF7PHF"/>
    <m/>
    <n v="0"/>
    <n v="2"/>
    <n v="90"/>
    <n v="0"/>
    <n v="15476"/>
    <n v="0"/>
    <n v="0"/>
    <m/>
    <s v="Curto II"/>
    <m/>
    <s v=""/>
    <s v=""/>
    <m/>
    <m/>
    <m/>
    <m/>
    <m/>
    <m/>
    <n v="90"/>
    <n v="250"/>
    <n v="680"/>
    <n v="0.64"/>
    <m/>
    <m/>
    <s v="Sim"/>
    <m/>
  </r>
  <r>
    <n v="48"/>
    <s v="VP"/>
    <s v="Avenida Flores da Cunha, 3464"/>
    <n v="-30.003426000000001"/>
    <n v="-50.141114999999999"/>
    <s v="C1"/>
    <x v="0"/>
    <s v="P6"/>
    <s v="Vapor de sódio"/>
    <n v="250"/>
    <n v="30"/>
    <n v="0"/>
    <n v="1000"/>
    <n v="2"/>
    <n v="0"/>
    <n v="8.5"/>
    <m/>
    <m/>
    <n v="0"/>
    <n v="4"/>
    <n v="10"/>
    <n v="0"/>
    <n v="0"/>
    <n v="0"/>
    <n v="0"/>
    <s v="Canteiro central"/>
    <s v="Braço"/>
    <n v="35.799999999999997"/>
    <n v="6.8"/>
    <n v="2"/>
    <n v="5"/>
    <n v="1.3"/>
    <n v="-3.7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20100000000000007"/>
    <n v="2.6315789473684292E-2"/>
    <s v="-"/>
    <n v="36.03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1.9833333333333329"/>
    <n v="8.9499999999999993"/>
    <n v="5.74"/>
    <n v="3"/>
    <n v="0.6"/>
    <s v="ATENDE"/>
    <s v="ATENDE"/>
    <s v="ATENDE"/>
    <x v="2"/>
    <s v="TAUMAGPTLRRTMNDL183W_95IBB"/>
    <s v="TAUMAGPTLRRTMNDL183W_95IBB_x000a_RS1-10C1MUN6.5"/>
    <m/>
    <n v="0"/>
    <n v="2"/>
    <n v="183"/>
    <n v="0"/>
    <n v="30866"/>
    <n v="0"/>
    <n v="0"/>
    <n v="10"/>
    <s v="Curto II"/>
    <m/>
    <s v=""/>
    <s v=""/>
    <m/>
    <m/>
    <m/>
    <m/>
    <m/>
    <m/>
    <n v="183"/>
    <n v="250"/>
    <n v="866"/>
    <n v="0.26800000000000002"/>
    <m/>
    <m/>
    <s v="Sim"/>
    <m/>
  </r>
  <r>
    <n v="49"/>
    <s v="PVP"/>
    <s v="Rua Sete de Setembro, 2059"/>
    <n v="-30.001183999999999"/>
    <n v="-50.13826199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1.0555555555555558"/>
    <s v="-"/>
    <n v="7.98"/>
    <n v="0.37"/>
    <m/>
    <m/>
    <m/>
    <m/>
    <s v="ATENDE"/>
    <s v="ATENDE"/>
    <s v="ATENDE"/>
    <s v="ATENDE"/>
    <s v="C5"/>
    <s v="P6"/>
    <n v="1.19"/>
    <n v="6.57"/>
    <n v="2.13"/>
    <n v="3"/>
    <n v="0.6"/>
    <s v="ATENDE"/>
    <s v="ATENDE"/>
    <s v="ATENDE"/>
    <s v="P6"/>
    <n v="0.66333333333333333"/>
    <n v="4.99"/>
    <n v="2.17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49"/>
    <s v="PVP"/>
    <s v="Rua Sete de Setembro, 2059"/>
    <n v="-30.001183999999999"/>
    <n v="-50.13826199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6666666666666616E-2"/>
    <n v="1.1111111111111112"/>
    <s v="-"/>
    <n v="7.7"/>
    <n v="0.38"/>
    <m/>
    <m/>
    <m/>
    <m/>
    <s v="ATENDE"/>
    <s v="ATENDE"/>
    <s v="ATENDE"/>
    <s v="ATENDE"/>
    <s v="C5"/>
    <s v="P6"/>
    <n v="1.0299999999999998"/>
    <n v="6.09"/>
    <n v="1.35"/>
    <n v="3"/>
    <n v="0.6"/>
    <s v="ATENDE"/>
    <s v="ATENDE"/>
    <s v="ATENDE"/>
    <s v="P6"/>
    <n v="0.41999999999999993"/>
    <n v="4.26"/>
    <n v="2.0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49"/>
    <s v="PVP"/>
    <s v="Rua Sete de Setembro, 2059"/>
    <n v="-30.001183999999999"/>
    <n v="-50.13826199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333333333333423E-2"/>
    <n v="1.6111111111111112"/>
    <s v="-"/>
    <n v="7.63"/>
    <n v="0.47"/>
    <m/>
    <m/>
    <m/>
    <m/>
    <s v="ATENDE"/>
    <s v="ATENDE"/>
    <s v="ATENDE"/>
    <s v="ATENDE"/>
    <s v="C5"/>
    <s v="P6"/>
    <n v="1.0333333333333332"/>
    <n v="6.1"/>
    <n v="2.4900000000000002"/>
    <n v="3"/>
    <n v="0.6"/>
    <s v="ATENDE"/>
    <s v="ATENDE"/>
    <s v="ATENDE"/>
    <s v="P6"/>
    <n v="0.30000000000000004"/>
    <n v="3.9"/>
    <n v="2.59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50"/>
    <s v="PVP"/>
    <s v="Rua Barros Cassal, 666"/>
    <n v="-30.007206"/>
    <n v="-50.135154"/>
    <s v="C5"/>
    <x v="0"/>
    <s v="P6"/>
    <s v="Vapor de sódio"/>
    <n v="150"/>
    <n v="22"/>
    <n v="0"/>
    <n v="300"/>
    <n v="2"/>
    <n v="2.59"/>
    <n v="7"/>
    <m/>
    <m/>
    <n v="0"/>
    <n v="2.5"/>
    <n v="0"/>
    <n v="0"/>
    <n v="0"/>
    <n v="0"/>
    <n v="0"/>
    <s v="Unilateral"/>
    <s v="Braço"/>
    <n v="21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5599999999999996"/>
    <n v="2.7222222222222228"/>
    <s v="-"/>
    <n v="10.92"/>
    <n v="0.67"/>
    <m/>
    <m/>
    <m/>
    <m/>
    <s v="ATENDE"/>
    <s v="ATENDE"/>
    <s v="ATENDE"/>
    <s v="ATENDE"/>
    <s v="C5"/>
    <s v="P6"/>
    <n v="2.0099999999999998"/>
    <n v="9.0299999999999994"/>
    <n v="6.22"/>
    <n v="3"/>
    <n v="0.6"/>
    <s v="ATENDE"/>
    <s v="ATENDE"/>
    <s v="ATENDE"/>
    <s v="P6"/>
    <n v="1.3166666666666669"/>
    <n v="6.95"/>
    <n v="5.0999999999999996"/>
    <n v="3"/>
    <n v="0.6"/>
    <s v="ATENDE"/>
    <s v="ATENDE"/>
    <s v="ATENDE"/>
    <x v="0"/>
    <s v=" SL VT 9.1 28W"/>
    <s v="LUM LED SL VT 9.1 28W"/>
    <m/>
    <e v="#N/A"/>
    <n v="1"/>
    <n v="28"/>
    <e v="#N/A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50"/>
    <s v="PVP"/>
    <s v="Rua Barros Cassal, 666"/>
    <n v="-30.007206"/>
    <n v="-50.135154"/>
    <s v="C5"/>
    <x v="0"/>
    <s v="P6"/>
    <s v="Vapor de sódio"/>
    <n v="150"/>
    <n v="22"/>
    <n v="0"/>
    <n v="300"/>
    <n v="2"/>
    <n v="2.59"/>
    <n v="7"/>
    <m/>
    <m/>
    <n v="0"/>
    <n v="2.5"/>
    <n v="0"/>
    <n v="0"/>
    <n v="0"/>
    <n v="0"/>
    <n v="0"/>
    <s v="Unilateral"/>
    <s v="Braço"/>
    <n v="21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3.3888888888888893"/>
    <s v="-"/>
    <n v="9.15"/>
    <n v="0.79"/>
    <m/>
    <m/>
    <m/>
    <m/>
    <s v="ATENDE"/>
    <s v="ATENDE"/>
    <s v="ATENDE"/>
    <s v="ATENDE"/>
    <s v="C5"/>
    <s v="P6"/>
    <n v="1.4466666666666668"/>
    <n v="7.34"/>
    <n v="5.35"/>
    <n v="3"/>
    <n v="0.6"/>
    <s v="ATENDE"/>
    <s v="ATENDE"/>
    <s v="ATENDE"/>
    <s v="P6"/>
    <n v="0.79666666666666663"/>
    <n v="5.39"/>
    <n v="3.67"/>
    <n v="3"/>
    <n v="0.6"/>
    <s v="ATENDE"/>
    <s v="ATENDE"/>
    <s v="ATENDE"/>
    <x v="1"/>
    <s v="SX-INEVO020HF"/>
    <s v="SXINEVO020K40L12CZF7PHF"/>
    <m/>
    <e v="#N/A"/>
    <n v="1"/>
    <n v="22.5"/>
    <e v="#N/A"/>
    <n v="3825"/>
    <n v="0"/>
    <n v="0"/>
    <m/>
    <s v="Curto II"/>
    <m/>
    <s v=""/>
    <s v=""/>
    <m/>
    <m/>
    <m/>
    <m/>
    <m/>
    <m/>
    <n v="22.5"/>
    <n v="150"/>
    <n v="172.5"/>
    <n v="0.85"/>
    <m/>
    <m/>
    <s v="Sim"/>
    <m/>
  </r>
  <r>
    <n v="50"/>
    <s v="PVP"/>
    <s v="Rua Barros Cassal, 666"/>
    <n v="-30.007206"/>
    <n v="-50.135154"/>
    <s v="C5"/>
    <x v="0"/>
    <s v="P6"/>
    <s v="Vapor de sódio"/>
    <n v="150"/>
    <n v="22"/>
    <n v="0"/>
    <n v="300"/>
    <n v="2"/>
    <n v="2.59"/>
    <n v="7"/>
    <m/>
    <m/>
    <n v="0"/>
    <n v="2.5"/>
    <n v="0"/>
    <n v="0"/>
    <n v="0"/>
    <n v="0"/>
    <n v="0"/>
    <s v="Unilateral"/>
    <s v="Braço"/>
    <n v="21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9600000000000004"/>
    <n v="3.0555555555555554"/>
    <s v="-"/>
    <n v="13.47"/>
    <n v="0.73"/>
    <m/>
    <m/>
    <m/>
    <m/>
    <s v="ATENDE"/>
    <s v="ATENDE"/>
    <s v="ATENDE"/>
    <s v="ATENDE"/>
    <s v="C5"/>
    <s v="P6"/>
    <n v="2.5166666666666671"/>
    <n v="10.55"/>
    <n v="7.75"/>
    <n v="3"/>
    <n v="0.6"/>
    <s v="ATENDE"/>
    <s v="ATENDE"/>
    <s v="ATENDE"/>
    <s v="P6"/>
    <n v="1.3199999999999998"/>
    <n v="6.96"/>
    <n v="5.1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51"/>
    <s v="PVP"/>
    <s v="Rua Sargento Geraldo Santana, 285"/>
    <n v="-29.998532999999998"/>
    <n v="-50.143053000000002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2.1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466666666666675"/>
    <n v="0.38888888888888884"/>
    <s v="-"/>
    <n v="8.81"/>
    <n v="0.25"/>
    <m/>
    <m/>
    <m/>
    <m/>
    <s v="ATENDE"/>
    <s v="ATENDE"/>
    <s v="ATENDE"/>
    <s v="ATENDE"/>
    <s v="C5"/>
    <s v="P6"/>
    <n v="1.46"/>
    <n v="7.38"/>
    <n v="1.66"/>
    <n v="3"/>
    <n v="0.6"/>
    <s v="ATENDE"/>
    <s v="ATENDE"/>
    <s v="ATENDE"/>
    <s v="P6"/>
    <n v="0.64666666666666672"/>
    <n v="4.9400000000000004"/>
    <n v="1.68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51"/>
    <s v="PVP"/>
    <s v="Rua Sargento Geraldo Santana, 285"/>
    <n v="-29.998532999999998"/>
    <n v="-50.143053000000002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2.1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733333333333351"/>
    <n v="0.2777777777777779"/>
    <s v="-"/>
    <n v="8.3800000000000008"/>
    <n v="0.23"/>
    <m/>
    <m/>
    <m/>
    <m/>
    <s v="ATENDE"/>
    <s v="ATENDE"/>
    <s v="ATENDE"/>
    <s v="ATENDE"/>
    <s v="C5"/>
    <s v="P6"/>
    <n v="1.33"/>
    <n v="6.99"/>
    <n v="0.95"/>
    <n v="3"/>
    <n v="0.6"/>
    <s v="ATENDE"/>
    <s v="ATENDE"/>
    <s v="ATENDE"/>
    <s v="P6"/>
    <n v="0.33999999999999986"/>
    <n v="4.0199999999999996"/>
    <n v="1.2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51"/>
    <s v="PVP"/>
    <s v="Rua Sargento Geraldo Santana, 285"/>
    <n v="-29.998532999999998"/>
    <n v="-50.143053000000002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2.1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599999999999999"/>
    <n v="-5.5555555555555469E-2"/>
    <s v="-"/>
    <n v="9.27"/>
    <n v="0.17"/>
    <m/>
    <m/>
    <m/>
    <m/>
    <s v="ATENDE"/>
    <s v="ATENDE"/>
    <s v="ATENDIMENTO LIMIAR"/>
    <s v="ATENDE"/>
    <s v="C5"/>
    <s v="P6"/>
    <n v="0.84333333333333349"/>
    <n v="5.53"/>
    <n v="1.04"/>
    <n v="3"/>
    <n v="0.6"/>
    <s v="ATENDE"/>
    <s v="ATENDE"/>
    <s v="ATENDE"/>
    <s v="P6"/>
    <n v="0.71"/>
    <n v="5.13"/>
    <n v="1.2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s v="Médio II"/>
    <n v="2.4"/>
    <n v="7.5"/>
    <m/>
    <m/>
    <m/>
    <m/>
    <m/>
    <m/>
    <n v="40"/>
    <n v="100"/>
    <n v="140"/>
    <n v="0.6"/>
    <m/>
    <m/>
    <s v="Sim"/>
    <m/>
  </r>
  <r>
    <n v="52"/>
    <s v="PVP"/>
    <s v="Travessa Tarrafa, 513"/>
    <n v="-30.002237000000001"/>
    <n v="-50.140988999999998"/>
    <s v="C5"/>
    <x v="0"/>
    <s v="P6"/>
    <s v="Vapor de sódio"/>
    <n v="150"/>
    <n v="22"/>
    <n v="0"/>
    <n v="300"/>
    <n v="2"/>
    <n v="2"/>
    <n v="8.3000000000000007"/>
    <m/>
    <m/>
    <n v="0"/>
    <n v="2"/>
    <n v="0"/>
    <n v="0"/>
    <n v="0"/>
    <n v="0"/>
    <n v="0"/>
    <s v="Unilateral"/>
    <s v="Braço"/>
    <n v="45.5"/>
    <n v="7.2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0000000000000018E-2"/>
    <n v="0.33333333333333326"/>
    <s v="-"/>
    <n v="7.65"/>
    <n v="0.24"/>
    <m/>
    <m/>
    <m/>
    <m/>
    <s v="ATENDE"/>
    <s v="ATENDE"/>
    <s v="ATENDE"/>
    <s v="ATENDE"/>
    <s v="C5"/>
    <s v="P6"/>
    <n v="1.2600000000000002"/>
    <n v="6.78"/>
    <n v="1.37"/>
    <n v="3"/>
    <n v="0.6"/>
    <s v="ATENDE"/>
    <s v="ATENDE"/>
    <s v="ATENDE"/>
    <s v="P6"/>
    <n v="0.36666666666666647"/>
    <n v="4.0999999999999996"/>
    <n v="1.38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52"/>
    <s v="PVP"/>
    <s v="Travessa Tarrafa, 513"/>
    <n v="-30.002237000000001"/>
    <n v="-50.140988999999998"/>
    <s v="C5"/>
    <x v="0"/>
    <s v="P6"/>
    <s v="Vapor de sódio"/>
    <n v="150"/>
    <n v="22"/>
    <n v="0"/>
    <n v="300"/>
    <n v="2"/>
    <n v="2"/>
    <n v="8.3000000000000007"/>
    <m/>
    <m/>
    <n v="0"/>
    <n v="2"/>
    <n v="0"/>
    <n v="0"/>
    <n v="0"/>
    <n v="0"/>
    <n v="0"/>
    <s v="Unilateral"/>
    <s v="Braço"/>
    <n v="45.5"/>
    <n v="7.2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333333333333326"/>
    <n v="0"/>
    <s v="-"/>
    <n v="10"/>
    <n v="0.18"/>
    <m/>
    <m/>
    <m/>
    <m/>
    <s v="ATENDE"/>
    <s v="ATENDE"/>
    <s v="ATENDE"/>
    <s v="ATENDE"/>
    <s v="C5"/>
    <s v="P6"/>
    <n v="1.0033333333333334"/>
    <n v="6.01"/>
    <n v="0.85"/>
    <n v="3"/>
    <n v="0.6"/>
    <s v="ATENDE"/>
    <s v="ATENDE"/>
    <s v="ATENDE"/>
    <s v="P6"/>
    <n v="1.5533333333333332"/>
    <n v="7.66"/>
    <n v="3.62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s v="Longo I"/>
    <n v="2.8"/>
    <n v="8"/>
    <m/>
    <m/>
    <m/>
    <m/>
    <m/>
    <m/>
    <n v="50"/>
    <n v="150"/>
    <n v="200"/>
    <n v="0.66666666666666674"/>
    <m/>
    <m/>
    <s v="Sim"/>
    <m/>
  </r>
  <r>
    <n v="52"/>
    <s v="PVP"/>
    <s v="Travessa Tarrafa, 513"/>
    <n v="-30.002237000000001"/>
    <n v="-50.140988999999998"/>
    <s v="C5"/>
    <x v="0"/>
    <s v="P6"/>
    <s v="Vapor de sódio"/>
    <n v="150"/>
    <n v="22"/>
    <n v="0"/>
    <n v="300"/>
    <n v="2"/>
    <n v="2"/>
    <n v="8.3000000000000007"/>
    <m/>
    <m/>
    <n v="0"/>
    <n v="2"/>
    <n v="0"/>
    <n v="0"/>
    <n v="0"/>
    <n v="0"/>
    <n v="0"/>
    <s v="Unilateral"/>
    <s v="Braço"/>
    <n v="45.5"/>
    <n v="7.2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5333333333333226E-2"/>
    <n v="-5.5555555555555469E-2"/>
    <s v="-"/>
    <n v="7.84"/>
    <n v="0.17"/>
    <m/>
    <m/>
    <m/>
    <m/>
    <s v="ATENDE"/>
    <s v="ATENDE"/>
    <s v="ATENDIMENTO LIMIAR"/>
    <s v="ATENDE"/>
    <s v="C5"/>
    <s v="P6"/>
    <n v="0.54333333333333322"/>
    <n v="4.63"/>
    <n v="0.9"/>
    <n v="3"/>
    <n v="0.6"/>
    <s v="ATENDE"/>
    <s v="ATENDE"/>
    <s v="ATENDE"/>
    <s v="P6"/>
    <n v="0.56666666666666665"/>
    <n v="4.7"/>
    <n v="1.159999999999999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s v="Longo I"/>
    <n v="2.8"/>
    <n v="8"/>
    <m/>
    <m/>
    <m/>
    <m/>
    <m/>
    <m/>
    <n v="40"/>
    <n v="150"/>
    <n v="190"/>
    <n v="0.73333333333333339"/>
    <m/>
    <m/>
    <s v="Sim"/>
    <m/>
  </r>
  <r>
    <n v="54"/>
    <s v="PVP"/>
    <s v="Rua Eleodoro Franzen, 1249"/>
    <n v="-30.006892000000001"/>
    <n v="-50.15278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2.6"/>
    <n v="6.2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1"/>
    <n v="-5.5555555555555469E-2"/>
    <s v="-"/>
    <n v="11.21"/>
    <n v="0.17"/>
    <m/>
    <m/>
    <m/>
    <m/>
    <s v="ATENDE"/>
    <s v="ATENDE"/>
    <s v="ATENDIMENTO LIMIAR"/>
    <s v="ATENDE"/>
    <s v="C4"/>
    <s v="P6"/>
    <n v="2.0133333333333332"/>
    <n v="9.0399999999999991"/>
    <n v="1.1599999999999999"/>
    <n v="3"/>
    <n v="0.6"/>
    <s v="ATENDE"/>
    <s v="ATENDE"/>
    <s v="ATENDE"/>
    <s v="P6"/>
    <n v="0.85666666666666669"/>
    <n v="5.57"/>
    <n v="1.4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54"/>
    <s v="PVP"/>
    <s v="Rua Eleodoro Franzen, 1249"/>
    <n v="-30.006892000000001"/>
    <n v="-50.15278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2.6"/>
    <n v="6.2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00000000000003"/>
    <n v="5.555555555555558E-2"/>
    <s v="-"/>
    <n v="11.59"/>
    <n v="0.19"/>
    <m/>
    <m/>
    <m/>
    <m/>
    <s v="ATENDE"/>
    <s v="ATENDE"/>
    <s v="ATENDE"/>
    <s v="ATENDE"/>
    <s v="C4"/>
    <s v="P6"/>
    <n v="1.3399999999999999"/>
    <n v="7.02"/>
    <n v="0.89"/>
    <n v="3"/>
    <n v="0.6"/>
    <s v="ATENDE"/>
    <s v="ATENDE"/>
    <s v="ATENDE"/>
    <s v="P6"/>
    <n v="1.9333333333333336"/>
    <n v="8.8000000000000007"/>
    <n v="4.08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s v="Médio II"/>
    <n v="2.4"/>
    <n v="7.5"/>
    <m/>
    <m/>
    <m/>
    <m/>
    <m/>
    <m/>
    <n v="50"/>
    <n v="150"/>
    <n v="200"/>
    <n v="0.66666666666666674"/>
    <m/>
    <m/>
    <s v="Sim"/>
    <m/>
  </r>
  <r>
    <n v="54"/>
    <s v="PVP"/>
    <s v="Rua Eleodoro Franzen, 1249"/>
    <n v="-30.006892000000001"/>
    <n v="-50.15278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2.6"/>
    <n v="6.2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999999999999975E-2"/>
    <n v="0"/>
    <s v="-"/>
    <n v="10.97"/>
    <n v="0.18"/>
    <m/>
    <m/>
    <m/>
    <m/>
    <s v="ATENDE"/>
    <s v="ATENDE"/>
    <s v="ATENDE"/>
    <s v="ATENDE"/>
    <s v="C4"/>
    <s v="P6"/>
    <n v="1.2266666666666666"/>
    <n v="6.68"/>
    <n v="1.4"/>
    <n v="3"/>
    <n v="0.6"/>
    <s v="ATENDE"/>
    <s v="ATENDE"/>
    <s v="ATENDE"/>
    <s v="P6"/>
    <n v="1.0266666666666668"/>
    <n v="6.08"/>
    <n v="1.36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s v="Médio II"/>
    <n v="2.4"/>
    <n v="7.5"/>
    <m/>
    <m/>
    <m/>
    <m/>
    <m/>
    <m/>
    <n v="50"/>
    <n v="150"/>
    <n v="200"/>
    <n v="0.66666666666666674"/>
    <m/>
    <m/>
    <s v="Sim"/>
    <m/>
  </r>
  <r>
    <n v="55"/>
    <s v="PVP"/>
    <s v="Rua Ant. F. da Costa, 551"/>
    <n v="-30.011686000000001"/>
    <n v="-50.142533999999998"/>
    <s v="C4"/>
    <x v="0"/>
    <s v="P6"/>
    <s v="Vapor de sódio"/>
    <n v="100"/>
    <n v="17"/>
    <n v="0"/>
    <n v="200"/>
    <n v="2"/>
    <n v="3.5"/>
    <n v="7"/>
    <m/>
    <m/>
    <n v="0"/>
    <n v="3"/>
    <n v="0"/>
    <n v="0"/>
    <n v="0"/>
    <n v="0"/>
    <n v="0"/>
    <s v="Unilateral"/>
    <s v="Braço"/>
    <n v="39.6"/>
    <n v="6.8"/>
    <n v="1"/>
    <n v="0.4"/>
    <n v="1.1000000000000001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5555555555555558"/>
    <s v="-"/>
    <n v="11.14"/>
    <n v="0.28000000000000003"/>
    <m/>
    <m/>
    <m/>
    <m/>
    <s v="ATENDE"/>
    <s v="ATENDE"/>
    <s v="ATENDE"/>
    <s v="ATENDE"/>
    <s v="C4"/>
    <s v="P6"/>
    <n v="1.92"/>
    <n v="8.76"/>
    <n v="2.02"/>
    <n v="3"/>
    <n v="0.6"/>
    <s v="ATENDE"/>
    <s v="ATENDE"/>
    <s v="ATENDE"/>
    <s v="P6"/>
    <n v="0.91666666666666674"/>
    <n v="5.75"/>
    <n v="2.069999999999999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"/>
    <m/>
    <s v=""/>
    <s v=""/>
    <m/>
    <m/>
    <m/>
    <m/>
    <m/>
    <m/>
    <n v="52"/>
    <n v="100"/>
    <n v="152"/>
    <n v="0.48"/>
    <m/>
    <m/>
    <s v="Sim"/>
    <m/>
  </r>
  <r>
    <n v="55"/>
    <s v="PVP"/>
    <s v="Rua Ant. F. da Costa, 551"/>
    <n v="-30.011686000000001"/>
    <n v="-50.142533999999998"/>
    <s v="C4"/>
    <x v="0"/>
    <s v="P6"/>
    <s v="Vapor de sódio"/>
    <n v="100"/>
    <n v="17"/>
    <n v="0"/>
    <n v="200"/>
    <n v="2"/>
    <n v="3.5"/>
    <n v="7"/>
    <m/>
    <m/>
    <n v="0"/>
    <n v="3"/>
    <n v="0"/>
    <n v="0"/>
    <n v="0"/>
    <n v="0"/>
    <n v="0"/>
    <s v="Unilateral"/>
    <s v="Braço"/>
    <n v="39.6"/>
    <n v="6.8"/>
    <n v="1"/>
    <n v="0.4"/>
    <n v="1.1000000000000001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00000000000006"/>
    <n v="0.44444444444444464"/>
    <s v="-"/>
    <n v="13.22"/>
    <n v="0.26"/>
    <m/>
    <m/>
    <m/>
    <m/>
    <s v="ATENDE"/>
    <s v="ATENDE"/>
    <s v="ATENDE"/>
    <s v="ATENDE"/>
    <s v="C4"/>
    <s v="P6"/>
    <n v="2.2333333333333329"/>
    <n v="9.6999999999999993"/>
    <n v="1"/>
    <n v="3"/>
    <n v="0.6"/>
    <s v="ATENDE"/>
    <s v="ATENDE"/>
    <s v="ATENDE"/>
    <s v="P6"/>
    <n v="1.0933333333333333"/>
    <n v="6.28"/>
    <n v="2.85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"/>
    <m/>
    <s v=""/>
    <s v=""/>
    <m/>
    <m/>
    <m/>
    <m/>
    <m/>
    <m/>
    <n v="50"/>
    <n v="100"/>
    <n v="150"/>
    <n v="0.5"/>
    <m/>
    <m/>
    <s v="Sim"/>
    <m/>
  </r>
  <r>
    <n v="55"/>
    <s v="PVP"/>
    <s v="Rua Ant. F. da Costa, 551"/>
    <n v="-30.011686000000001"/>
    <n v="-50.142533999999998"/>
    <s v="C4"/>
    <x v="0"/>
    <s v="P6"/>
    <s v="Vapor de sódio"/>
    <n v="100"/>
    <n v="17"/>
    <n v="0"/>
    <n v="200"/>
    <n v="2"/>
    <n v="3.5"/>
    <n v="7"/>
    <m/>
    <m/>
    <n v="0"/>
    <n v="3"/>
    <n v="0"/>
    <n v="0"/>
    <n v="0"/>
    <n v="0"/>
    <n v="0"/>
    <s v="Unilateral"/>
    <s v="Braço"/>
    <n v="39.6"/>
    <n v="6.8"/>
    <n v="1"/>
    <n v="0.4"/>
    <n v="1.1000000000000001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0000000000000071E-3"/>
    <n v="-5.5555555555555469E-2"/>
    <s v="-"/>
    <n v="10.08"/>
    <n v="0.17"/>
    <m/>
    <m/>
    <m/>
    <m/>
    <s v="ATENDE"/>
    <s v="ATENDE"/>
    <s v="ATENDIMENTO LIMIAR"/>
    <s v="ATENDE"/>
    <s v="C4"/>
    <s v="P6"/>
    <n v="1.3766666666666665"/>
    <n v="7.13"/>
    <n v="0.91"/>
    <n v="3"/>
    <n v="0.6"/>
    <s v="ATENDE"/>
    <s v="ATENDE"/>
    <s v="ATENDE"/>
    <s v="P6"/>
    <n v="0.18666666666666676"/>
    <n v="3.56"/>
    <n v="1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n v="2"/>
    <s v="Curto I"/>
    <m/>
    <s v=""/>
    <s v=""/>
    <m/>
    <m/>
    <m/>
    <m/>
    <m/>
    <m/>
    <n v="40"/>
    <n v="100"/>
    <n v="140"/>
    <n v="0.6"/>
    <m/>
    <m/>
    <s v="Sim"/>
    <m/>
  </r>
  <r>
    <n v="56"/>
    <s v="VP"/>
    <s v="Avenida Flores da Cunha, 4017"/>
    <n v="-30.008488"/>
    <n v="-50.14358"/>
    <s v="C1"/>
    <x v="0"/>
    <s v="P6"/>
    <s v="LED"/>
    <n v="50"/>
    <n v="0"/>
    <n v="0"/>
    <n v="200"/>
    <n v="2"/>
    <n v="0"/>
    <n v="8.5"/>
    <m/>
    <m/>
    <n v="0"/>
    <n v="3"/>
    <n v="10"/>
    <n v="0"/>
    <n v="0"/>
    <n v="0"/>
    <n v="0"/>
    <s v="Unilateral"/>
    <s v="Braço"/>
    <n v="56"/>
    <n v="7"/>
    <n v="2"/>
    <n v="4.7"/>
    <n v="2.5"/>
    <n v="-2.2000000000000002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11033333333333339"/>
    <n v="0.26315789473684204"/>
    <s v="-"/>
    <n v="33.31"/>
    <n v="0.48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3.126666666666667"/>
    <n v="42.38"/>
    <n v="26.02"/>
    <n v="3"/>
    <n v="0.6"/>
    <s v="ATENDE"/>
    <s v="ATENDE"/>
    <s v="ATENDE"/>
    <x v="0"/>
    <s v=" SL VT 9.1 140W"/>
    <s v="LUM LED SL VT 9.1 140W"/>
    <m/>
    <n v="0"/>
    <n v="2"/>
    <n v="140"/>
    <n v="0"/>
    <n v="22440"/>
    <n v="0"/>
    <n v="0"/>
    <n v="10"/>
    <s v="Médio II"/>
    <m/>
    <m/>
    <m/>
    <s v="APEA"/>
    <n v="1"/>
    <m/>
    <s v="Redução do distanciamento entre postes de 56 para 28m."/>
    <m/>
    <m/>
    <n v="140"/>
    <n v="50"/>
    <n v="380"/>
    <n v="-1.7999999999999998"/>
    <m/>
    <m/>
    <s v="Sim"/>
    <m/>
  </r>
  <r>
    <n v="56"/>
    <s v="VP"/>
    <s v="Avenida Flores da Cunha, 4017"/>
    <n v="-30.008488"/>
    <n v="-50.14358"/>
    <s v="C1"/>
    <x v="0"/>
    <s v="P6"/>
    <s v="LED"/>
    <n v="50"/>
    <n v="0"/>
    <n v="0"/>
    <n v="200"/>
    <n v="2"/>
    <n v="0"/>
    <n v="8.5"/>
    <m/>
    <m/>
    <n v="0"/>
    <n v="3"/>
    <n v="10"/>
    <n v="0"/>
    <n v="0"/>
    <n v="0"/>
    <n v="0"/>
    <s v="Unilateral"/>
    <s v="Braço"/>
    <n v="56"/>
    <n v="7"/>
    <n v="2"/>
    <n v="4.7"/>
    <n v="2.5"/>
    <n v="-2.2000000000000002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9.533333333333327E-2"/>
    <n v="0"/>
    <s v="-"/>
    <n v="32.86"/>
    <n v="0.38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3.840000000000002"/>
    <n v="44.52"/>
    <n v="25.53"/>
    <n v="3"/>
    <n v="0.6"/>
    <s v="ATENDE"/>
    <s v="ATENDE"/>
    <s v="ATENDE"/>
    <x v="1"/>
    <s v="SX-INLPP150HF"/>
    <s v="SXINLPP150K40L12CZF7PHF"/>
    <m/>
    <n v="0"/>
    <n v="2"/>
    <n v="137"/>
    <n v="0"/>
    <n v="23817"/>
    <n v="0"/>
    <n v="0"/>
    <n v="10"/>
    <s v="Médio II"/>
    <m/>
    <m/>
    <m/>
    <s v="APEA"/>
    <n v="1"/>
    <m/>
    <s v="Redução do distanciamento entre postes de 56 para 28m."/>
    <m/>
    <m/>
    <n v="137"/>
    <n v="50"/>
    <n v="374"/>
    <n v="-1.7400000000000002"/>
    <m/>
    <m/>
    <s v="Sim"/>
    <m/>
  </r>
  <r>
    <n v="56"/>
    <s v="VP"/>
    <s v="Avenida Flores da Cunha, 4017"/>
    <n v="-30.008488"/>
    <n v="-50.14358"/>
    <s v="C1"/>
    <x v="0"/>
    <s v="P6"/>
    <s v="LED"/>
    <n v="50"/>
    <n v="0"/>
    <n v="0"/>
    <n v="200"/>
    <n v="2"/>
    <n v="0"/>
    <n v="8.5"/>
    <m/>
    <m/>
    <n v="0"/>
    <n v="3"/>
    <n v="10"/>
    <n v="0"/>
    <n v="0"/>
    <n v="0"/>
    <n v="0"/>
    <s v="Unilateral"/>
    <s v="Braço"/>
    <n v="56"/>
    <n v="7"/>
    <n v="2"/>
    <n v="4.7"/>
    <n v="2.5"/>
    <n v="-2.2000000000000002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8.8333333333333375E-2"/>
    <n v="0.23684210526315774"/>
    <s v="-"/>
    <n v="32.65"/>
    <n v="0.47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3.823333333333332"/>
    <n v="44.47"/>
    <n v="30.48"/>
    <n v="3"/>
    <n v="0.6"/>
    <s v="ATENDE"/>
    <s v="ATENDE"/>
    <s v="ATENDE"/>
    <x v="2"/>
    <s v="SIGMAGPTLRRSMNDL150W102IBBR_x000a_"/>
    <s v="SIGMAGPTLRRSMNDL150W102IBBR_x000a_S1-10C1MUN6.5"/>
    <m/>
    <n v="0"/>
    <n v="2"/>
    <n v="150"/>
    <n v="0"/>
    <n v="23000"/>
    <n v="0"/>
    <n v="0"/>
    <n v="10"/>
    <s v="Médio II"/>
    <m/>
    <m/>
    <m/>
    <s v="APEA"/>
    <n v="1"/>
    <m/>
    <s v="Redução do distanciamento entre postes de 56 para 28m."/>
    <m/>
    <m/>
    <n v="150"/>
    <n v="50"/>
    <n v="400"/>
    <n v="-2"/>
    <m/>
    <m/>
    <s v="Sim"/>
    <m/>
  </r>
  <r>
    <n v="53"/>
    <s v="PV"/>
    <s v="Avenida Senador Alberto Pasqualine, 220"/>
    <n v="-30.008447"/>
    <n v="-50.153286000000001"/>
    <s v="C1"/>
    <x v="0"/>
    <s v="P6"/>
    <s v="LED"/>
    <n v="50"/>
    <n v="0"/>
    <n v="0"/>
    <n v="200"/>
    <n v="2"/>
    <n v="2.5"/>
    <n v="7.5"/>
    <m/>
    <m/>
    <n v="0"/>
    <n v="0"/>
    <n v="20.6"/>
    <n v="0"/>
    <n v="0"/>
    <n v="0"/>
    <n v="0"/>
    <s v="Unilateral"/>
    <s v="Braço"/>
    <n v="36.4"/>
    <n v="7.5"/>
    <n v="2"/>
    <n v="0.3"/>
    <n v="2.8"/>
    <n v="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5.2999999999999936E-2"/>
    <n v="-2.6315789473684181E-2"/>
    <s v="-"/>
    <n v="31.59"/>
    <n v="0.37"/>
    <m/>
    <m/>
    <m/>
    <m/>
    <s v="ATENDE"/>
    <s v="ATENDE"/>
    <s v="ATENDIMENTO LIMIAR"/>
    <s v="ATENDE"/>
    <s v="C1"/>
    <s v="P6"/>
    <n v="10.396666666666667"/>
    <n v="34.19"/>
    <n v="11.07"/>
    <n v="3"/>
    <n v="0.6"/>
    <s v="ATENDE"/>
    <s v="ATENDE"/>
    <s v="ATENDE"/>
    <s v="-"/>
    <e v="#VALUE!"/>
    <m/>
    <m/>
    <s v="-"/>
    <s v="-"/>
    <s v="-"/>
    <s v="-"/>
    <s v="-"/>
    <x v="0"/>
    <s v=" SL VT 9.6 120W"/>
    <s v="LUM LED SL VT 9.6 120W"/>
    <m/>
    <e v="#N/A"/>
    <n v="2"/>
    <n v="120"/>
    <n v="0"/>
    <n v="15145"/>
    <n v="0"/>
    <n v="0"/>
    <n v="10"/>
    <s v="Longo I"/>
    <m/>
    <s v=""/>
    <s v=""/>
    <m/>
    <m/>
    <m/>
    <m/>
    <m/>
    <m/>
    <n v="120"/>
    <n v="50"/>
    <n v="340"/>
    <n v="-1.4"/>
    <m/>
    <m/>
    <s v="Sim"/>
    <m/>
  </r>
  <r>
    <n v="53"/>
    <s v="PV"/>
    <s v="Avenida Senador Alberto Pasqualine, 220"/>
    <n v="-30.008447"/>
    <n v="-50.153286000000001"/>
    <s v="C1"/>
    <x v="0"/>
    <s v="P6"/>
    <s v="LED"/>
    <n v="50"/>
    <n v="0"/>
    <n v="0"/>
    <n v="200"/>
    <n v="2"/>
    <n v="2.5"/>
    <n v="7.5"/>
    <m/>
    <m/>
    <n v="0"/>
    <n v="0"/>
    <n v="20.6"/>
    <n v="0"/>
    <n v="0"/>
    <n v="0"/>
    <n v="0"/>
    <s v="Unilateral"/>
    <s v="Braço"/>
    <n v="36.4"/>
    <n v="7.5"/>
    <n v="2"/>
    <n v="0.3"/>
    <n v="2.8"/>
    <n v="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2.0999999999999908E-2"/>
    <n v="7.8947368421052655E-2"/>
    <s v="-"/>
    <n v="30.63"/>
    <n v="0.41"/>
    <m/>
    <m/>
    <m/>
    <m/>
    <s v="ATENDE"/>
    <s v="ATENDE"/>
    <s v="ATENDE"/>
    <s v="ATENDE"/>
    <s v="C1"/>
    <s v="P6"/>
    <n v="11.213333333333333"/>
    <n v="36.64"/>
    <n v="16.79"/>
    <n v="3"/>
    <n v="0.6"/>
    <s v="ATENDE"/>
    <s v="ATENDE"/>
    <s v="ATENDE"/>
    <s v="-"/>
    <e v="#VALUE!"/>
    <m/>
    <m/>
    <s v="-"/>
    <s v="-"/>
    <s v="-"/>
    <s v="-"/>
    <s v="-"/>
    <x v="1"/>
    <s v="SX-INLPP090HF"/>
    <s v="SXINLPP090K40L12CZF7PHF"/>
    <m/>
    <e v="#N/A"/>
    <n v="2"/>
    <n v="90"/>
    <n v="0"/>
    <n v="15476"/>
    <n v="0"/>
    <n v="0"/>
    <m/>
    <s v="Longo I"/>
    <m/>
    <s v=""/>
    <s v=""/>
    <m/>
    <m/>
    <m/>
    <m/>
    <m/>
    <m/>
    <n v="90"/>
    <n v="50"/>
    <n v="280"/>
    <n v="-0.8"/>
    <m/>
    <m/>
    <s v="Sim"/>
    <m/>
  </r>
  <r>
    <n v="53"/>
    <s v="PV"/>
    <s v="Avenida Senador Alberto Pasqualine, 220"/>
    <n v="-30.008447"/>
    <n v="-50.153286000000001"/>
    <s v="C1"/>
    <x v="0"/>
    <s v="P6"/>
    <s v="LED"/>
    <n v="50"/>
    <n v="0"/>
    <n v="0"/>
    <n v="200"/>
    <n v="2"/>
    <n v="2.5"/>
    <n v="7.5"/>
    <m/>
    <m/>
    <n v="0"/>
    <n v="0"/>
    <n v="20.6"/>
    <n v="0"/>
    <n v="0"/>
    <n v="0"/>
    <n v="0"/>
    <s v="Unilateral"/>
    <s v="Braço"/>
    <n v="36.4"/>
    <n v="7.5"/>
    <n v="2"/>
    <n v="0.3"/>
    <n v="2.8"/>
    <n v="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7.9999999999998961E-3"/>
    <n v="5.2631578947368363E-2"/>
    <s v="-"/>
    <n v="29.76"/>
    <n v="0.4"/>
    <m/>
    <m/>
    <m/>
    <m/>
    <s v="ATENDE"/>
    <s v="ATENDIMENTO LIMIAR"/>
    <s v="ATENDE"/>
    <s v="ATENDE"/>
    <s v="C1"/>
    <s v="P6"/>
    <n v="9.6033333333333335"/>
    <n v="31.81"/>
    <n v="13.35"/>
    <n v="3"/>
    <n v="0.6"/>
    <s v="ATENDE"/>
    <s v="ATENDE"/>
    <s v="ATENDE"/>
    <s v="-"/>
    <e v="#VALUE!"/>
    <m/>
    <m/>
    <s v="-"/>
    <s v="-"/>
    <s v="-"/>
    <s v="-"/>
    <s v="-"/>
    <x v="2"/>
    <s v="SIGSAGPTLRRSSNDL100W125IBBRS_x000a_"/>
    <s v="SIGSAGPTLRRSSNDL100W125IBBRS_x000a_1-10C1MUN6.5"/>
    <m/>
    <e v="#N/A"/>
    <n v="2"/>
    <n v="100"/>
    <e v="#N/A"/>
    <n v="15162"/>
    <n v="0"/>
    <n v="0"/>
    <m/>
    <s v="Longo I"/>
    <m/>
    <s v=""/>
    <s v=""/>
    <m/>
    <m/>
    <m/>
    <m/>
    <m/>
    <m/>
    <n v="100"/>
    <n v="50"/>
    <n v="300"/>
    <n v="-1"/>
    <m/>
    <m/>
    <s v="Sim"/>
    <m/>
  </r>
  <r>
    <n v="57"/>
    <s v="PVP"/>
    <s v="Rua Vergueiro, 1327"/>
    <n v="-30.007116"/>
    <n v="-50.148955000000001"/>
    <s v="C5"/>
    <x v="0"/>
    <s v="P6"/>
    <s v="LED"/>
    <n v="50"/>
    <n v="0"/>
    <n v="0"/>
    <n v="100"/>
    <n v="2"/>
    <n v="2.5"/>
    <n v="7"/>
    <m/>
    <m/>
    <n v="0"/>
    <n v="1.5"/>
    <n v="0"/>
    <n v="0"/>
    <n v="0"/>
    <n v="0"/>
    <n v="0"/>
    <s v="Unilateral"/>
    <s v="Braço"/>
    <n v="44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0.44444444444444464"/>
    <s v="-"/>
    <n v="8.01"/>
    <n v="0.26"/>
    <m/>
    <m/>
    <m/>
    <m/>
    <s v="ATENDE"/>
    <s v="ATENDE"/>
    <s v="ATENDE"/>
    <s v="ATENDE"/>
    <s v="C5"/>
    <s v="P6"/>
    <n v="1.2166666666666668"/>
    <n v="6.65"/>
    <n v="1.6"/>
    <n v="3"/>
    <n v="0.6"/>
    <s v="ATENDE"/>
    <s v="ATENDE"/>
    <s v="ATENDE"/>
    <s v="P6"/>
    <n v="0.87000000000000011"/>
    <n v="5.61"/>
    <n v="1.96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57"/>
    <s v="PVP"/>
    <s v="Rua Vergueiro, 1327"/>
    <n v="-30.007116"/>
    <n v="-50.148955000000001"/>
    <s v="C5"/>
    <x v="0"/>
    <s v="P6"/>
    <s v="LED"/>
    <n v="50"/>
    <n v="0"/>
    <n v="0"/>
    <n v="100"/>
    <n v="2"/>
    <n v="2.5"/>
    <n v="7"/>
    <m/>
    <m/>
    <n v="0"/>
    <n v="1.5"/>
    <n v="0"/>
    <n v="0"/>
    <n v="0"/>
    <n v="0"/>
    <n v="0"/>
    <s v="Unilateral"/>
    <s v="Braço"/>
    <n v="44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6000000000000014E-2"/>
    <n v="0.38888888888888884"/>
    <s v="-"/>
    <n v="7.62"/>
    <n v="0.25"/>
    <m/>
    <m/>
    <m/>
    <m/>
    <s v="ATENDE"/>
    <s v="ATENDE"/>
    <s v="ATENDE"/>
    <s v="ATENDE"/>
    <s v="C5"/>
    <s v="P6"/>
    <n v="1.1033333333333331"/>
    <n v="6.31"/>
    <n v="1.01"/>
    <n v="3"/>
    <n v="0.6"/>
    <s v="ATENDE"/>
    <s v="ATENDE"/>
    <s v="ATENDE"/>
    <s v="P6"/>
    <n v="0.70666666666666678"/>
    <n v="5.12"/>
    <n v="2.0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57"/>
    <s v="PVP"/>
    <s v="Rua Vergueiro, 1327"/>
    <n v="-30.007116"/>
    <n v="-50.148955000000001"/>
    <s v="C5"/>
    <x v="0"/>
    <s v="P6"/>
    <s v="LED"/>
    <n v="50"/>
    <n v="0"/>
    <n v="0"/>
    <n v="100"/>
    <n v="2"/>
    <n v="2.5"/>
    <n v="7"/>
    <m/>
    <m/>
    <n v="0"/>
    <n v="1.5"/>
    <n v="0"/>
    <n v="0"/>
    <n v="0"/>
    <n v="0"/>
    <n v="0"/>
    <s v="Unilateral"/>
    <s v="Braço"/>
    <n v="44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599999999999988"/>
    <n v="5.555555555555558E-2"/>
    <s v="-"/>
    <n v="8.3699999999999992"/>
    <n v="0.19"/>
    <m/>
    <m/>
    <m/>
    <m/>
    <s v="ATENDE"/>
    <s v="ATENDE"/>
    <s v="ATENDE"/>
    <s v="ATENDE"/>
    <s v="C5"/>
    <s v="P6"/>
    <n v="0.54333333333333322"/>
    <n v="4.63"/>
    <n v="1"/>
    <n v="3"/>
    <n v="0.6"/>
    <s v="ATENDE"/>
    <s v="ATENDE"/>
    <s v="ATENDE"/>
    <s v="P6"/>
    <n v="1.19"/>
    <n v="6.57"/>
    <n v="1.6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50"/>
    <n v="90"/>
    <n v="0.19999999999999996"/>
    <m/>
    <m/>
    <s v="Sim"/>
    <m/>
  </r>
  <r>
    <n v="58"/>
    <s v="PVP"/>
    <s v="Rua Reboucas, 1496"/>
    <n v="-30.008061999999999"/>
    <n v="-50.150218000000002"/>
    <s v="C5"/>
    <x v="0"/>
    <s v="P6"/>
    <s v="Vapor de sódio"/>
    <n v="150"/>
    <n v="22"/>
    <n v="0"/>
    <n v="300"/>
    <n v="2"/>
    <n v="3"/>
    <n v="7"/>
    <m/>
    <m/>
    <n v="0"/>
    <n v="3"/>
    <n v="0"/>
    <n v="0"/>
    <n v="0"/>
    <n v="0"/>
    <n v="0"/>
    <s v="Unilateral"/>
    <s v="Braço"/>
    <n v="26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466666666666675"/>
    <n v="2.1666666666666665"/>
    <s v="-"/>
    <n v="8.81"/>
    <n v="0.56999999999999995"/>
    <m/>
    <m/>
    <m/>
    <m/>
    <s v="ATENDE"/>
    <s v="ATENDE"/>
    <s v="ATENDE"/>
    <s v="ATENDE"/>
    <s v="C5"/>
    <s v="P6"/>
    <n v="1.3633333333333333"/>
    <n v="7.09"/>
    <n v="4.0199999999999996"/>
    <n v="3"/>
    <n v="0.6"/>
    <s v="ATENDE"/>
    <s v="ATENDE"/>
    <s v="ATENDE"/>
    <s v="P6"/>
    <n v="0.77333333333333343"/>
    <n v="5.32"/>
    <n v="3.31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58"/>
    <s v="PVP"/>
    <s v="Rua Reboucas, 1496"/>
    <n v="-30.008061999999999"/>
    <n v="-50.150218000000002"/>
    <s v="C5"/>
    <x v="0"/>
    <s v="P6"/>
    <s v="Vapor de sódio"/>
    <n v="150"/>
    <n v="22"/>
    <n v="0"/>
    <n v="300"/>
    <n v="2"/>
    <n v="3"/>
    <n v="7"/>
    <m/>
    <m/>
    <n v="0"/>
    <n v="3"/>
    <n v="0"/>
    <n v="0"/>
    <n v="0"/>
    <n v="0"/>
    <n v="0"/>
    <s v="Unilateral"/>
    <s v="Braço"/>
    <n v="26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6266666666666678"/>
    <n v="421.22222222222223"/>
    <s v="-"/>
    <n v="10.97"/>
    <n v="76"/>
    <m/>
    <m/>
    <m/>
    <m/>
    <s v="ATENDE"/>
    <s v="ATENDE"/>
    <s v="ATENDE"/>
    <s v="ATENDE"/>
    <s v="C5"/>
    <s v="P6"/>
    <n v="1.7233333333333332"/>
    <n v="8.17"/>
    <n v="5.28"/>
    <n v="3"/>
    <n v="0.6"/>
    <s v="ATENDE"/>
    <s v="ATENDE"/>
    <s v="ATENDE"/>
    <s v="P6"/>
    <n v="0.88333333333333353"/>
    <n v="5.65"/>
    <n v="3.26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58"/>
    <s v="PVP"/>
    <s v="Rua Reboucas, 1496"/>
    <n v="-30.008061999999999"/>
    <n v="-50.150218000000002"/>
    <s v="C5"/>
    <x v="0"/>
    <s v="P6"/>
    <s v="Vapor de sódio"/>
    <n v="150"/>
    <n v="22"/>
    <n v="0"/>
    <n v="300"/>
    <n v="2"/>
    <n v="3"/>
    <n v="7"/>
    <m/>
    <m/>
    <n v="0"/>
    <n v="3"/>
    <n v="0"/>
    <n v="0"/>
    <n v="0"/>
    <n v="0"/>
    <n v="0"/>
    <s v="Unilateral"/>
    <s v="Braço"/>
    <n v="26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4799999999999995"/>
    <n v="2.8888888888888888"/>
    <s v="-"/>
    <n v="10.86"/>
    <n v="0.7"/>
    <m/>
    <m/>
    <m/>
    <m/>
    <s v="ATENDE"/>
    <s v="ATENDE"/>
    <s v="ATENDE"/>
    <s v="ATENDE"/>
    <s v="C5"/>
    <s v="P6"/>
    <n v="1.75"/>
    <n v="8.25"/>
    <n v="5.45"/>
    <n v="3"/>
    <n v="0.6"/>
    <s v="ATENDE"/>
    <s v="ATENDE"/>
    <s v="ATENDE"/>
    <s v="P6"/>
    <n v="0.7433333333333334"/>
    <n v="5.23"/>
    <n v="3.29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59"/>
    <s v="PVP"/>
    <s v="Rua Sargento Geraldo Santana, 1649"/>
    <n v="-30.010538"/>
    <n v="-50.14886400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0.66666666666666674"/>
    <s v="-"/>
    <n v="7.89"/>
    <n v="0.3"/>
    <m/>
    <m/>
    <m/>
    <m/>
    <s v="ATENDE"/>
    <s v="ATENDE"/>
    <s v="ATENDE"/>
    <s v="ATENDE"/>
    <s v="C5"/>
    <s v="P6"/>
    <n v="1.0733333333333333"/>
    <n v="6.22"/>
    <n v="1.68"/>
    <n v="3"/>
    <n v="0.6"/>
    <s v="ATENDE"/>
    <s v="ATENDE"/>
    <s v="ATENDE"/>
    <s v="P6"/>
    <n v="0.27"/>
    <n v="3.81"/>
    <n v="1.51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59"/>
    <s v="PVP"/>
    <s v="Rua Sargento Geraldo Santana, 1649"/>
    <n v="-30.010538"/>
    <n v="-50.14886400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866666666666664"/>
    <n v="0.2777777777777779"/>
    <s v="-"/>
    <n v="9.74"/>
    <n v="0.23"/>
    <m/>
    <m/>
    <m/>
    <m/>
    <s v="ATENDE"/>
    <s v="ATENDE"/>
    <s v="ATENDE"/>
    <s v="ATENDE"/>
    <s v="C5"/>
    <s v="P6"/>
    <n v="1.3366666666666664"/>
    <n v="7.01"/>
    <n v="0.62"/>
    <n v="3"/>
    <n v="0.6"/>
    <s v="ATENDE"/>
    <s v="ATENDE"/>
    <s v="ATENDE"/>
    <s v="P6"/>
    <n v="0.12333333333333329"/>
    <n v="3.37"/>
    <n v="0.88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59"/>
    <s v="PVP"/>
    <s v="Rua Sargento Geraldo Santana, 1649"/>
    <n v="-30.010538"/>
    <n v="-50.14886400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333333333333343"/>
    <n v="0.83333333333333348"/>
    <s v="-"/>
    <n v="9.5500000000000007"/>
    <n v="0.33"/>
    <m/>
    <m/>
    <m/>
    <m/>
    <s v="ATENDE"/>
    <s v="ATENDE"/>
    <s v="ATENDE"/>
    <s v="ATENDE"/>
    <s v="C5"/>
    <s v="P6"/>
    <n v="1.3900000000000001"/>
    <n v="7.17"/>
    <n v="1.92"/>
    <n v="3"/>
    <n v="0.6"/>
    <s v="ATENDE"/>
    <s v="ATENDE"/>
    <s v="ATENDE"/>
    <s v="P6"/>
    <n v="0.12333333333333329"/>
    <n v="3.37"/>
    <n v="1.6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0"/>
    <s v="PVP"/>
    <s v="Rua Estilac Leal II, 386"/>
    <n v="-30.013382"/>
    <n v="-50.155915999999998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.2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5733333333333319"/>
    <n v="2.3333333333333335"/>
    <s v="-"/>
    <n v="9.43"/>
    <n v="0.6"/>
    <m/>
    <m/>
    <m/>
    <m/>
    <s v="ATENDE"/>
    <s v="ATENDE"/>
    <s v="ATENDE"/>
    <s v="ATENDE"/>
    <s v="C5"/>
    <s v="P6"/>
    <n v="1.8033333333333332"/>
    <n v="8.41"/>
    <n v="5.18"/>
    <n v="3"/>
    <n v="0.6"/>
    <s v="ATENDE"/>
    <s v="ATENDE"/>
    <s v="ATENDE"/>
    <s v="P6"/>
    <n v="1.0433333333333334"/>
    <n v="6.13"/>
    <n v="4.22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60"/>
    <s v="PVP"/>
    <s v="Rua Estilac Leal II, 386"/>
    <n v="-30.013382"/>
    <n v="-50.155915999999998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.2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3455E-2"/>
    <n v="3.2222222222222223"/>
    <s v="-"/>
    <n v="7.9"/>
    <n v="0.76"/>
    <m/>
    <m/>
    <m/>
    <m/>
    <s v="ATENDE"/>
    <s v="ATENDE"/>
    <s v="ATENDE"/>
    <s v="ATENDE"/>
    <s v="C5"/>
    <s v="P6"/>
    <n v="1.3133333333333335"/>
    <n v="6.94"/>
    <n v="4.8499999999999996"/>
    <n v="3"/>
    <n v="0.6"/>
    <s v="ATENDE"/>
    <s v="ATENDE"/>
    <s v="ATENDE"/>
    <s v="P6"/>
    <n v="0.59666666666666668"/>
    <n v="4.79"/>
    <n v="3.45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60"/>
    <s v="PVP"/>
    <s v="Rua Estilac Leal II, 386"/>
    <n v="-30.013382"/>
    <n v="-50.155915999999998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.2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4933333333333323"/>
    <n v="2.9444444444444442"/>
    <s v="-"/>
    <n v="11.62"/>
    <n v="0.71"/>
    <m/>
    <m/>
    <m/>
    <m/>
    <s v="ATENDE"/>
    <s v="ATENDE"/>
    <s v="ATENDE"/>
    <s v="ATENDE"/>
    <s v="C5"/>
    <s v="P6"/>
    <n v="2.3266666666666667"/>
    <n v="9.98"/>
    <n v="7.23"/>
    <n v="3"/>
    <n v="0.6"/>
    <s v="ATENDE"/>
    <s v="ATENDE"/>
    <s v="ATENDE"/>
    <s v="P6"/>
    <n v="1.0566666666666666"/>
    <n v="6.17"/>
    <n v="4.5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1"/>
    <s v="PVP"/>
    <s v="Rua Assis Brasil, 616"/>
    <n v="-30.014125"/>
    <n v="-50.157004999999998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1.5"/>
    <n v="6.5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1999999999999842E-2"/>
    <n v="1.0555555555555558"/>
    <s v="-"/>
    <n v="8.0399999999999991"/>
    <n v="0.37"/>
    <m/>
    <m/>
    <m/>
    <m/>
    <s v="ATENDE"/>
    <s v="ATENDE"/>
    <s v="ATENDE"/>
    <s v="ATENDE"/>
    <s v="C5"/>
    <s v="P6"/>
    <n v="1.31"/>
    <n v="6.93"/>
    <n v="2.39"/>
    <n v="3"/>
    <n v="0.6"/>
    <s v="ATENDE"/>
    <s v="ATENDE"/>
    <s v="ATENDE"/>
    <s v="P6"/>
    <n v="0.34999999999999987"/>
    <n v="4.05"/>
    <n v="1.93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"/>
    <m/>
    <s v=""/>
    <s v=""/>
    <m/>
    <m/>
    <m/>
    <m/>
    <m/>
    <m/>
    <n v="28"/>
    <n v="50"/>
    <n v="78"/>
    <n v="0.43999999999999995"/>
    <m/>
    <m/>
    <s v="Sim"/>
    <m/>
  </r>
  <r>
    <n v="61"/>
    <s v="PVP"/>
    <s v="Rua Assis Brasil, 616"/>
    <n v="-30.014125"/>
    <n v="-50.157004999999998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1.5"/>
    <n v="6.5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800000000000007"/>
    <n v="1.5"/>
    <s v="-"/>
    <n v="9.9600000000000009"/>
    <n v="0.45"/>
    <m/>
    <m/>
    <m/>
    <m/>
    <s v="ATENDE"/>
    <s v="ATENDE"/>
    <s v="ATENDE"/>
    <s v="ATENDE"/>
    <s v="C5"/>
    <s v="P6"/>
    <n v="1.69"/>
    <n v="8.07"/>
    <n v="1.82"/>
    <n v="3"/>
    <n v="0.6"/>
    <s v="ATENDE"/>
    <s v="ATENDE"/>
    <s v="ATENDE"/>
    <s v="P6"/>
    <n v="0.23333333333333339"/>
    <n v="3.7"/>
    <n v="1.7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"/>
    <m/>
    <s v=""/>
    <s v=""/>
    <m/>
    <m/>
    <m/>
    <m/>
    <m/>
    <m/>
    <n v="31"/>
    <n v="50"/>
    <n v="81"/>
    <n v="0.38"/>
    <m/>
    <m/>
    <s v="Sim"/>
    <m/>
  </r>
  <r>
    <n v="61"/>
    <s v="PVP"/>
    <s v="Rua Assis Brasil, 616"/>
    <n v="-30.014125"/>
    <n v="-50.157004999999998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1.5"/>
    <n v="6.5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000000000000004"/>
    <n v="1.7777777777777777"/>
    <s v="-"/>
    <n v="9.75"/>
    <n v="0.5"/>
    <m/>
    <m/>
    <m/>
    <m/>
    <s v="ATENDE"/>
    <s v="ATENDE"/>
    <s v="ATENDE"/>
    <s v="ATENDE"/>
    <s v="C5"/>
    <s v="P6"/>
    <n v="1.7033333333333331"/>
    <n v="8.11"/>
    <n v="3.39"/>
    <n v="3"/>
    <n v="0.6"/>
    <s v="ATENDE"/>
    <s v="ATENDE"/>
    <s v="ATENDE"/>
    <s v="P6"/>
    <n v="0.21333333333333337"/>
    <n v="3.64"/>
    <n v="2.22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"/>
    <m/>
    <s v=""/>
    <s v=""/>
    <m/>
    <m/>
    <m/>
    <m/>
    <m/>
    <m/>
    <n v="30"/>
    <n v="50"/>
    <n v="80"/>
    <n v="0.4"/>
    <m/>
    <m/>
    <s v="Sim"/>
    <m/>
  </r>
  <r>
    <n v="62"/>
    <s v="PVP"/>
    <s v="Rua Prudente de Morais, 1179"/>
    <n v="-30.017402000000001"/>
    <n v="-50.159571"/>
    <s v="C5"/>
    <x v="0"/>
    <s v="P6"/>
    <s v="Vapor de sódio"/>
    <n v="150"/>
    <n v="22"/>
    <n v="0"/>
    <n v="300"/>
    <n v="2"/>
    <n v="3"/>
    <n v="6"/>
    <m/>
    <m/>
    <n v="0"/>
    <n v="3"/>
    <n v="0"/>
    <n v="0"/>
    <n v="0"/>
    <n v="0"/>
    <n v="0"/>
    <s v="Unilateral"/>
    <s v="Braço"/>
    <n v="41.7"/>
    <n v="6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3333333333333437E-2"/>
    <n v="0.11111111111111116"/>
    <s v="-"/>
    <n v="7.75"/>
    <n v="0.2"/>
    <m/>
    <m/>
    <m/>
    <m/>
    <s v="ATENDE"/>
    <s v="ATENDE"/>
    <s v="ATENDE"/>
    <s v="ATENDE"/>
    <s v="C5"/>
    <s v="P6"/>
    <n v="0.7300000000000002"/>
    <n v="5.19"/>
    <n v="0.83"/>
    <n v="3"/>
    <n v="0.6"/>
    <s v="ATENDE"/>
    <s v="ATENDE"/>
    <s v="ATENDE"/>
    <s v="-"/>
    <e v="#VALUE!"/>
    <n v="5.5"/>
    <n v="1.43"/>
    <s v="-"/>
    <s v="-"/>
    <s v="-"/>
    <s v="-"/>
    <s v="-"/>
    <x v="0"/>
    <s v=" SL VT 9.1 35W"/>
    <s v="LUM LED SL VT 9.1 35W"/>
    <m/>
    <e v="#N/A"/>
    <n v="1"/>
    <n v="35"/>
    <e v="#N/A"/>
    <n v="5955.62"/>
    <n v="0"/>
    <n v="0"/>
    <m/>
    <s v="Curto II"/>
    <s v="Médio I"/>
    <n v="1.8"/>
    <n v="7"/>
    <m/>
    <m/>
    <m/>
    <m/>
    <m/>
    <m/>
    <n v="35"/>
    <n v="150"/>
    <n v="185"/>
    <n v="0.76666666666666661"/>
    <m/>
    <m/>
    <s v="Sim"/>
    <m/>
  </r>
  <r>
    <n v="62"/>
    <s v="PVP"/>
    <s v="Rua Prudente de Morais, 1179"/>
    <n v="-30.017402000000001"/>
    <n v="-50.159571"/>
    <s v="C5"/>
    <x v="0"/>
    <s v="P6"/>
    <s v="Vapor de sódio"/>
    <n v="150"/>
    <n v="22"/>
    <n v="0"/>
    <n v="300"/>
    <n v="2"/>
    <n v="3"/>
    <n v="6"/>
    <m/>
    <m/>
    <n v="0"/>
    <n v="3"/>
    <n v="0"/>
    <n v="0"/>
    <n v="0"/>
    <n v="0"/>
    <n v="0"/>
    <s v="Unilateral"/>
    <s v="Braço"/>
    <n v="41.7"/>
    <n v="6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733333333333334"/>
    <n v="0.22222222222222232"/>
    <s v="-"/>
    <n v="8.83"/>
    <n v="0.22"/>
    <m/>
    <m/>
    <m/>
    <m/>
    <s v="ATENDE"/>
    <s v="ATENDE"/>
    <s v="ATENDE"/>
    <s v="ATENDE"/>
    <s v="C5"/>
    <s v="P6"/>
    <n v="0.97666666666666657"/>
    <n v="5.93"/>
    <n v="0.82"/>
    <n v="3"/>
    <n v="0.6"/>
    <s v="ATENDE"/>
    <s v="ATENDE"/>
    <s v="ATENDE"/>
    <s v="-"/>
    <e v="#VALUE!"/>
    <n v="6.01"/>
    <n v="2.14"/>
    <s v="-"/>
    <s v="-"/>
    <s v="-"/>
    <s v="-"/>
    <s v="-"/>
    <x v="1"/>
    <s v="SX-INEVO040HF"/>
    <s v="SXINEVO040K40L12CZF7PHF"/>
    <m/>
    <e v="#N/A"/>
    <n v="1"/>
    <n v="39"/>
    <e v="#N/A"/>
    <n v="6552"/>
    <n v="0"/>
    <n v="0"/>
    <m/>
    <s v="Curto II"/>
    <s v="Médio I"/>
    <n v="1.8"/>
    <n v="7"/>
    <m/>
    <m/>
    <m/>
    <m/>
    <m/>
    <m/>
    <n v="39"/>
    <n v="150"/>
    <n v="189"/>
    <n v="0.74"/>
    <m/>
    <m/>
    <s v="Sim"/>
    <m/>
  </r>
  <r>
    <n v="62"/>
    <s v="PVP"/>
    <s v="Rua Prudente de Morais, 1179"/>
    <n v="-30.017402000000001"/>
    <n v="-50.159571"/>
    <s v="C5"/>
    <x v="0"/>
    <s v="P6"/>
    <s v="Vapor de sódio"/>
    <n v="150"/>
    <n v="22"/>
    <n v="0"/>
    <n v="300"/>
    <n v="2"/>
    <n v="3"/>
    <n v="6"/>
    <m/>
    <m/>
    <n v="0"/>
    <n v="3"/>
    <n v="0"/>
    <n v="0"/>
    <n v="0"/>
    <n v="0"/>
    <n v="0"/>
    <s v="Unilateral"/>
    <s v="Braço"/>
    <n v="41.7"/>
    <n v="6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0000000000000036E-3"/>
    <n v="0.16666666666666674"/>
    <s v="-"/>
    <n v="7.53"/>
    <n v="0.21"/>
    <m/>
    <m/>
    <m/>
    <m/>
    <s v="ATENDE"/>
    <s v="ATENDE"/>
    <s v="ATENDE"/>
    <s v="ATENDE"/>
    <s v="C5"/>
    <s v="P6"/>
    <n v="0.58000000000000007"/>
    <n v="4.74"/>
    <n v="0.94"/>
    <n v="3"/>
    <n v="0.6"/>
    <s v="ATENDE"/>
    <s v="ATENDE"/>
    <s v="ATENDE"/>
    <s v="-"/>
    <e v="#VALUE!"/>
    <n v="4.49"/>
    <n v="1.46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s v="Médio I"/>
    <n v="1.8"/>
    <n v="7"/>
    <m/>
    <m/>
    <m/>
    <m/>
    <m/>
    <m/>
    <n v="30"/>
    <n v="150"/>
    <n v="180"/>
    <n v="0.8"/>
    <m/>
    <m/>
    <s v="Sim"/>
    <m/>
  </r>
  <r>
    <n v="64"/>
    <s v="V"/>
    <s v="Avenida Minas Gerais, 380"/>
    <n v="-30.022662"/>
    <n v="-50.149965999999999"/>
    <s v="C2"/>
    <x v="0"/>
    <n v="0"/>
    <s v="Vapor de sódio"/>
    <n v="250"/>
    <n v="30"/>
    <n v="0"/>
    <n v="500"/>
    <n v="2"/>
    <n v="0"/>
    <n v="7.5"/>
    <m/>
    <m/>
    <n v="0"/>
    <n v="0"/>
    <n v="0"/>
    <n v="0"/>
    <n v="0"/>
    <n v="0"/>
    <n v="0"/>
    <s v="Unilateral"/>
    <s v="Braço"/>
    <n v="40.1"/>
    <n v="8.5"/>
    <n v="1"/>
    <n v="10.7"/>
    <n v="2.5"/>
    <n v="-8.199999999999999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4.3500000000000094E-2"/>
    <n v="0.60714285714285698"/>
    <s v="-"/>
    <n v="20.87"/>
    <n v="0.45"/>
    <m/>
    <m/>
    <m/>
    <m/>
    <s v="ATENDE"/>
    <s v="ATENDE"/>
    <s v="ATENDE"/>
    <s v="ATENDE"/>
    <s v="C2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200W"/>
    <s v="LUM LED SL VT 9.1 200W"/>
    <m/>
    <n v="0"/>
    <n v="1"/>
    <n v="200"/>
    <n v="0"/>
    <n v="32521"/>
    <n v="0"/>
    <n v="0"/>
    <n v="10"/>
    <s v="Médio II"/>
    <s v="Longo II"/>
    <n v="3.5"/>
    <n v="8.5"/>
    <m/>
    <m/>
    <m/>
    <m/>
    <m/>
    <m/>
    <n v="200"/>
    <n v="250"/>
    <n v="450"/>
    <n v="0.19999999999999996"/>
    <m/>
    <m/>
    <s v="Sim"/>
    <m/>
  </r>
  <r>
    <n v="64"/>
    <s v="V"/>
    <s v="Avenida Minas Gerais, 380"/>
    <n v="-30.022662"/>
    <n v="-50.149965999999999"/>
    <s v="C2"/>
    <x v="0"/>
    <n v="0"/>
    <s v="Vapor de sódio"/>
    <n v="250"/>
    <n v="30"/>
    <n v="0"/>
    <n v="500"/>
    <n v="2"/>
    <n v="0"/>
    <n v="7.5"/>
    <m/>
    <m/>
    <n v="0"/>
    <n v="0"/>
    <n v="0"/>
    <n v="0"/>
    <n v="0"/>
    <n v="0"/>
    <n v="0"/>
    <s v="Unilateral"/>
    <s v="Braço"/>
    <n v="40.1"/>
    <n v="8.5"/>
    <n v="1"/>
    <n v="10.7"/>
    <n v="2.5"/>
    <n v="-8.199999999999999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-3.5000000000000586E-3"/>
    <n v="0.9285714285714286"/>
    <s v="-"/>
    <n v="19.93"/>
    <n v="0.54"/>
    <m/>
    <m/>
    <m/>
    <m/>
    <s v="ATENDE"/>
    <s v="ATENDIMENTO LIMIAR"/>
    <s v="ATENDE"/>
    <s v="ATENDE"/>
    <s v="C2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LPP120HF"/>
    <s v="SXINLPP120K40L12CZF7PHF"/>
    <m/>
    <n v="0"/>
    <n v="1"/>
    <n v="120"/>
    <n v="0"/>
    <n v="20748"/>
    <n v="0"/>
    <n v="0"/>
    <n v="10"/>
    <s v="Médio II"/>
    <s v="Longo II"/>
    <n v="3.5"/>
    <n v="8.5"/>
    <s v="APEA"/>
    <n v="1"/>
    <m/>
    <s v="Redução do distanciamento entre postes de 40.10 para 20.05"/>
    <m/>
    <m/>
    <n v="120"/>
    <n v="250"/>
    <n v="370"/>
    <n v="0.52"/>
    <m/>
    <m/>
    <s v="Sim"/>
    <m/>
  </r>
  <r>
    <n v="64"/>
    <s v="V"/>
    <s v="Avenida Minas Gerais, 380"/>
    <n v="-30.022662"/>
    <n v="-50.149965999999999"/>
    <s v="C2"/>
    <x v="0"/>
    <n v="0"/>
    <s v="Vapor de sódio"/>
    <n v="250"/>
    <n v="30"/>
    <n v="0"/>
    <n v="500"/>
    <n v="2"/>
    <n v="0"/>
    <n v="7.5"/>
    <m/>
    <m/>
    <n v="0"/>
    <n v="0"/>
    <n v="0"/>
    <n v="0"/>
    <n v="0"/>
    <n v="0"/>
    <n v="0"/>
    <s v="Unilateral"/>
    <s v="Braço"/>
    <n v="40.1"/>
    <n v="8.5"/>
    <n v="1"/>
    <n v="10.7"/>
    <n v="2.5"/>
    <n v="-8.199999999999999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25"/>
    <n v="1"/>
    <s v="-"/>
    <n v="22.5"/>
    <n v="0.56000000000000005"/>
    <m/>
    <m/>
    <m/>
    <m/>
    <s v="ATENDE"/>
    <s v="ATENDE"/>
    <s v="ATENDE"/>
    <s v="ATENDE"/>
    <s v="C2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MAGPTLRRSMNDL150W102IBBR_x000a_"/>
    <s v="SIGMAGPTLRRSMNDL150W102IBBR_x000a_S1-10C1MUN6.5"/>
    <m/>
    <n v="0"/>
    <n v="1"/>
    <n v="150"/>
    <n v="0"/>
    <n v="23000"/>
    <n v="0"/>
    <n v="0"/>
    <n v="10"/>
    <s v="Médio II"/>
    <s v="Longo II"/>
    <n v="3.5"/>
    <n v="8.5"/>
    <s v="APEA"/>
    <n v="1"/>
    <m/>
    <s v="Redução do distanciamento entre postes de 40.10 para 20.05"/>
    <m/>
    <m/>
    <n v="150"/>
    <n v="250"/>
    <n v="400"/>
    <n v="0.4"/>
    <m/>
    <m/>
    <s v="Sim"/>
    <m/>
  </r>
  <r>
    <n v="65"/>
    <s v="PVP"/>
    <s v="Rua Parma, 243"/>
    <n v="-30.022981000000001"/>
    <n v="-50.15000400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1.4444444444444446"/>
    <s v="-"/>
    <n v="10.48"/>
    <n v="0.44"/>
    <m/>
    <m/>
    <m/>
    <m/>
    <s v="ATENDE"/>
    <s v="ATENDE"/>
    <s v="ATENDE"/>
    <s v="ATENDE"/>
    <s v="C4"/>
    <s v="P6"/>
    <n v="1.9566666666666666"/>
    <n v="8.8699999999999992"/>
    <n v="3.64"/>
    <n v="3"/>
    <n v="0.6"/>
    <s v="ATENDE"/>
    <s v="ATENDE"/>
    <s v="ATENDE"/>
    <s v="P6"/>
    <n v="1.23"/>
    <n v="6.69"/>
    <n v="3.55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65"/>
    <s v="PVP"/>
    <s v="Rua Parma, 243"/>
    <n v="-30.022981000000001"/>
    <n v="-50.15000400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5000000000000124E-2"/>
    <n v="1.8888888888888893"/>
    <s v="-"/>
    <n v="10.15"/>
    <n v="0.52"/>
    <m/>
    <m/>
    <m/>
    <m/>
    <s v="ATENDE"/>
    <s v="ATENDE"/>
    <s v="ATENDE"/>
    <s v="ATENDE"/>
    <s v="C4"/>
    <s v="P6"/>
    <n v="1.2200000000000002"/>
    <n v="6.66"/>
    <n v="3.13"/>
    <n v="3"/>
    <n v="0.6"/>
    <s v="ATENDE"/>
    <s v="ATENDE"/>
    <s v="ATENDE"/>
    <s v="P6"/>
    <n v="1.4566666666666666"/>
    <n v="7.37"/>
    <n v="5.3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Médio II"/>
    <n v="2.4"/>
    <n v="7.5"/>
    <m/>
    <m/>
    <m/>
    <m/>
    <m/>
    <m/>
    <n v="39"/>
    <n v="100"/>
    <n v="139"/>
    <n v="0.61"/>
    <m/>
    <m/>
    <s v="Sim"/>
    <m/>
  </r>
  <r>
    <n v="65"/>
    <s v="PVP"/>
    <s v="Rua Parma, 243"/>
    <n v="-30.022981000000001"/>
    <n v="-50.15000400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200000000000012"/>
    <n v="1.8888888888888893"/>
    <s v="-"/>
    <n v="11.32"/>
    <n v="0.52"/>
    <m/>
    <m/>
    <m/>
    <m/>
    <s v="ATENDE"/>
    <s v="ATENDE"/>
    <s v="ATENDE"/>
    <s v="ATENDE"/>
    <s v="C4"/>
    <s v="P6"/>
    <n v="1.9833333333333329"/>
    <n v="8.9499999999999993"/>
    <n v="4.3600000000000003"/>
    <n v="3"/>
    <n v="0.6"/>
    <s v="ATENDE"/>
    <s v="ATENDE"/>
    <s v="ATENDE"/>
    <s v="P6"/>
    <n v="0.68666666666666654"/>
    <n v="5.0599999999999996"/>
    <n v="2.9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63"/>
    <s v="PVP"/>
    <s v="Rua Santa Clara, 320"/>
    <n v="-30.011085999999999"/>
    <n v="-50.156753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0.33333333333333326"/>
    <s v="-"/>
    <n v="7.89"/>
    <n v="0.24"/>
    <m/>
    <m/>
    <m/>
    <m/>
    <s v="ATENDE"/>
    <s v="ATENDE"/>
    <s v="ATENDE"/>
    <s v="ATENDE"/>
    <s v="C5"/>
    <s v="P6"/>
    <n v="0.86333333333333329"/>
    <n v="5.59"/>
    <n v="1.1299999999999999"/>
    <n v="3"/>
    <n v="0.6"/>
    <s v="ATENDE"/>
    <s v="ATENDE"/>
    <s v="ATENDE"/>
    <s v="P6"/>
    <n v="0.67999999999999994"/>
    <n v="5.04"/>
    <n v="1.5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s v="Médio I"/>
    <n v="1.8"/>
    <n v="7"/>
    <m/>
    <m/>
    <m/>
    <m/>
    <m/>
    <m/>
    <n v="35"/>
    <n v="100"/>
    <n v="135"/>
    <n v="0.65"/>
    <m/>
    <m/>
    <s v="Sim"/>
    <m/>
  </r>
  <r>
    <n v="63"/>
    <s v="PVP"/>
    <s v="Rua Santa Clara, 320"/>
    <n v="-30.011085999999999"/>
    <n v="-50.156753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600000000000017"/>
    <n v="0.44444444444444464"/>
    <s v="-"/>
    <n v="8.9700000000000006"/>
    <n v="0.26"/>
    <m/>
    <m/>
    <m/>
    <m/>
    <s v="ATENDE"/>
    <s v="ATENDE"/>
    <s v="ATENDE"/>
    <s v="ATENDE"/>
    <s v="C5"/>
    <s v="P6"/>
    <n v="1.1366666666666667"/>
    <n v="6.41"/>
    <n v="1.1599999999999999"/>
    <n v="3"/>
    <n v="0.6"/>
    <s v="ATENDE"/>
    <s v="ATENDE"/>
    <s v="ATENDE"/>
    <s v="P6"/>
    <n v="0.8"/>
    <n v="5.4"/>
    <n v="2.259999999999999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Médio I"/>
    <n v="1.8"/>
    <n v="7"/>
    <m/>
    <m/>
    <m/>
    <m/>
    <m/>
    <m/>
    <n v="39"/>
    <n v="100"/>
    <n v="139"/>
    <n v="0.61"/>
    <m/>
    <m/>
    <s v="Sim"/>
    <m/>
  </r>
  <r>
    <n v="63"/>
    <s v="PVP"/>
    <s v="Rua Santa Clara, 320"/>
    <n v="-30.011085999999999"/>
    <n v="-50.156753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0000000000000071E-3"/>
    <n v="0.44444444444444464"/>
    <s v="-"/>
    <n v="7.56"/>
    <n v="0.26"/>
    <m/>
    <m/>
    <m/>
    <m/>
    <s v="ATENDE"/>
    <s v="ATENDE"/>
    <s v="ATENDE"/>
    <s v="ATENDE"/>
    <s v="C5"/>
    <s v="P6"/>
    <n v="0.7"/>
    <n v="5.0999999999999996"/>
    <n v="1.26"/>
    <n v="3"/>
    <n v="0.6"/>
    <s v="ATENDE"/>
    <s v="ATENDE"/>
    <s v="ATENDE"/>
    <s v="P6"/>
    <n v="0.32333333333333347"/>
    <n v="3.97"/>
    <n v="1.6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s v="Médio I"/>
    <n v="1.8"/>
    <n v="7"/>
    <m/>
    <m/>
    <m/>
    <m/>
    <m/>
    <m/>
    <n v="30"/>
    <n v="100"/>
    <n v="130"/>
    <n v="0.7"/>
    <m/>
    <m/>
    <s v="Sim"/>
    <m/>
  </r>
  <r>
    <n v="66"/>
    <s v="PVP"/>
    <s v="Rua do Sal, 510"/>
    <n v="-30.022400000000001"/>
    <n v="-50.145620999999998"/>
    <s v="C5"/>
    <x v="0"/>
    <s v="P5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40.299999999999997"/>
    <n v="7.6"/>
    <n v="1"/>
    <n v="0.4"/>
    <n v="1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599999999999992"/>
    <n v="0.7777777777777779"/>
    <s v="-"/>
    <n v="8.67"/>
    <n v="0.32"/>
    <m/>
    <m/>
    <m/>
    <m/>
    <s v="ATENDE"/>
    <s v="ATENDE"/>
    <s v="ATENDE"/>
    <s v="ATENDE"/>
    <s v="C5"/>
    <s v="P5"/>
    <n v="0.41599999999999993"/>
    <n v="7.08"/>
    <n v="2.17"/>
    <n v="5"/>
    <n v="1"/>
    <s v="ATENDE"/>
    <s v="ATENDE"/>
    <s v="ATENDE"/>
    <s v="-"/>
    <e v="#VALUE!"/>
    <n v="5.76"/>
    <n v="2.42"/>
    <s v="-"/>
    <s v="-"/>
    <s v="-"/>
    <s v="-"/>
    <s v="-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66"/>
    <s v="PVP"/>
    <s v="Rua do Sal, 510"/>
    <n v="-30.022400000000001"/>
    <n v="-50.145620999999998"/>
    <s v="C5"/>
    <x v="0"/>
    <s v="P5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40.299999999999997"/>
    <n v="7.6"/>
    <n v="1"/>
    <n v="0.4"/>
    <n v="1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000000000000009"/>
    <n v="1.0555555555555558"/>
    <s v="-"/>
    <n v="8.25"/>
    <n v="0.37"/>
    <m/>
    <m/>
    <m/>
    <m/>
    <s v="ATENDE"/>
    <s v="ATENDE"/>
    <s v="ATENDE"/>
    <s v="ATENDE"/>
    <s v="C5"/>
    <s v="P5"/>
    <n v="0.34200000000000008"/>
    <n v="6.71"/>
    <n v="1.82"/>
    <n v="5"/>
    <n v="1"/>
    <s v="ATENDE"/>
    <s v="ATENDE"/>
    <s v="ATENDE"/>
    <s v="-"/>
    <e v="#VALUE!"/>
    <n v="5.15"/>
    <n v="2.85"/>
    <s v="-"/>
    <s v="-"/>
    <s v="-"/>
    <s v="-"/>
    <s v="-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66"/>
    <s v="PVP"/>
    <s v="Rua do Sal, 510"/>
    <n v="-30.022400000000001"/>
    <n v="-50.145620999999998"/>
    <s v="C5"/>
    <x v="0"/>
    <s v="P5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40.299999999999997"/>
    <n v="7.6"/>
    <n v="1"/>
    <n v="0.4"/>
    <n v="1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733333333333317"/>
    <n v="0.50000000000000022"/>
    <s v="-"/>
    <n v="9.2799999999999994"/>
    <n v="0.27"/>
    <m/>
    <m/>
    <m/>
    <m/>
    <s v="ATENDE"/>
    <s v="ATENDE"/>
    <s v="ATENDE"/>
    <s v="ATENDE"/>
    <s v="C5"/>
    <s v="P5"/>
    <n v="0.30200000000000005"/>
    <n v="6.51"/>
    <n v="1.49"/>
    <n v="5"/>
    <n v="1"/>
    <s v="ATENDE"/>
    <s v="ATENDE"/>
    <s v="ATENDE"/>
    <s v="-"/>
    <e v="#VALUE!"/>
    <n v="5.13"/>
    <n v="2.37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4"/>
    <s v="Curto II"/>
    <m/>
    <s v=""/>
    <s v=""/>
    <m/>
    <m/>
    <m/>
    <m/>
    <m/>
    <m/>
    <n v="40"/>
    <n v="50"/>
    <n v="90"/>
    <n v="0.19999999999999996"/>
    <m/>
    <m/>
    <s v="Sim"/>
    <m/>
  </r>
  <r>
    <n v="68"/>
    <s v="PVP"/>
    <s v="Rua Antonio Jose da Costa, 1734"/>
    <n v="-30.021481000000001"/>
    <n v="-50.146872999999999"/>
    <s v="C4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7.5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499999999999998"/>
    <n v="0.94444444444444442"/>
    <s v="-"/>
    <n v="11.05"/>
    <n v="0.35"/>
    <m/>
    <m/>
    <m/>
    <m/>
    <s v="ATENDE"/>
    <s v="ATENDE"/>
    <s v="ATENDE"/>
    <s v="ATENDE"/>
    <s v="C4"/>
    <s v="P6"/>
    <n v="1.9933333333333336"/>
    <n v="8.98"/>
    <n v="3.01"/>
    <n v="3"/>
    <n v="0.6"/>
    <s v="ATENDE"/>
    <s v="ATENDE"/>
    <s v="ATENDE"/>
    <s v="P6"/>
    <n v="1.4133333333333336"/>
    <n v="7.24"/>
    <n v="3.18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Médio I"/>
    <m/>
    <s v=""/>
    <s v=""/>
    <m/>
    <m/>
    <m/>
    <m/>
    <m/>
    <m/>
    <n v="52"/>
    <n v="50"/>
    <n v="102"/>
    <n v="-4.0000000000000036E-2"/>
    <m/>
    <m/>
    <s v="Sim"/>
    <m/>
  </r>
  <r>
    <n v="68"/>
    <s v="PVP"/>
    <s v="Rua Antonio Jose da Costa, 1734"/>
    <n v="-30.021481000000001"/>
    <n v="-50.146872999999999"/>
    <s v="C4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7.5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800000000000005"/>
    <n v="1.2222222222222223"/>
    <s v="-"/>
    <n v="13.08"/>
    <n v="0.4"/>
    <m/>
    <m/>
    <m/>
    <m/>
    <s v="ATENDE"/>
    <s v="ATENDE"/>
    <s v="ATENDE"/>
    <s v="ATENDE"/>
    <s v="C4"/>
    <s v="P6"/>
    <n v="2.3566666666666669"/>
    <n v="10.07"/>
    <n v="2.68"/>
    <n v="3"/>
    <n v="0.6"/>
    <s v="ATENDE"/>
    <s v="ATENDE"/>
    <s v="ATENDE"/>
    <s v="P6"/>
    <n v="1.8233333333333337"/>
    <n v="8.4700000000000006"/>
    <n v="5.61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Médio I"/>
    <m/>
    <s v=""/>
    <s v=""/>
    <m/>
    <m/>
    <m/>
    <m/>
    <m/>
    <m/>
    <n v="50"/>
    <n v="50"/>
    <n v="100"/>
    <n v="0"/>
    <m/>
    <m/>
    <s v="Sim"/>
    <m/>
  </r>
  <r>
    <n v="68"/>
    <s v="PVP"/>
    <s v="Rua Antonio Jose da Costa, 1734"/>
    <n v="-30.021481000000001"/>
    <n v="-50.146872999999999"/>
    <s v="C4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7.5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2"/>
    <n v="1"/>
    <s v="-"/>
    <n v="10.199999999999999"/>
    <n v="0.36"/>
    <m/>
    <m/>
    <m/>
    <m/>
    <s v="ATENDE"/>
    <s v="ATENDE"/>
    <s v="ATENDE"/>
    <s v="ATENDE"/>
    <s v="C4"/>
    <s v="P6"/>
    <n v="1.5566666666666666"/>
    <n v="7.67"/>
    <n v="2.52"/>
    <n v="3"/>
    <n v="0.6"/>
    <s v="ATENDE"/>
    <s v="ATENDE"/>
    <s v="ATENDE"/>
    <s v="P6"/>
    <n v="0.59999999999999987"/>
    <n v="4.8"/>
    <n v="2.180000000000000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Médio I"/>
    <m/>
    <s v=""/>
    <s v=""/>
    <m/>
    <m/>
    <m/>
    <m/>
    <m/>
    <m/>
    <n v="40"/>
    <n v="50"/>
    <n v="90"/>
    <n v="0.19999999999999996"/>
    <m/>
    <m/>
    <s v="Sim"/>
    <m/>
  </r>
  <r>
    <n v="67"/>
    <s v="PVP"/>
    <s v="Rua Marcilio Dias, 568"/>
    <n v="-30.020538999999999"/>
    <n v="-50.144399999999997"/>
    <s v="C5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9.2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000000000000009"/>
    <n v="1.5555555555555558"/>
    <s v="-"/>
    <n v="8.25"/>
    <n v="0.46"/>
    <m/>
    <m/>
    <m/>
    <m/>
    <s v="ATENDE"/>
    <s v="ATENDE"/>
    <s v="ATENDE"/>
    <s v="ATENDE"/>
    <s v="C5"/>
    <s v="P6"/>
    <n v="1.4433333333333334"/>
    <n v="7.33"/>
    <n v="3.33"/>
    <n v="3"/>
    <n v="0.6"/>
    <s v="ATENDE"/>
    <s v="ATENDE"/>
    <s v="ATENDE"/>
    <s v="P6"/>
    <n v="0.57333333333333325"/>
    <n v="4.72"/>
    <n v="2.6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67"/>
    <s v="PVP"/>
    <s v="Rua Marcilio Dias, 568"/>
    <n v="-30.020538999999999"/>
    <n v="-50.144399999999997"/>
    <s v="C5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9.2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6799999999999988"/>
    <n v="2.6111111111111112"/>
    <s v="-"/>
    <n v="10.26"/>
    <n v="0.65"/>
    <m/>
    <m/>
    <m/>
    <m/>
    <s v="ATENDE"/>
    <s v="ATENDE"/>
    <s v="ATENDE"/>
    <s v="ATENDE"/>
    <s v="C5"/>
    <s v="P6"/>
    <n v="1.9"/>
    <n v="8.6999999999999993"/>
    <n v="4.2"/>
    <n v="3"/>
    <n v="0.6"/>
    <s v="ATENDE"/>
    <s v="ATENDE"/>
    <s v="ATENDE"/>
    <s v="P6"/>
    <n v="0.59666666666666668"/>
    <n v="4.79"/>
    <n v="2.92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67"/>
    <s v="PVP"/>
    <s v="Rua Marcilio Dias, 568"/>
    <n v="-30.020538999999999"/>
    <n v="-50.144399999999997"/>
    <s v="C5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9.2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533333333333327"/>
    <n v="2.4444444444444446"/>
    <s v="-"/>
    <n v="10.09"/>
    <n v="0.62"/>
    <m/>
    <m/>
    <m/>
    <m/>
    <s v="ATENDE"/>
    <s v="ATENDE"/>
    <s v="ATENDE"/>
    <s v="ATENDE"/>
    <s v="C5"/>
    <s v="P6"/>
    <n v="1.8833333333333333"/>
    <n v="8.65"/>
    <n v="5.04"/>
    <n v="3"/>
    <n v="0.6"/>
    <s v="ATENDE"/>
    <s v="ATENDE"/>
    <s v="ATENDE"/>
    <s v="P6"/>
    <n v="0.49666666666666681"/>
    <n v="4.49"/>
    <n v="3.1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9"/>
    <s v="PVP"/>
    <s v="Rua Antonio Jose de Oliveira, 653"/>
    <n v="-30.020644000000001"/>
    <n v="-50.148105000000001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"/>
    <n v="6.8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1.2777777777777777"/>
    <s v="-"/>
    <n v="8.01"/>
    <n v="0.41"/>
    <m/>
    <m/>
    <m/>
    <m/>
    <s v="ATENDE"/>
    <s v="ATENDE"/>
    <s v="ATENDE"/>
    <s v="ATENDE"/>
    <s v="C5"/>
    <s v="P6"/>
    <n v="1.1600000000000001"/>
    <n v="6.48"/>
    <n v="2.5299999999999998"/>
    <n v="3"/>
    <n v="0.6"/>
    <s v="ATENDE"/>
    <s v="ATENDE"/>
    <s v="ATENDE"/>
    <s v="P6"/>
    <n v="0.5199999999999998"/>
    <n v="4.5599999999999996"/>
    <n v="2.279999999999999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69"/>
    <s v="PVP"/>
    <s v="Rua Antonio Jose de Oliveira, 653"/>
    <n v="-30.020644000000001"/>
    <n v="-50.148105000000001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"/>
    <n v="6.8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800000000000007"/>
    <n v="1.7777777777777777"/>
    <s v="-"/>
    <n v="9.9600000000000009"/>
    <n v="0.5"/>
    <m/>
    <m/>
    <m/>
    <m/>
    <s v="ATENDE"/>
    <s v="ATENDE"/>
    <s v="ATENDE"/>
    <s v="ATENDE"/>
    <s v="C5"/>
    <s v="P6"/>
    <n v="1.4833333333333334"/>
    <n v="7.45"/>
    <n v="2.2000000000000002"/>
    <n v="3"/>
    <n v="0.6"/>
    <s v="ATENDE"/>
    <s v="ATENDE"/>
    <s v="ATENDE"/>
    <s v="P6"/>
    <n v="0.54"/>
    <n v="4.62"/>
    <n v="2.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69"/>
    <s v="PVP"/>
    <s v="Rua Antonio Jose de Oliveira, 653"/>
    <n v="-30.020644000000001"/>
    <n v="-50.148105000000001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"/>
    <n v="6.8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666666666666687"/>
    <n v="2.1666666666666665"/>
    <s v="-"/>
    <n v="9.8000000000000007"/>
    <n v="0.56999999999999995"/>
    <m/>
    <m/>
    <m/>
    <m/>
    <s v="ATENDE"/>
    <s v="ATENDE"/>
    <s v="ATENDE"/>
    <s v="ATENDE"/>
    <s v="C5"/>
    <s v="P6"/>
    <n v="1.5066666666666664"/>
    <n v="7.52"/>
    <n v="3.71"/>
    <n v="3"/>
    <n v="0.6"/>
    <s v="ATENDE"/>
    <s v="ATENDE"/>
    <s v="ATENDE"/>
    <s v="P6"/>
    <n v="0.44666666666666655"/>
    <n v="4.34"/>
    <n v="2.9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70"/>
    <s v="PVP"/>
    <s v="Rua Vergueiro, 112"/>
    <n v="-30.017878"/>
    <n v="-50.153658999999998"/>
    <s v="C5"/>
    <x v="0"/>
    <s v="P6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5.6"/>
    <n v="7.5"/>
    <n v="1"/>
    <n v="0.4"/>
    <n v="2"/>
    <n v="1.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86666666666667"/>
    <n v="1.1111111111111112"/>
    <s v="-"/>
    <n v="8.39"/>
    <n v="0.38"/>
    <m/>
    <m/>
    <m/>
    <m/>
    <s v="ATENDE"/>
    <s v="ATENDE"/>
    <s v="ATENDE"/>
    <s v="ATENDE"/>
    <s v="C5"/>
    <s v="P6"/>
    <n v="0.88333333333333353"/>
    <n v="5.65"/>
    <n v="2.58"/>
    <n v="3"/>
    <n v="0.6"/>
    <s v="ATENDE"/>
    <s v="ATENDE"/>
    <s v="ATENDE"/>
    <s v="P6"/>
    <n v="0.89333333333333331"/>
    <n v="5.68"/>
    <n v="2.09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n v="8"/>
    <s v="Médio I"/>
    <m/>
    <s v=""/>
    <s v=""/>
    <m/>
    <m/>
    <m/>
    <m/>
    <m/>
    <m/>
    <n v="35"/>
    <n v="50"/>
    <n v="85"/>
    <n v="0.30000000000000004"/>
    <m/>
    <m/>
    <s v="Sim"/>
    <m/>
  </r>
  <r>
    <n v="70"/>
    <s v="PVP"/>
    <s v="Rua Vergueiro, 112"/>
    <n v="-30.017878"/>
    <n v="-50.153658999999998"/>
    <s v="C5"/>
    <x v="0"/>
    <s v="P6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5.6"/>
    <n v="7.5"/>
    <n v="1"/>
    <n v="0.4"/>
    <n v="2"/>
    <n v="1.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2666666666666666E-2"/>
    <n v="1.166666666666667"/>
    <s v="-"/>
    <n v="8.1199999999999992"/>
    <n v="0.39"/>
    <m/>
    <m/>
    <m/>
    <m/>
    <s v="ATENDE"/>
    <s v="ATENDE"/>
    <s v="ATENDE"/>
    <s v="ATENDE"/>
    <s v="C5"/>
    <s v="P6"/>
    <n v="0.66000000000000014"/>
    <n v="4.9800000000000004"/>
    <n v="2.67"/>
    <n v="3"/>
    <n v="0.6"/>
    <s v="ATENDE"/>
    <s v="ATENDE"/>
    <s v="ATENDE"/>
    <s v="P6"/>
    <n v="0.67333333333333312"/>
    <n v="5.0199999999999996"/>
    <n v="1.1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n v="10"/>
    <s v="Médio I"/>
    <m/>
    <s v=""/>
    <s v=""/>
    <m/>
    <m/>
    <m/>
    <m/>
    <m/>
    <m/>
    <n v="31"/>
    <n v="50"/>
    <n v="81"/>
    <n v="0.38"/>
    <m/>
    <m/>
    <s v="Sim"/>
    <m/>
  </r>
  <r>
    <n v="70"/>
    <s v="PVP"/>
    <s v="Rua Vergueiro, 112"/>
    <n v="-30.017878"/>
    <n v="-50.153658999999998"/>
    <s v="C5"/>
    <x v="0"/>
    <s v="P6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5.6"/>
    <n v="7.5"/>
    <n v="1"/>
    <n v="0.4"/>
    <n v="2"/>
    <n v="1.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8666666666666663E-2"/>
    <n v="1.6666666666666665"/>
    <s v="-"/>
    <n v="8.09"/>
    <n v="0.48"/>
    <m/>
    <m/>
    <m/>
    <m/>
    <s v="ATENDE"/>
    <s v="ATENDE"/>
    <s v="ATENDE"/>
    <s v="ATENDE"/>
    <s v="C5"/>
    <s v="P6"/>
    <n v="0.5066666666666666"/>
    <n v="4.5199999999999996"/>
    <n v="3.02"/>
    <n v="3"/>
    <n v="0.6"/>
    <s v="ATENDE"/>
    <s v="ATENDE"/>
    <s v="ATENDE"/>
    <s v="P6"/>
    <n v="0.72666666666666657"/>
    <n v="5.18"/>
    <n v="2.34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"/>
    <m/>
    <s v=""/>
    <s v=""/>
    <m/>
    <m/>
    <m/>
    <m/>
    <m/>
    <m/>
    <n v="30"/>
    <n v="50"/>
    <n v="80"/>
    <n v="0.4"/>
    <m/>
    <m/>
    <s v="Sim"/>
    <m/>
  </r>
  <r>
    <n v="71"/>
    <s v="PVP"/>
    <s v="Rua Cristovao Colombo, 276"/>
    <n v="-30.018675999999999"/>
    <n v="-50.155647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00000000000003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13333333333334"/>
    <n v="0"/>
    <s v="-"/>
    <n v="9.31"/>
    <n v="0.18"/>
    <m/>
    <m/>
    <m/>
    <m/>
    <s v="ATENDE"/>
    <s v="ATENDE"/>
    <s v="ATENDE"/>
    <s v="ATENDE"/>
    <s v="C5"/>
    <s v="P6"/>
    <n v="0.33999999999999986"/>
    <n v="4.0199999999999996"/>
    <n v="0.89"/>
    <n v="3"/>
    <n v="0.6"/>
    <s v="ATENDE"/>
    <s v="ATENDE"/>
    <s v="ATENDE"/>
    <s v="P6"/>
    <n v="1.3733333333333335"/>
    <n v="7.12"/>
    <n v="0.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71"/>
    <s v="PVP"/>
    <s v="Rua Cristovao Colombo, 276"/>
    <n v="-30.018675999999999"/>
    <n v="-50.155647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00000000000003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0.38888888888888884"/>
    <s v="-"/>
    <n v="8.01"/>
    <n v="0.25"/>
    <m/>
    <m/>
    <m/>
    <m/>
    <s v="ATENDE"/>
    <s v="ATENDE"/>
    <s v="ATENDE"/>
    <s v="ATENDE"/>
    <s v="C5"/>
    <s v="P6"/>
    <n v="0.32333333333333347"/>
    <n v="3.97"/>
    <n v="1.42"/>
    <n v="3"/>
    <n v="0.6"/>
    <s v="ATENDE"/>
    <s v="ATENDE"/>
    <s v="ATENDE"/>
    <s v="P6"/>
    <n v="1.0166666666666666"/>
    <n v="6.05"/>
    <n v="0.72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s v="Médio I"/>
    <n v="1.8"/>
    <n v="7"/>
    <m/>
    <m/>
    <m/>
    <m/>
    <m/>
    <m/>
    <n v="31"/>
    <n v="100"/>
    <n v="131"/>
    <n v="0.69"/>
    <m/>
    <m/>
    <s v="Sim"/>
    <m/>
  </r>
  <r>
    <n v="71"/>
    <s v="PVP"/>
    <s v="Rua Cristovao Colombo, 276"/>
    <n v="-30.018675999999999"/>
    <n v="-50.155647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00000000000003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666666666666669"/>
    <n v="0.38888888888888884"/>
    <s v="-"/>
    <n v="8.3000000000000007"/>
    <n v="0.25"/>
    <m/>
    <m/>
    <m/>
    <m/>
    <s v="ATENDE"/>
    <s v="ATENDE"/>
    <s v="ATENDE"/>
    <s v="ATENDE"/>
    <s v="C5"/>
    <s v="P6"/>
    <n v="0.12333333333333329"/>
    <n v="3.37"/>
    <n v="1.38"/>
    <n v="3"/>
    <n v="0.6"/>
    <s v="ATENDE"/>
    <s v="ATENDE"/>
    <s v="ATENDE"/>
    <s v="P6"/>
    <n v="1.1033333333333331"/>
    <n v="6.31"/>
    <n v="1.3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s v="Curto I"/>
    <n v="1.2"/>
    <n v="6.5"/>
    <m/>
    <m/>
    <m/>
    <m/>
    <m/>
    <m/>
    <n v="30"/>
    <n v="100"/>
    <n v="130"/>
    <n v="0.7"/>
    <m/>
    <m/>
    <s v="Sim"/>
    <m/>
  </r>
  <r>
    <n v="72"/>
    <s v="PVP"/>
    <s v="Rua Cristovao Colombo, 386"/>
    <n v="-30.019749000000001"/>
    <n v="-50.156089999999999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0.9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4666666666666655"/>
    <n v="2.7777777777777781"/>
    <s v="-"/>
    <n v="10.85"/>
    <n v="0.68"/>
    <m/>
    <m/>
    <m/>
    <m/>
    <s v="ATENDE"/>
    <s v="ATENDE"/>
    <s v="ATENDE"/>
    <s v="ATENDE"/>
    <s v="C5"/>
    <s v="P6"/>
    <n v="1.3133333333333335"/>
    <n v="6.94"/>
    <n v="5.15"/>
    <n v="3"/>
    <n v="0.6"/>
    <s v="ATENDE"/>
    <s v="ATENDE"/>
    <s v="ATENDE"/>
    <s v="P6"/>
    <n v="2.0466666666666669"/>
    <n v="9.14"/>
    <n v="6.38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72"/>
    <s v="PVP"/>
    <s v="Rua Cristovao Colombo, 386"/>
    <n v="-30.019749000000001"/>
    <n v="-50.156089999999999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0.9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066666666666678"/>
    <n v="3.4444444444444446"/>
    <s v="-"/>
    <n v="9.08"/>
    <n v="0.8"/>
    <m/>
    <m/>
    <m/>
    <m/>
    <s v="ATENDE"/>
    <s v="ATENDE"/>
    <s v="ATENDE"/>
    <s v="ATENDE"/>
    <s v="C5"/>
    <s v="P6"/>
    <n v="0.80333333333333345"/>
    <n v="5.41"/>
    <n v="3.74"/>
    <n v="3"/>
    <n v="0.6"/>
    <s v="ATENDE"/>
    <s v="ATENDE"/>
    <s v="ATENDE"/>
    <s v="P6"/>
    <n v="1.4866666666666668"/>
    <n v="7.46"/>
    <n v="5.55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72"/>
    <s v="PVP"/>
    <s v="Rua Cristovao Colombo, 386"/>
    <n v="-30.019749000000001"/>
    <n v="-50.156089999999999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0.9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8400000000000003"/>
    <n v="3.0555555555555554"/>
    <s v="-"/>
    <n v="13.38"/>
    <n v="0.73"/>
    <m/>
    <m/>
    <m/>
    <m/>
    <s v="ATENDE"/>
    <s v="ATENDE"/>
    <s v="ATENDE"/>
    <s v="ATENDE"/>
    <s v="C5"/>
    <s v="P6"/>
    <n v="1.3266666666666667"/>
    <n v="6.98"/>
    <n v="5.22"/>
    <n v="3"/>
    <n v="0.6"/>
    <s v="ATENDE"/>
    <s v="ATENDE"/>
    <s v="ATENDE"/>
    <s v="P6"/>
    <n v="2.5733333333333337"/>
    <n v="10.72"/>
    <n v="7.9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3"/>
    <s v="PVP"/>
    <s v="Rua Estilac Leal II, 680"/>
    <n v="-30.019902999999999"/>
    <n v="-50.159570000000002"/>
    <s v="C5"/>
    <x v="0"/>
    <s v="P6"/>
    <s v="Vapor de sódio"/>
    <n v="150"/>
    <n v="22"/>
    <n v="0"/>
    <n v="300"/>
    <n v="2"/>
    <n v="2.5"/>
    <n v="6.3"/>
    <m/>
    <m/>
    <n v="0"/>
    <n v="2.5"/>
    <n v="0"/>
    <n v="0"/>
    <n v="0"/>
    <n v="0"/>
    <n v="0"/>
    <s v="Unilateral"/>
    <s v="Braço"/>
    <n v="39.1"/>
    <n v="8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866666666666649"/>
    <n v="1.166666666666667"/>
    <s v="-"/>
    <n v="8.5399999999999991"/>
    <n v="0.39"/>
    <m/>
    <m/>
    <m/>
    <m/>
    <s v="ATENDE"/>
    <s v="ATENDE"/>
    <s v="ATENDE"/>
    <s v="ATENDE"/>
    <s v="C5"/>
    <s v="P6"/>
    <n v="0.96"/>
    <n v="5.88"/>
    <n v="2.75"/>
    <n v="3"/>
    <n v="0.6"/>
    <s v="ATENDE"/>
    <s v="ATENDE"/>
    <s v="ATENDE"/>
    <s v="P6"/>
    <n v="1.62"/>
    <n v="7.86"/>
    <n v="2.7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73"/>
    <s v="PVP"/>
    <s v="Rua Estilac Leal II, 680"/>
    <n v="-30.019902999999999"/>
    <n v="-50.159570000000002"/>
    <s v="C5"/>
    <x v="0"/>
    <s v="P6"/>
    <s v="Vapor de sódio"/>
    <n v="150"/>
    <n v="22"/>
    <n v="0"/>
    <n v="300"/>
    <n v="2"/>
    <n v="2.5"/>
    <n v="6.3"/>
    <m/>
    <m/>
    <n v="0"/>
    <n v="2.5"/>
    <n v="0"/>
    <n v="0"/>
    <n v="0"/>
    <n v="0"/>
    <n v="0"/>
    <s v="Unilateral"/>
    <s v="Braço"/>
    <n v="39.1"/>
    <n v="8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2666666666666666E-2"/>
    <n v="1.8333333333333335"/>
    <s v="-"/>
    <n v="8.1199999999999992"/>
    <n v="0.51"/>
    <m/>
    <m/>
    <m/>
    <m/>
    <s v="ATENDE"/>
    <s v="ATENDE"/>
    <s v="ATENDE"/>
    <s v="ATENDE"/>
    <s v="C5"/>
    <s v="P6"/>
    <n v="0.78"/>
    <n v="5.34"/>
    <n v="3.56"/>
    <n v="3"/>
    <n v="0.6"/>
    <s v="ATENDE"/>
    <s v="ATENDE"/>
    <s v="ATENDE"/>
    <s v="P6"/>
    <n v="1.5166666666666666"/>
    <n v="7.55"/>
    <n v="2.8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73"/>
    <s v="PVP"/>
    <s v="Rua Estilac Leal II, 680"/>
    <n v="-30.019902999999999"/>
    <n v="-50.159570000000002"/>
    <s v="C5"/>
    <x v="0"/>
    <s v="P6"/>
    <s v="Vapor de sódio"/>
    <n v="150"/>
    <n v="22"/>
    <n v="0"/>
    <n v="300"/>
    <n v="2"/>
    <n v="2.5"/>
    <n v="6.3"/>
    <m/>
    <m/>
    <n v="0"/>
    <n v="2.5"/>
    <n v="0"/>
    <n v="0"/>
    <n v="0"/>
    <n v="0"/>
    <n v="0"/>
    <s v="Unilateral"/>
    <s v="Braço"/>
    <n v="39.1"/>
    <n v="8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13333333333334"/>
    <n v="1.2777777777777777"/>
    <s v="-"/>
    <n v="9.31"/>
    <n v="0.41"/>
    <m/>
    <m/>
    <m/>
    <m/>
    <s v="ATENDE"/>
    <s v="ATENDE"/>
    <s v="ATENDE"/>
    <s v="ATENDE"/>
    <s v="C5"/>
    <s v="P6"/>
    <n v="0.58999999999999986"/>
    <n v="4.7699999999999996"/>
    <n v="2.36"/>
    <n v="3"/>
    <n v="0.6"/>
    <s v="ATENDE"/>
    <s v="ATENDE"/>
    <s v="ATENDE"/>
    <s v="P6"/>
    <n v="1.73"/>
    <n v="8.19"/>
    <n v="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74"/>
    <s v="PVP"/>
    <s v="Rua Mato Grosso, 189"/>
    <n v="-30.024699999999999"/>
    <n v="-50.149625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2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666666666666595E-3"/>
    <n v="1.2222222222222223"/>
    <s v="-"/>
    <n v="7.52"/>
    <n v="0.4"/>
    <m/>
    <m/>
    <m/>
    <m/>
    <s v="ATENDE"/>
    <s v="ATENDE"/>
    <s v="ATENDE"/>
    <s v="ATENDE"/>
    <s v="C5"/>
    <s v="P6"/>
    <n v="0.4800000000000002"/>
    <n v="4.4400000000000004"/>
    <n v="2.1800000000000002"/>
    <n v="3"/>
    <n v="0.6"/>
    <s v="ATENDE"/>
    <s v="ATENDE"/>
    <s v="ATENDE"/>
    <s v="P6"/>
    <n v="1.0366666666666666"/>
    <n v="6.11"/>
    <n v="2.34"/>
    <n v="3"/>
    <n v="0.6"/>
    <s v="ATENDE"/>
    <s v="ATENDE"/>
    <s v="ATENDE"/>
    <x v="0"/>
    <s v=" SL VT 9.1 28W"/>
    <s v="LUM LED SL VT 9.1 28W"/>
    <m/>
    <e v="#N/A"/>
    <n v="1"/>
    <n v="28"/>
    <e v="#N/A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74"/>
    <s v="PVP"/>
    <s v="Rua Mato Grosso, 189"/>
    <n v="-30.024699999999999"/>
    <n v="-50.149625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2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8"/>
    <n v="1.6666666666666665"/>
    <s v="-"/>
    <n v="9.36"/>
    <n v="0.48"/>
    <m/>
    <m/>
    <m/>
    <m/>
    <s v="ATENDE"/>
    <s v="ATENDE"/>
    <s v="ATENDE"/>
    <s v="ATENDE"/>
    <s v="C5"/>
    <s v="P6"/>
    <n v="0.54333333333333322"/>
    <n v="4.63"/>
    <n v="2.64"/>
    <n v="3"/>
    <n v="0.6"/>
    <s v="ATENDE"/>
    <s v="ATENDE"/>
    <s v="ATENDE"/>
    <s v="P6"/>
    <n v="1.3533333333333331"/>
    <n v="7.06"/>
    <n v="2.02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74"/>
    <s v="PVP"/>
    <s v="Rua Mato Grosso, 189"/>
    <n v="-30.024699999999999"/>
    <n v="-50.149625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2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933333333333339"/>
    <n v="2.1111111111111116"/>
    <s v="-"/>
    <n v="9.2200000000000006"/>
    <n v="0.56000000000000005"/>
    <m/>
    <m/>
    <m/>
    <m/>
    <s v="ATENDE"/>
    <s v="ATENDE"/>
    <s v="ATENDE"/>
    <s v="ATENDE"/>
    <s v="C5"/>
    <s v="P6"/>
    <n v="0.43333333333333335"/>
    <n v="4.3"/>
    <n v="2.97"/>
    <n v="3"/>
    <n v="0.6"/>
    <s v="ATENDE"/>
    <s v="ATENDE"/>
    <s v="ATENDE"/>
    <s v="P6"/>
    <n v="1.37"/>
    <n v="7.11"/>
    <n v="3.4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5"/>
    <s v="PV"/>
    <s v="Avenida Beira-Mar, 1518"/>
    <n v="-30.024946"/>
    <n v="-50.141652000000001"/>
    <s v="C1"/>
    <x v="0"/>
    <s v="P6"/>
    <s v="Vapor de sódio"/>
    <n v="150"/>
    <n v="22"/>
    <n v="0"/>
    <n v="300"/>
    <n v="2"/>
    <n v="5"/>
    <n v="10"/>
    <m/>
    <m/>
    <n v="0"/>
    <n v="0"/>
    <n v="0"/>
    <n v="0"/>
    <n v="0"/>
    <n v="0"/>
    <n v="0"/>
    <s v="Unilateral"/>
    <s v="Braço"/>
    <n v="37.5"/>
    <n v="7.4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1443333333333332"/>
    <n v="0.13157894736842102"/>
    <s v="-"/>
    <n v="34.33"/>
    <n v="0.43"/>
    <m/>
    <m/>
    <m/>
    <m/>
    <s v="ATENDE"/>
    <s v="ATENDE"/>
    <s v="ATENDE"/>
    <s v="ATENDE"/>
    <s v="C1"/>
    <s v="P6"/>
    <n v="5.5466666666666669"/>
    <n v="19.64"/>
    <n v="0.78"/>
    <n v="3"/>
    <n v="0.6"/>
    <s v="ATENDE"/>
    <s v="ATENDE"/>
    <s v="ATENDE"/>
    <s v="-"/>
    <e v="#VALUE!"/>
    <s v=" -"/>
    <s v=" -"/>
    <s v="-"/>
    <s v="-"/>
    <s v="-"/>
    <s v="-"/>
    <s v="-"/>
    <x v="0"/>
    <s v=" SL VT 9.1 170W"/>
    <s v="LUM LED SL VT 9.1 170W"/>
    <m/>
    <e v="#N/A"/>
    <n v="1"/>
    <n v="170"/>
    <n v="0"/>
    <n v="26748"/>
    <n v="0"/>
    <n v="0"/>
    <n v="10"/>
    <s v="Curto II"/>
    <m/>
    <s v=""/>
    <s v=""/>
    <m/>
    <m/>
    <m/>
    <m/>
    <m/>
    <m/>
    <n v="170"/>
    <n v="150"/>
    <n v="320"/>
    <n v="-0.1333333333333333"/>
    <m/>
    <m/>
    <s v="Sim"/>
    <m/>
  </r>
  <r>
    <n v="75"/>
    <s v="PV"/>
    <s v="Avenida Beira-Mar, 1518"/>
    <n v="-30.024946"/>
    <n v="-50.141652000000001"/>
    <s v="C1"/>
    <x v="0"/>
    <s v="P6"/>
    <s v="Vapor de sódio"/>
    <n v="150"/>
    <n v="22"/>
    <n v="0"/>
    <n v="300"/>
    <n v="2"/>
    <n v="5"/>
    <n v="10"/>
    <m/>
    <m/>
    <n v="0"/>
    <n v="0"/>
    <n v="0"/>
    <n v="0"/>
    <n v="0"/>
    <n v="0"/>
    <n v="0"/>
    <s v="Unilateral"/>
    <s v="Braço"/>
    <n v="37.5"/>
    <n v="7.4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-4.6666666666667078E-3"/>
    <n v="7.8947368421052655E-2"/>
    <s v="-"/>
    <n v="29.86"/>
    <n v="0.41"/>
    <m/>
    <m/>
    <m/>
    <m/>
    <s v="ATENDE"/>
    <s v="ATENDIMENTO LIMIAR"/>
    <s v="ATENDE"/>
    <s v="ATENDE"/>
    <s v="C1"/>
    <s v="P6"/>
    <n v="5.083333333333333"/>
    <n v="18.25"/>
    <n v="4.8499999999999996"/>
    <n v="3"/>
    <n v="0.6"/>
    <s v="ATENDE"/>
    <s v="ATENDE"/>
    <s v="ATENDE"/>
    <s v="-"/>
    <e v="#VALUE!"/>
    <s v=" -"/>
    <s v=" -"/>
    <s v="-"/>
    <s v="-"/>
    <s v="-"/>
    <s v="-"/>
    <s v="-"/>
    <x v="1"/>
    <s v="SX-INLPP150HF"/>
    <s v="SXINLPP150K40L12CZF7PHF"/>
    <m/>
    <e v="#N/A"/>
    <n v="1"/>
    <n v="137"/>
    <n v="0"/>
    <n v="23817"/>
    <n v="0"/>
    <n v="0"/>
    <n v="10"/>
    <s v="Curto II"/>
    <s v="Médio I"/>
    <n v="1.8"/>
    <n v="7"/>
    <m/>
    <m/>
    <m/>
    <m/>
    <m/>
    <m/>
    <n v="137"/>
    <n v="150"/>
    <n v="287"/>
    <n v="8.666666666666667E-2"/>
    <m/>
    <m/>
    <s v="Sim"/>
    <m/>
  </r>
  <r>
    <n v="75"/>
    <s v="PV"/>
    <s v="Avenida Beira-Mar, 1518"/>
    <n v="-30.024946"/>
    <n v="-50.141652000000001"/>
    <s v="C1"/>
    <x v="0"/>
    <s v="P6"/>
    <s v="Vapor de sódio"/>
    <n v="150"/>
    <n v="22"/>
    <n v="0"/>
    <n v="300"/>
    <n v="2"/>
    <n v="5"/>
    <n v="10"/>
    <m/>
    <m/>
    <n v="0"/>
    <n v="0"/>
    <n v="0"/>
    <n v="0"/>
    <n v="0"/>
    <n v="0"/>
    <n v="0"/>
    <s v="Unilateral"/>
    <s v="Braço"/>
    <n v="37.5"/>
    <n v="7.4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2496666666666667"/>
    <n v="0"/>
    <s v="-"/>
    <n v="37.49"/>
    <n v="0.38"/>
    <m/>
    <m/>
    <m/>
    <m/>
    <s v="ATENDE"/>
    <s v="ATENDE"/>
    <s v="ATENDE"/>
    <s v="ATENDE"/>
    <s v="C1"/>
    <s v="P6"/>
    <n v="6.6133333333333333"/>
    <n v="22.84"/>
    <n v="5.37"/>
    <n v="3"/>
    <n v="0.6"/>
    <s v="ATENDE"/>
    <s v="ATENDE"/>
    <s v="ATENDE"/>
    <s v="-"/>
    <e v="#VALUE!"/>
    <s v=" -"/>
    <s v=" -"/>
    <s v="-"/>
    <s v="-"/>
    <s v="-"/>
    <s v="-"/>
    <s v="-"/>
    <x v="2"/>
    <s v="SIGSAGPTLRRSSNDL100W125IBBRS_x000a_"/>
    <s v="SIGSAGPTLRRSSNDL100W125IBBRS_x000a_1-10C1MUN6.5"/>
    <m/>
    <n v="0"/>
    <n v="1"/>
    <n v="100"/>
    <n v="0"/>
    <n v="15162"/>
    <n v="0"/>
    <n v="0"/>
    <m/>
    <s v="Curto II"/>
    <s v="Médio I"/>
    <n v="1.8"/>
    <n v="7"/>
    <s v="ABS-L2"/>
    <m/>
    <n v="2"/>
    <s v="Adição de braço segundo nível (Leve II) + 1 SIGSAGPTLRRSSNDL100W125IBBRS"/>
    <m/>
    <m/>
    <n v="100"/>
    <n v="150"/>
    <n v="250"/>
    <n v="0.33333333333333337"/>
    <m/>
    <m/>
    <s v="Sim"/>
    <m/>
  </r>
  <r>
    <n v="76"/>
    <s v="VP"/>
    <s v="Rua Espirito Santo, 227"/>
    <n v="-30.028981000000002"/>
    <n v="-50.148600000000002"/>
    <s v="C5"/>
    <x v="0"/>
    <s v="P6"/>
    <s v="Vapor de sódio"/>
    <n v="100"/>
    <n v="17"/>
    <n v="0"/>
    <n v="200"/>
    <n v="2"/>
    <n v="0"/>
    <n v="7"/>
    <m/>
    <m/>
    <n v="0"/>
    <n v="2"/>
    <n v="0"/>
    <n v="0"/>
    <n v="0"/>
    <n v="0"/>
    <n v="0"/>
    <s v="Unilateral"/>
    <s v="Braço"/>
    <n v="31.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266666666666681"/>
    <n v="0"/>
    <s v="-"/>
    <n v="9.32"/>
    <n v="0.18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1.04"/>
    <n v="6.12"/>
    <n v="3.46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76"/>
    <s v="VP"/>
    <s v="Rua Espirito Santo, 227"/>
    <n v="-30.028981000000002"/>
    <n v="-50.148600000000002"/>
    <s v="C5"/>
    <x v="0"/>
    <s v="P6"/>
    <s v="Vapor de sódio"/>
    <n v="100"/>
    <n v="17"/>
    <n v="0"/>
    <n v="200"/>
    <n v="2"/>
    <n v="0"/>
    <n v="7"/>
    <m/>
    <m/>
    <n v="0"/>
    <n v="2"/>
    <n v="0"/>
    <n v="0"/>
    <n v="0"/>
    <n v="0"/>
    <n v="0"/>
    <s v="Unilateral"/>
    <s v="Braço"/>
    <n v="31.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866666666666677"/>
    <n v="2.3888888888888888"/>
    <s v="-"/>
    <n v="8.99"/>
    <n v="0.61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77333333333333343"/>
    <n v="5.32"/>
    <n v="3.86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76"/>
    <s v="VP"/>
    <s v="Rua Espirito Santo, 227"/>
    <n v="-30.028981000000002"/>
    <n v="-50.148600000000002"/>
    <s v="C5"/>
    <x v="0"/>
    <s v="P6"/>
    <s v="Vapor de sódio"/>
    <n v="100"/>
    <n v="17"/>
    <n v="0"/>
    <n v="200"/>
    <n v="2"/>
    <n v="0"/>
    <n v="7"/>
    <m/>
    <m/>
    <n v="0"/>
    <n v="2"/>
    <n v="0"/>
    <n v="0"/>
    <n v="0"/>
    <n v="0"/>
    <n v="0"/>
    <s v="Unilateral"/>
    <s v="Braço"/>
    <n v="31.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666666666666676"/>
    <n v="2.5555555555555558"/>
    <s v="-"/>
    <n v="8.9"/>
    <n v="0.64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6100000000000001"/>
    <n v="4.83"/>
    <n v="3.7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7"/>
    <s v="VP"/>
    <s v="Avenida Perimetral, 590"/>
    <n v="-30.029627999999999"/>
    <n v="-50.150322000000003"/>
    <s v="C2"/>
    <x v="0"/>
    <s v="P6"/>
    <s v="Vapor de sódio"/>
    <n v="150"/>
    <n v="22"/>
    <n v="0"/>
    <n v="600"/>
    <n v="2"/>
    <n v="0"/>
    <n v="6.2"/>
    <m/>
    <m/>
    <n v="0"/>
    <n v="4.7"/>
    <n v="8"/>
    <n v="0"/>
    <n v="0"/>
    <n v="0"/>
    <n v="0"/>
    <s v="Canteiro central"/>
    <s v="Braço"/>
    <n v="29.2"/>
    <n v="7"/>
    <n v="2"/>
    <n v="4"/>
    <n v="2.7"/>
    <n v="-1.299999999999999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84999999999999"/>
    <n v="0.64285714285714279"/>
    <s v="-"/>
    <n v="23.97"/>
    <n v="0.4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7233333333333332"/>
    <n v="8.17"/>
    <n v="3.45"/>
    <n v="3"/>
    <n v="0.6"/>
    <s v="ATENDE"/>
    <s v="ATENDE"/>
    <s v="ATENDE"/>
    <x v="0"/>
    <s v=" SL VT 9.1 85W"/>
    <s v="LUM LED SL VT 9.1 85W"/>
    <m/>
    <e v="#N/A"/>
    <n v="2"/>
    <n v="85"/>
    <n v="0"/>
    <n v="14489"/>
    <n v="0"/>
    <n v="0"/>
    <n v="10"/>
    <s v="Longo I"/>
    <s v="Longo II"/>
    <n v="3.5"/>
    <n v="8.5"/>
    <m/>
    <m/>
    <m/>
    <m/>
    <m/>
    <m/>
    <n v="85"/>
    <n v="150"/>
    <n v="470"/>
    <n v="0.43333333333333335"/>
    <m/>
    <m/>
    <s v="Sim"/>
    <m/>
  </r>
  <r>
    <n v="77"/>
    <s v="VP"/>
    <s v="Avenida Perimetral, 590"/>
    <n v="-30.029627999999999"/>
    <n v="-50.150322000000003"/>
    <s v="C2"/>
    <x v="0"/>
    <s v="P6"/>
    <s v="Vapor de sódio"/>
    <n v="150"/>
    <n v="22"/>
    <n v="0"/>
    <n v="600"/>
    <n v="2"/>
    <n v="0"/>
    <n v="6.2"/>
    <m/>
    <m/>
    <n v="0"/>
    <n v="4.7"/>
    <n v="8"/>
    <n v="0"/>
    <n v="0"/>
    <n v="0"/>
    <n v="0"/>
    <s v="Canteiro central"/>
    <s v="Braço"/>
    <n v="29.2"/>
    <n v="7"/>
    <n v="2"/>
    <n v="4"/>
    <n v="2.7"/>
    <n v="-1.299999999999999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419999999999999"/>
    <n v="0.39285714285714279"/>
    <s v="-"/>
    <n v="22.84"/>
    <n v="0.3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86333333333333329"/>
    <n v="5.59"/>
    <n v="2.23"/>
    <n v="3"/>
    <n v="0.6"/>
    <s v="ATENDE"/>
    <s v="ATENDE"/>
    <s v="ATENDE"/>
    <x v="1"/>
    <s v="SX-INLPP080HF"/>
    <s v="SXINLPP080K40L12CZF7PHF"/>
    <m/>
    <e v="#N/A"/>
    <n v="2"/>
    <n v="79"/>
    <n v="0"/>
    <n v="13359"/>
    <n v="0"/>
    <n v="0"/>
    <n v="10"/>
    <s v="Longo I"/>
    <s v="Médio II"/>
    <n v="2.4"/>
    <n v="7.5"/>
    <m/>
    <m/>
    <m/>
    <m/>
    <m/>
    <m/>
    <n v="79"/>
    <n v="150"/>
    <n v="458"/>
    <n v="0.47333333333333338"/>
    <m/>
    <m/>
    <s v="Sim"/>
    <m/>
  </r>
  <r>
    <n v="77"/>
    <s v="VP"/>
    <s v="Avenida Perimetral, 590"/>
    <n v="-30.029627999999999"/>
    <n v="-50.150322000000003"/>
    <s v="C2"/>
    <x v="0"/>
    <s v="P6"/>
    <s v="Vapor de sódio"/>
    <n v="150"/>
    <n v="22"/>
    <n v="0"/>
    <n v="600"/>
    <n v="2"/>
    <n v="0"/>
    <n v="6.2"/>
    <m/>
    <m/>
    <n v="0"/>
    <n v="4.7"/>
    <n v="8"/>
    <n v="0"/>
    <n v="0"/>
    <n v="0"/>
    <n v="0"/>
    <s v="Canteiro central"/>
    <s v="Braço"/>
    <n v="29.2"/>
    <n v="7"/>
    <n v="2"/>
    <n v="4"/>
    <n v="2.7"/>
    <n v="-1.299999999999999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6.1999999999999833E-2"/>
    <n v="0.71428571428571397"/>
    <s v="-"/>
    <n v="21.24"/>
    <n v="0.48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95666666666666678"/>
    <n v="5.87"/>
    <n v="2.73"/>
    <n v="3"/>
    <n v="0.6"/>
    <s v="ATENDE"/>
    <s v="ATENDE"/>
    <s v="ATENDE"/>
    <x v="2"/>
    <s v="SIGMAGPTLRRSMNDL_80W_56IBBR_x000a_"/>
    <s v="SIGMAGPTLRRSMNDL_80W_56IBBR_x000a_S1-10C1MUN6.5"/>
    <m/>
    <e v="#N/A"/>
    <n v="2"/>
    <n v="80"/>
    <e v="#N/A"/>
    <n v="13209"/>
    <n v="0"/>
    <n v="0"/>
    <n v="10"/>
    <s v="Longo I"/>
    <s v="Longo I"/>
    <n v="2.8"/>
    <n v="8"/>
    <m/>
    <m/>
    <m/>
    <m/>
    <m/>
    <m/>
    <n v="80"/>
    <n v="150"/>
    <n v="460"/>
    <n v="0.46666666666666667"/>
    <m/>
    <m/>
    <s v="Sim"/>
    <m/>
  </r>
  <r>
    <n v="79"/>
    <s v="PVP"/>
    <s v="Rua Rio Grande do Sul, 691"/>
    <n v="-30.030681000000001"/>
    <n v="-50.15813599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9"/>
    <n v="7.2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-4.0000000000000036E-2"/>
    <n v="1.7777777777777777"/>
    <s v="-"/>
    <s v="9,6"/>
    <n v="0.5"/>
    <m/>
    <m/>
    <m/>
    <m/>
    <s v="ATENDE"/>
    <s v="ATENDE"/>
    <s v="ATENDE"/>
    <s v="ATENDE"/>
    <s v="C4"/>
    <s v="P6"/>
    <n v="0.74"/>
    <n v="5.22"/>
    <n v="3.01"/>
    <n v="3"/>
    <n v="0.6"/>
    <s v="ATENDE"/>
    <s v="ATENDE"/>
    <s v="ATENDE"/>
    <s v="P6"/>
    <n v="2.06"/>
    <n v="9.18"/>
    <n v="4.2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79"/>
    <s v="PVP"/>
    <s v="Rua Rio Grande do Sul, 691"/>
    <n v="-30.030681000000001"/>
    <n v="-50.15813599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9"/>
    <n v="7.2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1"/>
    <n v="2.5"/>
    <s v="-"/>
    <n v="11.21"/>
    <n v="0.63"/>
    <m/>
    <m/>
    <m/>
    <m/>
    <s v="ATENDE"/>
    <s v="ATENDE"/>
    <s v="ATENDE"/>
    <s v="ATENDE"/>
    <s v="C4"/>
    <s v="P6"/>
    <n v="0.7566666666666666"/>
    <n v="5.27"/>
    <n v="2.97"/>
    <n v="3"/>
    <n v="0.6"/>
    <s v="ATENDE"/>
    <s v="ATENDE"/>
    <s v="ATENDE"/>
    <s v="P6"/>
    <n v="2.5733333333333337"/>
    <n v="10.72"/>
    <n v="5.8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79"/>
    <s v="PVP"/>
    <s v="Rua Rio Grande do Sul, 691"/>
    <n v="-30.030681000000001"/>
    <n v="-50.15813599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9"/>
    <n v="7.2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5099999999999989"/>
    <n v="1.8888888888888893"/>
    <s v="-"/>
    <n v="12.51"/>
    <n v="0.52"/>
    <m/>
    <m/>
    <m/>
    <m/>
    <s v="ATENDE"/>
    <s v="ATENDE"/>
    <s v="ATENDE"/>
    <s v="ATENDE"/>
    <s v="C4"/>
    <s v="P6"/>
    <n v="0.45333333333333337"/>
    <n v="4.3600000000000003"/>
    <n v="2.39"/>
    <n v="3"/>
    <n v="0.6"/>
    <s v="ATENDE"/>
    <s v="ATENDE"/>
    <s v="ATENDE"/>
    <s v="P6"/>
    <n v="2.86"/>
    <n v="11.58"/>
    <n v="6.4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78"/>
    <s v="V"/>
    <s v="Rua Fernando de Noronha, 560"/>
    <n v="-30.031462000000001"/>
    <n v="-50.150548999999998"/>
    <s v="C5"/>
    <x v="0"/>
    <n v="0"/>
    <s v="Vapor de sódio"/>
    <n v="100"/>
    <n v="17"/>
    <n v="0"/>
    <n v="200"/>
    <n v="1"/>
    <n v="0"/>
    <n v="5"/>
    <m/>
    <m/>
    <n v="0"/>
    <n v="0"/>
    <n v="0"/>
    <n v="0"/>
    <n v="0"/>
    <n v="0"/>
    <n v="0"/>
    <s v="Unilateral"/>
    <s v="Braço"/>
    <n v="44"/>
    <n v="5.7"/>
    <n v="1"/>
    <n v="0.1"/>
    <n v="1.3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9066666666666654"/>
    <n v="0.16666666666666674"/>
    <s v="-"/>
    <n v="8.93"/>
    <n v="0.21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78"/>
    <s v="V"/>
    <s v="Rua Fernando de Noronha, 560"/>
    <n v="-30.031462000000001"/>
    <n v="-50.150548999999998"/>
    <s v="C5"/>
    <x v="0"/>
    <n v="0"/>
    <s v="Vapor de sódio"/>
    <n v="100"/>
    <n v="17"/>
    <n v="0"/>
    <n v="200"/>
    <n v="1"/>
    <n v="0"/>
    <n v="5"/>
    <m/>
    <m/>
    <n v="0"/>
    <n v="0"/>
    <n v="0"/>
    <n v="0"/>
    <n v="0"/>
    <n v="0"/>
    <n v="0"/>
    <s v="Unilateral"/>
    <s v="Braço"/>
    <n v="44"/>
    <n v="5.7"/>
    <n v="1"/>
    <n v="0.1"/>
    <n v="1.3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6.0000000000000053E-2"/>
    <n v="0.22222222222222232"/>
    <s v="-"/>
    <n v="7.95"/>
    <n v="0.22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78"/>
    <s v="V"/>
    <s v="Rua Fernando de Noronha, 560"/>
    <n v="-30.031462000000001"/>
    <n v="-50.150548999999998"/>
    <s v="C5"/>
    <x v="0"/>
    <n v="0"/>
    <s v="Vapor de sódio"/>
    <n v="100"/>
    <n v="17"/>
    <n v="0"/>
    <n v="200"/>
    <n v="1"/>
    <n v="0"/>
    <n v="5"/>
    <m/>
    <m/>
    <n v="0"/>
    <n v="0"/>
    <n v="0"/>
    <n v="0"/>
    <n v="0"/>
    <n v="0"/>
    <n v="0"/>
    <s v="Unilateral"/>
    <s v="Braço"/>
    <n v="44"/>
    <n v="5.7"/>
    <n v="1"/>
    <n v="0.1"/>
    <n v="1.3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0133333333333328"/>
    <n v="5.555555555555558E-2"/>
    <s v="-"/>
    <n v="8.26"/>
    <n v="0.19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80"/>
    <s v="PVP"/>
    <s v="Rua Rio Grande do Sul, 851"/>
    <n v="-30.031445999999999"/>
    <n v="-50.1584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19999999999998"/>
    <n v="1.7777777777777777"/>
    <s v="-"/>
    <n v="9.5399999999999991"/>
    <n v="0.5"/>
    <m/>
    <m/>
    <m/>
    <m/>
    <s v="ATENDE"/>
    <s v="ATENDE"/>
    <s v="ATENDE"/>
    <s v="ATENDE"/>
    <s v="C5"/>
    <s v="P6"/>
    <n v="1.0566666666666666"/>
    <n v="6.17"/>
    <n v="3.47"/>
    <n v="3"/>
    <n v="0.6"/>
    <s v="ATENDE"/>
    <s v="ATENDE"/>
    <s v="ATENDE"/>
    <s v="P6"/>
    <n v="1.52"/>
    <n v="7.56"/>
    <n v="3.51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0"/>
    <s v="PVP"/>
    <s v="Rua Rio Grande do Sul, 851"/>
    <n v="-30.031445999999999"/>
    <n v="-50.1584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80000000000002"/>
    <n v="2.4444444444444446"/>
    <s v="-"/>
    <n v="9.2100000000000009"/>
    <n v="0.62"/>
    <m/>
    <m/>
    <m/>
    <m/>
    <s v="ATENDE"/>
    <s v="ATENDE"/>
    <s v="ATENDE"/>
    <s v="ATENDE"/>
    <s v="C5"/>
    <s v="P6"/>
    <n v="0.78333333333333321"/>
    <n v="5.35"/>
    <n v="3.85"/>
    <n v="3"/>
    <n v="0.6"/>
    <s v="ATENDE"/>
    <s v="ATENDE"/>
    <s v="ATENDE"/>
    <s v="P6"/>
    <n v="1.31"/>
    <n v="6.93"/>
    <n v="3.14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0"/>
    <s v="PVP"/>
    <s v="Rua Rio Grande do Sul, 851"/>
    <n v="-30.031445999999999"/>
    <n v="-50.1584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6111111111111112"/>
    <s v="-"/>
    <n v="9.15"/>
    <n v="0.65"/>
    <m/>
    <m/>
    <m/>
    <m/>
    <s v="ATENDE"/>
    <s v="ATENDE"/>
    <s v="ATENDE"/>
    <s v="ATENDE"/>
    <s v="C5"/>
    <s v="P6"/>
    <n v="0.62333333333333329"/>
    <n v="4.87"/>
    <n v="3.67"/>
    <n v="3"/>
    <n v="0.6"/>
    <s v="ATENDE"/>
    <s v="ATENDE"/>
    <s v="ATENDE"/>
    <s v="P6"/>
    <n v="1.3233333333333333"/>
    <n v="6.97"/>
    <n v="4.1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1"/>
    <s v="PVP"/>
    <s v="Rua Pernambuco, 601"/>
    <n v="-30.030156000000002"/>
    <n v="-50.155422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7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3333333333333472E-2"/>
    <n v="0.5555555555555558"/>
    <s v="-"/>
    <n v="8.0500000000000007"/>
    <n v="0.28000000000000003"/>
    <m/>
    <m/>
    <m/>
    <m/>
    <s v="ATENDE"/>
    <s v="ATENDE"/>
    <s v="ATENDE"/>
    <s v="ATENDE"/>
    <s v="C5"/>
    <s v="P6"/>
    <n v="0.51666666666666661"/>
    <n v="4.55"/>
    <n v="1.51"/>
    <n v="3"/>
    <n v="0.6"/>
    <s v="ATENDE"/>
    <s v="ATENDE"/>
    <s v="ATENDE"/>
    <s v="P6"/>
    <n v="1.1833333333333331"/>
    <n v="6.55"/>
    <n v="1.4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1"/>
    <s v="PVP"/>
    <s v="Rua Pernambuco, 601"/>
    <n v="-30.030156000000002"/>
    <n v="-50.155422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7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6000000000000032E-2"/>
    <n v="0.22222222222222232"/>
    <s v="-"/>
    <n v="7.77"/>
    <n v="0.22"/>
    <m/>
    <m/>
    <m/>
    <m/>
    <s v="ATENDE"/>
    <s v="ATENDE"/>
    <s v="ATENDE"/>
    <s v="ATENDE"/>
    <s v="C5"/>
    <s v="P6"/>
    <n v="0.2433333333333334"/>
    <n v="3.73"/>
    <n v="1.2"/>
    <n v="3"/>
    <n v="0.6"/>
    <s v="ATENDE"/>
    <s v="ATENDE"/>
    <s v="ATENDE"/>
    <s v="P6"/>
    <n v="1.0100000000000002"/>
    <n v="6.03"/>
    <n v="0.6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1"/>
    <s v="PVP"/>
    <s v="Rua Pernambuco, 601"/>
    <n v="-30.030156000000002"/>
    <n v="-50.155422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7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0000000000000018E-2"/>
    <n v="0.72222222222222232"/>
    <s v="-"/>
    <n v="7.65"/>
    <n v="0.31"/>
    <m/>
    <m/>
    <m/>
    <m/>
    <s v="ATENDE"/>
    <s v="ATENDE"/>
    <s v="ATENDE"/>
    <s v="ATENDE"/>
    <s v="C5"/>
    <s v="P6"/>
    <n v="0.16333333333333333"/>
    <n v="3.49"/>
    <n v="1.71"/>
    <n v="3"/>
    <n v="0.6"/>
    <s v="ATENDE"/>
    <s v="ATENDE"/>
    <s v="ATENDE"/>
    <s v="P6"/>
    <n v="1.02"/>
    <n v="6.06"/>
    <n v="1.6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3"/>
    <s v="VP"/>
    <s v="Avenida Minas Gerais, 224"/>
    <n v="-30.027892000000001"/>
    <n v="-50.15175"/>
    <s v="C2"/>
    <x v="0"/>
    <s v="P6"/>
    <s v="Vapor de sódio"/>
    <n v="250"/>
    <n v="30"/>
    <n v="0"/>
    <n v="2000"/>
    <n v="2"/>
    <n v="0"/>
    <n v="7"/>
    <m/>
    <m/>
    <n v="0"/>
    <n v="3"/>
    <n v="6"/>
    <n v="0"/>
    <n v="0"/>
    <n v="0"/>
    <n v="0"/>
    <s v="Canteiro central"/>
    <s v="Braço"/>
    <n v="47.8"/>
    <n v="10.35"/>
    <n v="4"/>
    <n v="2.5"/>
    <n v="0.5"/>
    <n v="-2"/>
    <s v="-"/>
    <s v="-"/>
    <s v="Sim"/>
    <n v="8"/>
    <n v="0"/>
    <n v="0"/>
    <n v="0"/>
    <n v="0"/>
    <n v="0"/>
    <s v="-"/>
    <n v="0"/>
    <m/>
    <n v="20"/>
    <n v="0.28000000000000003"/>
    <s v="-"/>
    <n v="0.28000000000000003"/>
    <s v="-"/>
    <n v="14"/>
    <s v="ATENDE"/>
    <n v="7.0000000000001172E-3"/>
    <n v="-3.5714285714285698E-2"/>
    <s v="-"/>
    <n v="20.14"/>
    <n v="0.27"/>
    <m/>
    <m/>
    <m/>
    <m/>
    <s v="ATENDE"/>
    <s v="ATENDE"/>
    <s v="ATENDIMENTO LIMIAR"/>
    <s v="ATENDE"/>
    <s v="C2"/>
    <s v="P6"/>
    <e v="#VALUE!"/>
    <s v=" -"/>
    <s v=" -"/>
    <n v="3"/>
    <n v="0.6"/>
    <s v="ATENDE"/>
    <s v="ATENDE"/>
    <s v="ATENDE"/>
    <s v="P6"/>
    <n v="3.1466666666666665"/>
    <n v="12.44"/>
    <n v="4.2"/>
    <n v="3"/>
    <n v="0.6"/>
    <s v="ATENDE"/>
    <s v="ATENDE"/>
    <s v="ATENDE"/>
    <x v="0"/>
    <s v=" SL VT 9.1 65W"/>
    <s v="LUM LED SL VT 9.1 65W"/>
    <m/>
    <e v="#N/A"/>
    <n v="4"/>
    <n v="65"/>
    <n v="0"/>
    <n v="10496"/>
    <n v="0"/>
    <n v="0"/>
    <n v="10"/>
    <s v="Curto I"/>
    <m/>
    <s v=""/>
    <s v=""/>
    <m/>
    <m/>
    <m/>
    <m/>
    <m/>
    <m/>
    <n v="65"/>
    <n v="250"/>
    <n v="1260"/>
    <n v="0.74"/>
    <m/>
    <m/>
    <s v="Sim"/>
    <m/>
  </r>
  <r>
    <n v="83"/>
    <s v="VP"/>
    <s v="Avenida Minas Gerais, 224"/>
    <n v="-30.027892000000001"/>
    <n v="-50.15175"/>
    <s v="C2"/>
    <x v="0"/>
    <s v="P6"/>
    <s v="Vapor de sódio"/>
    <n v="250"/>
    <n v="30"/>
    <n v="0"/>
    <n v="2000"/>
    <n v="2"/>
    <n v="0"/>
    <n v="7"/>
    <m/>
    <m/>
    <n v="0"/>
    <n v="3"/>
    <n v="6"/>
    <n v="0"/>
    <n v="0"/>
    <n v="0"/>
    <n v="0"/>
    <s v="Canteiro central"/>
    <s v="Braço"/>
    <n v="47.8"/>
    <n v="10.35"/>
    <n v="4"/>
    <n v="2.5"/>
    <n v="0.5"/>
    <n v="-2"/>
    <s v="-"/>
    <s v="-"/>
    <s v="Sim"/>
    <n v="8"/>
    <n v="0"/>
    <n v="0"/>
    <n v="0"/>
    <n v="0"/>
    <n v="0"/>
    <s v="-"/>
    <n v="0"/>
    <m/>
    <n v="20"/>
    <n v="0.28000000000000003"/>
    <s v="-"/>
    <n v="0.28000000000000003"/>
    <s v="-"/>
    <n v="14"/>
    <s v="ATENDE"/>
    <n v="0.20950000000000002"/>
    <n v="0"/>
    <s v="-"/>
    <n v="24.19"/>
    <n v="0.28000000000000003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9133333333333331"/>
    <n v="14.74"/>
    <n v="5.05"/>
    <n v="3"/>
    <n v="0.6"/>
    <s v="ATENDE"/>
    <s v="ATENDE"/>
    <s v="ATENDE"/>
    <x v="1"/>
    <s v="SX-INLPP070HF"/>
    <s v="SXINLPP070K40L12CZF7PHF"/>
    <m/>
    <e v="#N/A"/>
    <n v="4"/>
    <n v="70"/>
    <n v="0"/>
    <n v="11970"/>
    <n v="0"/>
    <n v="0"/>
    <n v="10"/>
    <s v="Curto I"/>
    <m/>
    <s v=""/>
    <s v=""/>
    <m/>
    <m/>
    <m/>
    <m/>
    <m/>
    <m/>
    <n v="70"/>
    <n v="250"/>
    <n v="1280"/>
    <n v="0.72"/>
    <m/>
    <m/>
    <s v="Sim"/>
    <m/>
  </r>
  <r>
    <n v="83"/>
    <s v="VP"/>
    <s v="Avenida Minas Gerais, 224"/>
    <n v="-30.027892000000001"/>
    <n v="-50.15175"/>
    <s v="C2"/>
    <x v="0"/>
    <s v="P6"/>
    <s v="Vapor de sódio"/>
    <n v="250"/>
    <n v="30"/>
    <n v="0"/>
    <n v="2000"/>
    <n v="2"/>
    <n v="0"/>
    <n v="7"/>
    <m/>
    <m/>
    <n v="0"/>
    <n v="3"/>
    <n v="6"/>
    <n v="0"/>
    <n v="0"/>
    <n v="0"/>
    <n v="0"/>
    <s v="Canteiro central"/>
    <s v="Braço"/>
    <n v="47.8"/>
    <n v="10.35"/>
    <n v="4"/>
    <n v="2.5"/>
    <n v="0.5"/>
    <n v="-2"/>
    <s v="-"/>
    <s v="-"/>
    <s v="Sim"/>
    <n v="8"/>
    <n v="0"/>
    <n v="0"/>
    <n v="0"/>
    <n v="0"/>
    <n v="0"/>
    <s v="-"/>
    <n v="0"/>
    <m/>
    <n v="20"/>
    <n v="0.28000000000000003"/>
    <s v="-"/>
    <n v="0.28000000000000003"/>
    <s v="-"/>
    <n v="14"/>
    <s v="ATENDE"/>
    <n v="8.8500000000000023E-2"/>
    <n v="3.5714285714285587E-2"/>
    <s v="-"/>
    <n v="21.77"/>
    <n v="0.28999999999999998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1433333333333335"/>
    <n v="12.43"/>
    <n v="3.73"/>
    <n v="3"/>
    <n v="0.6"/>
    <s v="ATENDE"/>
    <s v="ATENDE"/>
    <s v="ATENDE"/>
    <x v="2"/>
    <s v="SIGSAGPTLRRSSNDL_68W_83IBBRS_x000a_"/>
    <s v="SIGSAGPTLRRSSNDL_68W_83IBBRS_x000a_1-10C1MUN6.5"/>
    <m/>
    <n v="0"/>
    <n v="4"/>
    <n v="68"/>
    <n v="0"/>
    <n v="10884"/>
    <n v="0"/>
    <n v="0"/>
    <m/>
    <s v="Curto I"/>
    <m/>
    <s v=""/>
    <s v=""/>
    <m/>
    <m/>
    <m/>
    <m/>
    <m/>
    <m/>
    <n v="68"/>
    <n v="250"/>
    <n v="1272"/>
    <n v="0.72799999999999998"/>
    <m/>
    <m/>
    <s v="Sim"/>
    <m/>
  </r>
  <r>
    <n v="82"/>
    <s v="PVP"/>
    <s v="Rua Roma, 151"/>
    <n v="-30.027684000000001"/>
    <n v="-50.153731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0.72222222222222232"/>
    <s v="-"/>
    <n v="8.32"/>
    <n v="0.31"/>
    <m/>
    <m/>
    <m/>
    <m/>
    <s v="ATENDE"/>
    <s v="ATENDE"/>
    <s v="ATENDE"/>
    <s v="ATENDE"/>
    <s v="C5"/>
    <s v="P6"/>
    <n v="0.57000000000000006"/>
    <n v="4.71"/>
    <n v="1.69"/>
    <n v="3"/>
    <n v="0.6"/>
    <s v="ATENDE"/>
    <s v="ATENDE"/>
    <s v="ATENDE"/>
    <s v="P6"/>
    <n v="1.2566666666666664"/>
    <n v="6.77"/>
    <n v="1.7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2"/>
    <s v="PVP"/>
    <s v="Rua Roma, 151"/>
    <n v="-30.027684000000001"/>
    <n v="-50.153731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9333333333333247E-2"/>
    <n v="0.44444444444444464"/>
    <s v="-"/>
    <n v="8.02"/>
    <n v="0.26"/>
    <m/>
    <m/>
    <m/>
    <m/>
    <s v="ATENDE"/>
    <s v="ATENDE"/>
    <s v="ATENDE"/>
    <s v="ATENDE"/>
    <s v="C5"/>
    <s v="P6"/>
    <n v="0.28666666666666663"/>
    <n v="3.86"/>
    <n v="1.41"/>
    <n v="3"/>
    <n v="0.6"/>
    <s v="ATENDE"/>
    <s v="ATENDE"/>
    <s v="ATENDE"/>
    <s v="P6"/>
    <n v="1.0766666666666667"/>
    <n v="6.23"/>
    <n v="0.79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2"/>
    <s v="PVP"/>
    <s v="Rua Roma, 151"/>
    <n v="-30.027684000000001"/>
    <n v="-50.153731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3455E-2"/>
    <n v="1"/>
    <s v="-"/>
    <n v="7.9"/>
    <n v="0.36"/>
    <m/>
    <m/>
    <m/>
    <m/>
    <s v="ATENDE"/>
    <s v="ATENDE"/>
    <s v="ATENDE"/>
    <s v="ATENDE"/>
    <s v="C5"/>
    <s v="P6"/>
    <n v="0.19999999999999996"/>
    <n v="3.6"/>
    <n v="1.97"/>
    <n v="3"/>
    <n v="0.6"/>
    <s v="ATENDE"/>
    <s v="ATENDE"/>
    <s v="ATENDE"/>
    <s v="P6"/>
    <n v="1.0866666666666664"/>
    <n v="6.26"/>
    <n v="1.9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4"/>
    <s v="PV"/>
    <s v="Travessa Tres, 585"/>
    <n v="-30.024736999999998"/>
    <n v="-50.155647999999999"/>
    <s v="C5"/>
    <x v="0"/>
    <s v="P6"/>
    <s v="Vapor de sódio"/>
    <n v="100"/>
    <n v="17"/>
    <n v="0"/>
    <n v="200"/>
    <n v="2"/>
    <n v="2.5"/>
    <n v="7.5"/>
    <m/>
    <m/>
    <n v="0"/>
    <n v="0"/>
    <n v="0"/>
    <n v="0"/>
    <n v="0"/>
    <n v="0"/>
    <n v="0"/>
    <s v="Unilateral"/>
    <s v="Braço"/>
    <n v="35"/>
    <n v="8.1999999999999993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5333333333333226E-2"/>
    <n v="1.7222222222222223"/>
    <s v="-"/>
    <n v="7.84"/>
    <n v="0.49"/>
    <m/>
    <m/>
    <m/>
    <m/>
    <s v="ATENDE"/>
    <s v="ATENDE"/>
    <s v="ATENDE"/>
    <s v="ATENDE"/>
    <s v="C5"/>
    <s v="P6"/>
    <n v="1.1833333333333331"/>
    <n v="6.55"/>
    <n v="2.9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4"/>
    <s v="PV"/>
    <s v="Travessa Tres, 585"/>
    <n v="-30.024736999999998"/>
    <n v="-50.155647999999999"/>
    <s v="C5"/>
    <x v="0"/>
    <s v="P6"/>
    <s v="Vapor de sódio"/>
    <n v="100"/>
    <n v="17"/>
    <n v="0"/>
    <n v="200"/>
    <n v="2"/>
    <n v="2.5"/>
    <n v="7.5"/>
    <m/>
    <m/>
    <n v="0"/>
    <n v="0"/>
    <n v="0"/>
    <n v="0"/>
    <n v="0"/>
    <n v="0"/>
    <n v="0"/>
    <s v="Unilateral"/>
    <s v="Braço"/>
    <n v="35"/>
    <n v="8.1999999999999993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0666666666666602E-2"/>
    <n v="2.3333333333333335"/>
    <s v="-"/>
    <n v="7.58"/>
    <n v="0.6"/>
    <m/>
    <m/>
    <m/>
    <m/>
    <s v="ATENDE"/>
    <s v="ATENDE"/>
    <s v="ATENDE"/>
    <s v="ATENDE"/>
    <s v="C5"/>
    <s v="P6"/>
    <n v="1.0366666666666666"/>
    <n v="6.11"/>
    <n v="2.71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4"/>
    <s v="PV"/>
    <s v="Travessa Tres, 585"/>
    <n v="-30.024736999999998"/>
    <n v="-50.155647999999999"/>
    <s v="C5"/>
    <x v="0"/>
    <s v="P6"/>
    <s v="Vapor de sódio"/>
    <n v="100"/>
    <n v="17"/>
    <n v="0"/>
    <n v="200"/>
    <n v="2"/>
    <n v="2.5"/>
    <n v="7.5"/>
    <m/>
    <m/>
    <n v="0"/>
    <n v="0"/>
    <n v="0"/>
    <n v="0"/>
    <n v="0"/>
    <n v="0"/>
    <n v="0"/>
    <s v="Unilateral"/>
    <s v="Braço"/>
    <n v="35"/>
    <n v="8.1999999999999993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6666666666665986E-3"/>
    <n v="2.4444444444444446"/>
    <s v="-"/>
    <n v="7.55"/>
    <n v="0.62"/>
    <m/>
    <m/>
    <m/>
    <m/>
    <s v="ATENDE"/>
    <s v="ATENDE"/>
    <s v="ATENDE"/>
    <s v="ATENDE"/>
    <s v="C5"/>
    <s v="P6"/>
    <n v="1.0366666666666666"/>
    <n v="6.11"/>
    <n v="3.43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5"/>
    <s v="VP"/>
    <s v="Rua Belo Horizonte, 1242"/>
    <n v="-30.033949"/>
    <n v="-50.158265"/>
    <s v="C5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7.1"/>
    <n v="6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4399999999999999"/>
    <n v="5.555555555555558E-2"/>
    <s v="-"/>
    <n v="9.33"/>
    <n v="0.19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8.666666666666667E-2"/>
    <n v="3.26"/>
    <n v="1.02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m/>
    <s v="Curto II"/>
    <m/>
    <s v=""/>
    <s v=""/>
    <m/>
    <m/>
    <m/>
    <m/>
    <m/>
    <m/>
    <n v="28"/>
    <n v="150"/>
    <n v="356"/>
    <n v="0.81333333333333335"/>
    <m/>
    <m/>
    <s v="Sim"/>
    <m/>
  </r>
  <r>
    <n v="85"/>
    <s v="VP"/>
    <s v="Rua Belo Horizonte, 1242"/>
    <n v="-30.033949"/>
    <n v="-50.158265"/>
    <s v="C5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7.1"/>
    <n v="6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7453333333333334"/>
    <n v="5.555555555555558E-2"/>
    <s v="-"/>
    <n v="13.09"/>
    <n v="0.19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4.0000000000000036E-2"/>
    <n v="3.12"/>
    <n v="0.98"/>
    <n v="3"/>
    <n v="0.6"/>
    <s v="ATENDE"/>
    <s v="ATENDE"/>
    <s v="ATENDE"/>
    <x v="1"/>
    <s v="SX-INEVO040HF"/>
    <s v="SXINEVO040K40L12CZF7PHF"/>
    <m/>
    <e v="#N/A"/>
    <n v="2"/>
    <n v="39"/>
    <n v="0"/>
    <n v="6552"/>
    <n v="0"/>
    <n v="0"/>
    <m/>
    <s v="Curto II"/>
    <m/>
    <s v=""/>
    <s v=""/>
    <m/>
    <m/>
    <m/>
    <m/>
    <m/>
    <m/>
    <n v="39"/>
    <n v="150"/>
    <n v="378"/>
    <n v="0.74"/>
    <m/>
    <m/>
    <s v="Sim"/>
    <m/>
  </r>
  <r>
    <n v="85"/>
    <s v="VP"/>
    <s v="Rua Belo Horizonte, 1242"/>
    <n v="-30.033949"/>
    <n v="-50.158265"/>
    <s v="C5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7.1"/>
    <n v="6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84799999999999986"/>
    <n v="0.22222222222222232"/>
    <s v="-"/>
    <n v="13.86"/>
    <n v="0.22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3899999999999999"/>
    <n v="4.17"/>
    <n v="1.4"/>
    <n v="3"/>
    <n v="0.6"/>
    <s v="ATENDE"/>
    <s v="ATENDE"/>
    <s v="ATENDE"/>
    <x v="2"/>
    <s v="SIGSAGPTLRRSSNDL_40W_50IBBRS_x000a_"/>
    <s v="SIGSAGPTLRRSSNDL_40W_50IBBRS_x000a_1-10C1MUN6.5"/>
    <m/>
    <e v="#N/A"/>
    <n v="2"/>
    <n v="40"/>
    <n v="0"/>
    <n v="6641"/>
    <n v="0"/>
    <n v="0"/>
    <m/>
    <s v="Curto II"/>
    <s v="Curto I"/>
    <n v="1.2"/>
    <n v="6.5"/>
    <m/>
    <m/>
    <m/>
    <m/>
    <m/>
    <m/>
    <n v="40"/>
    <n v="150"/>
    <n v="380"/>
    <n v="0.73333333333333339"/>
    <m/>
    <m/>
    <s v="Sim"/>
    <m/>
  </r>
  <r>
    <n v="86"/>
    <s v="PVP"/>
    <s v="Rua Sergipe, 1164"/>
    <n v="-30.033998"/>
    <n v="-50.162942000000001"/>
    <s v="C5"/>
    <x v="0"/>
    <s v="P6"/>
    <s v="Vapor de sódio"/>
    <n v="100"/>
    <n v="17"/>
    <n v="0"/>
    <n v="200"/>
    <n v="2"/>
    <n v="2.6"/>
    <n v="7"/>
    <m/>
    <m/>
    <n v="0"/>
    <n v="3"/>
    <n v="0"/>
    <n v="0"/>
    <n v="0"/>
    <n v="0"/>
    <n v="0"/>
    <s v="Unilateral"/>
    <s v="Braço"/>
    <n v="34.2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199999999999997"/>
    <n v="1.2222222222222223"/>
    <s v="-"/>
    <n v="9.09"/>
    <n v="0.4"/>
    <m/>
    <m/>
    <m/>
    <m/>
    <s v="ATENDE"/>
    <s v="ATENDE"/>
    <s v="ATENDE"/>
    <s v="ATENDE"/>
    <s v="C5"/>
    <s v="P6"/>
    <n v="0.58000000000000007"/>
    <n v="4.74"/>
    <n v="2.0699999999999998"/>
    <n v="3"/>
    <n v="0.6"/>
    <s v="ATENDE"/>
    <s v="ATENDE"/>
    <s v="ATENDE"/>
    <s v="P6"/>
    <n v="1.4933333333333336"/>
    <n v="7.48"/>
    <n v="2.52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6"/>
    <s v="PVP"/>
    <s v="Rua Sergipe, 1164"/>
    <n v="-30.033998"/>
    <n v="-50.162942000000001"/>
    <s v="C5"/>
    <x v="0"/>
    <s v="P6"/>
    <s v="Vapor de sódio"/>
    <n v="100"/>
    <n v="17"/>
    <n v="0"/>
    <n v="200"/>
    <n v="2"/>
    <n v="2.6"/>
    <n v="7"/>
    <m/>
    <m/>
    <n v="0"/>
    <n v="3"/>
    <n v="0"/>
    <n v="0"/>
    <n v="0"/>
    <n v="0"/>
    <n v="0"/>
    <s v="Unilateral"/>
    <s v="Braço"/>
    <n v="34.2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666666666666674"/>
    <n v="1.3888888888888888"/>
    <s v="-"/>
    <n v="8.75"/>
    <n v="0.43"/>
    <m/>
    <m/>
    <m/>
    <m/>
    <s v="ATENDE"/>
    <s v="ATENDE"/>
    <s v="ATENDE"/>
    <s v="ATENDE"/>
    <s v="C5"/>
    <s v="P6"/>
    <n v="0.25333333333333319"/>
    <n v="3.76"/>
    <n v="1.73"/>
    <n v="3"/>
    <n v="0.6"/>
    <s v="ATENDE"/>
    <s v="ATENDE"/>
    <s v="ATENDE"/>
    <s v="P6"/>
    <n v="1.3033333333333332"/>
    <n v="6.91"/>
    <n v="1.64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6"/>
    <s v="PVP"/>
    <s v="Rua Sergipe, 1164"/>
    <n v="-30.033998"/>
    <n v="-50.162942000000001"/>
    <s v="C5"/>
    <x v="0"/>
    <s v="P6"/>
    <s v="Vapor de sódio"/>
    <n v="100"/>
    <n v="17"/>
    <n v="0"/>
    <n v="200"/>
    <n v="2"/>
    <n v="2.6"/>
    <n v="7"/>
    <m/>
    <m/>
    <n v="0"/>
    <n v="3"/>
    <n v="0"/>
    <n v="0"/>
    <n v="0"/>
    <n v="0"/>
    <n v="0"/>
    <s v="Unilateral"/>
    <s v="Braço"/>
    <n v="34.2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933333333333332"/>
    <n v="1.8333333333333335"/>
    <s v="-"/>
    <n v="8.6199999999999992"/>
    <n v="0.51"/>
    <m/>
    <m/>
    <m/>
    <m/>
    <s v="ATENDE"/>
    <s v="ATENDE"/>
    <s v="ATENDE"/>
    <s v="ATENDE"/>
    <s v="C5"/>
    <s v="P6"/>
    <n v="0.19333333333333336"/>
    <n v="3.58"/>
    <n v="2.2000000000000002"/>
    <n v="3"/>
    <n v="0.6"/>
    <s v="ATENDE"/>
    <s v="ATENDE"/>
    <s v="ATENDE"/>
    <s v="P6"/>
    <n v="1.31"/>
    <n v="6.93"/>
    <n v="2.9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7"/>
    <s v="V"/>
    <s v="Rua A, 1857"/>
    <n v="-30.032537000000001"/>
    <n v="-50.162951999999997"/>
    <s v="C5"/>
    <x v="0"/>
    <n v="0"/>
    <s v="Vapor de sódio"/>
    <n v="150"/>
    <n v="22"/>
    <n v="0"/>
    <n v="300"/>
    <n v="2"/>
    <n v="0"/>
    <n v="7"/>
    <m/>
    <m/>
    <n v="0"/>
    <n v="0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4.0000000000000036E-2"/>
    <n v="1.3888888888888888"/>
    <s v="-"/>
    <n v="7.8"/>
    <n v="0.43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87"/>
    <s v="V"/>
    <s v="Rua A, 1857"/>
    <n v="-30.032537000000001"/>
    <n v="-50.162951999999997"/>
    <s v="C5"/>
    <x v="0"/>
    <n v="0"/>
    <s v="Vapor de sódio"/>
    <n v="150"/>
    <n v="22"/>
    <n v="0"/>
    <n v="300"/>
    <n v="2"/>
    <n v="0"/>
    <n v="7"/>
    <m/>
    <m/>
    <n v="0"/>
    <n v="0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29333333333333322"/>
    <n v="2.0000000000000004"/>
    <s v="-"/>
    <n v="9.6999999999999993"/>
    <n v="0.54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87"/>
    <s v="V"/>
    <s v="Rua A, 1857"/>
    <n v="-30.032537000000001"/>
    <n v="-50.162951999999997"/>
    <s v="C5"/>
    <x v="0"/>
    <n v="0"/>
    <s v="Vapor de sódio"/>
    <n v="150"/>
    <n v="22"/>
    <n v="0"/>
    <n v="300"/>
    <n v="2"/>
    <n v="0"/>
    <n v="7"/>
    <m/>
    <m/>
    <n v="0"/>
    <n v="0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27600000000000002"/>
    <n v="2.3333333333333335"/>
    <s v="-"/>
    <n v="9.57"/>
    <n v="0.6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88"/>
    <s v="PVP"/>
    <s v="Rua A, 1988"/>
    <n v="-30.031459000000002"/>
    <n v="-50.166505000000001"/>
    <s v="C5"/>
    <x v="0"/>
    <s v="P6"/>
    <s v="Vapor de sódio"/>
    <n v="100"/>
    <n v="17"/>
    <n v="0"/>
    <n v="200"/>
    <n v="2"/>
    <n v="3"/>
    <n v="10"/>
    <m/>
    <m/>
    <n v="0"/>
    <n v="3"/>
    <n v="0"/>
    <n v="0"/>
    <n v="0"/>
    <n v="0"/>
    <n v="0"/>
    <s v="Unilateral"/>
    <s v="Braço"/>
    <n v="47.5"/>
    <n v="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3333333333333472E-2"/>
    <n v="0"/>
    <s v="-"/>
    <n v="8.0500000000000007"/>
    <n v="0.18"/>
    <m/>
    <m/>
    <m/>
    <m/>
    <s v="ATENDE"/>
    <s v="ATENDE"/>
    <s v="ATENDE"/>
    <s v="ATENDE"/>
    <s v="C5"/>
    <s v="P6"/>
    <n v="0.10333333333333328"/>
    <n v="3.31"/>
    <n v="1.19"/>
    <n v="3"/>
    <n v="0.6"/>
    <s v="ATENDE"/>
    <s v="ATENDE"/>
    <s v="ATENDE"/>
    <s v="P6"/>
    <n v="1.0366666666666666"/>
    <n v="6.11"/>
    <n v="0.7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s v="Médio I"/>
    <n v="1.8"/>
    <n v="7"/>
    <m/>
    <m/>
    <m/>
    <m/>
    <m/>
    <m/>
    <n v="52"/>
    <n v="100"/>
    <n v="152"/>
    <n v="0.48"/>
    <m/>
    <m/>
    <s v="Sim"/>
    <m/>
  </r>
  <r>
    <n v="88"/>
    <s v="PVP"/>
    <s v="Rua A, 1988"/>
    <n v="-30.031459000000002"/>
    <n v="-50.166505000000001"/>
    <s v="C5"/>
    <x v="0"/>
    <s v="P6"/>
    <s v="Vapor de sódio"/>
    <n v="100"/>
    <n v="17"/>
    <n v="0"/>
    <n v="200"/>
    <n v="2"/>
    <n v="3"/>
    <n v="10"/>
    <m/>
    <m/>
    <n v="0"/>
    <n v="3"/>
    <n v="0"/>
    <n v="0"/>
    <n v="0"/>
    <n v="0"/>
    <n v="0"/>
    <s v="Unilateral"/>
    <s v="Braço"/>
    <n v="47.5"/>
    <n v="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599999999999993"/>
    <n v="5.555555555555558E-2"/>
    <s v="-"/>
    <n v="8.82"/>
    <n v="0.19"/>
    <m/>
    <m/>
    <m/>
    <m/>
    <s v="ATENDE"/>
    <s v="ATENDE"/>
    <s v="ATENDE"/>
    <s v="ATENDE"/>
    <s v="C5"/>
    <s v="P6"/>
    <n v="0.83333333333333326"/>
    <n v="5.5"/>
    <n v="2.87"/>
    <n v="3"/>
    <n v="0.6"/>
    <s v="ATENDE"/>
    <s v="ATENDE"/>
    <s v="ATENDE"/>
    <s v="P6"/>
    <n v="0.52666666666666662"/>
    <n v="4.58"/>
    <n v="0.62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s v="Longo II"/>
    <n v="3.5"/>
    <n v="8.5"/>
    <m/>
    <m/>
    <m/>
    <m/>
    <m/>
    <m/>
    <n v="50"/>
    <n v="100"/>
    <n v="150"/>
    <n v="0.5"/>
    <m/>
    <m/>
    <s v="Sim"/>
    <m/>
  </r>
  <r>
    <n v="88"/>
    <s v="PVP"/>
    <s v="Rua A, 1988"/>
    <n v="-30.031459000000002"/>
    <n v="-50.166505000000001"/>
    <s v="C5"/>
    <x v="0"/>
    <s v="P6"/>
    <s v="Vapor de sódio"/>
    <n v="100"/>
    <n v="17"/>
    <n v="0"/>
    <n v="200"/>
    <n v="2"/>
    <n v="3"/>
    <n v="10"/>
    <m/>
    <m/>
    <n v="0"/>
    <n v="3"/>
    <n v="0"/>
    <n v="0"/>
    <n v="0"/>
    <n v="0"/>
    <n v="0"/>
    <s v="Unilateral"/>
    <s v="Braço"/>
    <n v="47.5"/>
    <n v="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4000000000000075E-2"/>
    <n v="0.16666666666666674"/>
    <s v="-"/>
    <n v="8.1300000000000008"/>
    <n v="0.21"/>
    <m/>
    <m/>
    <m/>
    <m/>
    <s v="ATENDE"/>
    <s v="ATENDE"/>
    <s v="ATENDE"/>
    <s v="ATENDE"/>
    <s v="C5"/>
    <s v="P6"/>
    <n v="0.10333333333333328"/>
    <n v="3.31"/>
    <n v="0.87"/>
    <n v="3"/>
    <n v="0.6"/>
    <s v="ATENDE"/>
    <s v="ATENDE"/>
    <s v="ATENDE"/>
    <s v="P6"/>
    <n v="0.4800000000000002"/>
    <n v="4.4400000000000004"/>
    <n v="1.1100000000000001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m/>
    <s v="Curto II"/>
    <s v="Longo II"/>
    <n v="3.5"/>
    <n v="8.5"/>
    <m/>
    <m/>
    <m/>
    <m/>
    <m/>
    <m/>
    <n v="50"/>
    <n v="100"/>
    <n v="150"/>
    <n v="0.5"/>
    <m/>
    <m/>
    <s v="Sim"/>
    <m/>
  </r>
  <r>
    <n v="89"/>
    <s v="PVP"/>
    <s v="Rua T, 1141"/>
    <n v="-30.032314"/>
    <n v="-50.166941999999999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3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400000000000007"/>
    <n v="2.5"/>
    <s v="-"/>
    <n v="9.93"/>
    <n v="0.63"/>
    <m/>
    <m/>
    <m/>
    <m/>
    <s v="ATENDE"/>
    <s v="ATENDE"/>
    <s v="ATENDE"/>
    <s v="ATENDE"/>
    <s v="C5"/>
    <s v="P6"/>
    <n v="1.06"/>
    <n v="6.18"/>
    <n v="4.3"/>
    <n v="3"/>
    <n v="0.6"/>
    <s v="ATENDE"/>
    <s v="ATENDE"/>
    <s v="ATENDE"/>
    <s v="P6"/>
    <n v="1.8366666666666664"/>
    <n v="8.51"/>
    <n v="5.45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89"/>
    <s v="PVP"/>
    <s v="Rua T, 1141"/>
    <n v="-30.032314"/>
    <n v="-50.166941999999999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3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80000000000001"/>
    <n v="3.2777777777777777"/>
    <s v="-"/>
    <n v="8.31"/>
    <n v="0.77"/>
    <m/>
    <m/>
    <m/>
    <m/>
    <s v="ATENDE"/>
    <s v="ATENDE"/>
    <s v="ATENDE"/>
    <s v="ATENDE"/>
    <s v="C5"/>
    <s v="P6"/>
    <n v="0.58000000000000007"/>
    <n v="4.74"/>
    <n v="3.07"/>
    <n v="3"/>
    <n v="0.6"/>
    <s v="ATENDE"/>
    <s v="ATENDE"/>
    <s v="ATENDE"/>
    <s v="P6"/>
    <n v="1.3199999999999998"/>
    <n v="6.96"/>
    <n v="4.87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89"/>
    <s v="PVP"/>
    <s v="Rua T, 1141"/>
    <n v="-30.032314"/>
    <n v="-50.166941999999999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3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2933333333333352"/>
    <n v="2.9444444444444442"/>
    <s v="-"/>
    <n v="12.22"/>
    <n v="0.71"/>
    <m/>
    <m/>
    <m/>
    <m/>
    <s v="ATENDE"/>
    <s v="ATENDE"/>
    <s v="ATENDE"/>
    <s v="ATENDE"/>
    <s v="C5"/>
    <s v="P6"/>
    <n v="1.04"/>
    <n v="6.12"/>
    <n v="4.24"/>
    <n v="3"/>
    <n v="0.6"/>
    <s v="ATENDE"/>
    <s v="ATENDE"/>
    <s v="ATENDE"/>
    <s v="P6"/>
    <n v="2.3366666666666664"/>
    <n v="10.01"/>
    <n v="7.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91"/>
    <s v="VP"/>
    <s v="Rua Q, 531"/>
    <n v="-30.033611000000001"/>
    <n v="-50.165363999999997"/>
    <s v="C4"/>
    <x v="0"/>
    <s v="P6"/>
    <s v="Vapor de sódio"/>
    <n v="100"/>
    <n v="17"/>
    <n v="0"/>
    <n v="200"/>
    <n v="2"/>
    <n v="0"/>
    <n v="8.5"/>
    <m/>
    <m/>
    <n v="0"/>
    <n v="3"/>
    <n v="0"/>
    <n v="0"/>
    <n v="0"/>
    <n v="0"/>
    <n v="0"/>
    <s v="Unilateral"/>
    <s v="Braço"/>
    <n v="35.799999999999997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99999999999991"/>
    <n v="0.88888888888888906"/>
    <s v="-"/>
    <n v="11.44"/>
    <n v="0.34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0333333333333328"/>
    <n v="4.8099999999999996"/>
    <n v="2.299999999999999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91"/>
    <s v="VP"/>
    <s v="Rua Q, 531"/>
    <n v="-30.033611000000001"/>
    <n v="-50.165363999999997"/>
    <s v="C4"/>
    <x v="0"/>
    <s v="P6"/>
    <s v="Vapor de sódio"/>
    <n v="100"/>
    <n v="17"/>
    <n v="0"/>
    <n v="200"/>
    <n v="2"/>
    <n v="0"/>
    <n v="8.5"/>
    <m/>
    <m/>
    <n v="0"/>
    <n v="3"/>
    <n v="0"/>
    <n v="0"/>
    <n v="0"/>
    <n v="0"/>
    <n v="0"/>
    <s v="Unilateral"/>
    <s v="Braço"/>
    <n v="35.799999999999997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600000000000009"/>
    <n v="1.3888888888888888"/>
    <s v="-"/>
    <n v="13.56"/>
    <n v="0.4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0666666666666669"/>
    <n v="4.82"/>
    <n v="2.5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91"/>
    <s v="VP"/>
    <s v="Rua Q, 531"/>
    <n v="-30.033611000000001"/>
    <n v="-50.165363999999997"/>
    <s v="C4"/>
    <x v="0"/>
    <s v="P6"/>
    <s v="Vapor de sódio"/>
    <n v="100"/>
    <n v="17"/>
    <n v="0"/>
    <n v="200"/>
    <n v="2"/>
    <n v="0"/>
    <n v="8.5"/>
    <m/>
    <m/>
    <n v="0"/>
    <n v="3"/>
    <n v="0"/>
    <n v="0"/>
    <n v="0"/>
    <n v="0"/>
    <n v="0"/>
    <s v="Unilateral"/>
    <s v="Braço"/>
    <n v="35.799999999999997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0.88888888888888906"/>
    <s v="-"/>
    <n v="10.01"/>
    <n v="0.34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35333333333333328"/>
    <n v="4.0599999999999996"/>
    <n v="2.6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n v="10"/>
    <s v="Curto II"/>
    <m/>
    <s v=""/>
    <s v=""/>
    <m/>
    <m/>
    <m/>
    <m/>
    <m/>
    <m/>
    <n v="40"/>
    <n v="100"/>
    <n v="140"/>
    <n v="0.6"/>
    <m/>
    <m/>
    <s v="Sim"/>
    <m/>
  </r>
  <r>
    <n v="90"/>
    <s v="PV"/>
    <s v="Estrada do Agual, 539"/>
    <n v="-30.032422"/>
    <n v="-50.167748000000003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0"/>
    <n v="7.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466666666666675"/>
    <n v="0.7777777777777779"/>
    <s v="-"/>
    <n v="8.81"/>
    <n v="0.32"/>
    <m/>
    <m/>
    <m/>
    <m/>
    <s v="ATENDE"/>
    <s v="ATENDE"/>
    <s v="ATENDE"/>
    <s v="ATENDE"/>
    <s v="C5"/>
    <s v="P6"/>
    <n v="1.3766666666666665"/>
    <n v="7.13"/>
    <n v="2.2000000000000002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90"/>
    <s v="PV"/>
    <s v="Estrada do Agual, 539"/>
    <n v="-30.032422"/>
    <n v="-50.167748000000003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0"/>
    <n v="7.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733333333333351"/>
    <n v="1.1111111111111112"/>
    <s v="-"/>
    <n v="8.3800000000000008"/>
    <n v="0.38"/>
    <m/>
    <m/>
    <m/>
    <m/>
    <s v="ATENDE"/>
    <s v="ATENDE"/>
    <s v="ATENDE"/>
    <s v="ATENDE"/>
    <s v="C5"/>
    <s v="P6"/>
    <n v="1.3133333333333335"/>
    <n v="6.94"/>
    <n v="1.84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90"/>
    <s v="PV"/>
    <s v="Estrada do Agual, 539"/>
    <n v="-30.032422"/>
    <n v="-50.167748000000003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0"/>
    <n v="7.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93333333333332"/>
    <n v="0.5555555555555558"/>
    <s v="-"/>
    <n v="9.52"/>
    <n v="0.28000000000000003"/>
    <m/>
    <m/>
    <m/>
    <m/>
    <s v="ATENDE"/>
    <s v="ATENDE"/>
    <s v="ATENDE"/>
    <s v="ATENDE"/>
    <s v="C5"/>
    <s v="P6"/>
    <n v="1.4466666666666668"/>
    <n v="7.34"/>
    <n v="1.86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92"/>
    <s v="PVP"/>
    <s v="Rua Roraima, 1251"/>
    <n v="-30.034994000000001"/>
    <n v="-50.16130700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1.5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399999999999989"/>
    <n v="0.72222222222222232"/>
    <s v="-"/>
    <n v="8.43"/>
    <n v="0.31"/>
    <m/>
    <m/>
    <m/>
    <m/>
    <s v="ATENDE"/>
    <s v="ATENDE"/>
    <s v="ATENDE"/>
    <s v="ATENDE"/>
    <s v="C5"/>
    <s v="P6"/>
    <n v="0.7699999999999998"/>
    <n v="5.31"/>
    <n v="2.12"/>
    <n v="3"/>
    <n v="0.6"/>
    <s v="ATENDE"/>
    <s v="ATENDE"/>
    <s v="ATENDE"/>
    <s v="P6"/>
    <n v="1.4233333333333333"/>
    <n v="7.27"/>
    <n v="2.0099999999999998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92"/>
    <s v="PVP"/>
    <s v="Rua Roraima, 1251"/>
    <n v="-30.034994000000001"/>
    <n v="-50.16130700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1.5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9333333333333247E-2"/>
    <n v="0.94444444444444442"/>
    <s v="-"/>
    <n v="8.02"/>
    <n v="0.35"/>
    <m/>
    <m/>
    <m/>
    <m/>
    <s v="ATENDE"/>
    <s v="ATENDE"/>
    <s v="ATENDE"/>
    <s v="ATENDE"/>
    <s v="C5"/>
    <s v="P6"/>
    <n v="0.53666666666666685"/>
    <n v="4.6100000000000003"/>
    <n v="2.2200000000000002"/>
    <n v="3"/>
    <n v="0.6"/>
    <s v="ATENDE"/>
    <s v="ATENDE"/>
    <s v="ATENDE"/>
    <s v="P6"/>
    <n v="1.3133333333333335"/>
    <n v="6.94"/>
    <n v="1.59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92"/>
    <s v="PVP"/>
    <s v="Rua Roraima, 1251"/>
    <n v="-30.034994000000001"/>
    <n v="-50.16130700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1.5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199999999999997"/>
    <n v="0.2777777777777779"/>
    <s v="-"/>
    <n v="9.09"/>
    <n v="0.23"/>
    <m/>
    <m/>
    <m/>
    <m/>
    <s v="ATENDE"/>
    <s v="ATENDE"/>
    <s v="ATENDE"/>
    <s v="ATENDE"/>
    <s v="C5"/>
    <s v="P6"/>
    <n v="0.32000000000000006"/>
    <n v="3.96"/>
    <n v="1.22"/>
    <n v="3"/>
    <n v="0.6"/>
    <s v="ATENDE"/>
    <s v="ATENDE"/>
    <s v="ATENDE"/>
    <s v="P6"/>
    <n v="1.46"/>
    <n v="7.38"/>
    <n v="1.5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94"/>
    <s v="VP"/>
    <s v="Avenida Minas Gerais, 2018"/>
    <n v="-30.043346"/>
    <n v="-50.158329999999999"/>
    <s v="C1"/>
    <x v="0"/>
    <s v="P6"/>
    <s v="Vapor de sódio"/>
    <n v="250"/>
    <n v="30"/>
    <n v="0"/>
    <n v="2000"/>
    <n v="2"/>
    <n v="0"/>
    <n v="7"/>
    <m/>
    <m/>
    <n v="0"/>
    <n v="3"/>
    <n v="5.8"/>
    <n v="0"/>
    <n v="0"/>
    <n v="0"/>
    <n v="0"/>
    <s v="Canteiro central"/>
    <s v="Braço"/>
    <n v="45.5"/>
    <n v="10"/>
    <n v="4"/>
    <n v="2.9"/>
    <n v="0.5"/>
    <n v="-2.4"/>
    <s v="-"/>
    <s v="-"/>
    <s v="Não"/>
    <n v="8"/>
    <n v="0"/>
    <n v="0"/>
    <n v="0"/>
    <n v="0"/>
    <n v="0"/>
    <s v="-"/>
    <n v="0"/>
    <m/>
    <n v="30"/>
    <n v="0.38"/>
    <s v="-"/>
    <n v="0.38"/>
    <s v="-"/>
    <n v="14"/>
    <s v="ATENDE"/>
    <n v="4.6666666666665968E-3"/>
    <n v="2.6315789473684292E-2"/>
    <s v="-"/>
    <n v="30.14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n v="18.78"/>
    <n v="9.2100000000000009"/>
    <s v="-"/>
    <s v="-"/>
    <s v="-"/>
    <s v="-"/>
    <s v="-"/>
    <x v="0"/>
    <s v=" SL VT 9.1 65W"/>
    <s v="LUM LED SL VT 9.1 65W"/>
    <m/>
    <e v="#N/A"/>
    <n v="4"/>
    <n v="65"/>
    <e v="#N/A"/>
    <n v="10496"/>
    <n v="0"/>
    <n v="0"/>
    <n v="8"/>
    <s v="Curto I"/>
    <m/>
    <s v=""/>
    <s v=""/>
    <m/>
    <m/>
    <m/>
    <m/>
    <m/>
    <m/>
    <n v="65"/>
    <n v="250"/>
    <n v="1260"/>
    <n v="0.74"/>
    <m/>
    <m/>
    <s v="Sim"/>
    <m/>
  </r>
  <r>
    <n v="94"/>
    <s v="VP"/>
    <s v="Avenida Minas Gerais, 2018"/>
    <n v="-30.043346"/>
    <n v="-50.158329999999999"/>
    <s v="C1"/>
    <x v="0"/>
    <s v="P6"/>
    <s v="Vapor de sódio"/>
    <n v="250"/>
    <n v="30"/>
    <n v="0"/>
    <n v="2000"/>
    <n v="2"/>
    <n v="0"/>
    <n v="7"/>
    <m/>
    <m/>
    <n v="0"/>
    <n v="3"/>
    <n v="5.8"/>
    <n v="0"/>
    <n v="0"/>
    <n v="0"/>
    <n v="0"/>
    <s v="Canteiro central"/>
    <s v="Braço"/>
    <n v="45.5"/>
    <n v="10"/>
    <n v="4"/>
    <n v="2.9"/>
    <n v="0.5"/>
    <n v="-2.4"/>
    <s v="-"/>
    <s v="-"/>
    <s v="Não"/>
    <n v="8"/>
    <n v="0"/>
    <n v="0"/>
    <n v="0"/>
    <n v="0"/>
    <n v="0"/>
    <s v="-"/>
    <n v="0"/>
    <m/>
    <n v="30"/>
    <n v="0.38"/>
    <s v="-"/>
    <n v="0.38"/>
    <s v="-"/>
    <n v="14"/>
    <s v="ATENDE"/>
    <n v="0.19666666666666655"/>
    <n v="0.13157894736842102"/>
    <s v="-"/>
    <n v="35.9"/>
    <n v="0.43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n v="22.59"/>
    <n v="11.94"/>
    <s v="-"/>
    <s v="-"/>
    <s v="-"/>
    <s v="-"/>
    <s v="-"/>
    <x v="1"/>
    <s v="SX-INLPP070HF"/>
    <s v="SXINLPP070K40L12CZF7PHF"/>
    <m/>
    <e v="#N/A"/>
    <n v="4"/>
    <n v="70"/>
    <e v="#N/A"/>
    <n v="11970"/>
    <n v="0"/>
    <n v="0"/>
    <n v="10"/>
    <s v="Curto I"/>
    <m/>
    <s v=""/>
    <s v=""/>
    <m/>
    <m/>
    <m/>
    <m/>
    <m/>
    <m/>
    <n v="70"/>
    <n v="250"/>
    <n v="1280"/>
    <n v="0.72"/>
    <m/>
    <m/>
    <s v="Sim"/>
    <m/>
  </r>
  <r>
    <n v="94"/>
    <s v="VP"/>
    <s v="Avenida Minas Gerais, 2018"/>
    <n v="-30.043346"/>
    <n v="-50.158329999999999"/>
    <s v="C1"/>
    <x v="0"/>
    <s v="P6"/>
    <s v="Vapor de sódio"/>
    <n v="250"/>
    <n v="30"/>
    <n v="0"/>
    <n v="2000"/>
    <n v="2"/>
    <n v="0"/>
    <n v="7"/>
    <m/>
    <m/>
    <n v="0"/>
    <n v="3"/>
    <n v="5.8"/>
    <n v="0"/>
    <n v="0"/>
    <n v="0"/>
    <n v="0"/>
    <s v="Canteiro central"/>
    <s v="Braço"/>
    <n v="45.5"/>
    <n v="10"/>
    <n v="4"/>
    <n v="2.9"/>
    <n v="0.5"/>
    <n v="-2.4"/>
    <s v="-"/>
    <s v="-"/>
    <s v="Não"/>
    <n v="8"/>
    <n v="0"/>
    <n v="0"/>
    <n v="0"/>
    <n v="0"/>
    <n v="0"/>
    <s v="-"/>
    <n v="0"/>
    <m/>
    <n v="30"/>
    <n v="0.38"/>
    <s v="-"/>
    <n v="0.38"/>
    <s v="-"/>
    <n v="14"/>
    <s v="ATENDE"/>
    <n v="8.7666666666666782E-2"/>
    <n v="0.26315789473684204"/>
    <s v="-"/>
    <n v="32.630000000000003"/>
    <n v="0.48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n v="18.53"/>
    <n v="9.6300000000000008"/>
    <s v="-"/>
    <s v="-"/>
    <s v="-"/>
    <s v="-"/>
    <s v="-"/>
    <x v="2"/>
    <s v="SIGSAGPTLRRSSNDL_68W_83IBBRS_x000a_"/>
    <s v="SIGSAGPTLRRSSNDL_68W_83IBBRS_x000a_1-10C1MUN6.5"/>
    <m/>
    <e v="#N/A"/>
    <n v="4"/>
    <n v="68"/>
    <n v="0"/>
    <n v="10884"/>
    <n v="0"/>
    <n v="0"/>
    <n v="10"/>
    <s v="Curto I"/>
    <m/>
    <s v=""/>
    <s v=""/>
    <m/>
    <m/>
    <m/>
    <m/>
    <m/>
    <m/>
    <n v="68"/>
    <n v="250"/>
    <n v="1272"/>
    <n v="0.72799999999999998"/>
    <m/>
    <m/>
    <s v="Sim"/>
    <m/>
  </r>
  <r>
    <n v="95"/>
    <s v="PVP"/>
    <s v="Rua Guanabara, 740"/>
    <n v="-30.043066"/>
    <n v="-50.157634000000002"/>
    <s v="C4"/>
    <x v="0"/>
    <s v="P6"/>
    <s v="Vapor de sódio"/>
    <n v="100"/>
    <n v="17"/>
    <n v="0"/>
    <n v="0"/>
    <n v="2"/>
    <n v="4"/>
    <n v="10"/>
    <m/>
    <m/>
    <n v="0"/>
    <n v="3"/>
    <n v="0"/>
    <n v="0"/>
    <n v="0"/>
    <n v="0"/>
    <n v="0"/>
    <s v="Unilateral"/>
    <s v="Braço"/>
    <n v="34.6"/>
    <n v="7"/>
    <n v="0"/>
    <n v="0.3"/>
    <n v="1.3"/>
    <n v="1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6.0999999999999943E-2"/>
    <n v="1.166666666666667"/>
    <s v="-"/>
    <n v="10.61"/>
    <n v="0.39"/>
    <m/>
    <m/>
    <m/>
    <m/>
    <s v="ATENDE"/>
    <s v="ATENDE"/>
    <s v="ATENDE"/>
    <s v="ATENDE"/>
    <s v="C4"/>
    <s v="P6"/>
    <n v="0.59666666666666668"/>
    <n v="4.79"/>
    <n v="2.86"/>
    <n v="3"/>
    <n v="0.6"/>
    <s v="ATENDE"/>
    <s v="ATENDE"/>
    <s v="ATENDE"/>
    <s v="P6"/>
    <n v="1.4033333333333333"/>
    <n v="7.21"/>
    <n v="1.89"/>
    <n v="3"/>
    <n v="0.6"/>
    <s v="ATENDE"/>
    <s v="ATENDE"/>
    <s v="ATENDE"/>
    <x v="0"/>
    <s v=" SL VT 9.1 52W"/>
    <s v="LUM LED SL VT 9.1 52W"/>
    <m/>
    <e v="#N/A"/>
    <n v="0"/>
    <n v="52"/>
    <n v="0"/>
    <n v="8960.18"/>
    <n v="0"/>
    <n v="0"/>
    <m/>
    <s v="Curto II"/>
    <m/>
    <s v=""/>
    <s v=""/>
    <m/>
    <m/>
    <m/>
    <m/>
    <m/>
    <m/>
    <n v="52"/>
    <n v="100"/>
    <n v="0"/>
    <n v="0.48"/>
    <m/>
    <m/>
    <s v="Sim"/>
    <m/>
  </r>
  <r>
    <n v="95"/>
    <s v="PVP"/>
    <s v="Rua Guanabara, 740"/>
    <n v="-30.043066"/>
    <n v="-50.157634000000002"/>
    <s v="C4"/>
    <x v="0"/>
    <s v="P6"/>
    <s v="Vapor de sódio"/>
    <n v="100"/>
    <n v="17"/>
    <n v="0"/>
    <n v="0"/>
    <n v="2"/>
    <n v="4"/>
    <n v="10"/>
    <m/>
    <m/>
    <n v="0"/>
    <n v="3"/>
    <n v="0"/>
    <n v="0"/>
    <n v="0"/>
    <n v="0"/>
    <n v="0"/>
    <s v="Unilateral"/>
    <s v="Braço"/>
    <n v="34.6"/>
    <n v="7"/>
    <n v="0"/>
    <n v="0.3"/>
    <n v="1.3"/>
    <n v="1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0.25500000000000012"/>
    <n v="1.3333333333333335"/>
    <s v="-"/>
    <n v="12.55"/>
    <n v="0.42"/>
    <m/>
    <m/>
    <m/>
    <m/>
    <s v="ATENDE"/>
    <s v="ATENDE"/>
    <s v="ATENDE"/>
    <s v="ATENDE"/>
    <s v="C4"/>
    <s v="P6"/>
    <n v="0.82000000000000006"/>
    <n v="5.46"/>
    <n v="3.88"/>
    <n v="3"/>
    <n v="0.6"/>
    <s v="ATENDE"/>
    <s v="ATENDE"/>
    <s v="ATENDE"/>
    <s v="P6"/>
    <n v="1.3766666666666665"/>
    <n v="7.13"/>
    <n v="0.73"/>
    <n v="3"/>
    <n v="0.6"/>
    <s v="ATENDE"/>
    <s v="ATENDE"/>
    <s v="ATENDE"/>
    <x v="1"/>
    <s v="SX-INEVO050HF"/>
    <s v="SXINEVO050K40L12CZF7PHF"/>
    <m/>
    <e v="#N/A"/>
    <n v="0"/>
    <n v="50"/>
    <n v="0"/>
    <n v="8650"/>
    <n v="0"/>
    <n v="0"/>
    <m/>
    <s v="Curto II"/>
    <m/>
    <s v=""/>
    <s v=""/>
    <m/>
    <m/>
    <m/>
    <m/>
    <m/>
    <m/>
    <n v="50"/>
    <n v="100"/>
    <n v="0"/>
    <n v="0.5"/>
    <m/>
    <m/>
    <s v="Sim"/>
    <m/>
  </r>
  <r>
    <n v="95"/>
    <s v="PVP"/>
    <s v="Rua Guanabara, 740"/>
    <n v="-30.043066"/>
    <n v="-50.157634000000002"/>
    <s v="C4"/>
    <x v="0"/>
    <s v="P6"/>
    <s v="Vapor de sódio"/>
    <n v="100"/>
    <n v="17"/>
    <n v="0"/>
    <n v="0"/>
    <n v="2"/>
    <n v="4"/>
    <n v="10"/>
    <m/>
    <m/>
    <n v="0"/>
    <n v="3"/>
    <n v="0"/>
    <n v="0"/>
    <n v="0"/>
    <n v="0"/>
    <n v="0"/>
    <s v="Unilateral"/>
    <s v="Braço"/>
    <n v="34.6"/>
    <n v="7"/>
    <n v="0"/>
    <n v="0.3"/>
    <n v="1.3"/>
    <n v="1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0.14000000000000012"/>
    <n v="1.2222222222222223"/>
    <s v="-"/>
    <n v="11.4"/>
    <n v="0.4"/>
    <m/>
    <m/>
    <m/>
    <m/>
    <s v="ATENDE"/>
    <s v="ATENDE"/>
    <s v="ATENDE"/>
    <s v="ATENDE"/>
    <s v="C4"/>
    <s v="P6"/>
    <n v="5.3333333333333455E-2"/>
    <n v="3.16"/>
    <n v="2.02"/>
    <n v="3"/>
    <n v="0.6"/>
    <s v="ATENDE"/>
    <s v="ATENDE"/>
    <s v="ATENDE"/>
    <s v="P6"/>
    <n v="1.3766666666666665"/>
    <n v="7.13"/>
    <n v="1.48"/>
    <n v="3"/>
    <n v="0.6"/>
    <s v="ATENDE"/>
    <s v="ATENDE"/>
    <s v="ATENDE"/>
    <x v="2"/>
    <s v="SIGSAGPTLRRSSNDL_50W_61IBBRS_x000a_"/>
    <s v="SIGSAGPTLRRSSNDL_50W_61IBBRS_x000a_1-10C1MUN6.5"/>
    <m/>
    <n v="0"/>
    <n v="0"/>
    <n v="50"/>
    <n v="0"/>
    <n v="8163"/>
    <n v="0"/>
    <n v="0"/>
    <m/>
    <s v="Curto II"/>
    <m/>
    <s v=""/>
    <s v=""/>
    <m/>
    <m/>
    <m/>
    <m/>
    <m/>
    <m/>
    <n v="50"/>
    <n v="100"/>
    <n v="0"/>
    <n v="0.5"/>
    <m/>
    <m/>
    <s v="Sim"/>
    <m/>
  </r>
  <r>
    <n v="96"/>
    <s v="V"/>
    <s v="Avenida Minas Gerais, 1405"/>
    <n v="-30.038125999999998"/>
    <n v="-50.155844999999999"/>
    <s v="C1"/>
    <x v="0"/>
    <n v="0"/>
    <s v="Vapor de sódio"/>
    <n v="150"/>
    <n v="22"/>
    <n v="0"/>
    <n v="300"/>
    <n v="2"/>
    <n v="0"/>
    <n v="7"/>
    <m/>
    <m/>
    <n v="0"/>
    <n v="0"/>
    <n v="5.8"/>
    <n v="0"/>
    <n v="0"/>
    <n v="0"/>
    <n v="0"/>
    <s v="Unilateral"/>
    <s v="Braço"/>
    <n v="30.3"/>
    <n v="6.7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N/A"/>
    <n v="0.11933333333333329"/>
    <n v="2.6315789473684292E-2"/>
    <s v="-"/>
    <n v="34.35"/>
    <n v="0.39"/>
    <m/>
    <m/>
    <m/>
    <m/>
    <s v="ATENDE"/>
    <s v="ATENDE"/>
    <s v="ATENDE"/>
    <s v="ATENDE"/>
    <s v="C1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35W"/>
    <s v="LUM LED SL VT 9.1 35W"/>
    <m/>
    <n v="0"/>
    <n v="1"/>
    <n v="35"/>
    <n v="0"/>
    <n v="5955.62"/>
    <n v="0"/>
    <n v="0"/>
    <m/>
    <s v="Curto II"/>
    <m/>
    <m/>
    <m/>
    <m/>
    <m/>
    <m/>
    <m/>
    <m/>
    <m/>
    <n v="35"/>
    <n v="150"/>
    <n v="185"/>
    <n v="0.76666666666666661"/>
    <m/>
    <m/>
    <s v="Sim"/>
    <m/>
  </r>
  <r>
    <n v="96"/>
    <s v="V"/>
    <s v="Avenida Minas Gerais, 1405"/>
    <n v="-30.038125999999998"/>
    <n v="-50.155844999999999"/>
    <s v="C1"/>
    <x v="0"/>
    <n v="0"/>
    <s v="Vapor de sódio"/>
    <n v="150"/>
    <n v="22"/>
    <n v="0"/>
    <n v="300"/>
    <n v="2"/>
    <n v="0"/>
    <n v="7"/>
    <m/>
    <m/>
    <n v="0"/>
    <n v="0"/>
    <n v="5.8"/>
    <n v="0"/>
    <n v="0"/>
    <n v="0"/>
    <n v="0"/>
    <s v="Unilateral"/>
    <s v="Braço"/>
    <n v="30.3"/>
    <n v="6.7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REF!"/>
    <e v="#REF!"/>
    <n v="0.34210526315789469"/>
    <s v="-"/>
    <n v="33.58"/>
    <n v="0.51"/>
    <m/>
    <m/>
    <m/>
    <m/>
    <e v="#REF!"/>
    <e v="#REF!"/>
    <s v="ATENDE"/>
    <s v="ATENDE"/>
    <s v="C1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m/>
    <n v="0"/>
    <n v="1"/>
    <n v="31"/>
    <n v="0"/>
    <n v="5270"/>
    <n v="0"/>
    <n v="0"/>
    <m/>
    <s v="Curto II"/>
    <m/>
    <m/>
    <m/>
    <m/>
    <m/>
    <m/>
    <m/>
    <m/>
    <m/>
    <n v="31"/>
    <n v="150"/>
    <n v="181"/>
    <n v="0.79333333333333333"/>
    <m/>
    <m/>
    <s v="Sim"/>
    <m/>
  </r>
  <r>
    <n v="96"/>
    <s v="V"/>
    <s v="Avenida Minas Gerais, 1405"/>
    <n v="-30.038125999999998"/>
    <n v="-50.155844999999999"/>
    <s v="C1"/>
    <x v="0"/>
    <n v="0"/>
    <s v="Vapor de sódio"/>
    <n v="150"/>
    <n v="22"/>
    <n v="0"/>
    <n v="300"/>
    <n v="2"/>
    <n v="0"/>
    <n v="7"/>
    <m/>
    <m/>
    <n v="0"/>
    <n v="0"/>
    <n v="5.8"/>
    <n v="0"/>
    <n v="0"/>
    <n v="0"/>
    <n v="0"/>
    <s v="Unilateral"/>
    <s v="Braço"/>
    <n v="30.3"/>
    <n v="6.7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N/A"/>
    <n v="5.2000000000000046E-2"/>
    <n v="0.21052631578947367"/>
    <s v="-"/>
    <n v="31.56"/>
    <n v="0.46"/>
    <m/>
    <m/>
    <m/>
    <m/>
    <s v="ATENDE"/>
    <s v="ATENDE"/>
    <s v="ATENDE"/>
    <s v="ATENDE"/>
    <s v="C1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m/>
    <m/>
    <m/>
    <m/>
    <m/>
    <m/>
    <m/>
    <m/>
    <n v="30"/>
    <n v="150"/>
    <n v="180"/>
    <n v="0.8"/>
    <m/>
    <m/>
    <s v="Sim"/>
    <m/>
  </r>
  <r>
    <n v="93"/>
    <s v="VP"/>
    <s v="Avenida Florianopolis, 1124"/>
    <n v="-30.039655"/>
    <n v="-50.159373000000002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4.200000000000003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4000000000000012"/>
    <n v="-3.5714285714285698E-2"/>
    <s v="-"/>
    <n v="22.8"/>
    <n v="0.27"/>
    <m/>
    <m/>
    <m/>
    <m/>
    <s v="ATENDE"/>
    <s v="ATENDE"/>
    <s v="ATENDIMENTO LIMIAR"/>
    <s v="ATENDE"/>
    <s v="C2"/>
    <s v="P6"/>
    <e v="#VALUE!"/>
    <s v=" -"/>
    <s v=" -"/>
    <n v="3"/>
    <n v="0.6"/>
    <s v="ATENDE"/>
    <s v="ATENDE"/>
    <s v="ATENDE"/>
    <s v="P6"/>
    <n v="2.2966666666666669"/>
    <n v="9.89"/>
    <n v="3.18"/>
    <n v="3"/>
    <n v="0.6"/>
    <s v="ATENDE"/>
    <s v="ATENDE"/>
    <s v="ATENDE"/>
    <x v="0"/>
    <s v=" SL VT 9.1 65W"/>
    <s v="LUM LED SL VT 9.1 65W"/>
    <m/>
    <e v="#N/A"/>
    <n v="2"/>
    <n v="65"/>
    <n v="0"/>
    <n v="10496"/>
    <n v="0"/>
    <n v="0"/>
    <m/>
    <s v="Curto II"/>
    <m/>
    <s v=""/>
    <s v=""/>
    <m/>
    <m/>
    <m/>
    <m/>
    <m/>
    <m/>
    <n v="65"/>
    <n v="150"/>
    <n v="430"/>
    <n v="0.56666666666666665"/>
    <m/>
    <m/>
    <s v="Sim"/>
    <m/>
  </r>
  <r>
    <n v="93"/>
    <s v="VP"/>
    <s v="Avenida Florianopolis, 1124"/>
    <n v="-30.039655"/>
    <n v="-50.159373000000002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4.200000000000003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9000000000000146E-2"/>
    <n v="0.39285714285714279"/>
    <s v="-"/>
    <n v="20.78"/>
    <n v="0.3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6566666666666667"/>
    <n v="7.97"/>
    <n v="4.29"/>
    <n v="3"/>
    <n v="0.6"/>
    <s v="ATENDE"/>
    <s v="ATENDE"/>
    <s v="ATENDE"/>
    <x v="1"/>
    <s v="SX-INEVO060HF"/>
    <s v="SXINEVO060K40L12CZF7PHF"/>
    <m/>
    <e v="#N/A"/>
    <n v="2"/>
    <n v="60"/>
    <n v="0"/>
    <n v="9600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93"/>
    <s v="VP"/>
    <s v="Avenida Florianopolis, 1124"/>
    <n v="-30.039655"/>
    <n v="-50.159373000000002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4.200000000000003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8.4000000000000075E-2"/>
    <n v="0.21428571428571419"/>
    <s v="-"/>
    <n v="21.68"/>
    <n v="0.34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33"/>
    <n v="6.99"/>
    <n v="3.24"/>
    <n v="3"/>
    <n v="0.6"/>
    <s v="ATENDE"/>
    <s v="ATENDE"/>
    <s v="ATENDE"/>
    <x v="2"/>
    <s v="SIGSAGPTLRRSSNDL_60W_73IBBRS_x000a_"/>
    <s v="SIGSAGPTLRRSSNDL_60W_73IBBRS_x000a_1-10C1MUN6.5"/>
    <m/>
    <e v="#N/A"/>
    <n v="2"/>
    <n v="60"/>
    <n v="0"/>
    <n v="9453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97"/>
    <s v="PVP"/>
    <s v="Rua Amazonas, 915"/>
    <n v="-30.035375999999999"/>
    <n v="-50.148716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1111111111111112"/>
    <s v="-"/>
    <n v="9.0500000000000007"/>
    <n v="0.38"/>
    <m/>
    <m/>
    <m/>
    <m/>
    <s v="ATENDE"/>
    <s v="ATENDE"/>
    <s v="ATENDE"/>
    <s v="ATENDE"/>
    <s v="C5"/>
    <s v="P6"/>
    <n v="0.7433333333333334"/>
    <n v="5.23"/>
    <n v="0.6"/>
    <n v="3"/>
    <n v="0.6"/>
    <s v="ATENDE"/>
    <s v="ATENDE"/>
    <s v="ATENDE"/>
    <s v="P6"/>
    <n v="1.4"/>
    <n v="7.2"/>
    <n v="2.3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97"/>
    <s v="PVP"/>
    <s v="Rua Amazonas, 915"/>
    <n v="-30.035375999999999"/>
    <n v="-50.148716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400000000000015"/>
    <n v="1.166666666666667"/>
    <s v="-"/>
    <n v="8.73"/>
    <n v="0.39"/>
    <m/>
    <m/>
    <m/>
    <m/>
    <s v="ATENDE"/>
    <s v="ATENDE"/>
    <s v="ATENDE"/>
    <s v="ATENDE"/>
    <s v="C5"/>
    <s v="P6"/>
    <n v="0.44000000000000017"/>
    <n v="4.32"/>
    <n v="2.06"/>
    <n v="3"/>
    <n v="0.6"/>
    <s v="ATENDE"/>
    <s v="ATENDE"/>
    <s v="ATENDE"/>
    <s v="P6"/>
    <n v="1.1966666666666668"/>
    <n v="6.59"/>
    <n v="1.45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m/>
    <m/>
    <m/>
    <m/>
    <m/>
    <m/>
    <m/>
    <m/>
    <n v="31"/>
    <n v="100"/>
    <n v="131"/>
    <n v="0.69"/>
    <m/>
    <m/>
    <s v="Sim"/>
    <m/>
  </r>
  <r>
    <n v="97"/>
    <s v="PVP"/>
    <s v="Rua Amazonas, 915"/>
    <n v="-30.035375999999999"/>
    <n v="-50.14871699999999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666666666666672"/>
    <n v="1.6666666666666665"/>
    <s v="-"/>
    <n v="8.6"/>
    <n v="0.48"/>
    <m/>
    <m/>
    <m/>
    <m/>
    <s v="ATENDE"/>
    <s v="ATENDE"/>
    <s v="ATENDE"/>
    <s v="ATENDE"/>
    <s v="C5"/>
    <s v="P6"/>
    <n v="0.33999999999999986"/>
    <n v="4.0199999999999996"/>
    <n v="2.62"/>
    <n v="3"/>
    <n v="0.6"/>
    <s v="ATENDE"/>
    <s v="ATENDE"/>
    <s v="ATENDE"/>
    <s v="P6"/>
    <n v="1.2133333333333334"/>
    <n v="6.64"/>
    <n v="2.7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98"/>
    <s v="PVP"/>
    <s v="Rua Guanabara, 1129"/>
    <n v="-30.04220312"/>
    <n v="-50.160747239999999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8.200000000000003"/>
    <n v="7"/>
    <n v="1"/>
    <n v="0.7"/>
    <n v="1.3"/>
    <n v="0.6000000000000000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0.66666666666666674"/>
    <s v="-"/>
    <n v="8.07"/>
    <n v="0.3"/>
    <m/>
    <m/>
    <m/>
    <m/>
    <s v="ATENDE"/>
    <s v="ATENDE"/>
    <s v="ATENDE"/>
    <s v="ATENDE"/>
    <s v="C5"/>
    <s v="P6"/>
    <n v="0.42999999999999994"/>
    <n v="4.29"/>
    <n v="1.48"/>
    <n v="3"/>
    <n v="0.6"/>
    <s v="ATENDE"/>
    <s v="ATENDE"/>
    <s v="ATENDE"/>
    <s v="P6"/>
    <n v="1.3333333333333335"/>
    <n v="7"/>
    <n v="1.65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98"/>
    <s v="PVP"/>
    <s v="Rua Guanabara, 1129"/>
    <n v="-30.04220312"/>
    <n v="-50.160747239999999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8.200000000000003"/>
    <n v="7"/>
    <n v="1"/>
    <n v="0.7"/>
    <n v="1.3"/>
    <n v="0.6000000000000000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6000000000000032E-2"/>
    <n v="0.44444444444444464"/>
    <s v="-"/>
    <n v="7.77"/>
    <n v="0.26"/>
    <m/>
    <m/>
    <m/>
    <m/>
    <s v="ATENDE"/>
    <s v="ATENDE"/>
    <s v="ATENDE"/>
    <s v="ATENDE"/>
    <s v="C5"/>
    <s v="P6"/>
    <n v="0.13666666666666671"/>
    <n v="3.41"/>
    <n v="1.17"/>
    <n v="3"/>
    <n v="0.6"/>
    <s v="ATENDE"/>
    <s v="ATENDE"/>
    <s v="ATENDE"/>
    <s v="P6"/>
    <n v="1.1833333333333331"/>
    <n v="6.55"/>
    <n v="0.7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98"/>
    <s v="PVP"/>
    <s v="Rua Guanabara, 1129"/>
    <n v="-30.04220312"/>
    <n v="-50.160747239999999"/>
    <s v="C5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8.200000000000003"/>
    <n v="7"/>
    <n v="1"/>
    <n v="0.7"/>
    <n v="1.3"/>
    <n v="0.6000000000000000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333333333333423E-2"/>
    <n v="0.38888888888888884"/>
    <s v="-"/>
    <n v="7.63"/>
    <n v="0.25"/>
    <m/>
    <m/>
    <m/>
    <m/>
    <s v="ATENDE"/>
    <s v="ATENDE"/>
    <s v="ATENDE"/>
    <s v="ATENDE"/>
    <s v="C5"/>
    <s v="P6"/>
    <n v="8.0000000000000071E-2"/>
    <n v="3.24"/>
    <n v="1.71"/>
    <n v="3"/>
    <n v="0.6"/>
    <s v="ATENDE"/>
    <s v="ATENDE"/>
    <s v="ATENDE"/>
    <s v="P6"/>
    <n v="1.1800000000000002"/>
    <n v="6.54"/>
    <n v="1.8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99"/>
    <s v="PV"/>
    <s v="Rua Rio de Janeiro, 2005"/>
    <n v="-30.042016409999999"/>
    <n v="-50.161849500000002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1.5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066666666666671"/>
    <n v="0.66666666666666674"/>
    <s v="-"/>
    <n v="8.48"/>
    <n v="0.3"/>
    <m/>
    <m/>
    <m/>
    <m/>
    <s v="ATENDE"/>
    <s v="ATENDE"/>
    <s v="ATENDE"/>
    <s v="ATENDE"/>
    <s v="C5"/>
    <s v="P6"/>
    <n v="1.3666666666666667"/>
    <n v="7.1"/>
    <n v="1.98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99"/>
    <s v="PV"/>
    <s v="Rua Rio de Janeiro, 2005"/>
    <n v="-30.042016409999999"/>
    <n v="-50.161849500000002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1.5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0.88888888888888906"/>
    <s v="-"/>
    <n v="8.07"/>
    <n v="0.34"/>
    <m/>
    <m/>
    <m/>
    <m/>
    <s v="ATENDE"/>
    <s v="ATENDE"/>
    <s v="ATENDE"/>
    <s v="ATENDE"/>
    <s v="C5"/>
    <s v="P6"/>
    <n v="1.2533333333333334"/>
    <n v="6.76"/>
    <n v="1.5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99"/>
    <s v="PV"/>
    <s v="Rua Rio de Janeiro, 2005"/>
    <n v="-30.042016409999999"/>
    <n v="-50.161849500000002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1.5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133333333333338"/>
    <n v="0.22222222222222232"/>
    <s v="-"/>
    <n v="9.16"/>
    <n v="0.22"/>
    <m/>
    <m/>
    <m/>
    <m/>
    <s v="ATENDE"/>
    <s v="ATENDE"/>
    <s v="ATENDE"/>
    <s v="ATENDE"/>
    <s v="C5"/>
    <s v="P6"/>
    <n v="1.3833333333333333"/>
    <n v="7.15"/>
    <n v="1.48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00"/>
    <s v="PV"/>
    <s v="Rua Rio Grande do Norte, 2214"/>
    <n v="-30.043266719999998"/>
    <n v="-50.162909999999997"/>
    <s v="C5"/>
    <x v="0"/>
    <s v="P6"/>
    <s v="Vapor de sódio"/>
    <n v="100"/>
    <n v="17"/>
    <n v="0"/>
    <n v="200"/>
    <n v="2"/>
    <n v="2.7"/>
    <n v="7"/>
    <m/>
    <m/>
    <n v="0"/>
    <n v="0"/>
    <n v="0"/>
    <n v="0"/>
    <n v="0"/>
    <n v="0"/>
    <n v="0"/>
    <s v="Unilateral"/>
    <s v="Braço"/>
    <n v="36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8000000000000078E-2"/>
    <n v="1.2222222222222223"/>
    <s v="-"/>
    <n v="8.16"/>
    <n v="0.4"/>
    <m/>
    <m/>
    <m/>
    <m/>
    <s v="ATENDE"/>
    <s v="ATENDE"/>
    <s v="ATENDE"/>
    <s v="ATENDE"/>
    <s v="C5"/>
    <s v="P6"/>
    <n v="1.2433333333333336"/>
    <n v="6.73"/>
    <n v="2.2999999999999998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0"/>
    <s v="PV"/>
    <s v="Rua Rio Grande do Norte, 2214"/>
    <n v="-30.043266719999998"/>
    <n v="-50.162909999999997"/>
    <s v="C5"/>
    <x v="0"/>
    <s v="P6"/>
    <s v="Vapor de sódio"/>
    <n v="100"/>
    <n v="17"/>
    <n v="0"/>
    <n v="200"/>
    <n v="2"/>
    <n v="2.7"/>
    <n v="7"/>
    <m/>
    <m/>
    <n v="0"/>
    <n v="0"/>
    <n v="0"/>
    <n v="0"/>
    <n v="0"/>
    <n v="0"/>
    <n v="0"/>
    <s v="Unilateral"/>
    <s v="Braço"/>
    <n v="36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9333333333333451E-2"/>
    <n v="1.3888888888888888"/>
    <s v="-"/>
    <n v="7.87"/>
    <n v="0.43"/>
    <m/>
    <m/>
    <m/>
    <m/>
    <s v="ATENDE"/>
    <s v="ATENDE"/>
    <s v="ATENDE"/>
    <s v="ATENDE"/>
    <s v="C5"/>
    <s v="P6"/>
    <n v="1.0766666666666667"/>
    <n v="6.23"/>
    <n v="1.5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0"/>
    <s v="PV"/>
    <s v="Rua Rio Grande do Norte, 2214"/>
    <n v="-30.043266719999998"/>
    <n v="-50.162909999999997"/>
    <s v="C5"/>
    <x v="0"/>
    <s v="P6"/>
    <s v="Vapor de sódio"/>
    <n v="100"/>
    <n v="17"/>
    <n v="0"/>
    <n v="200"/>
    <n v="2"/>
    <n v="2.7"/>
    <n v="7"/>
    <m/>
    <m/>
    <n v="0"/>
    <n v="0"/>
    <n v="0"/>
    <n v="0"/>
    <n v="0"/>
    <n v="0"/>
    <n v="0"/>
    <s v="Unilateral"/>
    <s v="Braço"/>
    <n v="36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1.8333333333333335"/>
    <s v="-"/>
    <n v="7.79"/>
    <n v="0.51"/>
    <m/>
    <m/>
    <m/>
    <m/>
    <s v="ATENDE"/>
    <s v="ATENDE"/>
    <s v="ATENDE"/>
    <s v="ATENDE"/>
    <s v="C5"/>
    <s v="P6"/>
    <n v="1.0833333333333335"/>
    <n v="6.25"/>
    <n v="2.78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01"/>
    <s v="PVP"/>
    <s v="Rua Santa Catarina, 2193"/>
    <n v="-30.044413389999999"/>
    <n v="-50.1660916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4000000000000039E-2"/>
    <n v="0.94444444444444442"/>
    <s v="-"/>
    <n v="7.83"/>
    <n v="0.35"/>
    <m/>
    <m/>
    <m/>
    <m/>
    <s v="ATENDE"/>
    <s v="ATENDE"/>
    <s v="ATENDE"/>
    <s v="ATENDE"/>
    <s v="C5"/>
    <s v="P6"/>
    <n v="0.66000000000000014"/>
    <n v="4.9800000000000004"/>
    <n v="2.06"/>
    <n v="3"/>
    <n v="0.6"/>
    <s v="ATENDE"/>
    <s v="ATENDE"/>
    <s v="ATENDE"/>
    <s v="P6"/>
    <n v="1.1099999999999999"/>
    <n v="6.33"/>
    <n v="1.95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1"/>
    <s v="PVP"/>
    <s v="Rua Santa Catarina, 2193"/>
    <n v="-30.044413389999999"/>
    <n v="-50.1660916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0000000000000071E-3"/>
    <n v="0.88888888888888906"/>
    <s v="-"/>
    <n v="7.56"/>
    <n v="0.34"/>
    <m/>
    <m/>
    <m/>
    <m/>
    <s v="ATENDE"/>
    <s v="ATENDE"/>
    <s v="ATENDE"/>
    <s v="ATENDE"/>
    <s v="C5"/>
    <s v="P6"/>
    <n v="0.42666666666666675"/>
    <n v="4.28"/>
    <n v="1.97"/>
    <n v="3"/>
    <n v="0.6"/>
    <s v="ATENDE"/>
    <s v="ATENDE"/>
    <s v="ATENDE"/>
    <s v="P6"/>
    <n v="0.94666666666666655"/>
    <n v="5.84"/>
    <n v="1.139999999999999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1"/>
    <s v="PVP"/>
    <s v="Rua Santa Catarina, 2193"/>
    <n v="-30.044413389999999"/>
    <n v="-50.1660916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"/>
    <n v="1.3888888888888888"/>
    <s v="-"/>
    <n v="7.5"/>
    <n v="0.43"/>
    <m/>
    <m/>
    <m/>
    <m/>
    <s v="ATENDE"/>
    <s v="ATENDE"/>
    <s v="ATENDE"/>
    <s v="ATENDE"/>
    <s v="C5"/>
    <s v="P6"/>
    <n v="0.30333333333333345"/>
    <n v="3.91"/>
    <n v="2.4700000000000002"/>
    <n v="3"/>
    <n v="0.6"/>
    <s v="ATENDE"/>
    <s v="ATENDE"/>
    <s v="ATENDE"/>
    <s v="P6"/>
    <n v="0.95"/>
    <n v="5.85"/>
    <n v="2.2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02"/>
    <s v="PVP"/>
    <s v="Rua Para, 2185"/>
    <n v="-30.04479778"/>
    <n v="-50.1596075"/>
    <s v="C5"/>
    <x v="0"/>
    <s v="P6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8400000000000003"/>
    <n v="2.3888888888888888"/>
    <s v="-"/>
    <n v="9.6300000000000008"/>
    <n v="0.61"/>
    <m/>
    <m/>
    <m/>
    <m/>
    <s v="ATENDE"/>
    <s v="ATENDE"/>
    <s v="ATENDE"/>
    <s v="ATENDE"/>
    <s v="C5"/>
    <s v="P6"/>
    <n v="0.99666666666666681"/>
    <n v="5.99"/>
    <n v="4.09"/>
    <n v="3"/>
    <n v="0.6"/>
    <s v="ATENDE"/>
    <s v="ATENDE"/>
    <s v="ATENDE"/>
    <s v="P6"/>
    <n v="1.7533333333333334"/>
    <n v="8.26"/>
    <n v="5.16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m/>
    <s v="Curto II"/>
    <m/>
    <s v=""/>
    <s v=""/>
    <m/>
    <m/>
    <m/>
    <m/>
    <m/>
    <m/>
    <n v="28"/>
    <n v="250"/>
    <n v="556"/>
    <n v="0.88800000000000001"/>
    <m/>
    <m/>
    <s v="Sim"/>
    <m/>
  </r>
  <r>
    <n v="102"/>
    <s v="PVP"/>
    <s v="Rua Para, 2185"/>
    <n v="-30.04479778"/>
    <n v="-50.1596075"/>
    <s v="C5"/>
    <x v="0"/>
    <s v="P6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3.2222222222222223"/>
    <s v="-"/>
    <n v="8.07"/>
    <n v="0.76"/>
    <m/>
    <m/>
    <m/>
    <m/>
    <s v="ATENDE"/>
    <s v="ATENDE"/>
    <s v="ATENDE"/>
    <s v="ATENDE"/>
    <s v="C5"/>
    <s v="P6"/>
    <n v="0.53333333333333321"/>
    <n v="4.5999999999999996"/>
    <n v="2.96"/>
    <n v="3"/>
    <n v="0.6"/>
    <s v="ATENDE"/>
    <s v="ATENDE"/>
    <s v="ATENDE"/>
    <s v="P6"/>
    <n v="1.25"/>
    <n v="6.75"/>
    <n v="4.63"/>
    <n v="3"/>
    <n v="0.6"/>
    <s v="ATENDE"/>
    <s v="ATENDE"/>
    <s v="ATENDE"/>
    <x v="1"/>
    <s v="SX-INEVO020HF"/>
    <s v="SXINEVO020K40L12CZF7PHF"/>
    <m/>
    <e v="#N/A"/>
    <n v="2"/>
    <n v="22.5"/>
    <e v="#N/A"/>
    <n v="3825"/>
    <n v="0"/>
    <n v="0"/>
    <m/>
    <s v="Curto II"/>
    <m/>
    <s v=""/>
    <s v=""/>
    <m/>
    <m/>
    <m/>
    <m/>
    <m/>
    <m/>
    <n v="22.5"/>
    <n v="250"/>
    <n v="545"/>
    <n v="0.91"/>
    <m/>
    <m/>
    <s v="Sim"/>
    <m/>
  </r>
  <r>
    <n v="102"/>
    <s v="PVP"/>
    <s v="Rua Para, 2185"/>
    <n v="-30.04479778"/>
    <n v="-50.1596075"/>
    <s v="C5"/>
    <x v="0"/>
    <s v="P6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58133333333333326"/>
    <n v="2.9444444444444442"/>
    <s v="-"/>
    <n v="11.86"/>
    <n v="0.71"/>
    <m/>
    <m/>
    <m/>
    <m/>
    <s v="ATENDE"/>
    <s v="ATENDE"/>
    <s v="ATENDE"/>
    <s v="ATENDE"/>
    <s v="C5"/>
    <s v="P6"/>
    <n v="0.9800000000000002"/>
    <n v="5.94"/>
    <n v="4.0599999999999996"/>
    <n v="3"/>
    <n v="0.6"/>
    <s v="ATENDE"/>
    <s v="ATENDE"/>
    <s v="ATENDE"/>
    <s v="P6"/>
    <n v="2.2400000000000002"/>
    <n v="9.7200000000000006"/>
    <n v="6.91"/>
    <n v="3"/>
    <n v="0.6"/>
    <s v="ATENDE"/>
    <s v="ATENDE"/>
    <s v="ATENDE"/>
    <x v="2"/>
    <s v="SIGSAGPTLRRSSNDL_30W_38IBBRS_x000a_"/>
    <s v="SIGSAGPTLRRSSNDL_30W_38IBBRS_x000a_1-10C1MUN6.5"/>
    <m/>
    <e v="#N/A"/>
    <n v="2"/>
    <n v="30"/>
    <n v="0"/>
    <n v="5266"/>
    <n v="0"/>
    <n v="0"/>
    <m/>
    <s v="Curto II"/>
    <m/>
    <s v=""/>
    <s v=""/>
    <m/>
    <m/>
    <m/>
    <m/>
    <m/>
    <m/>
    <n v="30"/>
    <n v="250"/>
    <n v="560"/>
    <n v="0.88"/>
    <m/>
    <m/>
    <s v="Sim"/>
    <m/>
  </r>
  <r>
    <n v="103"/>
    <s v="PVP"/>
    <s v="Rua Maranhao, 2337"/>
    <n v="-30.046217380000002"/>
    <n v="-50.157975980000003"/>
    <s v="C5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1.3333333333333335"/>
    <s v="-"/>
    <n v="8.32"/>
    <n v="0.42"/>
    <m/>
    <m/>
    <m/>
    <m/>
    <s v="ATENDE"/>
    <s v="ATENDE"/>
    <s v="ATENDE"/>
    <s v="ATENDE"/>
    <s v="C5"/>
    <s v="P6"/>
    <n v="0.70333333333333337"/>
    <n v="5.1100000000000003"/>
    <n v="2.44"/>
    <n v="3"/>
    <n v="0.6"/>
    <s v="ATENDE"/>
    <s v="ATENDE"/>
    <s v="ATENDE"/>
    <s v="P6"/>
    <n v="1.3266666666666667"/>
    <n v="6.98"/>
    <n v="2.57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3"/>
    <s v="PVP"/>
    <s v="Rua Maranhao, 2337"/>
    <n v="-30.046217380000002"/>
    <n v="-50.157975980000003"/>
    <s v="C5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9333333333333247E-2"/>
    <n v="1.6111111111111112"/>
    <s v="-"/>
    <n v="8.02"/>
    <n v="0.47"/>
    <m/>
    <m/>
    <m/>
    <m/>
    <s v="ATENDE"/>
    <s v="ATENDE"/>
    <s v="ATENDE"/>
    <s v="ATENDE"/>
    <s v="C5"/>
    <s v="P6"/>
    <n v="0.44333333333333336"/>
    <n v="4.33"/>
    <n v="2.44"/>
    <n v="3"/>
    <n v="0.6"/>
    <s v="ATENDE"/>
    <s v="ATENDE"/>
    <s v="ATENDE"/>
    <s v="P6"/>
    <n v="1.17"/>
    <n v="6.51"/>
    <n v="1.95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3"/>
    <s v="PVP"/>
    <s v="Rua Maranhao, 2337"/>
    <n v="-30.046217380000002"/>
    <n v="-50.157975980000003"/>
    <s v="C5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8666666666666645E-2"/>
    <n v="2.0000000000000004"/>
    <s v="-"/>
    <n v="7.94"/>
    <n v="0.54"/>
    <m/>
    <m/>
    <m/>
    <m/>
    <s v="ATENDE"/>
    <s v="ATENDE"/>
    <s v="ATENDE"/>
    <s v="ATENDE"/>
    <s v="C5"/>
    <s v="P6"/>
    <n v="0.32666666666666666"/>
    <n v="3.98"/>
    <n v="2.78"/>
    <n v="3"/>
    <n v="0.6"/>
    <s v="ATENDE"/>
    <s v="ATENDE"/>
    <s v="ATENDE"/>
    <s v="P6"/>
    <n v="1.1666666666666665"/>
    <n v="6.5"/>
    <n v="3.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04"/>
    <s v="VP"/>
    <s v="Avenida Recife, 653"/>
    <n v="-30.049999039999999"/>
    <n v="-50.158751119999998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Unilateral"/>
    <s v="Braço"/>
    <n v="28.9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30699999999999994"/>
    <n v="0.39285714285714279"/>
    <s v="-"/>
    <n v="26.14"/>
    <n v="0.3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52"/>
    <n v="7.56"/>
    <n v="3.27"/>
    <n v="3"/>
    <n v="0.6"/>
    <s v="ATENDE"/>
    <s v="ATENDE"/>
    <s v="ATENDE"/>
    <x v="0"/>
    <s v=" SL VT 9.1 65W"/>
    <s v="LUM LED SL VT 9.1 65W"/>
    <m/>
    <n v="0"/>
    <n v="2"/>
    <n v="65"/>
    <n v="0"/>
    <n v="10496"/>
    <n v="0"/>
    <n v="0"/>
    <m/>
    <s v="Curto II"/>
    <m/>
    <s v=""/>
    <s v=""/>
    <m/>
    <m/>
    <m/>
    <m/>
    <m/>
    <m/>
    <n v="65"/>
    <n v="150"/>
    <n v="430"/>
    <n v="0.56666666666666665"/>
    <m/>
    <m/>
    <s v="Sim"/>
    <m/>
  </r>
  <r>
    <n v="104"/>
    <s v="VP"/>
    <s v="Avenida Recife, 653"/>
    <n v="-30.049999039999999"/>
    <n v="-50.158751119999998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Unilateral"/>
    <s v="Braço"/>
    <n v="28.9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935000000000006"/>
    <n v="1.0714285714285712"/>
    <s v="-"/>
    <n v="22.187000000000001"/>
    <n v="0.5799999999999999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84333333333333349"/>
    <n v="5.53"/>
    <n v="2.86"/>
    <n v="3"/>
    <n v="0.6"/>
    <s v="ATENDE"/>
    <s v="ATENDE"/>
    <s v="ATENDE"/>
    <x v="1"/>
    <s v="SX-INEVO050HF"/>
    <s v="SXINEVO050K40L12CZF7PHF"/>
    <m/>
    <n v="0"/>
    <n v="2"/>
    <n v="50"/>
    <n v="0"/>
    <n v="8650"/>
    <n v="0"/>
    <n v="0"/>
    <m/>
    <s v="Curto II"/>
    <m/>
    <s v=""/>
    <s v=""/>
    <m/>
    <m/>
    <m/>
    <m/>
    <m/>
    <m/>
    <n v="50"/>
    <n v="150"/>
    <n v="400"/>
    <n v="0.66666666666666674"/>
    <m/>
    <m/>
    <s v="Sim"/>
    <m/>
  </r>
  <r>
    <n v="104"/>
    <s v="VP"/>
    <s v="Avenida Recife, 653"/>
    <n v="-30.049999039999999"/>
    <n v="-50.158751119999998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Unilateral"/>
    <s v="Braço"/>
    <n v="28.9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0000000000000027E-2"/>
    <n v="0.74999999999999978"/>
    <s v="-"/>
    <n v="20.6"/>
    <n v="0.4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17666666666666653"/>
    <n v="3.53"/>
    <n v="1.63"/>
    <n v="3"/>
    <n v="0.6"/>
    <s v="ATENDE"/>
    <s v="ATENDE"/>
    <s v="ATENDE"/>
    <x v="2"/>
    <s v="SIGSAGPTLRRSSNDL_50W_61IBBRS_x000a_"/>
    <s v="SIGSAGPTLRRSSNDL_50W_61IBBRS_x000a_1-10C1MUN6.5"/>
    <m/>
    <n v="0"/>
    <n v="2"/>
    <n v="50"/>
    <n v="0"/>
    <n v="8163"/>
    <n v="0"/>
    <n v="0"/>
    <m/>
    <s v="Curto II"/>
    <m/>
    <s v=""/>
    <s v=""/>
    <m/>
    <m/>
    <m/>
    <m/>
    <m/>
    <m/>
    <n v="50"/>
    <n v="150"/>
    <n v="400"/>
    <n v="0.66666666666666674"/>
    <m/>
    <m/>
    <s v="Sim"/>
    <m/>
  </r>
  <r>
    <n v="105"/>
    <s v="VP"/>
    <s v="Avenida Recife, 322"/>
    <n v="-30.05106469"/>
    <n v="-50.155011819999999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2.700000000000003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5500000000000003"/>
    <n v="0.1785714285714286"/>
    <s v="-"/>
    <n v="23.1"/>
    <n v="0.33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2.686666666666667"/>
    <n v="11.06"/>
    <n v="4.18"/>
    <n v="3"/>
    <n v="0.6"/>
    <s v="ATENDE"/>
    <s v="ATENDE"/>
    <s v="ATENDE"/>
    <x v="0"/>
    <s v=" SL VT 9.1 65W"/>
    <s v="LUM LED SL VT 9.1 65W"/>
    <m/>
    <e v="#N/A"/>
    <n v="2"/>
    <n v="65"/>
    <n v="0"/>
    <n v="10496"/>
    <n v="0"/>
    <n v="0"/>
    <m/>
    <s v="Curto II"/>
    <m/>
    <s v=""/>
    <s v=""/>
    <m/>
    <m/>
    <m/>
    <m/>
    <m/>
    <m/>
    <n v="65"/>
    <n v="150"/>
    <n v="430"/>
    <n v="0.56666666666666665"/>
    <m/>
    <m/>
    <s v="Sim"/>
    <m/>
  </r>
  <r>
    <n v="105"/>
    <s v="VP"/>
    <s v="Avenida Recife, 322"/>
    <n v="-30.05106469"/>
    <n v="-50.155011819999999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2.700000000000003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5499999999999883E-2"/>
    <n v="0.85714285714285698"/>
    <s v="-"/>
    <n v="21.11"/>
    <n v="0.52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2.1133333333333333"/>
    <n v="9.34"/>
    <n v="6.39"/>
    <n v="3"/>
    <n v="0.6"/>
    <s v="ATENDE"/>
    <s v="ATENDE"/>
    <s v="ATENDE"/>
    <x v="1"/>
    <s v="SX-INEVO060HF"/>
    <s v="SXINEVO060K40L12CZF7PHF"/>
    <m/>
    <e v="#N/A"/>
    <n v="2"/>
    <n v="60"/>
    <n v="0"/>
    <n v="9600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105"/>
    <s v="VP"/>
    <s v="Avenida Recife, 322"/>
    <n v="-30.05106469"/>
    <n v="-50.155011819999999"/>
    <s v="C2"/>
    <x v="0"/>
    <s v="P6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2.700000000000003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600000000000009"/>
    <n v="0.64285714285714279"/>
    <s v="-"/>
    <n v="22.12"/>
    <n v="0.4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7333333333333329"/>
    <n v="8.1999999999999993"/>
    <n v="4.78"/>
    <n v="3"/>
    <n v="0.6"/>
    <s v="ATENDE"/>
    <s v="ATENDE"/>
    <s v="ATENDE"/>
    <x v="2"/>
    <s v="SIGSAGPTLRRSSNDL_60W_73IBBRS_x000a_"/>
    <s v="SIGSAGPTLRRSSNDL_60W_73IBBRS_x000a_1-10C1MUN6.5"/>
    <m/>
    <e v="#N/A"/>
    <n v="2"/>
    <n v="60"/>
    <n v="0"/>
    <n v="9453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106"/>
    <s v="PVP"/>
    <s v="Rua Alagoas, 2205"/>
    <n v="-30.04664631"/>
    <n v="-50.15224388"/>
    <s v="C5"/>
    <x v="0"/>
    <s v="P6"/>
    <s v="Vapor de sódio"/>
    <n v="150"/>
    <n v="22"/>
    <n v="0"/>
    <n v="300"/>
    <n v="2"/>
    <n v="3.1"/>
    <n v="7.6"/>
    <m/>
    <m/>
    <n v="0"/>
    <n v="3.1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8"/>
    <n v="1.2777777777777777"/>
    <s v="-"/>
    <n v="9.36"/>
    <n v="0.41"/>
    <m/>
    <m/>
    <m/>
    <m/>
    <s v="ATENDE"/>
    <s v="ATENDE"/>
    <s v="ATENDE"/>
    <s v="ATENDE"/>
    <s v="C5"/>
    <s v="P6"/>
    <n v="0.15000000000000013"/>
    <n v="3.45"/>
    <n v="1.82"/>
    <n v="3"/>
    <n v="0.6"/>
    <s v="ATENDE"/>
    <s v="ATENDE"/>
    <s v="ATENDE"/>
    <s v="P6"/>
    <n v="1.9466666666666668"/>
    <n v="8.84"/>
    <n v="3.46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06"/>
    <s v="PVP"/>
    <s v="Rua Alagoas, 2205"/>
    <n v="-30.04664631"/>
    <n v="-50.15224388"/>
    <s v="C5"/>
    <x v="0"/>
    <s v="P6"/>
    <s v="Vapor de sódio"/>
    <n v="150"/>
    <n v="22"/>
    <n v="0"/>
    <n v="300"/>
    <n v="2"/>
    <n v="3.1"/>
    <n v="7.6"/>
    <m/>
    <m/>
    <n v="0"/>
    <n v="3.1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933333333333332"/>
    <n v="2.1666666666666665"/>
    <s v="-"/>
    <n v="8.6199999999999992"/>
    <n v="0.56999999999999995"/>
    <m/>
    <m/>
    <m/>
    <m/>
    <s v="ATENDE"/>
    <s v="ATENDE"/>
    <s v="ATENDE"/>
    <s v="ATENDE"/>
    <s v="C5"/>
    <s v="P6"/>
    <n v="0.42666666666666675"/>
    <n v="4.28"/>
    <n v="2.99"/>
    <n v="3"/>
    <n v="0.6"/>
    <s v="ATENDE"/>
    <s v="ATENDE"/>
    <s v="ATENDE"/>
    <s v="P6"/>
    <n v="1.21"/>
    <n v="6.63"/>
    <n v="1.2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10"/>
    <s v="Curto II"/>
    <m/>
    <s v=""/>
    <s v=""/>
    <m/>
    <m/>
    <m/>
    <m/>
    <m/>
    <m/>
    <n v="31"/>
    <n v="150"/>
    <n v="181"/>
    <n v="0.79333333333333333"/>
    <m/>
    <m/>
    <s v="Sim"/>
    <m/>
  </r>
  <r>
    <n v="106"/>
    <s v="PVP"/>
    <s v="Rua Alagoas, 2205"/>
    <n v="-30.04664631"/>
    <n v="-50.15224388"/>
    <s v="C5"/>
    <x v="0"/>
    <s v="P6"/>
    <s v="Vapor de sódio"/>
    <n v="150"/>
    <n v="22"/>
    <n v="0"/>
    <n v="300"/>
    <n v="2"/>
    <n v="3.1"/>
    <n v="7.6"/>
    <m/>
    <m/>
    <n v="0"/>
    <n v="3.1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266666666666672"/>
    <n v="2.3333333333333335"/>
    <s v="-"/>
    <n v="8.57"/>
    <n v="0.6"/>
    <m/>
    <m/>
    <m/>
    <m/>
    <s v="ATENDE"/>
    <s v="ATENDE"/>
    <s v="ATENDE"/>
    <s v="ATENDE"/>
    <s v="C5"/>
    <s v="P6"/>
    <n v="0.28666666666666663"/>
    <n v="3.86"/>
    <n v="2.76"/>
    <n v="3"/>
    <n v="0.6"/>
    <s v="ATENDE"/>
    <s v="ATENDE"/>
    <s v="ATENDE"/>
    <s v="P6"/>
    <n v="1.3033333333333332"/>
    <n v="6.91"/>
    <n v="2.8929999999999998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n v="10"/>
    <s v="Curto II"/>
    <m/>
    <s v=""/>
    <s v=""/>
    <m/>
    <m/>
    <m/>
    <m/>
    <m/>
    <m/>
    <n v="30"/>
    <n v="150"/>
    <n v="180"/>
    <n v="0.8"/>
    <m/>
    <m/>
    <s v="Sim"/>
    <m/>
  </r>
  <r>
    <n v="107"/>
    <s v="PVP"/>
    <s v="Rua Amazonas, 1543"/>
    <n v="-30.040637220000001"/>
    <n v="-50.15099904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0666666666666673E-2"/>
    <n v="0.66666666666666674"/>
    <s v="-"/>
    <n v="8.18"/>
    <n v="0.3"/>
    <m/>
    <m/>
    <m/>
    <m/>
    <s v="ATENDE"/>
    <s v="ATENDE"/>
    <s v="ATENDE"/>
    <s v="ATENDE"/>
    <s v="C5"/>
    <s v="P6"/>
    <n v="0.51"/>
    <n v="4.53"/>
    <n v="1.58"/>
    <n v="3"/>
    <n v="0.6"/>
    <s v="ATENDE"/>
    <s v="ATENDE"/>
    <s v="ATENDE"/>
    <s v="P6"/>
    <n v="1.2666666666666666"/>
    <n v="6.8"/>
    <n v="1.6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7"/>
    <s v="PVP"/>
    <s v="Rua Amazonas, 1543"/>
    <n v="-30.040637220000001"/>
    <n v="-50.15099904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0.38888888888888884"/>
    <s v="-"/>
    <n v="7.89"/>
    <n v="0.25"/>
    <m/>
    <m/>
    <m/>
    <m/>
    <s v="ATENDE"/>
    <s v="ATENDE"/>
    <s v="ATENDE"/>
    <s v="ATENDE"/>
    <s v="C5"/>
    <s v="P6"/>
    <n v="0.22666666666666679"/>
    <n v="3.68"/>
    <n v="1.28"/>
    <n v="3"/>
    <n v="0.6"/>
    <s v="ATENDE"/>
    <s v="ATENDE"/>
    <s v="ATENDE"/>
    <s v="P6"/>
    <n v="1.1000000000000001"/>
    <n v="6.3"/>
    <n v="0.7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7"/>
    <s v="PVP"/>
    <s v="Rua Amazonas, 1543"/>
    <n v="-30.040637220000001"/>
    <n v="-50.15099904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3333333333333437E-2"/>
    <n v="0.94444444444444442"/>
    <s v="-"/>
    <n v="7.75"/>
    <n v="0.35"/>
    <m/>
    <m/>
    <m/>
    <m/>
    <s v="ATENDE"/>
    <s v="ATENDE"/>
    <s v="ATENDE"/>
    <s v="ATENDE"/>
    <s v="C5"/>
    <s v="P6"/>
    <n v="0.15000000000000013"/>
    <n v="3.45"/>
    <n v="1.82"/>
    <n v="3"/>
    <n v="0.6"/>
    <s v="ATENDE"/>
    <s v="ATENDE"/>
    <s v="ATENDE"/>
    <s v="P6"/>
    <n v="1.1033333333333331"/>
    <n v="6.31"/>
    <n v="1.8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n v="10"/>
    <s v="Curto II"/>
    <m/>
    <s v=""/>
    <s v=""/>
    <m/>
    <m/>
    <m/>
    <m/>
    <m/>
    <m/>
    <n v="30"/>
    <n v="100"/>
    <n v="130"/>
    <n v="0.7"/>
    <m/>
    <m/>
    <s v="Sim"/>
    <m/>
  </r>
  <r>
    <n v="108"/>
    <s v="PVP"/>
    <s v="Rua Para, 2185"/>
    <n v="-30.04479778"/>
    <n v="-50.1596075"/>
    <s v="C5"/>
    <x v="0"/>
    <s v="P6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8400000000000003"/>
    <n v="2.3888888888888888"/>
    <s v="-"/>
    <n v="9.6300000000000008"/>
    <n v="0.61"/>
    <m/>
    <m/>
    <m/>
    <m/>
    <s v="ATENDE"/>
    <s v="ATENDE"/>
    <s v="ATENDE"/>
    <s v="ATENDE"/>
    <s v="C5"/>
    <s v="P6"/>
    <n v="0.99666666666666681"/>
    <n v="5.99"/>
    <n v="4.09"/>
    <n v="3"/>
    <n v="0.6"/>
    <s v="ATENDE"/>
    <s v="ATENDE"/>
    <s v="ATENDE"/>
    <s v="P6"/>
    <n v="1.7533333333333334"/>
    <n v="8.26"/>
    <n v="5.16"/>
    <n v="3"/>
    <n v="0.6"/>
    <s v="ATENDE"/>
    <s v="ATENDE"/>
    <s v="ATENDE"/>
    <x v="0"/>
    <s v=" SL VT 9.1 28W"/>
    <s v="LUM LED SL VT 9.1 28W"/>
    <m/>
    <n v="0"/>
    <n v="2"/>
    <n v="28"/>
    <n v="0"/>
    <n v="4927.3500000000004"/>
    <n v="0"/>
    <n v="0"/>
    <m/>
    <s v="Curto II"/>
    <m/>
    <s v=""/>
    <s v=""/>
    <m/>
    <m/>
    <m/>
    <m/>
    <m/>
    <m/>
    <n v="28"/>
    <n v="250"/>
    <n v="556"/>
    <n v="0.88800000000000001"/>
    <m/>
    <m/>
    <s v="Sim"/>
    <m/>
  </r>
  <r>
    <n v="108"/>
    <s v="PVP"/>
    <s v="Rua Para, 2185"/>
    <n v="-30.04479778"/>
    <n v="-50.1596075"/>
    <s v="C5"/>
    <x v="0"/>
    <s v="P6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3.2222222222222223"/>
    <s v="-"/>
    <n v="8.07"/>
    <n v="0.76"/>
    <m/>
    <m/>
    <m/>
    <m/>
    <s v="ATENDE"/>
    <s v="ATENDE"/>
    <s v="ATENDE"/>
    <s v="ATENDE"/>
    <s v="C5"/>
    <s v="P6"/>
    <n v="0.53333333333333321"/>
    <n v="4.5999999999999996"/>
    <n v="2.96"/>
    <n v="3"/>
    <n v="0.6"/>
    <s v="ATENDE"/>
    <s v="ATENDE"/>
    <s v="ATENDE"/>
    <s v="P6"/>
    <n v="1.25"/>
    <n v="6.75"/>
    <n v="4.63"/>
    <n v="3"/>
    <n v="0.6"/>
    <s v="ATENDE"/>
    <s v="ATENDE"/>
    <s v="ATENDE"/>
    <x v="1"/>
    <s v="SX-INEVO020HF"/>
    <s v="SXINEVO020K40L12CZF7PHF"/>
    <m/>
    <n v="0"/>
    <n v="2"/>
    <n v="22.5"/>
    <n v="0"/>
    <n v="3825"/>
    <n v="0"/>
    <n v="0"/>
    <m/>
    <s v="Curto II"/>
    <m/>
    <s v=""/>
    <s v=""/>
    <m/>
    <m/>
    <m/>
    <m/>
    <m/>
    <m/>
    <n v="22.5"/>
    <n v="250"/>
    <n v="545"/>
    <n v="0.91"/>
    <m/>
    <m/>
    <s v="Sim"/>
    <m/>
  </r>
  <r>
    <n v="108"/>
    <s v="PVP"/>
    <s v="Rua Para, 2185"/>
    <n v="-30.04479778"/>
    <n v="-50.1596075"/>
    <s v="C5"/>
    <x v="0"/>
    <s v="P6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58133333333333326"/>
    <n v="2.9444444444444442"/>
    <s v="-"/>
    <n v="11.86"/>
    <n v="0.71"/>
    <m/>
    <m/>
    <m/>
    <m/>
    <s v="ATENDE"/>
    <s v="ATENDE"/>
    <s v="ATENDE"/>
    <s v="ATENDE"/>
    <s v="C5"/>
    <s v="P6"/>
    <n v="0.9800000000000002"/>
    <n v="5.94"/>
    <n v="4.0599999999999996"/>
    <n v="3"/>
    <n v="0.6"/>
    <s v="ATENDE"/>
    <s v="ATENDE"/>
    <s v="ATENDE"/>
    <s v="P6"/>
    <n v="2.2400000000000002"/>
    <n v="9.7200000000000006"/>
    <n v="6.9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m/>
    <s v="Curto II"/>
    <m/>
    <s v=""/>
    <s v=""/>
    <m/>
    <m/>
    <m/>
    <m/>
    <m/>
    <m/>
    <n v="30"/>
    <n v="250"/>
    <n v="560"/>
    <n v="0.88"/>
    <m/>
    <m/>
    <s v="Sim"/>
    <m/>
  </r>
  <r>
    <n v="109"/>
    <s v="VP"/>
    <s v="Rua Lurdes de Lima Manito, 580 [Q]"/>
    <n v="-30.069029"/>
    <n v="-50.164423999999997"/>
    <s v="C5"/>
    <x v="0"/>
    <s v="P6"/>
    <s v="Vapor metálico"/>
    <n v="100"/>
    <n v="17"/>
    <n v="0"/>
    <n v="200"/>
    <n v="2"/>
    <n v="0"/>
    <n v="7"/>
    <m/>
    <m/>
    <n v="0"/>
    <n v="3"/>
    <n v="7"/>
    <n v="0"/>
    <n v="0"/>
    <n v="0"/>
    <n v="0"/>
    <s v="Unilateral"/>
    <s v="Braço"/>
    <n v="35.299999999999997"/>
    <n v="7.5"/>
    <n v="1"/>
    <n v="3"/>
    <n v="1.3"/>
    <n v="-1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1066666666666674"/>
    <n v="0.7777777777777779"/>
    <s v="-"/>
    <n v="10.58"/>
    <n v="0.32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0.2566666666666666"/>
    <n v="3.77"/>
    <n v="2.1800000000000002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09"/>
    <s v="VP"/>
    <s v="Rua Lurdes de Lima Manito, 580 [Q]"/>
    <n v="-30.069029"/>
    <n v="-50.164423999999997"/>
    <s v="C5"/>
    <x v="0"/>
    <s v="P6"/>
    <s v="Vapor metálico"/>
    <n v="100"/>
    <n v="17"/>
    <n v="0"/>
    <n v="200"/>
    <n v="2"/>
    <n v="0"/>
    <n v="7"/>
    <m/>
    <m/>
    <n v="0"/>
    <n v="3"/>
    <n v="7"/>
    <n v="0"/>
    <n v="0"/>
    <n v="0"/>
    <n v="0"/>
    <s v="Unilateral"/>
    <s v="Braço"/>
    <n v="35.299999999999997"/>
    <n v="7.5"/>
    <n v="1"/>
    <n v="3"/>
    <n v="1.3"/>
    <n v="-1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5999999999999992"/>
    <n v="1.2222222222222223"/>
    <s v="-"/>
    <n v="12.45"/>
    <n v="0.4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0.26666666666666661"/>
    <n v="3.8"/>
    <n v="2.5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09"/>
    <s v="VP"/>
    <s v="Rua Lurdes de Lima Manito, 580 [Q]"/>
    <n v="-30.069029"/>
    <n v="-50.164423999999997"/>
    <s v="C5"/>
    <x v="0"/>
    <s v="P6"/>
    <s v="Vapor metálico"/>
    <n v="100"/>
    <n v="17"/>
    <n v="0"/>
    <n v="200"/>
    <n v="2"/>
    <n v="0"/>
    <n v="7"/>
    <m/>
    <m/>
    <n v="0"/>
    <n v="3"/>
    <n v="7"/>
    <n v="0"/>
    <n v="0"/>
    <n v="0"/>
    <n v="0"/>
    <s v="Unilateral"/>
    <s v="Braço"/>
    <n v="35.299999999999997"/>
    <n v="7.5"/>
    <n v="1"/>
    <n v="3"/>
    <n v="1.3"/>
    <n v="-1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3333333333333339"/>
    <n v="1.0555555555555558"/>
    <s v="-"/>
    <n v="13"/>
    <n v="0.37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0.33666666666666667"/>
    <n v="4.01"/>
    <n v="1.84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110"/>
    <s v="PVP"/>
    <s v="Rua F das Camelias, 1036 [Q]"/>
    <n v="-30.059853"/>
    <n v="-50.168180999999997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8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0666666666666602E-2"/>
    <n v="-5.5555555555555469E-2"/>
    <s v="-"/>
    <n v="7.58"/>
    <n v="0.17"/>
    <m/>
    <m/>
    <m/>
    <m/>
    <s v="ATENDE"/>
    <s v="ATENDE"/>
    <s v="ATENDIMENTO LIMIAR"/>
    <s v="ATENDE"/>
    <s v="C5"/>
    <s v="P6"/>
    <n v="0.39333333333333331"/>
    <n v="4.18"/>
    <n v="1.03"/>
    <n v="3"/>
    <n v="0.6"/>
    <s v="ATENDE"/>
    <s v="ATENDE"/>
    <s v="ATENDE"/>
    <s v="P6"/>
    <n v="1.1633333333333336"/>
    <n v="6.49"/>
    <n v="0.9"/>
    <n v="3"/>
    <n v="0.6"/>
    <s v="ATENDE"/>
    <s v="ATENDE"/>
    <s v="ATENDE"/>
    <x v="0"/>
    <s v=" SL VT 9.1 44W"/>
    <s v="LUM LED SL VT 9.1 44W"/>
    <m/>
    <n v="0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10"/>
    <s v="PVP"/>
    <s v="Rua F das Camelias, 1036 [Q]"/>
    <n v="-30.059853"/>
    <n v="-50.168180999999997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8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799999999999986"/>
    <n v="-0.11111111111111105"/>
    <s v="-"/>
    <n v="10.11"/>
    <n v="0.16"/>
    <m/>
    <m/>
    <m/>
    <m/>
    <s v="ATENDE"/>
    <s v="ATENDE"/>
    <s v="ATENDIMENTO LIMIAR"/>
    <s v="ATENDE"/>
    <s v="C5"/>
    <s v="P6"/>
    <n v="1.7466666666666666"/>
    <n v="8.24"/>
    <n v="1.82"/>
    <n v="3"/>
    <n v="0.6"/>
    <s v="ATENDE"/>
    <s v="ATENDE"/>
    <s v="ATENDE"/>
    <s v="P6"/>
    <n v="0.76666666666666661"/>
    <n v="5.3"/>
    <n v="1.02"/>
    <n v="3"/>
    <n v="0.6"/>
    <s v="ATENDE"/>
    <s v="ATENDE"/>
    <s v="ATENDE"/>
    <x v="1"/>
    <s v="SX-INEVO060HF"/>
    <s v="SXINEVO060K40L12CZF7PHF"/>
    <m/>
    <e v="#N/A"/>
    <n v="1"/>
    <n v="60"/>
    <e v="#N/A"/>
    <n v="9600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110"/>
    <s v="PVP"/>
    <s v="Rua F das Camelias, 1036 [Q]"/>
    <n v="-30.059853"/>
    <n v="-50.168180999999997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8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133333333333331"/>
    <n v="-0.11111111111111105"/>
    <s v="-"/>
    <n v="8.56"/>
    <n v="0.16"/>
    <m/>
    <m/>
    <m/>
    <m/>
    <s v="ATENDE"/>
    <s v="ATENDE"/>
    <s v="ATENDIMENTO LIMIAR"/>
    <s v="ATENDE"/>
    <s v="C5"/>
    <s v="P6"/>
    <n v="1.1433333333333331"/>
    <n v="6.43"/>
    <n v="1.28"/>
    <n v="3"/>
    <n v="0.6"/>
    <s v="ATENDE"/>
    <s v="ATENDE"/>
    <s v="ATENDE"/>
    <s v="P6"/>
    <n v="0.52333333333333343"/>
    <n v="4.57"/>
    <n v="0.97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11"/>
    <s v="PVP"/>
    <s v="Rua Nova, 51 [Q]"/>
    <n v="-30.058617999999999"/>
    <n v="-50.157390999999997"/>
    <s v="C5"/>
    <x v="0"/>
    <s v="P6"/>
    <s v="Vapor de sódio"/>
    <n v="100"/>
    <n v="17"/>
    <n v="0"/>
    <n v="200"/>
    <n v="2"/>
    <n v="2.4"/>
    <n v="6.7"/>
    <m/>
    <m/>
    <n v="0"/>
    <n v="2.4"/>
    <n v="0"/>
    <n v="0"/>
    <n v="0"/>
    <n v="0"/>
    <n v="0"/>
    <s v="Unilateral"/>
    <s v="Braço"/>
    <n v="32.049999999999997"/>
    <n v="6.6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1.0555555555555558"/>
    <s v="-"/>
    <n v="8.01"/>
    <n v="0.37"/>
    <m/>
    <m/>
    <m/>
    <m/>
    <s v="ATENDE"/>
    <s v="ATENDE"/>
    <s v="ATENDE"/>
    <s v="ATENDE"/>
    <s v="C5"/>
    <s v="P6"/>
    <n v="0.55999999999999983"/>
    <n v="4.68"/>
    <n v="2.17"/>
    <n v="3"/>
    <n v="0.6"/>
    <s v="ATENDE"/>
    <s v="ATENDE"/>
    <s v="ATENDE"/>
    <s v="P6"/>
    <n v="1.0133333333333332"/>
    <n v="6.04"/>
    <n v="0.6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Médio I"/>
    <m/>
    <s v=""/>
    <s v=""/>
    <m/>
    <m/>
    <m/>
    <m/>
    <m/>
    <m/>
    <n v="28"/>
    <n v="100"/>
    <n v="128"/>
    <n v="0.72"/>
    <m/>
    <m/>
    <s v="Sim"/>
    <m/>
  </r>
  <r>
    <n v="111"/>
    <s v="PVP"/>
    <s v="Rua Nova, 51 [Q]"/>
    <n v="-30.058617999999999"/>
    <n v="-50.157390999999997"/>
    <s v="C5"/>
    <x v="0"/>
    <s v="P6"/>
    <s v="Vapor de sódio"/>
    <n v="100"/>
    <n v="17"/>
    <n v="0"/>
    <n v="200"/>
    <n v="2"/>
    <n v="2.4"/>
    <n v="6.7"/>
    <m/>
    <m/>
    <n v="0"/>
    <n v="2.4"/>
    <n v="0"/>
    <n v="0"/>
    <n v="0"/>
    <n v="0"/>
    <n v="0"/>
    <s v="Unilateral"/>
    <s v="Braço"/>
    <n v="32.049999999999997"/>
    <n v="6.6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666666666666666"/>
    <n v="1.0555555555555558"/>
    <s v="-"/>
    <n v="9.9499999999999993"/>
    <n v="0.37"/>
    <m/>
    <m/>
    <m/>
    <m/>
    <s v="ATENDE"/>
    <s v="ATENDE"/>
    <s v="ATENDE"/>
    <s v="ATENDE"/>
    <s v="C5"/>
    <s v="P6"/>
    <n v="0.6100000000000001"/>
    <n v="4.83"/>
    <n v="2.4"/>
    <n v="3"/>
    <n v="0.6"/>
    <s v="ATENDE"/>
    <s v="ATENDE"/>
    <s v="ATENDE"/>
    <s v="P6"/>
    <n v="1.2600000000000002"/>
    <n v="6.78"/>
    <n v="1.43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Médio I"/>
    <m/>
    <s v=""/>
    <s v=""/>
    <m/>
    <m/>
    <m/>
    <m/>
    <m/>
    <m/>
    <n v="31"/>
    <n v="100"/>
    <n v="131"/>
    <n v="0.69"/>
    <m/>
    <m/>
    <s v="Sim"/>
    <m/>
  </r>
  <r>
    <n v="111"/>
    <s v="PVP"/>
    <s v="Rua Nova, 51 [Q]"/>
    <n v="-30.058617999999999"/>
    <n v="-50.157390999999997"/>
    <s v="C5"/>
    <x v="0"/>
    <s v="P6"/>
    <s v="Vapor de sódio"/>
    <n v="100"/>
    <n v="17"/>
    <n v="0"/>
    <n v="200"/>
    <n v="2"/>
    <n v="2.4"/>
    <n v="6.7"/>
    <m/>
    <m/>
    <n v="0"/>
    <n v="2.4"/>
    <n v="0"/>
    <n v="0"/>
    <n v="0"/>
    <n v="0"/>
    <n v="0"/>
    <s v="Unilateral"/>
    <s v="Braço"/>
    <n v="32.049999999999997"/>
    <n v="6.6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666666666666687"/>
    <n v="1.6666666666666665"/>
    <s v="-"/>
    <n v="9.8000000000000007"/>
    <n v="0.48"/>
    <m/>
    <m/>
    <m/>
    <m/>
    <s v="ATENDE"/>
    <s v="ATENDE"/>
    <s v="ATENDE"/>
    <s v="ATENDE"/>
    <s v="C5"/>
    <s v="P6"/>
    <n v="0.50333333333333319"/>
    <n v="4.51"/>
    <n v="3.01"/>
    <n v="3"/>
    <n v="0.6"/>
    <s v="ATENDE"/>
    <s v="ATENDE"/>
    <s v="ATENDE"/>
    <s v="P6"/>
    <n v="1.31"/>
    <n v="6.93"/>
    <n v="2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"/>
    <m/>
    <s v=""/>
    <s v=""/>
    <m/>
    <m/>
    <m/>
    <m/>
    <m/>
    <m/>
    <n v="30"/>
    <n v="100"/>
    <n v="130"/>
    <n v="0.7"/>
    <m/>
    <m/>
    <s v="Sim"/>
    <m/>
  </r>
  <r>
    <n v="112"/>
    <s v="PVP"/>
    <s v="Rua Munique, 183 [Q]"/>
    <n v="-30.079886999999999"/>
    <n v="-50.168523"/>
    <s v="C5"/>
    <x v="0"/>
    <s v="P6"/>
    <s v="Vapor de sódio"/>
    <n v="100"/>
    <n v="17"/>
    <n v="0"/>
    <n v="200"/>
    <n v="2"/>
    <n v="2.5"/>
    <n v="7"/>
    <m/>
    <m/>
    <n v="0"/>
    <n v="3"/>
    <n v="7"/>
    <n v="0"/>
    <n v="0"/>
    <n v="0"/>
    <n v="0"/>
    <s v="Unilateral"/>
    <s v="Braço"/>
    <n v="38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0.94444444444444442"/>
    <s v="-"/>
    <n v="7.79"/>
    <n v="0.35"/>
    <m/>
    <m/>
    <m/>
    <m/>
    <s v="ATENDE"/>
    <s v="ATENDE"/>
    <s v="ATENDE"/>
    <s v="ATENDE"/>
    <s v="C5"/>
    <s v="P6"/>
    <n v="0.57000000000000006"/>
    <n v="4.71"/>
    <n v="1.88"/>
    <n v="3"/>
    <n v="0.6"/>
    <s v="ATENDE"/>
    <s v="ATENDE"/>
    <s v="ATENDE"/>
    <s v="P6"/>
    <n v="1.0966666666666667"/>
    <n v="6.29"/>
    <n v="1.91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2"/>
    <s v="PVP"/>
    <s v="Rua Munique, 183 [Q]"/>
    <n v="-30.079886999999999"/>
    <n v="-50.168523"/>
    <s v="C5"/>
    <x v="0"/>
    <s v="P6"/>
    <s v="Vapor de sódio"/>
    <n v="100"/>
    <n v="17"/>
    <n v="0"/>
    <n v="200"/>
    <n v="2"/>
    <n v="2.5"/>
    <n v="7"/>
    <m/>
    <m/>
    <n v="0"/>
    <n v="3"/>
    <n v="7"/>
    <n v="0"/>
    <n v="0"/>
    <n v="0"/>
    <n v="0"/>
    <s v="Unilateral"/>
    <s v="Braço"/>
    <n v="38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666666666666595E-3"/>
    <n v="0.83333333333333348"/>
    <s v="-"/>
    <n v="7.52"/>
    <n v="0.33"/>
    <m/>
    <m/>
    <m/>
    <m/>
    <s v="ATENDE"/>
    <s v="ATENDE"/>
    <s v="ATENDE"/>
    <s v="ATENDE"/>
    <s v="C5"/>
    <s v="P6"/>
    <n v="0.32666666666666666"/>
    <n v="3.98"/>
    <n v="1.71"/>
    <n v="3"/>
    <n v="0.6"/>
    <s v="ATENDE"/>
    <s v="ATENDE"/>
    <s v="ATENDE"/>
    <s v="P6"/>
    <n v="0.93666666666666654"/>
    <n v="5.81"/>
    <n v="1.1000000000000001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2"/>
    <s v="PVP"/>
    <s v="Rua Munique, 183 [Q]"/>
    <n v="-30.079886999999999"/>
    <n v="-50.168523"/>
    <s v="C5"/>
    <x v="0"/>
    <s v="P6"/>
    <s v="Vapor de sódio"/>
    <n v="100"/>
    <n v="17"/>
    <n v="0"/>
    <n v="200"/>
    <n v="2"/>
    <n v="2.5"/>
    <n v="7"/>
    <m/>
    <m/>
    <n v="0"/>
    <n v="3"/>
    <n v="7"/>
    <n v="0"/>
    <n v="0"/>
    <n v="0"/>
    <n v="0"/>
    <s v="Unilateral"/>
    <s v="Braço"/>
    <n v="38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-5.3333333333333011E-3"/>
    <n v="1.3888888888888888"/>
    <s v="-"/>
    <n v="7.46"/>
    <n v="0.43"/>
    <m/>
    <m/>
    <m/>
    <m/>
    <s v="ATENDE"/>
    <s v="ATENDIMENTO LIMIAR"/>
    <s v="ATENDE"/>
    <s v="ATENDE"/>
    <s v="C5"/>
    <s v="P6"/>
    <n v="0.22333333333333338"/>
    <n v="3.67"/>
    <n v="2.2400000000000002"/>
    <n v="3"/>
    <n v="0.6"/>
    <s v="ATENDE"/>
    <s v="ATENDE"/>
    <s v="ATENDE"/>
    <s v="P6"/>
    <n v="0.94000000000000017"/>
    <n v="5.82"/>
    <n v="2.20000000000000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3"/>
    <s v="PVP"/>
    <s v="Rua Pinheiro Veloso, 467 [Q]"/>
    <n v="-29.982123999999999"/>
    <n v="-50.122984000000002"/>
    <s v="C5"/>
    <x v="0"/>
    <s v="P6"/>
    <s v="Vapor de sódio"/>
    <n v="150"/>
    <n v="22"/>
    <n v="0"/>
    <n v="300"/>
    <n v="2"/>
    <n v="3.3"/>
    <n v="7"/>
    <m/>
    <m/>
    <n v="0"/>
    <n v="3.3"/>
    <n v="0"/>
    <n v="0"/>
    <n v="0"/>
    <n v="0"/>
    <n v="0"/>
    <s v="Unilateral"/>
    <s v="Braço"/>
    <n v="46"/>
    <n v="7.3"/>
    <n v="1"/>
    <n v="0.3"/>
    <n v="1.3"/>
    <n v="1"/>
    <s v="-"/>
    <s v="-"/>
    <s v="Sim"/>
    <n v="2"/>
    <n v="0"/>
    <n v="0"/>
    <n v="0"/>
    <n v="0"/>
    <n v="0"/>
    <s v="-"/>
    <n v="0"/>
    <m/>
    <n v="7.5"/>
    <n v="0.18"/>
    <s v="-"/>
    <n v="0.18"/>
    <s v="-"/>
    <n v="16"/>
    <s v="ATENDE"/>
    <n v="4.4000000000000039E-2"/>
    <n v="0.2777777777777779"/>
    <s v="-"/>
    <n v="7.83"/>
    <n v="0.23"/>
    <m/>
    <m/>
    <m/>
    <m/>
    <s v="ATENDE"/>
    <s v="ATENDE"/>
    <s v="ATENDE"/>
    <s v="ATENDE"/>
    <s v="C5"/>
    <s v="P6"/>
    <n v="0.52333333333333343"/>
    <n v="4.57"/>
    <n v="1.4"/>
    <n v="3"/>
    <n v="0.6"/>
    <s v="ATENDE"/>
    <s v="ATENDE"/>
    <s v="ATENDE"/>
    <s v="P6"/>
    <n v="0.99666666666666681"/>
    <n v="5.99"/>
    <n v="1.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113"/>
    <s v="PVP"/>
    <s v="Rua Pinheiro Veloso, 467 [Q]"/>
    <n v="-29.982123999999999"/>
    <n v="-50.122984000000002"/>
    <s v="C5"/>
    <x v="0"/>
    <s v="P6"/>
    <s v="Vapor de sódio"/>
    <n v="150"/>
    <n v="22"/>
    <n v="0"/>
    <n v="300"/>
    <n v="2"/>
    <n v="3.3"/>
    <n v="7"/>
    <m/>
    <m/>
    <n v="0"/>
    <n v="3.3"/>
    <n v="0"/>
    <n v="0"/>
    <n v="0"/>
    <n v="0"/>
    <n v="0"/>
    <s v="Unilateral"/>
    <s v="Braço"/>
    <n v="46"/>
    <n v="7.3"/>
    <n v="1"/>
    <n v="0.3"/>
    <n v="1.3"/>
    <n v="1"/>
    <s v="-"/>
    <s v="-"/>
    <s v="Sim"/>
    <n v="2"/>
    <n v="0"/>
    <n v="0"/>
    <n v="0"/>
    <n v="0"/>
    <n v="0"/>
    <s v="-"/>
    <n v="0"/>
    <m/>
    <n v="7.5"/>
    <n v="0.18"/>
    <s v="-"/>
    <n v="0.18"/>
    <s v="-"/>
    <n v="16"/>
    <s v="ATENDE"/>
    <n v="0.23866666666666658"/>
    <n v="0.11111111111111116"/>
    <s v="-"/>
    <n v="9.2899999999999991"/>
    <n v="0.2"/>
    <m/>
    <m/>
    <m/>
    <m/>
    <s v="ATENDE"/>
    <s v="ATENDE"/>
    <s v="ATENDE"/>
    <s v="ATENDE"/>
    <s v="C5"/>
    <s v="P6"/>
    <n v="1.8466666666666662"/>
    <n v="8.5399999999999991"/>
    <n v="4.2300000000000004"/>
    <n v="3"/>
    <n v="0.6"/>
    <s v="ATENDE"/>
    <s v="ATENDE"/>
    <s v="ATENDE"/>
    <s v="P6"/>
    <n v="0.44000000000000017"/>
    <n v="4.32"/>
    <n v="0.6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s v="Longo II"/>
    <n v="3.5"/>
    <n v="8.5"/>
    <m/>
    <m/>
    <m/>
    <m/>
    <m/>
    <m/>
    <n v="50"/>
    <n v="150"/>
    <n v="200"/>
    <n v="0.66666666666666674"/>
    <m/>
    <m/>
    <s v="Sim"/>
    <m/>
  </r>
  <r>
    <n v="113"/>
    <s v="PVP"/>
    <s v="Rua Pinheiro Veloso, 467 [Q]"/>
    <n v="-29.982123999999999"/>
    <n v="-50.122984000000002"/>
    <s v="C5"/>
    <x v="0"/>
    <s v="P6"/>
    <s v="Vapor de sódio"/>
    <n v="150"/>
    <n v="22"/>
    <n v="0"/>
    <n v="300"/>
    <n v="2"/>
    <n v="3.3"/>
    <n v="7"/>
    <m/>
    <m/>
    <n v="0"/>
    <n v="3.3"/>
    <n v="0"/>
    <n v="0"/>
    <n v="0"/>
    <n v="0"/>
    <n v="0"/>
    <s v="Unilateral"/>
    <s v="Braço"/>
    <n v="46"/>
    <n v="7.3"/>
    <n v="1"/>
    <n v="0.3"/>
    <n v="1.3"/>
    <n v="1"/>
    <s v="-"/>
    <s v="-"/>
    <s v="Sim"/>
    <n v="2"/>
    <n v="0"/>
    <n v="0"/>
    <n v="0"/>
    <n v="0"/>
    <n v="0"/>
    <s v="-"/>
    <n v="0"/>
    <m/>
    <n v="7.5"/>
    <n v="0.18"/>
    <s v="-"/>
    <n v="0.18"/>
    <s v="-"/>
    <n v="16"/>
    <s v="ATENDE"/>
    <n v="0.28533333333333344"/>
    <n v="-5.5555555555555469E-2"/>
    <s v="-"/>
    <n v="9.64"/>
    <n v="0.17"/>
    <m/>
    <m/>
    <m/>
    <m/>
    <s v="ATENDE"/>
    <s v="ATENDE"/>
    <s v="ATENDIMENTO LIMIAR"/>
    <s v="ATENDE"/>
    <s v="C5"/>
    <s v="P6"/>
    <n v="0.63666666666666671"/>
    <n v="4.91"/>
    <n v="1.17"/>
    <n v="3"/>
    <n v="0.6"/>
    <s v="ATENDE"/>
    <s v="ATENDE"/>
    <s v="ATENDE"/>
    <s v="P6"/>
    <n v="0.66666666666666674"/>
    <n v="5"/>
    <n v="1.03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s v="Longo I"/>
    <n v="2.8"/>
    <n v="8"/>
    <m/>
    <m/>
    <m/>
    <m/>
    <m/>
    <m/>
    <n v="50"/>
    <n v="150"/>
    <n v="200"/>
    <n v="0.66666666666666674"/>
    <m/>
    <m/>
    <s v="Sim"/>
    <m/>
  </r>
  <r>
    <n v="114"/>
    <s v="PVP"/>
    <s v="Rua A-Sete da Verbenas, 750 [Q]"/>
    <n v="-30.059200000000001"/>
    <n v="-50.15976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6111111111111112"/>
    <s v="-"/>
    <n v="9.0500000000000007"/>
    <n v="0.47"/>
    <m/>
    <m/>
    <m/>
    <m/>
    <s v="ATENDE"/>
    <s v="ATENDE"/>
    <s v="ATENDE"/>
    <s v="ATENDE"/>
    <s v="C5"/>
    <s v="P6"/>
    <n v="0.91999999999999993"/>
    <n v="5.76"/>
    <n v="3.06"/>
    <n v="3"/>
    <n v="0.6"/>
    <s v="ATENDE"/>
    <s v="ATENDE"/>
    <s v="ATENDE"/>
    <s v="P6"/>
    <n v="1.4366666666666665"/>
    <n v="7.31"/>
    <n v="3.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4"/>
    <s v="PVP"/>
    <s v="Rua A-Sete da Verbenas, 750 [Q]"/>
    <n v="-30.059200000000001"/>
    <n v="-50.15976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533333333333333"/>
    <n v="2.1111111111111116"/>
    <s v="-"/>
    <n v="8.74"/>
    <n v="0.56000000000000005"/>
    <m/>
    <m/>
    <m/>
    <m/>
    <s v="ATENDE"/>
    <s v="ATENDE"/>
    <s v="ATENDE"/>
    <s v="ATENDE"/>
    <s v="C5"/>
    <s v="P6"/>
    <n v="0.65000000000000013"/>
    <n v="4.95"/>
    <n v="3.26"/>
    <n v="3"/>
    <n v="0.6"/>
    <s v="ATENDE"/>
    <s v="ATENDE"/>
    <s v="ATENDE"/>
    <s v="P6"/>
    <n v="1.25"/>
    <n v="6.75"/>
    <n v="2.549999999999999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4"/>
    <s v="PVP"/>
    <s v="Rua A-Sete da Verbenas, 750 [Q]"/>
    <n v="-30.059200000000001"/>
    <n v="-50.159768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466666666666673"/>
    <n v="2.3888888888888888"/>
    <s v="-"/>
    <n v="8.66"/>
    <n v="0.61"/>
    <m/>
    <m/>
    <m/>
    <m/>
    <s v="ATENDE"/>
    <s v="ATENDE"/>
    <s v="ATENDE"/>
    <s v="ATENDE"/>
    <s v="C5"/>
    <s v="P6"/>
    <n v="0.5066666666666666"/>
    <n v="4.5199999999999996"/>
    <n v="3.32"/>
    <n v="3"/>
    <n v="0.6"/>
    <s v="ATENDE"/>
    <s v="ATENDE"/>
    <s v="ATENDE"/>
    <s v="P6"/>
    <n v="1.2566666666666664"/>
    <n v="6.77"/>
    <n v="3.7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5"/>
    <s v="PVP"/>
    <s v="Rua F das Camelias, 273 [Q]"/>
    <n v="-30.06222"/>
    <n v="-50.160806999999998"/>
    <s v="C5"/>
    <x v="0"/>
    <s v="P6"/>
    <s v="Vapor de sódio"/>
    <n v="100"/>
    <n v="17"/>
    <n v="0"/>
    <n v="200"/>
    <n v="2"/>
    <n v="3.5"/>
    <n v="7"/>
    <m/>
    <m/>
    <n v="0"/>
    <n v="4"/>
    <n v="0"/>
    <n v="0"/>
    <n v="0"/>
    <n v="0"/>
    <n v="0"/>
    <s v="Unilateral"/>
    <s v="Braço"/>
    <n v="33.9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733333333333331"/>
    <n v="1.5"/>
    <s v="-"/>
    <n v="8.5299999999999994"/>
    <n v="0.45"/>
    <m/>
    <m/>
    <m/>
    <m/>
    <s v="ATENDE"/>
    <s v="ATENDE"/>
    <s v="ATENDE"/>
    <s v="ATENDE"/>
    <s v="C5"/>
    <s v="P6"/>
    <n v="0.33333333333333326"/>
    <n v="4"/>
    <n v="1.89"/>
    <n v="3"/>
    <n v="0.6"/>
    <s v="ATENDE"/>
    <s v="ATENDE"/>
    <s v="ATENDE"/>
    <s v="P6"/>
    <n v="1.4133333333333336"/>
    <n v="7.24"/>
    <n v="2.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5"/>
    <s v="PVP"/>
    <s v="Rua F das Camelias, 273 [Q]"/>
    <n v="-30.06222"/>
    <n v="-50.160806999999998"/>
    <s v="C5"/>
    <x v="0"/>
    <s v="P6"/>
    <s v="Vapor de sódio"/>
    <n v="100"/>
    <n v="17"/>
    <n v="0"/>
    <n v="200"/>
    <n v="2"/>
    <n v="3.5"/>
    <n v="7"/>
    <m/>
    <m/>
    <n v="0"/>
    <n v="4"/>
    <n v="0"/>
    <n v="0"/>
    <n v="0"/>
    <n v="0"/>
    <n v="0"/>
    <s v="Unilateral"/>
    <s v="Braço"/>
    <n v="33.9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199999999999986E-2"/>
    <n v="2.1111111111111116"/>
    <s v="-"/>
    <n v="8.19"/>
    <n v="0.56000000000000005"/>
    <m/>
    <m/>
    <m/>
    <m/>
    <s v="ATENDE"/>
    <s v="ATENDE"/>
    <s v="ATENDE"/>
    <s v="ATENDE"/>
    <s v="C5"/>
    <s v="P6"/>
    <n v="2.0000000000000018E-2"/>
    <n v="3.06"/>
    <n v="1.18"/>
    <n v="3"/>
    <n v="0.6"/>
    <s v="ATENDE"/>
    <s v="ATENDE"/>
    <s v="ATENDE"/>
    <s v="P6"/>
    <n v="1.2433333333333336"/>
    <n v="6.73"/>
    <n v="2.1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5"/>
    <s v="PVP"/>
    <s v="Rua F das Camelias, 273 [Q]"/>
    <n v="-30.06222"/>
    <n v="-50.160806999999998"/>
    <s v="C5"/>
    <x v="0"/>
    <s v="P6"/>
    <s v="Vapor de sódio"/>
    <n v="100"/>
    <n v="17"/>
    <n v="0"/>
    <n v="200"/>
    <n v="2"/>
    <n v="3.5"/>
    <n v="7"/>
    <m/>
    <m/>
    <n v="0"/>
    <n v="4"/>
    <n v="0"/>
    <n v="0"/>
    <n v="0"/>
    <n v="0"/>
    <n v="0"/>
    <s v="Unilateral"/>
    <s v="Braço"/>
    <n v="33.9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4666666666666659E-2"/>
    <n v="2.1666666666666665"/>
    <s v="-"/>
    <n v="8.06"/>
    <n v="0.56999999999999995"/>
    <m/>
    <m/>
    <m/>
    <m/>
    <s v="ATENDE"/>
    <s v="ATENDE"/>
    <s v="ATENDE"/>
    <s v="ATENDE"/>
    <s v="C5"/>
    <s v="P6"/>
    <n v="0"/>
    <n v="3"/>
    <n v="1.64"/>
    <n v="3"/>
    <n v="0.6"/>
    <s v="ATENDE"/>
    <s v="ATENDE"/>
    <s v="ATENDE"/>
    <s v="P6"/>
    <n v="1.2566666666666664"/>
    <n v="6.77"/>
    <n v="3.2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6"/>
    <s v="PVP"/>
    <s v="Rua Santa Barbara, 330 [Q]"/>
    <n v="-30.055758000000001"/>
    <n v="-50.15897600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6666666666666634E-2"/>
    <n v="1.3888888888888888"/>
    <s v="-"/>
    <n v="7.85"/>
    <n v="0.43"/>
    <m/>
    <m/>
    <m/>
    <m/>
    <s v="ATENDE"/>
    <s v="ATENDE"/>
    <s v="ATENDE"/>
    <s v="ATENDE"/>
    <s v="C5"/>
    <s v="P6"/>
    <n v="0.54666666666666663"/>
    <n v="4.6399999999999997"/>
    <n v="2.39"/>
    <n v="3"/>
    <n v="0.6"/>
    <s v="ATENDE"/>
    <s v="ATENDE"/>
    <s v="ATENDE"/>
    <s v="P6"/>
    <n v="1.1299999999999999"/>
    <n v="6.39"/>
    <n v="2.62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16"/>
    <s v="PVP"/>
    <s v="Rua Santa Barbara, 330 [Q]"/>
    <n v="-30.055758000000001"/>
    <n v="-50.15897600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133333333333323"/>
    <n v="2.0555555555555558"/>
    <s v="-"/>
    <n v="9.76"/>
    <n v="0.55000000000000004"/>
    <m/>
    <m/>
    <m/>
    <m/>
    <s v="ATENDE"/>
    <s v="ATENDE"/>
    <s v="ATENDE"/>
    <s v="ATENDE"/>
    <s v="C5"/>
    <s v="P6"/>
    <n v="0.61333333333333329"/>
    <n v="4.84"/>
    <n v="3.06"/>
    <n v="3"/>
    <n v="0.6"/>
    <s v="ATENDE"/>
    <s v="ATENDE"/>
    <s v="ATENDE"/>
    <s v="P6"/>
    <n v="1.46"/>
    <n v="7.38"/>
    <n v="2.5499999999999998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6"/>
    <s v="PVP"/>
    <s v="Rua Santa Barbara, 330 [Q]"/>
    <n v="-30.055758000000001"/>
    <n v="-50.15897600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400000000000003"/>
    <n v="2.3888888888888888"/>
    <s v="-"/>
    <n v="9.6300000000000008"/>
    <n v="0.61"/>
    <m/>
    <m/>
    <m/>
    <m/>
    <s v="ATENDE"/>
    <s v="ATENDE"/>
    <s v="ATENDE"/>
    <s v="ATENDE"/>
    <s v="C5"/>
    <s v="P6"/>
    <n v="0.5"/>
    <n v="4.5"/>
    <n v="3.19"/>
    <n v="3"/>
    <n v="0.6"/>
    <s v="ATENDE"/>
    <s v="ATENDE"/>
    <s v="ATENDE"/>
    <s v="P6"/>
    <n v="1.4766666666666666"/>
    <n v="7.43"/>
    <n v="3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7"/>
    <s v="PVP"/>
    <s v="Rua Poco das Antas, 248 [Q]"/>
    <n v="-30.057186999999999"/>
    <n v="-50.157490000000003"/>
    <s v="C5"/>
    <x v="0"/>
    <s v="P6"/>
    <s v="Vapor de sódio"/>
    <n v="100"/>
    <n v="17"/>
    <n v="0"/>
    <n v="200"/>
    <n v="2"/>
    <n v="2.9"/>
    <n v="7"/>
    <m/>
    <m/>
    <n v="0"/>
    <n v="2.8"/>
    <n v="0"/>
    <n v="0"/>
    <n v="0"/>
    <n v="0"/>
    <n v="0"/>
    <s v="Unilateral"/>
    <s v="Braço"/>
    <n v="41.9"/>
    <n v="7.4"/>
    <n v="1"/>
    <n v="0.64"/>
    <n v="1.3"/>
    <n v="0.6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000000000000011"/>
    <n v="0.66666666666666674"/>
    <s v="-"/>
    <n v="8.4"/>
    <n v="0.3"/>
    <m/>
    <m/>
    <m/>
    <m/>
    <s v="ATENDE"/>
    <s v="ATENDE"/>
    <s v="ATENDE"/>
    <s v="ATENDE"/>
    <s v="C5"/>
    <s v="P6"/>
    <n v="0.65666666666666651"/>
    <n v="4.97"/>
    <n v="1.92"/>
    <n v="3"/>
    <n v="0.6"/>
    <s v="ATENDE"/>
    <s v="ATENDE"/>
    <s v="ATENDE"/>
    <s v="P6"/>
    <n v="1.3966666666666669"/>
    <n v="7.19"/>
    <n v="1.87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17"/>
    <s v="PVP"/>
    <s v="Rua Poco das Antas, 248 [Q]"/>
    <n v="-30.057186999999999"/>
    <n v="-50.157490000000003"/>
    <s v="C5"/>
    <x v="0"/>
    <s v="P6"/>
    <s v="Vapor de sódio"/>
    <n v="100"/>
    <n v="17"/>
    <n v="0"/>
    <n v="200"/>
    <n v="2"/>
    <n v="2.9"/>
    <n v="7"/>
    <m/>
    <m/>
    <n v="0"/>
    <n v="2.8"/>
    <n v="0"/>
    <n v="0"/>
    <n v="0"/>
    <n v="0"/>
    <n v="0"/>
    <s v="Unilateral"/>
    <s v="Braço"/>
    <n v="41.9"/>
    <n v="7.4"/>
    <n v="1"/>
    <n v="0.64"/>
    <n v="1.3"/>
    <n v="0.6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5333333333333465E-2"/>
    <n v="0.83333333333333348"/>
    <s v="-"/>
    <n v="7.99"/>
    <n v="0.33"/>
    <m/>
    <m/>
    <m/>
    <m/>
    <s v="ATENDE"/>
    <s v="ATENDE"/>
    <s v="ATENDE"/>
    <s v="ATENDE"/>
    <s v="C5"/>
    <s v="P6"/>
    <n v="0.3899999999999999"/>
    <n v="4.17"/>
    <n v="1.77"/>
    <n v="3"/>
    <n v="0.6"/>
    <s v="ATENDE"/>
    <s v="ATENDE"/>
    <s v="ATENDE"/>
    <s v="P6"/>
    <n v="1.2766666666666668"/>
    <n v="6.83"/>
    <n v="1.35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17"/>
    <s v="PVP"/>
    <s v="Rua Poco das Antas, 248 [Q]"/>
    <n v="-30.057186999999999"/>
    <n v="-50.157490000000003"/>
    <s v="C5"/>
    <x v="0"/>
    <s v="P6"/>
    <s v="Vapor de sódio"/>
    <n v="100"/>
    <n v="17"/>
    <n v="0"/>
    <n v="200"/>
    <n v="2"/>
    <n v="2.9"/>
    <n v="7"/>
    <m/>
    <m/>
    <n v="0"/>
    <n v="2.8"/>
    <n v="0"/>
    <n v="0"/>
    <n v="0"/>
    <n v="0"/>
    <n v="0"/>
    <s v="Unilateral"/>
    <s v="Braço"/>
    <n v="41.9"/>
    <n v="7.4"/>
    <n v="1"/>
    <n v="0.64"/>
    <n v="1.3"/>
    <n v="0.6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133333333333336"/>
    <n v="5.555555555555558E-2"/>
    <s v="-"/>
    <n v="9.01"/>
    <n v="0.19"/>
    <m/>
    <m/>
    <m/>
    <m/>
    <s v="ATENDE"/>
    <s v="ATENDE"/>
    <s v="ATENDE"/>
    <s v="ATENDE"/>
    <s v="C5"/>
    <s v="P6"/>
    <n v="0.17333333333333334"/>
    <n v="3.52"/>
    <n v="0.96"/>
    <n v="3"/>
    <n v="0.6"/>
    <s v="ATENDE"/>
    <s v="ATENDE"/>
    <s v="ATENDE"/>
    <s v="P6"/>
    <n v="1.4233333333333333"/>
    <n v="7.27"/>
    <n v="1.2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18"/>
    <s v="PVP"/>
    <s v="Rua Picada Cafe, 120 [Q]"/>
    <n v="-30.058194"/>
    <n v="-50.157175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"/>
    <n v="7.7"/>
    <n v="1"/>
    <n v="0.3"/>
    <n v="1.4"/>
    <n v="1.099999999999999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200000000000014"/>
    <n v="0.88888888888888906"/>
    <s v="-"/>
    <n v="8.64"/>
    <n v="0.34"/>
    <m/>
    <m/>
    <m/>
    <m/>
    <s v="ATENDE"/>
    <s v="ATENDE"/>
    <s v="ATENDE"/>
    <s v="ATENDE"/>
    <s v="C5"/>
    <s v="P6"/>
    <n v="0.93666666666666654"/>
    <n v="5.81"/>
    <n v="2.5"/>
    <n v="3"/>
    <n v="0.6"/>
    <s v="ATENDE"/>
    <s v="ATENDE"/>
    <s v="ATENDE"/>
    <s v="P6"/>
    <n v="1.3599999999999999"/>
    <n v="7.08"/>
    <n v="2.25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18"/>
    <s v="PVP"/>
    <s v="Rua Picada Cafe, 120 [Q]"/>
    <n v="-30.058194"/>
    <n v="-50.157175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"/>
    <n v="7.7"/>
    <n v="1"/>
    <n v="0.3"/>
    <n v="1.4"/>
    <n v="1.099999999999999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6000000000000085E-2"/>
    <n v="1.2222222222222223"/>
    <s v="-"/>
    <n v="8.2200000000000006"/>
    <n v="0.4"/>
    <m/>
    <m/>
    <m/>
    <m/>
    <s v="ATENDE"/>
    <s v="ATENDE"/>
    <s v="ATENDE"/>
    <s v="ATENDE"/>
    <s v="C5"/>
    <s v="P6"/>
    <n v="0.7433333333333334"/>
    <n v="5.23"/>
    <n v="3.04"/>
    <n v="3"/>
    <n v="0.6"/>
    <s v="ATENDE"/>
    <s v="ATENDE"/>
    <s v="ATENDE"/>
    <s v="P6"/>
    <n v="1.2366666666666668"/>
    <n v="6.71"/>
    <n v="1.99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18"/>
    <s v="PVP"/>
    <s v="Rua Picada Cafe, 120 [Q]"/>
    <n v="-30.058194"/>
    <n v="-50.157175000000002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"/>
    <n v="7.7"/>
    <n v="1"/>
    <n v="0.3"/>
    <n v="1.4"/>
    <n v="1.099999999999999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52"/>
    <n v="0.72222222222222232"/>
    <s v="-"/>
    <n v="9.39"/>
    <n v="0.31"/>
    <m/>
    <m/>
    <m/>
    <m/>
    <s v="ATENDE"/>
    <s v="ATENDE"/>
    <s v="ATENDE"/>
    <s v="ATENDE"/>
    <s v="C5"/>
    <s v="P6"/>
    <n v="0.54"/>
    <n v="4.62"/>
    <n v="1.84"/>
    <n v="3"/>
    <n v="0.6"/>
    <s v="ATENDE"/>
    <s v="ATENDE"/>
    <s v="ATENDE"/>
    <s v="P6"/>
    <n v="1.3633333333333333"/>
    <n v="7.09"/>
    <n v="2.0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19"/>
    <s v="V"/>
    <s v="Rua Junquilhos, 332 [Q]"/>
    <n v="-30.057306000000001"/>
    <n v="-50.168548999999999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2.2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22266666666666657"/>
    <n v="1.6666666666666665"/>
    <s v="-"/>
    <n v="9.17"/>
    <n v="0.48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9"/>
    <s v="V"/>
    <s v="Rua Junquilhos, 332 [Q]"/>
    <n v="-30.057306000000001"/>
    <n v="-50.168548999999999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2.2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7999999999999994"/>
    <n v="2.2222222222222223"/>
    <s v="-"/>
    <n v="8.85"/>
    <n v="0.57999999999999996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9"/>
    <s v="V"/>
    <s v="Rua Junquilhos, 332 [Q]"/>
    <n v="-30.057306000000001"/>
    <n v="-50.168548999999999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2.2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6933333333333334"/>
    <n v="2.4444444444444446"/>
    <s v="-"/>
    <n v="8.77"/>
    <n v="0.62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1"/>
    <s v="VP"/>
    <s v="Rua Rio Grande do Norte, 883 [Q]"/>
    <n v="-30.057268000000001"/>
    <n v="-50.169229000000001"/>
    <s v="C4"/>
    <x v="0"/>
    <s v="P4"/>
    <s v="LED"/>
    <n v="50"/>
    <n v="0"/>
    <n v="0"/>
    <n v="100"/>
    <n v="2"/>
    <n v="0"/>
    <n v="7"/>
    <m/>
    <m/>
    <n v="0"/>
    <n v="3.5"/>
    <n v="0"/>
    <n v="0"/>
    <n v="0"/>
    <n v="0"/>
    <n v="0"/>
    <s v="Unilateral"/>
    <s v="Braço"/>
    <n v="20.100000000000001"/>
    <n v="7.5"/>
    <n v="1"/>
    <n v="1.8"/>
    <n v="1.3"/>
    <n v="-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299999999999994"/>
    <n v="2.8888888888888888"/>
    <s v="-"/>
    <n v="13.03"/>
    <n v="0.7"/>
    <m/>
    <m/>
    <m/>
    <m/>
    <s v="ATENDE"/>
    <s v="ATENDE"/>
    <s v="ATENDE"/>
    <s v="ATENDE"/>
    <s v="C4"/>
    <s v="P4"/>
    <e v="#VALUE!"/>
    <s v=" -"/>
    <s v=" -"/>
    <n v="7.5"/>
    <n v="1.5"/>
    <s v="ATENDE"/>
    <s v="ATENDE"/>
    <s v="ATENDE"/>
    <s v="P4"/>
    <n v="-2.666666666666595E-3"/>
    <n v="7.48"/>
    <n v="5.74"/>
    <n v="7.5"/>
    <n v="1.5"/>
    <s v="ATENDE"/>
    <s v="ATENDIMENTO LIMIAR"/>
    <s v="ATENDE"/>
    <x v="0"/>
    <s v=" SL VT 9.1 28W"/>
    <s v="LUM LED SL VT 9.1 28W"/>
    <m/>
    <e v="#N/A"/>
    <n v="1"/>
    <n v="28"/>
    <n v="0"/>
    <n v="4927.3500000000004"/>
    <n v="0"/>
    <n v="0"/>
    <n v="10"/>
    <s v="Curto II"/>
    <m/>
    <s v=""/>
    <s v=""/>
    <m/>
    <m/>
    <m/>
    <m/>
    <m/>
    <m/>
    <n v="28"/>
    <n v="50"/>
    <n v="78"/>
    <n v="0.43999999999999995"/>
    <m/>
    <m/>
    <s v="Sim"/>
    <m/>
  </r>
  <r>
    <n v="121"/>
    <s v="VP"/>
    <s v="Rua Rio Grande do Norte, 883 [Q]"/>
    <n v="-30.057268000000001"/>
    <n v="-50.169229000000001"/>
    <s v="C4"/>
    <x v="0"/>
    <s v="P4"/>
    <s v="LED"/>
    <n v="50"/>
    <n v="0"/>
    <n v="0"/>
    <n v="100"/>
    <n v="2"/>
    <n v="0"/>
    <n v="7"/>
    <m/>
    <m/>
    <n v="0"/>
    <n v="3.5"/>
    <n v="0"/>
    <n v="0"/>
    <n v="0"/>
    <n v="0"/>
    <n v="0"/>
    <s v="Unilateral"/>
    <s v="Braço"/>
    <n v="20.100000000000001"/>
    <n v="7.5"/>
    <n v="1"/>
    <n v="1.8"/>
    <n v="1.3"/>
    <n v="-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7699999999999987"/>
    <n v="3"/>
    <s v="-"/>
    <n v="14.77"/>
    <n v="0.72"/>
    <m/>
    <m/>
    <m/>
    <m/>
    <s v="ATENDE"/>
    <s v="ATENDE"/>
    <s v="ATENDE"/>
    <s v="ATENDE"/>
    <s v="C4"/>
    <s v="P4"/>
    <e v="#VALUE!"/>
    <s v=" -"/>
    <s v=" -"/>
    <n v="7.5"/>
    <n v="1.5"/>
    <s v="ATENDE"/>
    <s v="ATENDE"/>
    <s v="ATENDE"/>
    <s v="P4"/>
    <n v="9.0666666666666673E-2"/>
    <n v="8.18"/>
    <n v="4.95"/>
    <n v="7.5"/>
    <n v="1.5"/>
    <s v="ATENDE"/>
    <s v="ATENDE"/>
    <s v="ATENDE"/>
    <x v="1"/>
    <s v="SX-INEVO040HF"/>
    <s v="SXINEVO040K40L12CZF7PHF"/>
    <m/>
    <e v="#N/A"/>
    <n v="1"/>
    <n v="39"/>
    <n v="0"/>
    <n v="6552"/>
    <n v="0"/>
    <n v="0"/>
    <n v="10"/>
    <s v="Curto II"/>
    <m/>
    <m/>
    <m/>
    <m/>
    <m/>
    <m/>
    <m/>
    <m/>
    <m/>
    <n v="39"/>
    <n v="50"/>
    <n v="89"/>
    <n v="0.21999999999999997"/>
    <m/>
    <m/>
    <s v="Sim"/>
    <m/>
  </r>
  <r>
    <n v="121"/>
    <s v="VP"/>
    <s v="Rua Rio Grande do Norte, 883 [Q]"/>
    <n v="-30.057268000000001"/>
    <n v="-50.169229000000001"/>
    <s v="C4"/>
    <x v="0"/>
    <s v="P4"/>
    <s v="LED"/>
    <n v="50"/>
    <n v="0"/>
    <n v="0"/>
    <n v="100"/>
    <n v="2"/>
    <n v="0"/>
    <n v="7"/>
    <m/>
    <m/>
    <n v="0"/>
    <n v="3.5"/>
    <n v="0"/>
    <n v="0"/>
    <n v="0"/>
    <n v="0"/>
    <n v="0"/>
    <s v="Unilateral"/>
    <s v="Braço"/>
    <n v="20.100000000000001"/>
    <n v="7.5"/>
    <n v="1"/>
    <n v="1.8"/>
    <n v="1.3"/>
    <n v="-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70300000000000007"/>
    <n v="2.7777777777777781"/>
    <s v="-"/>
    <n v="17.03"/>
    <n v="0.68"/>
    <m/>
    <m/>
    <m/>
    <m/>
    <s v="ATENDE"/>
    <s v="ATENDE"/>
    <s v="ATENDE"/>
    <s v="ATENDE"/>
    <s v="C4"/>
    <s v="P4"/>
    <e v="#VALUE!"/>
    <s v=" -"/>
    <s v=" -"/>
    <n v="7.5"/>
    <n v="1.5"/>
    <s v="ATENDE"/>
    <s v="ATENDE"/>
    <s v="ATENDE"/>
    <s v="P4"/>
    <n v="-1.3333333333332975E-3"/>
    <n v="7.49"/>
    <n v="4.5999999999999996"/>
    <n v="7.5"/>
    <n v="1.5"/>
    <s v="ATENDE"/>
    <s v="ATENDIMENTO LIMIAR"/>
    <s v="ATENDE"/>
    <x v="2"/>
    <s v="SIGSAGPTLRRSSNDL_40W_50IBBRS_x000a_"/>
    <s v="SIGSAGPTLRRSSNDL_40W_50IBBRS_x000a_1-10C1MUN6.5"/>
    <m/>
    <e v="#N/A"/>
    <n v="1"/>
    <n v="40"/>
    <e v="#N/A"/>
    <n v="6641"/>
    <n v="0"/>
    <n v="0"/>
    <n v="10"/>
    <s v="Curto II"/>
    <m/>
    <s v=""/>
    <s v=""/>
    <m/>
    <m/>
    <m/>
    <m/>
    <m/>
    <m/>
    <n v="40"/>
    <n v="50"/>
    <n v="90"/>
    <n v="0.19999999999999996"/>
    <m/>
    <m/>
    <s v="Sim"/>
    <m/>
  </r>
  <r>
    <n v="122"/>
    <s v="PVP"/>
    <s v="Avenida A-Treze, 217 [Q]"/>
    <n v="-30.052813"/>
    <n v="-50.162320999999999"/>
    <s v="C2"/>
    <x v="0"/>
    <s v="P4"/>
    <s v="Vapor de sódio"/>
    <n v="250"/>
    <n v="30"/>
    <n v="0"/>
    <n v="500"/>
    <n v="2"/>
    <n v="3.8"/>
    <n v="8"/>
    <m/>
    <m/>
    <n v="0"/>
    <n v="4"/>
    <n v="0"/>
    <n v="0"/>
    <n v="0"/>
    <n v="7.3"/>
    <n v="8.1999999999999993"/>
    <s v="Bilateral frontal"/>
    <s v="Braço"/>
    <n v="36"/>
    <n v="7"/>
    <n v="1"/>
    <n v="10"/>
    <n v="1.3"/>
    <n v="-8.6999999999999993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7.9499999999999904E-2"/>
    <n v="1.9285714285714279"/>
    <s v="-"/>
    <n v="21.59"/>
    <n v="0.82"/>
    <m/>
    <m/>
    <m/>
    <m/>
    <s v="ATENDE"/>
    <s v="ATENDE"/>
    <s v="ATENDE"/>
    <s v="ATENDE"/>
    <s v="C2"/>
    <s v="P4"/>
    <n v="0.8919999999999999"/>
    <n v="14.19"/>
    <n v="6.03"/>
    <n v="7.5"/>
    <n v="1.5"/>
    <s v="ATENDE"/>
    <s v="ATENDE"/>
    <s v="ATENDE"/>
    <s v="P4"/>
    <n v="1.2293333333333334"/>
    <n v="16.72"/>
    <n v="7.89"/>
    <n v="7.5"/>
    <n v="1.5"/>
    <s v="ATENDE"/>
    <s v="ATENDE"/>
    <s v="ATENDE"/>
    <x v="0"/>
    <s v=" SL VT 9.3 105W"/>
    <s v="LUM LED SL VT 9.3 105W"/>
    <m/>
    <e v="#N/A"/>
    <n v="1"/>
    <n v="105"/>
    <n v="0"/>
    <n v="17338.400000000001"/>
    <n v="0"/>
    <n v="0"/>
    <n v="10"/>
    <s v="Curto II"/>
    <s v="Longo II"/>
    <n v="3.5"/>
    <n v="8.5"/>
    <m/>
    <m/>
    <m/>
    <m/>
    <m/>
    <m/>
    <n v="105"/>
    <n v="250"/>
    <n v="355"/>
    <n v="0.58000000000000007"/>
    <m/>
    <m/>
    <s v="Sim"/>
    <m/>
  </r>
  <r>
    <n v="122"/>
    <s v="PVP"/>
    <s v="Avenida A-Treze, 217 [Q]"/>
    <n v="-30.052813"/>
    <n v="-50.162320999999999"/>
    <s v="C2"/>
    <x v="0"/>
    <s v="P4"/>
    <s v="Vapor de sódio"/>
    <n v="250"/>
    <n v="30"/>
    <n v="0"/>
    <n v="500"/>
    <n v="2"/>
    <n v="3.8"/>
    <n v="8"/>
    <m/>
    <m/>
    <n v="0"/>
    <n v="4"/>
    <n v="0"/>
    <n v="0"/>
    <n v="0"/>
    <n v="7.3"/>
    <n v="8.1999999999999993"/>
    <s v="Bilateral frontal"/>
    <s v="Braço"/>
    <n v="36"/>
    <n v="7"/>
    <n v="1"/>
    <n v="10"/>
    <n v="1.3"/>
    <n v="-8.6999999999999993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1199999999999988"/>
    <n v="2.1785714285714284"/>
    <s v="-"/>
    <n v="22.24"/>
    <n v="0.89"/>
    <m/>
    <m/>
    <m/>
    <m/>
    <s v="ATENDE"/>
    <s v="ATENDE"/>
    <s v="ATENDE"/>
    <s v="ATENDE"/>
    <s v="C2"/>
    <s v="P4"/>
    <n v="0.53466666666666662"/>
    <n v="11.51"/>
    <n v="4.93"/>
    <n v="7.5"/>
    <n v="1.5"/>
    <s v="ATENDE"/>
    <s v="ATENDE"/>
    <s v="ATENDE"/>
    <s v="P4"/>
    <n v="1.0026666666666668"/>
    <n v="15.02"/>
    <n v="7.16"/>
    <n v="7.5"/>
    <n v="1.5"/>
    <s v="ATENDE"/>
    <s v="ATENDE"/>
    <s v="ATENDE"/>
    <x v="1"/>
    <s v="SX-INLPP090HF"/>
    <s v="SXINLPP090K40L12CZF7PHF"/>
    <m/>
    <e v="#N/A"/>
    <n v="1"/>
    <n v="90"/>
    <e v="#N/A"/>
    <n v="15476"/>
    <n v="0"/>
    <n v="0"/>
    <n v="10"/>
    <s v="Curto II"/>
    <s v="Longo II"/>
    <n v="3.5"/>
    <n v="8.5"/>
    <m/>
    <m/>
    <m/>
    <m/>
    <m/>
    <m/>
    <n v="90"/>
    <n v="250"/>
    <n v="340"/>
    <n v="0.64"/>
    <m/>
    <m/>
    <s v="Sim"/>
    <m/>
  </r>
  <r>
    <n v="122"/>
    <s v="PVP"/>
    <s v="Avenida A-Treze, 217 [Q]"/>
    <n v="-30.052813"/>
    <n v="-50.162320999999999"/>
    <s v="C2"/>
    <x v="0"/>
    <s v="P4"/>
    <s v="Vapor de sódio"/>
    <n v="250"/>
    <n v="30"/>
    <n v="0"/>
    <n v="500"/>
    <n v="2"/>
    <n v="3.8"/>
    <n v="8"/>
    <m/>
    <m/>
    <n v="0"/>
    <n v="4"/>
    <n v="0"/>
    <n v="0"/>
    <n v="0"/>
    <n v="7.3"/>
    <n v="8.1999999999999993"/>
    <s v="Bilateral frontal"/>
    <s v="Braço"/>
    <n v="36"/>
    <n v="7"/>
    <n v="1"/>
    <n v="10"/>
    <n v="1.3"/>
    <n v="-8.6999999999999993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2850000000000006"/>
    <n v="2.1428571428571428"/>
    <s v="-"/>
    <n v="22.57"/>
    <n v="0.88"/>
    <m/>
    <m/>
    <m/>
    <m/>
    <s v="ATENDE"/>
    <s v="ATENDE"/>
    <s v="ATENDE"/>
    <s v="ATENDE"/>
    <s v="C2"/>
    <s v="P4"/>
    <n v="0.86133333333333351"/>
    <n v="13.96"/>
    <n v="7.37"/>
    <n v="7.5"/>
    <n v="1.5"/>
    <s v="ATENDE"/>
    <s v="ATENDE"/>
    <s v="ATENDE"/>
    <s v="P4"/>
    <n v="1.3226666666666671"/>
    <n v="17.420000000000002"/>
    <n v="9.61"/>
    <n v="7.5"/>
    <n v="1.5"/>
    <s v="ATENDE"/>
    <s v="ATENDE"/>
    <s v="ATENDE"/>
    <x v="2"/>
    <s v="SIGMAGPTLRRSMNDL120W_82IBBR_x000a_"/>
    <s v="SIGMAGPTLRRSMNDL120W_82IBBR_x000a_S1-10C1MUN6.5"/>
    <m/>
    <e v="#N/A"/>
    <n v="1"/>
    <n v="120"/>
    <n v="0"/>
    <n v="19640"/>
    <n v="0"/>
    <n v="0"/>
    <n v="10"/>
    <s v="Curto II"/>
    <s v="Longo II"/>
    <n v="3.5"/>
    <n v="8.5"/>
    <m/>
    <m/>
    <m/>
    <m/>
    <m/>
    <m/>
    <n v="120"/>
    <n v="250"/>
    <n v="370"/>
    <n v="0.52"/>
    <m/>
    <m/>
    <s v="Sim"/>
    <m/>
  </r>
  <r>
    <n v="120"/>
    <s v="PVP"/>
    <s v="Rua Arthur Hoffmeister, 775 [Q]"/>
    <n v="-29.987065999999999"/>
    <n v="-50.126257000000003"/>
    <s v="C5"/>
    <x v="0"/>
    <s v="P6"/>
    <s v="Vapor de sódio"/>
    <n v="100"/>
    <n v="17"/>
    <n v="0"/>
    <n v="200"/>
    <n v="2"/>
    <n v="4"/>
    <n v="8"/>
    <m/>
    <m/>
    <n v="0"/>
    <n v="4"/>
    <n v="0"/>
    <n v="0"/>
    <n v="0"/>
    <n v="0"/>
    <n v="0"/>
    <s v="Bilateral alternada"/>
    <s v="Braço"/>
    <n v="23.5"/>
    <n v="7"/>
    <n v="1"/>
    <n v="0.5"/>
    <n v="1.3"/>
    <n v="0.8"/>
    <s v="-"/>
    <s v="-"/>
    <s v="Sim"/>
    <n v="3"/>
    <n v="0"/>
    <n v="0"/>
    <n v="0"/>
    <n v="0"/>
    <n v="0"/>
    <s v="-"/>
    <n v="0"/>
    <m/>
    <n v="7.5"/>
    <n v="0.18"/>
    <s v="-"/>
    <n v="0.18"/>
    <s v="-"/>
    <n v="16"/>
    <s v="ATENDE"/>
    <n v="0.58400000000000007"/>
    <n v="3.4444444444444446"/>
    <s v="-"/>
    <n v="11.88"/>
    <n v="0.8"/>
    <m/>
    <m/>
    <m/>
    <m/>
    <s v="ATENDE"/>
    <s v="ATENDE"/>
    <s v="ATENDE"/>
    <s v="ATENDE"/>
    <s v="C5"/>
    <s v="P6"/>
    <n v="1.3333333333333335"/>
    <n v="7"/>
    <n v="4.2300000000000004"/>
    <n v="3"/>
    <n v="0.6"/>
    <s v="ATENDE"/>
    <s v="ATENDE"/>
    <s v="ATENDE"/>
    <s v="P6"/>
    <n v="1.3333333333333335"/>
    <n v="7"/>
    <n v="4.2300000000000004"/>
    <n v="3"/>
    <n v="0.6"/>
    <s v="ATENDE"/>
    <s v="ATENDE"/>
    <s v="ATENDE"/>
    <x v="0"/>
    <s v=" SL VT 9.1 17W"/>
    <s v="LUM LED SL VT 9.1 17W"/>
    <m/>
    <n v="0"/>
    <n v="1"/>
    <n v="17"/>
    <n v="0"/>
    <n v="2929.66"/>
    <n v="0"/>
    <n v="0"/>
    <m/>
    <s v="Curto II"/>
    <m/>
    <s v=""/>
    <s v=""/>
    <m/>
    <m/>
    <m/>
    <m/>
    <m/>
    <m/>
    <n v="17"/>
    <n v="100"/>
    <n v="117"/>
    <n v="0.83"/>
    <m/>
    <m/>
    <s v="Sim"/>
    <m/>
  </r>
  <r>
    <n v="120"/>
    <s v="PVP"/>
    <s v="Rua Arthur Hoffmeister, 775 [Q]"/>
    <n v="-29.987065999999999"/>
    <n v="-50.126257000000003"/>
    <s v="C5"/>
    <x v="0"/>
    <s v="P6"/>
    <s v="Vapor de sódio"/>
    <n v="100"/>
    <n v="17"/>
    <n v="0"/>
    <n v="200"/>
    <n v="2"/>
    <n v="4"/>
    <n v="8"/>
    <m/>
    <m/>
    <n v="0"/>
    <n v="4"/>
    <n v="0"/>
    <n v="0"/>
    <n v="0"/>
    <n v="0"/>
    <n v="0"/>
    <s v="Bilateral alternada"/>
    <s v="Braço"/>
    <n v="23.5"/>
    <n v="7"/>
    <n v="1"/>
    <n v="0.5"/>
    <n v="1.3"/>
    <n v="0.8"/>
    <s v="-"/>
    <s v="-"/>
    <s v="Sim"/>
    <n v="3"/>
    <n v="0"/>
    <n v="0"/>
    <n v="0"/>
    <n v="0"/>
    <n v="0"/>
    <s v="-"/>
    <n v="0"/>
    <m/>
    <n v="7.5"/>
    <n v="0.18"/>
    <s v="-"/>
    <n v="0.18"/>
    <s v="-"/>
    <n v="16"/>
    <s v="ATENDE"/>
    <n v="1.1333333333333333"/>
    <n v="3.1111111111111116"/>
    <s v="-"/>
    <n v="16"/>
    <n v="0.74"/>
    <m/>
    <m/>
    <m/>
    <m/>
    <s v="ATENDE"/>
    <s v="ATENDE"/>
    <s v="ATENDE"/>
    <s v="ATENDE"/>
    <s v="C5"/>
    <s v="P6"/>
    <n v="1.7333333333333329"/>
    <n v="8.1999999999999993"/>
    <n v="4.08"/>
    <n v="3"/>
    <n v="0.6"/>
    <s v="ATENDE"/>
    <s v="ATENDE"/>
    <s v="ATENDE"/>
    <s v="P6"/>
    <n v="1.7333333333333329"/>
    <n v="8.1999999999999993"/>
    <n v="4.08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120"/>
    <s v="PVP"/>
    <s v="Rua Arthur Hoffmeister, 775 [Q]"/>
    <n v="-29.987065999999999"/>
    <n v="-50.126257000000003"/>
    <s v="C5"/>
    <x v="0"/>
    <s v="P6"/>
    <s v="Vapor de sódio"/>
    <n v="100"/>
    <n v="17"/>
    <n v="0"/>
    <n v="200"/>
    <n v="2"/>
    <n v="4"/>
    <n v="8"/>
    <m/>
    <m/>
    <n v="0"/>
    <n v="4"/>
    <n v="0"/>
    <n v="0"/>
    <n v="0"/>
    <n v="0"/>
    <n v="0"/>
    <s v="Bilateral alternada"/>
    <s v="Braço"/>
    <n v="23.5"/>
    <n v="7"/>
    <n v="1"/>
    <n v="0.5"/>
    <n v="1.3"/>
    <n v="0.8"/>
    <s v="-"/>
    <s v="-"/>
    <s v="Sim"/>
    <n v="3"/>
    <n v="0"/>
    <n v="0"/>
    <n v="0"/>
    <n v="0"/>
    <n v="0"/>
    <s v="-"/>
    <n v="0"/>
    <m/>
    <n v="7.5"/>
    <n v="0.18"/>
    <s v="-"/>
    <n v="0.18"/>
    <s v="-"/>
    <n v="16"/>
    <s v="ATENDE"/>
    <n v="2.158666666666667"/>
    <n v="3"/>
    <s v="-"/>
    <n v="23.69"/>
    <n v="0.72"/>
    <m/>
    <m/>
    <m/>
    <m/>
    <s v="ATENDE"/>
    <s v="ATENDE"/>
    <s v="ATENDE"/>
    <s v="ATENDE"/>
    <s v="C5"/>
    <s v="P6"/>
    <n v="2.9666666666666668"/>
    <n v="11.9"/>
    <n v="7.15"/>
    <n v="3"/>
    <n v="0.6"/>
    <s v="ATENDE"/>
    <s v="ATENDE"/>
    <s v="ATENDE"/>
    <s v="P6"/>
    <n v="2.9666666666666668"/>
    <n v="11.9"/>
    <n v="7.1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3"/>
    <s v="PVP"/>
    <s v="Rua Bem-me-quer, 576 [Q]"/>
    <n v="-30.062231000000001"/>
    <n v="-50.15829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2000000000000028E-2"/>
    <n v="1.1111111111111112"/>
    <s v="-"/>
    <n v="7.74"/>
    <n v="0.38"/>
    <m/>
    <m/>
    <m/>
    <m/>
    <s v="ATENDE"/>
    <s v="ATENDE"/>
    <s v="ATENDE"/>
    <s v="ATENDE"/>
    <s v="C5"/>
    <s v="P6"/>
    <n v="0.30666666666666664"/>
    <n v="3.92"/>
    <n v="1.79"/>
    <n v="3"/>
    <n v="0.6"/>
    <s v="ATENDE"/>
    <s v="ATENDE"/>
    <s v="ATENDE"/>
    <s v="P6"/>
    <n v="1.2466666666666666"/>
    <n v="6.74"/>
    <n v="2.2200000000000002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23"/>
    <s v="PVP"/>
    <s v="Rua Bem-me-quer, 576 [Q]"/>
    <n v="-30.062231000000001"/>
    <n v="-50.15829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266666666666674"/>
    <n v="1.8333333333333335"/>
    <s v="-"/>
    <n v="8.7200000000000006"/>
    <n v="0.51"/>
    <m/>
    <m/>
    <m/>
    <m/>
    <s v="ATENDE"/>
    <s v="ATENDE"/>
    <s v="ATENDE"/>
    <s v="ATENDE"/>
    <s v="C5"/>
    <s v="P6"/>
    <n v="0.30000000000000004"/>
    <n v="3.9"/>
    <n v="2.39"/>
    <n v="3"/>
    <n v="0.6"/>
    <s v="ATENDE"/>
    <s v="ATENDE"/>
    <s v="ATENDE"/>
    <s v="P6"/>
    <n v="1.6166666666666667"/>
    <n v="7.85"/>
    <n v="2.7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23"/>
    <s v="PVP"/>
    <s v="Rua Bem-me-quer, 576 [Q]"/>
    <n v="-30.062231000000001"/>
    <n v="-50.15829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333333333333322"/>
    <n v="1.0555555555555558"/>
    <s v="-"/>
    <n v="9.6999999999999993"/>
    <n v="0.37"/>
    <m/>
    <m/>
    <m/>
    <m/>
    <s v="ATENDE"/>
    <s v="ATENDE"/>
    <s v="ATENDE"/>
    <s v="ATENDE"/>
    <s v="C5"/>
    <s v="P6"/>
    <n v="7.3333333333333472E-2"/>
    <n v="3.22"/>
    <n v="1.57"/>
    <n v="3"/>
    <n v="0.6"/>
    <s v="ATENDE"/>
    <s v="ATENDE"/>
    <s v="ATENDE"/>
    <s v="P6"/>
    <n v="1.7799999999999998"/>
    <n v="8.34"/>
    <n v="2.9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25"/>
    <s v="PVP"/>
    <s v="Rua Julio de Castilhos, 308 [Q]"/>
    <n v="-29.984749000000001"/>
    <n v="-50.126472"/>
    <s v="C4"/>
    <x v="0"/>
    <s v="P4"/>
    <s v="Vapor de sódio"/>
    <n v="100"/>
    <n v="17"/>
    <n v="0"/>
    <n v="200"/>
    <n v="2"/>
    <n v="4"/>
    <n v="10"/>
    <m/>
    <m/>
    <n v="0"/>
    <n v="2.8"/>
    <n v="0"/>
    <n v="0"/>
    <n v="0"/>
    <n v="0"/>
    <n v="0"/>
    <s v="Unilateral"/>
    <s v="Braço"/>
    <n v="36.700000000000003"/>
    <n v="6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69799999999999995"/>
    <n v="1.2777777777777777"/>
    <s v="-"/>
    <n v="16.98"/>
    <n v="0.41"/>
    <m/>
    <m/>
    <m/>
    <m/>
    <s v="ATENDE"/>
    <s v="ATENDE"/>
    <s v="ATENDE"/>
    <s v="ATENDE"/>
    <s v="C4"/>
    <s v="P4"/>
    <n v="0.44799999999999995"/>
    <n v="10.86"/>
    <n v="4.2300000000000004"/>
    <n v="7.5"/>
    <n v="1.5"/>
    <s v="ATENDE"/>
    <s v="ATENDE"/>
    <s v="ATENDE"/>
    <s v="-"/>
    <e v="#VALUE!"/>
    <n v="8.69"/>
    <n v="4.92"/>
    <s v="-"/>
    <s v="-"/>
    <s v="-"/>
    <s v="-"/>
    <s v="-"/>
    <x v="0"/>
    <s v=" SL VT 9.1 85W"/>
    <s v="LUM LED SL VT 9.1 85W"/>
    <m/>
    <e v="#N/A"/>
    <n v="1"/>
    <n v="85"/>
    <n v="0"/>
    <n v="14489"/>
    <n v="0"/>
    <n v="0"/>
    <m/>
    <s v="Curto II"/>
    <m/>
    <s v=""/>
    <s v=""/>
    <m/>
    <m/>
    <m/>
    <m/>
    <m/>
    <m/>
    <n v="85"/>
    <n v="100"/>
    <n v="185"/>
    <n v="0.15000000000000002"/>
    <m/>
    <m/>
    <s v="Sim"/>
    <m/>
  </r>
  <r>
    <n v="125"/>
    <s v="PVP"/>
    <s v="Rua Julio de Castilhos, 308 [Q]"/>
    <n v="-29.984749000000001"/>
    <n v="-50.126472"/>
    <s v="C4"/>
    <x v="0"/>
    <s v="P4"/>
    <s v="Vapor de sódio"/>
    <n v="100"/>
    <n v="17"/>
    <n v="0"/>
    <n v="200"/>
    <n v="2"/>
    <n v="4"/>
    <n v="10"/>
    <m/>
    <m/>
    <n v="0"/>
    <n v="2.8"/>
    <n v="0"/>
    <n v="0"/>
    <n v="0"/>
    <n v="0"/>
    <n v="0"/>
    <s v="Unilateral"/>
    <s v="Braço"/>
    <n v="36.700000000000003"/>
    <n v="6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81299999999999994"/>
    <n v="1.1111111111111112"/>
    <s v="-"/>
    <n v="18.13"/>
    <n v="0.38"/>
    <m/>
    <m/>
    <m/>
    <m/>
    <s v="ATENDE"/>
    <s v="ATENDE"/>
    <s v="ATENDE"/>
    <s v="ATENDE"/>
    <s v="C4"/>
    <s v="P4"/>
    <n v="0.29200000000000004"/>
    <n v="9.69"/>
    <n v="3.59"/>
    <n v="7.5"/>
    <n v="1.5"/>
    <s v="ATENDE"/>
    <s v="ATENDE"/>
    <s v="ATENDE"/>
    <s v="-"/>
    <e v="#VALUE!"/>
    <n v="8.24"/>
    <n v="3.88"/>
    <s v="-"/>
    <s v="-"/>
    <s v="-"/>
    <s v="-"/>
    <s v="-"/>
    <x v="1"/>
    <s v="SX-INLPP070HF"/>
    <s v="SXINLPP070K40L12CZF7PHF"/>
    <m/>
    <e v="#N/A"/>
    <n v="1"/>
    <n v="70"/>
    <n v="0"/>
    <n v="11970"/>
    <n v="0"/>
    <n v="0"/>
    <m/>
    <s v="Curto II"/>
    <m/>
    <s v=""/>
    <s v=""/>
    <m/>
    <m/>
    <m/>
    <m/>
    <m/>
    <m/>
    <n v="70"/>
    <n v="100"/>
    <n v="170"/>
    <n v="0.30000000000000004"/>
    <m/>
    <m/>
    <s v="Sim"/>
    <m/>
  </r>
  <r>
    <n v="125"/>
    <s v="PVP"/>
    <s v="Rua Julio de Castilhos, 308 [Q]"/>
    <n v="-29.984749000000001"/>
    <n v="-50.126472"/>
    <s v="C4"/>
    <x v="2"/>
    <s v="P4"/>
    <s v="Vapor de sódio"/>
    <n v="100"/>
    <n v="17"/>
    <n v="0"/>
    <n v="200"/>
    <n v="2"/>
    <n v="4"/>
    <n v="10"/>
    <m/>
    <m/>
    <n v="0"/>
    <n v="2.8"/>
    <n v="0"/>
    <n v="0"/>
    <n v="0"/>
    <n v="0"/>
    <n v="0"/>
    <s v="Unilateral"/>
    <s v="Braço"/>
    <n v="36.700000000000003"/>
    <n v="6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81400000000000006"/>
    <n v="1.6666666666666665"/>
    <s v="-"/>
    <n v="18.14"/>
    <n v="0.48"/>
    <m/>
    <m/>
    <m/>
    <m/>
    <s v="ATENDE"/>
    <s v="ATENDE"/>
    <s v="ATENDE"/>
    <s v="ATENDE"/>
    <s v="C4"/>
    <s v="P4"/>
    <n v="4.5333333333333226E-2"/>
    <n v="7.84"/>
    <n v="3.92"/>
    <n v="7.5"/>
    <n v="1.5"/>
    <s v="ATENDE"/>
    <s v="ATENDE"/>
    <s v="ATENDE"/>
    <s v="-"/>
    <e v="#VALUE!"/>
    <n v="8.36"/>
    <n v="3.42"/>
    <s v="-"/>
    <s v="-"/>
    <s v="-"/>
    <s v="-"/>
    <s v="-"/>
    <x v="2"/>
    <s v="SIGSAGPTLRRSSNDL_68W_83IBBRS_x000a_"/>
    <s v="SIGSAGPTLRRSSNDL_68W_83IBBRS_x000a_1-10C1MUN6.5"/>
    <m/>
    <e v="#N/A"/>
    <n v="1"/>
    <n v="68"/>
    <n v="0"/>
    <n v="10884"/>
    <n v="0"/>
    <n v="0"/>
    <n v="10"/>
    <s v="Curto II"/>
    <m/>
    <s v=""/>
    <s v=""/>
    <m/>
    <m/>
    <m/>
    <m/>
    <m/>
    <m/>
    <n v="68"/>
    <n v="100"/>
    <n v="168"/>
    <n v="0.31999999999999995"/>
    <m/>
    <m/>
    <s v="Sim"/>
    <m/>
  </r>
  <r>
    <n v="124"/>
    <s v="PV"/>
    <s v="Rua Santa Barbara, 274 [Q]"/>
    <n v="-30.056794"/>
    <n v="-50.159466000000002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8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333333333333329"/>
    <n v="0"/>
    <s v="-"/>
    <n v="8.35"/>
    <n v="0.18"/>
    <m/>
    <m/>
    <m/>
    <m/>
    <s v="ATENDE"/>
    <s v="ATENDE"/>
    <s v="ATENDE"/>
    <s v="ATENDE"/>
    <s v="C5"/>
    <s v="P6"/>
    <n v="1.2233333333333332"/>
    <n v="6.67"/>
    <n v="1.1399999999999999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124"/>
    <s v="PV"/>
    <s v="Rua Santa Barbara, 274 [Q]"/>
    <n v="-30.056794"/>
    <n v="-50.159466000000002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8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466666666666685"/>
    <n v="3"/>
    <s v="-"/>
    <n v="9.7100000000000009"/>
    <n v="0.72"/>
    <m/>
    <m/>
    <m/>
    <m/>
    <s v="ATENDE"/>
    <s v="ATENDE"/>
    <s v="ATENDE"/>
    <s v="ATENDE"/>
    <s v="C5"/>
    <s v="P6"/>
    <n v="1.5"/>
    <n v="7.5"/>
    <n v="4.08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24"/>
    <s v="PV"/>
    <s v="Rua Santa Barbara, 274 [Q]"/>
    <n v="-30.056794"/>
    <n v="-50.159466000000002"/>
    <s v="C5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8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7333333333333494E-2"/>
    <n v="3.1111111111111116"/>
    <s v="-"/>
    <n v="8.23"/>
    <n v="0.74"/>
    <m/>
    <m/>
    <m/>
    <m/>
    <s v="ATENDE"/>
    <s v="ATENDE"/>
    <s v="ATENDE"/>
    <s v="ATENDE"/>
    <s v="C5"/>
    <s v="P6"/>
    <n v="1.3266666666666667"/>
    <n v="6.98"/>
    <n v="4.84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7"/>
    <s v="PV"/>
    <s v="Avenida Beira-Mar, 46 [E]"/>
    <n v="-30.067663899999999"/>
    <n v="-50.159883919999999"/>
    <s v="C1"/>
    <x v="0"/>
    <s v="P6"/>
    <s v="Vapor de sódio"/>
    <n v="100"/>
    <n v="17"/>
    <n v="0"/>
    <n v="200"/>
    <n v="2"/>
    <n v="2.5"/>
    <n v="6.5"/>
    <m/>
    <m/>
    <n v="0"/>
    <n v="0"/>
    <n v="0"/>
    <n v="0"/>
    <n v="0"/>
    <n v="0"/>
    <n v="0"/>
    <s v="Unilateral"/>
    <s v="Braço"/>
    <n v="41.4"/>
    <n v="7.5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8.0333333333333146E-2"/>
    <n v="0"/>
    <s v="-"/>
    <n v="32.409999999999997"/>
    <n v="0.38"/>
    <m/>
    <m/>
    <m/>
    <m/>
    <s v="ATENDE"/>
    <s v="ATENDE"/>
    <s v="ATENDE"/>
    <s v="ATENDE"/>
    <s v="C1"/>
    <s v="P6"/>
    <n v="5.5866666666666669"/>
    <n v="19.760000000000002"/>
    <n v="8.43"/>
    <n v="3"/>
    <n v="0.6"/>
    <s v="ATENDE"/>
    <s v="ATENDE"/>
    <s v="ATENDE"/>
    <s v="-"/>
    <s v="-"/>
    <s v="-"/>
    <s v="-"/>
    <s v="-"/>
    <s v="-"/>
    <s v="-"/>
    <s v="-"/>
    <s v="-"/>
    <x v="0"/>
    <s v=" SL VT 9.6 190W"/>
    <s v="LUM LED SL VT 9.6 190W"/>
    <m/>
    <e v="#N/A"/>
    <n v="1"/>
    <n v="190"/>
    <n v="0"/>
    <n v="28644.799999999999"/>
    <n v="0"/>
    <n v="0"/>
    <m/>
    <s v="Curto II"/>
    <s v="Longo II"/>
    <n v="3.5"/>
    <n v="8.5"/>
    <s v="APEA"/>
    <n v="1"/>
    <m/>
    <s v="Reduzido espaçamento de 41.40 mts para 2.70mts, mantendo os mesmos parâmetros"/>
    <m/>
    <m/>
    <n v="190"/>
    <n v="100"/>
    <n v="290"/>
    <n v="-0.89999999999999991"/>
    <m/>
    <m/>
    <s v="Sim"/>
    <m/>
  </r>
  <r>
    <n v="127"/>
    <s v="PV"/>
    <s v="Avenida Beira-Mar, 46 [E]"/>
    <n v="-30.067663899999999"/>
    <n v="-50.159883919999999"/>
    <s v="C1"/>
    <x v="0"/>
    <s v="P6"/>
    <s v="Vapor de sódio"/>
    <n v="100"/>
    <n v="17"/>
    <n v="0"/>
    <n v="200"/>
    <n v="2"/>
    <n v="2.5"/>
    <n v="6.5"/>
    <m/>
    <m/>
    <n v="0"/>
    <n v="0"/>
    <n v="0"/>
    <n v="0"/>
    <n v="0"/>
    <n v="0"/>
    <n v="0"/>
    <s v="Unilateral"/>
    <s v="Braço"/>
    <n v="41.4"/>
    <n v="7.5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REF!"/>
    <n v="-6.6666666666670427E-4"/>
    <e v="#REF!"/>
    <s v="-"/>
    <n v="29.98"/>
    <n v="0.37"/>
    <m/>
    <m/>
    <m/>
    <m/>
    <e v="#REF!"/>
    <s v="ATENDIMENTO LIMIAR"/>
    <e v="#REF!"/>
    <s v="ATENDE"/>
    <s v="C1"/>
    <s v="P6"/>
    <n v="7.9599999999999991"/>
    <n v="26.88"/>
    <n v="11.4"/>
    <n v="3"/>
    <n v="0.6"/>
    <s v="ATENDE"/>
    <s v="ATENDE"/>
    <s v="ATENDE"/>
    <s v="-"/>
    <s v="-"/>
    <s v="-"/>
    <s v="-"/>
    <s v="-"/>
    <s v="-"/>
    <s v="-"/>
    <s v="-"/>
    <s v="-"/>
    <x v="1"/>
    <s v="SX-INLPP150HF"/>
    <s v="SXINLPP150K40L12CZF7PHF"/>
    <m/>
    <n v="0"/>
    <n v="1"/>
    <n v="137"/>
    <n v="0"/>
    <n v="23817"/>
    <n v="0"/>
    <n v="0"/>
    <m/>
    <s v="Curto II"/>
    <m/>
    <m/>
    <m/>
    <m/>
    <m/>
    <m/>
    <m/>
    <m/>
    <m/>
    <n v="137"/>
    <n v="100"/>
    <n v="237"/>
    <n v="-0.37000000000000011"/>
    <m/>
    <m/>
    <s v="Sim"/>
    <m/>
  </r>
  <r>
    <n v="127"/>
    <s v="PV"/>
    <s v="Avenida Beira-Mar, 46 [E]"/>
    <n v="-30.067663899999999"/>
    <n v="-50.159883919999999"/>
    <s v="C1"/>
    <x v="0"/>
    <s v="P6"/>
    <s v="Vapor de sódio"/>
    <n v="100"/>
    <n v="17"/>
    <n v="0"/>
    <n v="200"/>
    <n v="2"/>
    <n v="2.5"/>
    <n v="6.5"/>
    <m/>
    <m/>
    <n v="0"/>
    <n v="0"/>
    <n v="0"/>
    <n v="0"/>
    <n v="0"/>
    <n v="0"/>
    <n v="0"/>
    <s v="Unilateral"/>
    <s v="Braço"/>
    <n v="41.4"/>
    <n v="7.5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10366666666666657"/>
    <n v="-2.6315789473684181E-2"/>
    <s v="-"/>
    <n v="33.11"/>
    <n v="0.71"/>
    <m/>
    <m/>
    <m/>
    <m/>
    <s v="ATENDE"/>
    <s v="ATENDE"/>
    <s v="ATENDIMENTO LIMIAR"/>
    <s v="ATENDE"/>
    <s v="C1"/>
    <s v="P6"/>
    <n v="8.5966666666666658"/>
    <n v="28.79"/>
    <n v="19.829999999999998"/>
    <n v="3"/>
    <n v="0.6"/>
    <s v="ATENDE"/>
    <s v="ATENDE"/>
    <s v="ATENDE"/>
    <s v="-"/>
    <s v="-"/>
    <s v="-"/>
    <s v="-"/>
    <s v="-"/>
    <s v="-"/>
    <s v="-"/>
    <s v="-"/>
    <s v="-"/>
    <x v="2"/>
    <s v="SIGMAGPTLRRSMNDL_80W_56IBBR_x000a_"/>
    <s v="SIGMAGPTLRRSMNDL_80W_56IBBR_x000a_S1-10C1MUN6.5"/>
    <m/>
    <n v="0"/>
    <n v="1"/>
    <n v="80"/>
    <n v="0"/>
    <n v="13209"/>
    <n v="0"/>
    <n v="0"/>
    <m/>
    <s v="Curto II"/>
    <m/>
    <m/>
    <m/>
    <m/>
    <m/>
    <m/>
    <s v="Redução do distanciamento entre postes de 41.40 para 21.70"/>
    <m/>
    <m/>
    <n v="80"/>
    <n v="100"/>
    <n v="180"/>
    <n v="0.19999999999999996"/>
    <m/>
    <m/>
    <s v="Sim"/>
    <m/>
  </r>
  <r>
    <n v="128"/>
    <s v="PV"/>
    <s v="Avenida Beira-Mar, 188 [E]"/>
    <n v="-30.06966345"/>
    <n v="-50.160751869999999"/>
    <s v="C1"/>
    <x v="0"/>
    <s v="P6"/>
    <s v="Vapor de sódio"/>
    <n v="150"/>
    <n v="22"/>
    <n v="0"/>
    <n v="300"/>
    <n v="2"/>
    <n v="3.5"/>
    <n v="6"/>
    <m/>
    <m/>
    <n v="0"/>
    <n v="0"/>
    <n v="0"/>
    <n v="0"/>
    <n v="0"/>
    <n v="0"/>
    <n v="0"/>
    <s v="Unilateral"/>
    <s v="Braço"/>
    <n v="35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6.8333333333333135E-2"/>
    <n v="0.89473684210526305"/>
    <s v="-"/>
    <n v="32.049999999999997"/>
    <n v="0.72"/>
    <m/>
    <m/>
    <m/>
    <m/>
    <s v="ATENDE"/>
    <s v="ATENDE"/>
    <s v="ATENDE"/>
    <s v="ATENDE"/>
    <s v="C1"/>
    <s v="P6"/>
    <n v="16.09"/>
    <n v="51.27"/>
    <n v="36.35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100W"/>
    <s v="LUM LED SL VT 9.1 100W"/>
    <m/>
    <e v="#N/A"/>
    <n v="1"/>
    <n v="100"/>
    <n v="0"/>
    <n v="15900"/>
    <n v="0"/>
    <n v="0"/>
    <m/>
    <s v="Curto II"/>
    <m/>
    <m/>
    <m/>
    <s v="APEA"/>
    <n v="1"/>
    <m/>
    <s v="Redução do distanciamento entre postes de 35.7 para 17.85"/>
    <m/>
    <m/>
    <n v="100"/>
    <n v="150"/>
    <n v="250"/>
    <n v="0.33333333333333337"/>
    <m/>
    <m/>
    <s v="Sim"/>
    <m/>
  </r>
  <r>
    <n v="128"/>
    <s v="PV"/>
    <s v="Avenida Beira-Mar, 188 [E]"/>
    <n v="-30.06966345"/>
    <n v="-50.160751869999999"/>
    <s v="C1"/>
    <x v="0"/>
    <s v="P6"/>
    <s v="Vapor de sódio"/>
    <n v="150"/>
    <n v="22"/>
    <n v="0"/>
    <n v="300"/>
    <n v="2"/>
    <n v="3.5"/>
    <n v="6"/>
    <m/>
    <m/>
    <n v="0"/>
    <n v="0"/>
    <n v="0"/>
    <n v="0"/>
    <n v="0"/>
    <n v="0"/>
    <n v="0"/>
    <s v="Unilateral"/>
    <s v="Braço"/>
    <n v="35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2666666666666622E-2"/>
    <n v="0.89473684210526305"/>
    <s v="-"/>
    <n v="30.98"/>
    <n v="0.72"/>
    <m/>
    <m/>
    <m/>
    <m/>
    <s v="ATENDE"/>
    <s v="ATENDE"/>
    <s v="ATENDE"/>
    <s v="ATENDE"/>
    <s v="C1"/>
    <s v="P6"/>
    <n v="12.363333333333335"/>
    <n v="40.090000000000003"/>
    <n v="31.21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LPP070HF"/>
    <s v="SXINLPP070K40L12CZF7PHF"/>
    <m/>
    <n v="0"/>
    <n v="1"/>
    <n v="70"/>
    <n v="0"/>
    <n v="11970"/>
    <n v="0"/>
    <n v="0"/>
    <m/>
    <s v="Curto II"/>
    <m/>
    <m/>
    <m/>
    <s v="APEA"/>
    <n v="1"/>
    <m/>
    <s v="Redução do distanciamento entre postes de 35.7 para 17.85"/>
    <m/>
    <m/>
    <n v="70"/>
    <n v="150"/>
    <n v="220"/>
    <n v="0.53333333333333333"/>
    <m/>
    <m/>
    <s v="Sim"/>
    <m/>
  </r>
  <r>
    <n v="128"/>
    <s v="PV"/>
    <s v="Avenida Beira-Mar, 188 [E]"/>
    <n v="-30.06966345"/>
    <n v="-50.160751869999999"/>
    <s v="C1"/>
    <x v="0"/>
    <s v="P6"/>
    <s v="Vapor de sódio"/>
    <n v="150"/>
    <n v="22"/>
    <n v="0"/>
    <n v="300"/>
    <n v="2"/>
    <n v="3.5"/>
    <n v="6"/>
    <m/>
    <m/>
    <n v="0"/>
    <n v="0"/>
    <n v="0"/>
    <n v="0"/>
    <n v="0"/>
    <n v="0"/>
    <n v="0"/>
    <s v="Unilateral"/>
    <s v="Braço"/>
    <n v="35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499999999999992E-2"/>
    <n v="0.76315789473684226"/>
    <s v="-"/>
    <n v="31.05"/>
    <n v="0.67"/>
    <m/>
    <m/>
    <m/>
    <m/>
    <s v="ATENDE"/>
    <s v="ATENDE"/>
    <s v="ATENDE"/>
    <s v="ATENDE"/>
    <s v="C1"/>
    <s v="P6"/>
    <n v="14.626666666666667"/>
    <n v="46.88"/>
    <n v="36.26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90W112IBBRS_x000a_"/>
    <s v="SIGSAGPTLRRSSNDL_90W112IBBRS_x000a_1-10C1MUN6.5"/>
    <m/>
    <n v="0"/>
    <n v="1"/>
    <n v="90"/>
    <n v="0"/>
    <n v="13859"/>
    <n v="0"/>
    <n v="0"/>
    <m/>
    <s v="Curto II"/>
    <m/>
    <m/>
    <m/>
    <s v="APEA"/>
    <n v="1"/>
    <m/>
    <s v="Redução do distanciamento entre postes de 35.7 para 17.85"/>
    <m/>
    <m/>
    <n v="90"/>
    <n v="150"/>
    <n v="240"/>
    <n v="0.4"/>
    <m/>
    <m/>
    <s v="Sim"/>
    <m/>
  </r>
  <r>
    <n v="129"/>
    <s v="PV"/>
    <s v="Avenida Beira-Mar, 562 [E]"/>
    <n v="-30.07239839"/>
    <n v="-50.161871669999996"/>
    <s v="C1"/>
    <x v="0"/>
    <s v="P6"/>
    <s v="Vapor de sódio"/>
    <n v="150"/>
    <n v="22"/>
    <n v="0"/>
    <n v="600"/>
    <n v="2"/>
    <n v="2.8"/>
    <n v="6.5"/>
    <m/>
    <m/>
    <n v="0"/>
    <n v="0"/>
    <n v="0"/>
    <n v="0"/>
    <n v="0"/>
    <n v="0"/>
    <n v="0"/>
    <s v="Unilateral"/>
    <s v="Braço"/>
    <n v="35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20900000000000007"/>
    <n v="7.8947368421052655E-2"/>
    <s v="-"/>
    <n v="36.270000000000003"/>
    <n v="0.41"/>
    <m/>
    <m/>
    <m/>
    <m/>
    <s v="ATENDE"/>
    <s v="ATENDE"/>
    <s v="ATENDE"/>
    <s v="ATENDE"/>
    <s v="C1"/>
    <s v="P6"/>
    <n v="15.366666666666667"/>
    <n v="49.1"/>
    <n v="19.79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120W"/>
    <s v="LUM LED SL VT 9.1 120W"/>
    <m/>
    <e v="#N/A"/>
    <n v="2"/>
    <n v="120"/>
    <n v="0"/>
    <n v="18730"/>
    <n v="0"/>
    <n v="0"/>
    <n v="10"/>
    <s v="Curto II"/>
    <m/>
    <m/>
    <m/>
    <m/>
    <m/>
    <m/>
    <m/>
    <m/>
    <m/>
    <n v="120"/>
    <n v="150"/>
    <n v="540"/>
    <n v="0.19999999999999996"/>
    <m/>
    <m/>
    <s v="Sim"/>
    <m/>
  </r>
  <r>
    <n v="129"/>
    <s v="PV"/>
    <s v="Avenida Beira-Mar, 562 [E]"/>
    <n v="-30.07239839"/>
    <n v="-50.161871669999996"/>
    <s v="C1"/>
    <x v="0"/>
    <s v="P6"/>
    <s v="Vapor de sódio"/>
    <n v="150"/>
    <n v="22"/>
    <n v="0"/>
    <n v="600"/>
    <n v="2"/>
    <n v="2.8"/>
    <n v="6.5"/>
    <m/>
    <m/>
    <n v="0"/>
    <n v="0"/>
    <n v="0"/>
    <n v="0"/>
    <n v="0"/>
    <n v="0"/>
    <n v="0"/>
    <s v="Unilateral"/>
    <s v="Braço"/>
    <n v="35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3.6666666666665959E-3"/>
    <n v="2.6315789473684292E-2"/>
    <s v="-"/>
    <n v="29.89"/>
    <n v="0.39"/>
    <m/>
    <m/>
    <m/>
    <m/>
    <s v="ATENDE"/>
    <s v="ATENDIMENTO LIMIAR"/>
    <s v="ATENDE"/>
    <s v="ATENDE"/>
    <s v="C1"/>
    <s v="P6"/>
    <n v="12.946666666666667"/>
    <n v="41.84"/>
    <n v="18.2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LPP080HF"/>
    <s v="SXINLPP080K40L12CZF7PHF"/>
    <m/>
    <e v="#N/A"/>
    <n v="2"/>
    <n v="79"/>
    <n v="0"/>
    <n v="13359"/>
    <n v="0"/>
    <n v="0"/>
    <m/>
    <s v="Curto II"/>
    <m/>
    <m/>
    <m/>
    <m/>
    <m/>
    <m/>
    <m/>
    <m/>
    <m/>
    <n v="79"/>
    <n v="150"/>
    <n v="458"/>
    <n v="0.47333333333333338"/>
    <m/>
    <m/>
    <s v="Sim"/>
    <m/>
  </r>
  <r>
    <n v="129"/>
    <s v="PV"/>
    <s v="Avenida Beira-Mar, 562 [E]"/>
    <n v="-30.07239839"/>
    <n v="-50.161871669999996"/>
    <s v="C1"/>
    <x v="0"/>
    <s v="P6"/>
    <s v="Vapor de sódio"/>
    <n v="150"/>
    <n v="22"/>
    <n v="0"/>
    <n v="600"/>
    <n v="2"/>
    <n v="2.8"/>
    <n v="6.5"/>
    <m/>
    <m/>
    <n v="0"/>
    <n v="0"/>
    <n v="0"/>
    <n v="0"/>
    <n v="0"/>
    <n v="0"/>
    <n v="0"/>
    <s v="Unilateral"/>
    <s v="Braço"/>
    <n v="35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3.6666666666665959E-3"/>
    <n v="0.26315789473684204"/>
    <s v="-"/>
    <n v="29.89"/>
    <n v="0.48"/>
    <m/>
    <m/>
    <m/>
    <m/>
    <s v="ATENDE"/>
    <s v="ATENDIMENTO LIMIAR"/>
    <s v="ATENDE"/>
    <s v="ATENDE"/>
    <s v="C1"/>
    <s v="P6"/>
    <n v="11.223333333333334"/>
    <n v="36.67"/>
    <n v="16.079999999999998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100W125IBBRS_x000a_"/>
    <s v="SIGSAGPTLRRSSNDL100W125IBBRS_x000a_1-10C1MUN6.5"/>
    <m/>
    <e v="#N/A"/>
    <n v="2"/>
    <n v="100"/>
    <n v="0"/>
    <n v="15162"/>
    <n v="0"/>
    <n v="0"/>
    <n v="10"/>
    <s v="Curto II"/>
    <m/>
    <m/>
    <m/>
    <m/>
    <m/>
    <m/>
    <m/>
    <m/>
    <m/>
    <n v="100"/>
    <n v="150"/>
    <n v="500"/>
    <n v="0.33333333333333337"/>
    <m/>
    <m/>
    <s v="Sim"/>
    <m/>
  </r>
  <r>
    <n v="130"/>
    <s v="PVP"/>
    <s v="Rua Zakynthos, 345 [E]"/>
    <n v="-30.073477369999999"/>
    <n v="-50.163653850000003"/>
    <s v="C4"/>
    <x v="0"/>
    <s v="P6"/>
    <s v="Vapor de sódio"/>
    <n v="100"/>
    <n v="17"/>
    <n v="0"/>
    <n v="200"/>
    <n v="2"/>
    <n v="2.5"/>
    <n v="6.5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00000000000008E-2"/>
    <n v="0.83333333333333348"/>
    <s v="-"/>
    <n v="10.9"/>
    <n v="0.33"/>
    <m/>
    <m/>
    <m/>
    <m/>
    <s v="ATENDE"/>
    <s v="ATENDE"/>
    <s v="ATENDE"/>
    <s v="ATENDE"/>
    <s v="C4"/>
    <s v="P6"/>
    <n v="1.5066666666666664"/>
    <n v="7.52"/>
    <n v="3.11"/>
    <n v="3"/>
    <n v="0.6"/>
    <s v="ATENDE"/>
    <s v="ATENDE"/>
    <s v="ATENDE"/>
    <s v="P6"/>
    <n v="1.9633333333333334"/>
    <n v="8.89"/>
    <n v="2.81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30"/>
    <s v="PVP"/>
    <s v="Rua Zakynthos, 345 [E]"/>
    <n v="-30.073477369999999"/>
    <n v="-50.163653850000003"/>
    <s v="C4"/>
    <x v="0"/>
    <s v="P6"/>
    <s v="Vapor de sódio"/>
    <n v="100"/>
    <n v="17"/>
    <n v="0"/>
    <n v="200"/>
    <n v="2"/>
    <n v="2.5"/>
    <n v="6.5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900000000000015"/>
    <n v="1"/>
    <s v="-"/>
    <n v="12.89"/>
    <n v="0.36"/>
    <m/>
    <m/>
    <m/>
    <m/>
    <s v="ATENDE"/>
    <s v="ATENDE"/>
    <s v="ATENDE"/>
    <s v="ATENDE"/>
    <s v="C4"/>
    <s v="P6"/>
    <n v="1.9666666666666668"/>
    <n v="8.9"/>
    <n v="5.51"/>
    <n v="3"/>
    <n v="0.6"/>
    <s v="ATENDE"/>
    <s v="ATENDE"/>
    <s v="ATENDE"/>
    <s v="P6"/>
    <n v="2.34"/>
    <n v="10.02"/>
    <n v="2.4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30"/>
    <s v="PVP"/>
    <s v="Rua Zakynthos, 345 [E]"/>
    <n v="-30.073477369999999"/>
    <n v="-50.163653850000003"/>
    <s v="C4"/>
    <x v="0"/>
    <s v="P6"/>
    <s v="Vapor de sódio"/>
    <n v="100"/>
    <n v="17"/>
    <n v="0"/>
    <n v="200"/>
    <n v="2"/>
    <n v="2.5"/>
    <n v="6.5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4000000000000012E-2"/>
    <n v="0.72222222222222232"/>
    <s v="-"/>
    <n v="10.14"/>
    <n v="0.31"/>
    <m/>
    <m/>
    <m/>
    <m/>
    <s v="ATENDE"/>
    <s v="ATENDE"/>
    <s v="ATENDE"/>
    <s v="ATENDE"/>
    <s v="C4"/>
    <s v="P6"/>
    <n v="0.74666666666666681"/>
    <n v="5.24"/>
    <n v="2.11"/>
    <n v="3"/>
    <n v="0.6"/>
    <s v="ATENDE"/>
    <s v="ATENDE"/>
    <s v="ATENDE"/>
    <s v="P6"/>
    <n v="1.5433333333333334"/>
    <n v="7.63"/>
    <n v="2.220000000000000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31"/>
    <s v="PVP"/>
    <s v="Rua Bremen, 50 [E]"/>
    <n v="-30.078163350000001"/>
    <n v="-50.164971940000001"/>
    <s v="C4"/>
    <x v="0"/>
    <s v="P6"/>
    <s v="Vapor de sódio"/>
    <n v="100"/>
    <n v="17"/>
    <n v="0"/>
    <n v="200"/>
    <n v="1"/>
    <n v="2.5"/>
    <n v="7"/>
    <m/>
    <m/>
    <n v="0"/>
    <n v="2.5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1.0555555555555558"/>
    <s v="-"/>
    <n v="11.1"/>
    <n v="0.37"/>
    <m/>
    <m/>
    <m/>
    <m/>
    <s v="ATENDE"/>
    <s v="ATENDE"/>
    <s v="ATENDE"/>
    <s v="ATENDE"/>
    <s v="C4"/>
    <s v="P6"/>
    <n v="1.3233333333333333"/>
    <n v="6.97"/>
    <n v="3.17"/>
    <n v="3"/>
    <n v="0.6"/>
    <s v="ATENDE"/>
    <s v="ATENDE"/>
    <s v="ATENDE"/>
    <s v="P6"/>
    <n v="2.1799999999999997"/>
    <n v="9.5399999999999991"/>
    <n v="3.24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31"/>
    <s v="PVP"/>
    <s v="Rua Bremen, 50 [E]"/>
    <n v="-30.078163350000001"/>
    <n v="-50.164971940000001"/>
    <s v="C4"/>
    <x v="0"/>
    <s v="P6"/>
    <s v="Vapor de sódio"/>
    <n v="100"/>
    <n v="17"/>
    <n v="0"/>
    <n v="200"/>
    <n v="1"/>
    <n v="2.5"/>
    <n v="7"/>
    <m/>
    <m/>
    <n v="0"/>
    <n v="2.5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600000000000005"/>
    <n v="1.4444444444444446"/>
    <s v="-"/>
    <n v="13.06"/>
    <n v="0.44"/>
    <m/>
    <m/>
    <m/>
    <m/>
    <s v="ATENDE"/>
    <s v="ATENDE"/>
    <s v="ATENDE"/>
    <s v="ATENDE"/>
    <s v="C4"/>
    <s v="P6"/>
    <n v="1.69"/>
    <n v="8.07"/>
    <n v="5.56"/>
    <n v="3"/>
    <n v="0.6"/>
    <s v="ATENDE"/>
    <s v="ATENDE"/>
    <s v="ATENDE"/>
    <s v="P6"/>
    <n v="2.6199999999999997"/>
    <n v="10.86"/>
    <n v="3.1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31"/>
    <s v="PVP"/>
    <s v="Rua Bremen, 50 [E]"/>
    <n v="-30.078163350000001"/>
    <n v="-50.164971940000001"/>
    <s v="C4"/>
    <x v="0"/>
    <s v="P6"/>
    <s v="Vapor de sódio"/>
    <n v="100"/>
    <n v="17"/>
    <n v="0"/>
    <n v="200"/>
    <n v="1"/>
    <n v="2.5"/>
    <n v="7"/>
    <m/>
    <m/>
    <n v="0"/>
    <n v="2.5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999999999999906E-2"/>
    <n v="1.1111111111111112"/>
    <s v="-"/>
    <n v="10.19"/>
    <n v="0.38"/>
    <m/>
    <m/>
    <m/>
    <m/>
    <s v="ATENDE"/>
    <s v="ATENDE"/>
    <s v="ATENDE"/>
    <s v="ATENDE"/>
    <s v="C4"/>
    <s v="P6"/>
    <n v="0.4800000000000002"/>
    <n v="4.4400000000000004"/>
    <n v="2.14"/>
    <n v="3"/>
    <n v="0.6"/>
    <s v="ATENDE"/>
    <s v="ATENDE"/>
    <s v="ATENDE"/>
    <s v="P6"/>
    <n v="1.7566666666666664"/>
    <n v="8.27"/>
    <n v="2.8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32"/>
    <s v="PVP"/>
    <s v="Rua Colonia, 47 [E]"/>
    <n v="-30.080141390000001"/>
    <n v="-50.167203170000001"/>
    <s v="C4"/>
    <x v="0"/>
    <s v="P6"/>
    <s v="Vapor de sódio"/>
    <n v="100"/>
    <n v="17"/>
    <n v="0"/>
    <n v="200"/>
    <n v="2"/>
    <n v="3"/>
    <n v="6"/>
    <m/>
    <m/>
    <n v="0"/>
    <n v="3"/>
    <n v="0"/>
    <n v="0"/>
    <n v="0"/>
    <n v="0"/>
    <n v="0"/>
    <s v="Unilateral"/>
    <s v="Braço"/>
    <n v="26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600000000000013"/>
    <n v="2.3888888888888888"/>
    <s v="-"/>
    <n v="11.46"/>
    <n v="0.61"/>
    <m/>
    <m/>
    <m/>
    <m/>
    <s v="ATENDE"/>
    <s v="ATENDE"/>
    <s v="ATENDE"/>
    <s v="ATENDE"/>
    <s v="C4"/>
    <s v="P6"/>
    <n v="1.7100000000000004"/>
    <n v="8.1300000000000008"/>
    <n v="5.15"/>
    <n v="3"/>
    <n v="0.6"/>
    <s v="ATENDE"/>
    <s v="ATENDE"/>
    <s v="ATENDE"/>
    <s v="P6"/>
    <n v="1.8699999999999997"/>
    <n v="8.61"/>
    <n v="5.0199999999999996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32"/>
    <s v="PVP"/>
    <s v="Rua Colonia, 47 [E]"/>
    <n v="-30.080141390000001"/>
    <n v="-50.167203170000001"/>
    <s v="C4"/>
    <x v="0"/>
    <s v="P6"/>
    <s v="Vapor de sódio"/>
    <n v="100"/>
    <n v="17"/>
    <n v="0"/>
    <n v="200"/>
    <n v="2"/>
    <n v="3"/>
    <n v="6"/>
    <m/>
    <m/>
    <n v="0"/>
    <n v="3"/>
    <n v="0"/>
    <n v="0"/>
    <n v="0"/>
    <n v="0"/>
    <n v="0"/>
    <s v="Unilateral"/>
    <s v="Braço"/>
    <n v="26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3.166666666666667"/>
    <s v="-"/>
    <n v="11.1"/>
    <n v="0.75"/>
    <m/>
    <m/>
    <m/>
    <m/>
    <s v="ATENDE"/>
    <s v="ATENDE"/>
    <s v="ATENDE"/>
    <s v="ATENDE"/>
    <s v="C4"/>
    <s v="P6"/>
    <n v="1.4433333333333334"/>
    <n v="7.33"/>
    <n v="5.08"/>
    <n v="3"/>
    <n v="0.6"/>
    <s v="ATENDE"/>
    <s v="ATENDE"/>
    <s v="ATENDE"/>
    <s v="P6"/>
    <n v="1.6099999999999999"/>
    <n v="7.83"/>
    <n v="5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32"/>
    <s v="PVP"/>
    <s v="Rua Colonia, 47 [E]"/>
    <n v="-30.080141390000001"/>
    <n v="-50.167203170000001"/>
    <s v="C4"/>
    <x v="0"/>
    <s v="P6"/>
    <s v="Vapor de sódio"/>
    <n v="100"/>
    <n v="17"/>
    <n v="0"/>
    <n v="200"/>
    <n v="2"/>
    <n v="3"/>
    <n v="6"/>
    <m/>
    <m/>
    <n v="0"/>
    <n v="3"/>
    <n v="0"/>
    <n v="0"/>
    <n v="0"/>
    <n v="0"/>
    <n v="0"/>
    <s v="Unilateral"/>
    <s v="Braço"/>
    <n v="26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199999999999988"/>
    <n v="3"/>
    <s v="-"/>
    <n v="11.12"/>
    <n v="0.72"/>
    <m/>
    <m/>
    <m/>
    <m/>
    <s v="ATENDE"/>
    <s v="ATENDE"/>
    <s v="ATENDE"/>
    <s v="ATENDE"/>
    <s v="C4"/>
    <s v="P6"/>
    <n v="1.2133333333333334"/>
    <n v="6.64"/>
    <n v="4.6900000000000004"/>
    <n v="3"/>
    <n v="0.6"/>
    <s v="ATENDE"/>
    <s v="ATENDE"/>
    <s v="ATENDE"/>
    <s v="P6"/>
    <n v="1.6433333333333331"/>
    <n v="7.93"/>
    <n v="5.1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33"/>
    <s v="VP"/>
    <s v="Rua Creta, 486 [E]"/>
    <n v="-30.071880050000001"/>
    <n v="-50.164533329999998"/>
    <s v="C4"/>
    <x v="0"/>
    <s v="P6"/>
    <s v="Vapor de sódio"/>
    <n v="100"/>
    <n v="17"/>
    <n v="0"/>
    <n v="200"/>
    <n v="2"/>
    <n v="0"/>
    <n v="6.5"/>
    <m/>
    <m/>
    <n v="0"/>
    <n v="3"/>
    <n v="3"/>
    <n v="0"/>
    <n v="0"/>
    <n v="0"/>
    <n v="0"/>
    <s v="Canteiro central"/>
    <s v="Braço"/>
    <n v="40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0000000000000036E-2"/>
    <n v="0.7777777777777779"/>
    <s v="-"/>
    <n v="10.4"/>
    <n v="0.32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1.2066666666666666"/>
    <n v="6.62"/>
    <n v="2.63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3"/>
    <s v="VP"/>
    <s v="Rua Creta, 486 [E]"/>
    <n v="-30.071880050000001"/>
    <n v="-50.164533329999998"/>
    <s v="C4"/>
    <x v="0"/>
    <s v="P6"/>
    <s v="Vapor de sódio"/>
    <n v="100"/>
    <n v="17"/>
    <n v="0"/>
    <n v="200"/>
    <n v="2"/>
    <n v="0"/>
    <n v="6.5"/>
    <m/>
    <m/>
    <n v="0"/>
    <n v="3"/>
    <n v="3"/>
    <n v="0"/>
    <n v="0"/>
    <n v="0"/>
    <n v="0"/>
    <s v="Canteiro central"/>
    <s v="Braço"/>
    <n v="40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3100000000000009"/>
    <n v="0.94444444444444442"/>
    <s v="-"/>
    <n v="12.31"/>
    <n v="0.35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1.5666666666666669"/>
    <n v="7.7"/>
    <n v="4.389999999999999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3"/>
    <s v="VP"/>
    <s v="Rua Creta, 486 [E]"/>
    <n v="-30.071880050000001"/>
    <n v="-50.164533329999998"/>
    <s v="C4"/>
    <x v="0"/>
    <s v="P6"/>
    <s v="Vapor de sódio"/>
    <n v="100"/>
    <n v="17"/>
    <n v="0"/>
    <n v="200"/>
    <n v="2"/>
    <n v="0"/>
    <n v="6.5"/>
    <m/>
    <m/>
    <n v="0"/>
    <n v="3"/>
    <n v="3"/>
    <n v="0"/>
    <n v="0"/>
    <n v="0"/>
    <n v="0"/>
    <s v="Canteiro central"/>
    <s v="Braço"/>
    <n v="40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00000000000001"/>
    <n v="0.50000000000000022"/>
    <s v="-"/>
    <n v="11.41"/>
    <n v="0.27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58333333333333326"/>
    <n v="4.75"/>
    <n v="1.5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4"/>
    <s v="PVP"/>
    <s v="Rua Projetada [E]"/>
    <n v="-30.071405049999999"/>
    <n v="-50.166035000000001"/>
    <s v="C4"/>
    <x v="0"/>
    <s v="P6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99999999999999"/>
    <n v="1"/>
    <s v="-"/>
    <n v="11.17"/>
    <n v="0.36"/>
    <m/>
    <m/>
    <m/>
    <m/>
    <s v="ATENDE"/>
    <s v="ATENDE"/>
    <s v="ATENDE"/>
    <s v="ATENDE"/>
    <s v="C4"/>
    <s v="P6"/>
    <n v="1.5100000000000002"/>
    <n v="7.53"/>
    <n v="3.41"/>
    <n v="3"/>
    <n v="0.6"/>
    <s v="ATENDE"/>
    <s v="ATENDE"/>
    <s v="ATENDE"/>
    <s v="-"/>
    <e v="#VALUE!"/>
    <n v="8.85"/>
    <n v="3.02"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4"/>
    <s v="PVP"/>
    <s v="Rua Projetada [E]"/>
    <n v="-30.071405049999999"/>
    <n v="-50.166035000000001"/>
    <s v="C4"/>
    <x v="0"/>
    <s v="P6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99999999999995"/>
    <n v="1.3333333333333335"/>
    <s v="-"/>
    <n v="13.23"/>
    <n v="0.42"/>
    <m/>
    <m/>
    <m/>
    <m/>
    <s v="ATENDE"/>
    <s v="ATENDE"/>
    <s v="ATENDE"/>
    <s v="ATENDE"/>
    <s v="C4"/>
    <s v="P6"/>
    <n v="1.9499999999999997"/>
    <n v="8.85"/>
    <n v="6.09"/>
    <n v="3"/>
    <n v="0.6"/>
    <s v="ATENDE"/>
    <s v="ATENDE"/>
    <s v="ATENDE"/>
    <s v="-"/>
    <e v="#VALUE!"/>
    <n v="9.86"/>
    <n v="2.61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4"/>
    <s v="PVP"/>
    <s v="Rua Projetada [E]"/>
    <n v="-30.071405049999999"/>
    <n v="-50.166035000000001"/>
    <s v="C4"/>
    <x v="0"/>
    <s v="P6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0000000000000027E-2"/>
    <n v="1.1111111111111112"/>
    <s v="-"/>
    <n v="10.3"/>
    <n v="0.38"/>
    <m/>
    <m/>
    <m/>
    <m/>
    <s v="ATENDE"/>
    <s v="ATENDE"/>
    <s v="ATENDE"/>
    <s v="ATENDE"/>
    <s v="C4"/>
    <s v="P6"/>
    <n v="0.69000000000000017"/>
    <n v="5.07"/>
    <n v="2.5099999999999998"/>
    <n v="3"/>
    <n v="0.6"/>
    <s v="ATENDE"/>
    <s v="ATENDE"/>
    <s v="ATENDE"/>
    <s v="-"/>
    <e v="#VALUE!"/>
    <n v="7.52"/>
    <n v="2.52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35"/>
    <s v="PVP"/>
    <s v="Rua A-Doze das Carvinas, 196 [E]"/>
    <n v="-30.064066329999999"/>
    <n v="-50.164497599999997"/>
    <s v="C4"/>
    <x v="0"/>
    <s v="P6"/>
    <s v="Vapor de sódio"/>
    <n v="70"/>
    <n v="14"/>
    <n v="0"/>
    <n v="140"/>
    <n v="2"/>
    <n v="3"/>
    <n v="7"/>
    <m/>
    <m/>
    <n v="0"/>
    <n v="3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1.0555555555555558"/>
    <s v="-"/>
    <n v="11.1"/>
    <n v="0.37"/>
    <m/>
    <m/>
    <m/>
    <m/>
    <s v="ATENDE"/>
    <s v="ATENDE"/>
    <s v="ATENDE"/>
    <s v="ATENDE"/>
    <s v="C4"/>
    <s v="P6"/>
    <n v="1.2233333333333332"/>
    <n v="6.67"/>
    <n v="3.01"/>
    <n v="3"/>
    <n v="0.6"/>
    <s v="ATENDE"/>
    <s v="ATENDE"/>
    <s v="ATENDE"/>
    <s v="P6"/>
    <n v="2.0533333333333332"/>
    <n v="9.16"/>
    <n v="3.09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70"/>
    <n v="122"/>
    <n v="0.25714285714285712"/>
    <m/>
    <m/>
    <s v="Sim"/>
    <m/>
  </r>
  <r>
    <n v="135"/>
    <s v="PVP"/>
    <s v="Rua A-Doze das Carvinas, 196 [E]"/>
    <n v="-30.064066329999999"/>
    <n v="-50.164497599999997"/>
    <s v="C4"/>
    <x v="0"/>
    <s v="P6"/>
    <s v="Vapor de sódio"/>
    <n v="70"/>
    <n v="14"/>
    <n v="0"/>
    <n v="140"/>
    <n v="2"/>
    <n v="3"/>
    <n v="7"/>
    <m/>
    <m/>
    <n v="0"/>
    <n v="3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600000000000006"/>
    <n v="1.4444444444444446"/>
    <s v="-"/>
    <n v="13.16"/>
    <n v="0.44"/>
    <m/>
    <m/>
    <m/>
    <m/>
    <s v="ATENDE"/>
    <s v="ATENDE"/>
    <s v="ATENDE"/>
    <s v="ATENDE"/>
    <s v="C4"/>
    <s v="P6"/>
    <n v="1.5466666666666664"/>
    <n v="7.64"/>
    <n v="5.18"/>
    <n v="3"/>
    <n v="0.6"/>
    <s v="ATENDE"/>
    <s v="ATENDE"/>
    <s v="ATENDE"/>
    <s v="P6"/>
    <n v="2.4299999999999997"/>
    <n v="10.29"/>
    <n v="2.7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70"/>
    <n v="120"/>
    <n v="0.2857142857142857"/>
    <m/>
    <m/>
    <s v="Sim"/>
    <m/>
  </r>
  <r>
    <n v="135"/>
    <s v="PVP"/>
    <s v="Rua A-Doze das Carvinas, 196 [E]"/>
    <n v="-30.064066329999999"/>
    <n v="-50.164497599999997"/>
    <s v="C4"/>
    <x v="0"/>
    <s v="P6"/>
    <s v="Vapor de sódio"/>
    <n v="70"/>
    <n v="14"/>
    <n v="0"/>
    <n v="140"/>
    <n v="2"/>
    <n v="3"/>
    <n v="7"/>
    <m/>
    <m/>
    <n v="0"/>
    <n v="3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999999999999906E-2"/>
    <n v="1.1111111111111112"/>
    <s v="-"/>
    <n v="10.19"/>
    <n v="0.38"/>
    <m/>
    <m/>
    <m/>
    <m/>
    <s v="ATENDE"/>
    <s v="ATENDE"/>
    <s v="ATENDE"/>
    <s v="ATENDE"/>
    <s v="C4"/>
    <s v="P6"/>
    <n v="0.37666666666666671"/>
    <n v="4.13"/>
    <n v="1.9"/>
    <n v="3"/>
    <n v="0.6"/>
    <s v="ATENDE"/>
    <s v="ATENDE"/>
    <s v="ATENDE"/>
    <s v="P6"/>
    <n v="1.6166666666666667"/>
    <n v="7.85"/>
    <n v="2.6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70"/>
    <n v="110"/>
    <n v="0.4285714285714286"/>
    <m/>
    <m/>
    <s v="Sim"/>
    <m/>
  </r>
  <r>
    <n v="136"/>
    <s v="PVP"/>
    <s v="Rua dos Lirios, 22 [E]"/>
    <n v="-30.06542645"/>
    <n v="-50.16582184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99999999999999"/>
    <n v="1"/>
    <s v="-"/>
    <n v="11.17"/>
    <n v="0.36"/>
    <m/>
    <m/>
    <m/>
    <m/>
    <s v="ATENDE"/>
    <s v="ATENDE"/>
    <s v="ATENDE"/>
    <s v="ATENDE"/>
    <s v="C4"/>
    <s v="P6"/>
    <n v="1.4066666666666667"/>
    <n v="7.22"/>
    <n v="3.25"/>
    <n v="3"/>
    <n v="0.6"/>
    <s v="ATENDE"/>
    <s v="ATENDE"/>
    <s v="ATENDE"/>
    <s v="P6"/>
    <n v="2.0866666666666664"/>
    <n v="9.26"/>
    <n v="31.7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6"/>
    <s v="PVP"/>
    <s v="Rua dos Lirios, 22 [E]"/>
    <n v="-30.06542645"/>
    <n v="-50.16582184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99999999999995"/>
    <n v="1.3333333333333335"/>
    <s v="-"/>
    <n v="13.23"/>
    <n v="0.42"/>
    <m/>
    <m/>
    <m/>
    <m/>
    <s v="ATENDE"/>
    <s v="ATENDE"/>
    <s v="ATENDE"/>
    <s v="ATENDE"/>
    <s v="C4"/>
    <s v="P6"/>
    <n v="1.8033333333333332"/>
    <n v="8.41"/>
    <n v="5.73"/>
    <n v="3"/>
    <n v="0.6"/>
    <s v="ATENDE"/>
    <s v="ATENDE"/>
    <s v="ATENDE"/>
    <s v="P6"/>
    <n v="2.4733333333333332"/>
    <n v="10.42"/>
    <n v="2.96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6"/>
    <s v="PVP"/>
    <s v="Rua dos Lirios, 22 [E]"/>
    <n v="-30.06542645"/>
    <n v="-50.16582184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0000000000000027E-2"/>
    <n v="1.1111111111111112"/>
    <s v="-"/>
    <n v="10.3"/>
    <n v="0.38"/>
    <m/>
    <m/>
    <m/>
    <m/>
    <s v="ATENDE"/>
    <s v="ATENDE"/>
    <s v="ATENDE"/>
    <s v="ATENDE"/>
    <s v="C4"/>
    <s v="P6"/>
    <n v="0.57333333333333325"/>
    <n v="4.72"/>
    <n v="2.2599999999999998"/>
    <n v="3"/>
    <n v="0.6"/>
    <s v="ATENDE"/>
    <s v="ATENDE"/>
    <s v="ATENDE"/>
    <s v="P6"/>
    <n v="1.6466666666666669"/>
    <n v="7.94"/>
    <n v="2.75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37"/>
    <s v="PVP"/>
    <s v="Rua B das Begonias, 922 [E]"/>
    <n v="-30.063194800000002"/>
    <n v="-50.16792425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0.88888888888888906"/>
    <s v="-"/>
    <n v="10.74"/>
    <n v="0.34"/>
    <m/>
    <m/>
    <m/>
    <m/>
    <s v="ATENDE"/>
    <s v="ATENDE"/>
    <s v="ATENDE"/>
    <s v="ATENDE"/>
    <s v="C4"/>
    <s v="P6"/>
    <n v="1.3133333333333335"/>
    <n v="6.94"/>
    <n v="2.93"/>
    <n v="3"/>
    <n v="0.6"/>
    <s v="ATENDE"/>
    <s v="ATENDE"/>
    <s v="ATENDE"/>
    <s v="P6"/>
    <n v="1.9633333333333334"/>
    <n v="8.89"/>
    <n v="2.81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7"/>
    <s v="PVP"/>
    <s v="Rua B das Begonias, 922 [E]"/>
    <n v="-30.063194800000002"/>
    <n v="-50.16792425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200000000000002"/>
    <n v="1.0555555555555558"/>
    <s v="-"/>
    <n v="12.72"/>
    <n v="0.37"/>
    <m/>
    <m/>
    <m/>
    <m/>
    <s v="ATENDE"/>
    <s v="ATENDE"/>
    <s v="ATENDE"/>
    <s v="ATENDE"/>
    <s v="C4"/>
    <s v="P6"/>
    <n v="1.6966666666666668"/>
    <n v="8.09"/>
    <n v="5.1100000000000003"/>
    <n v="3"/>
    <n v="0.6"/>
    <s v="ATENDE"/>
    <s v="ATENDE"/>
    <s v="ATENDE"/>
    <s v="P6"/>
    <n v="2.34"/>
    <n v="10.02"/>
    <n v="2.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7"/>
    <s v="PVP"/>
    <s v="Rua B das Begonias, 922 [E]"/>
    <n v="-30.063194800000002"/>
    <n v="-50.16792425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-1.0000000000000009E-2"/>
    <n v="0.7777777777777779"/>
    <s v="-"/>
    <n v="9.9"/>
    <n v="0.32"/>
    <m/>
    <m/>
    <m/>
    <m/>
    <s v="ATENDE"/>
    <s v="ATENDIMENTO LIMIAR"/>
    <s v="ATENDE"/>
    <s v="ATENDE"/>
    <s v="C4"/>
    <s v="P6"/>
    <n v="0.51333333333333342"/>
    <n v="4.54"/>
    <n v="1.86"/>
    <n v="3"/>
    <n v="0.6"/>
    <s v="ATENDE"/>
    <s v="ATENDE"/>
    <s v="ATENDE"/>
    <s v="P6"/>
    <n v="1.5433333333333334"/>
    <n v="7.63"/>
    <n v="2.220000000000000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38"/>
    <s v="VP"/>
    <s v="Rua Vitoria Regia, 321 [E]"/>
    <n v="-30.061733820000001"/>
    <n v="-50.168336490000002"/>
    <s v="C4"/>
    <x v="0"/>
    <s v="P6"/>
    <s v="Vapor de sódio"/>
    <n v="150"/>
    <n v="22"/>
    <n v="0"/>
    <n v="300"/>
    <n v="2"/>
    <n v="0"/>
    <n v="7"/>
    <m/>
    <m/>
    <n v="0"/>
    <n v="3"/>
    <n v="0"/>
    <n v="0"/>
    <n v="0"/>
    <n v="0"/>
    <n v="0"/>
    <s v="Unilateral"/>
    <s v="Braço"/>
    <n v="41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000000000000014E-2"/>
    <n v="0.2777777777777779"/>
    <s v="-"/>
    <n v="10.16"/>
    <n v="0.2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2333333333333329"/>
    <n v="4.87"/>
    <n v="1.46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38"/>
    <s v="VP"/>
    <s v="Rua Vitoria Regia, 321 [E]"/>
    <n v="-30.061733820000001"/>
    <n v="-50.168336490000002"/>
    <s v="C4"/>
    <x v="0"/>
    <s v="P6"/>
    <s v="Vapor de sódio"/>
    <n v="150"/>
    <n v="22"/>
    <n v="0"/>
    <n v="300"/>
    <n v="2"/>
    <n v="0"/>
    <n v="7"/>
    <m/>
    <m/>
    <n v="0"/>
    <n v="3"/>
    <n v="0"/>
    <n v="0"/>
    <n v="0"/>
    <n v="0"/>
    <n v="0"/>
    <s v="Unilateral"/>
    <s v="Braço"/>
    <n v="41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900000000000001"/>
    <n v="0.83333333333333348"/>
    <s v="-"/>
    <n v="11.39"/>
    <n v="0.3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7333333333333312"/>
    <n v="5.0199999999999996"/>
    <n v="2.12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38"/>
    <s v="VP"/>
    <s v="Rua Vitoria Regia, 321 [E]"/>
    <n v="-30.061733820000001"/>
    <n v="-50.168336490000002"/>
    <s v="C4"/>
    <x v="0"/>
    <s v="P6"/>
    <s v="Vapor de sódio"/>
    <n v="150"/>
    <n v="22"/>
    <n v="0"/>
    <n v="300"/>
    <n v="2"/>
    <n v="0"/>
    <n v="7"/>
    <m/>
    <m/>
    <n v="0"/>
    <n v="3"/>
    <n v="0"/>
    <n v="0"/>
    <n v="0"/>
    <n v="0"/>
    <n v="0"/>
    <s v="Unilateral"/>
    <s v="Braço"/>
    <n v="41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2999999999999954E-2"/>
    <n v="0.22222222222222232"/>
    <s v="-"/>
    <n v="10.73"/>
    <n v="0.22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34333333333333349"/>
    <n v="4.03"/>
    <n v="1.07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139"/>
    <s v="PVP"/>
    <s v="Rua Vitoria Regia, 431 [E]"/>
    <n v="-30.06011586"/>
    <n v="-50.167653190000003"/>
    <s v="C4"/>
    <x v="0"/>
    <s v="P6"/>
    <s v="Vapor de sódio"/>
    <n v="100"/>
    <n v="17"/>
    <n v="0"/>
    <n v="200"/>
    <n v="2"/>
    <n v="2.8"/>
    <n v="7"/>
    <m/>
    <m/>
    <n v="0"/>
    <n v="2.8"/>
    <n v="0"/>
    <n v="0"/>
    <n v="0"/>
    <n v="0"/>
    <n v="0"/>
    <s v="Unilateral"/>
    <s v="Braço"/>
    <n v="27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899999999999999"/>
    <n v="1.6111111111111112"/>
    <s v="-"/>
    <n v="11.19"/>
    <n v="0.47"/>
    <m/>
    <m/>
    <m/>
    <m/>
    <s v="ATENDE"/>
    <s v="ATENDE"/>
    <s v="ATENDE"/>
    <s v="ATENDE"/>
    <s v="C4"/>
    <s v="P6"/>
    <n v="0.99666666666666681"/>
    <n v="5.99"/>
    <n v="3.55"/>
    <n v="3"/>
    <n v="0.6"/>
    <s v="ATENDE"/>
    <s v="ATENDE"/>
    <s v="ATENDE"/>
    <s v="P6"/>
    <n v="3.7700000000000005"/>
    <n v="14.31"/>
    <n v="7.8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39"/>
    <s v="PVP"/>
    <s v="Rua Vitoria Regia, 431 [E]"/>
    <n v="-30.06011586"/>
    <n v="-50.167653190000003"/>
    <s v="C4"/>
    <x v="0"/>
    <s v="P6"/>
    <s v="Vapor de sódio"/>
    <n v="100"/>
    <n v="17"/>
    <n v="0"/>
    <n v="200"/>
    <n v="2"/>
    <n v="2.8"/>
    <n v="7"/>
    <m/>
    <m/>
    <n v="0"/>
    <n v="2.8"/>
    <n v="0"/>
    <n v="0"/>
    <n v="0"/>
    <n v="0"/>
    <n v="0"/>
    <s v="Unilateral"/>
    <s v="Braço"/>
    <n v="27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199999999999988"/>
    <n v="2.8888888888888888"/>
    <s v="-"/>
    <n v="11.12"/>
    <n v="0.7"/>
    <m/>
    <m/>
    <m/>
    <m/>
    <s v="ATENDE"/>
    <s v="ATENDE"/>
    <s v="ATENDE"/>
    <s v="ATENDE"/>
    <s v="C4"/>
    <s v="P6"/>
    <n v="1.2666666666666666"/>
    <n v="6.8"/>
    <n v="4.76"/>
    <n v="3"/>
    <n v="0.6"/>
    <s v="ATENDE"/>
    <s v="ATENDE"/>
    <s v="ATENDE"/>
    <s v="P6"/>
    <n v="2.2266666666666666"/>
    <n v="9.68"/>
    <n v="5.83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m/>
    <m/>
    <m/>
    <m/>
    <m/>
    <m/>
    <m/>
    <m/>
    <n v="39"/>
    <n v="100"/>
    <n v="139"/>
    <n v="0.61"/>
    <m/>
    <m/>
    <s v="Sim"/>
    <m/>
  </r>
  <r>
    <n v="139"/>
    <s v="PVP"/>
    <s v="Rua Vitoria Regia, 431 [E]"/>
    <n v="-30.06011586"/>
    <n v="-50.167653190000003"/>
    <s v="C4"/>
    <x v="0"/>
    <s v="P6"/>
    <s v="Vapor de sódio"/>
    <n v="100"/>
    <n v="17"/>
    <n v="0"/>
    <n v="200"/>
    <n v="2"/>
    <n v="2.8"/>
    <n v="7"/>
    <m/>
    <m/>
    <n v="0"/>
    <n v="2.8"/>
    <n v="0"/>
    <n v="0"/>
    <n v="0"/>
    <n v="0"/>
    <n v="0"/>
    <s v="Unilateral"/>
    <s v="Braço"/>
    <n v="27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199999999999987"/>
    <n v="2.3333333333333335"/>
    <s v="-"/>
    <n v="13.52"/>
    <n v="0.6"/>
    <m/>
    <m/>
    <m/>
    <m/>
    <s v="ATENDE"/>
    <s v="ATENDE"/>
    <s v="ATENDE"/>
    <s v="ATENDE"/>
    <s v="C4"/>
    <s v="P6"/>
    <n v="1.0899999999999999"/>
    <n v="6.27"/>
    <n v="4.83"/>
    <n v="3"/>
    <n v="0.6"/>
    <s v="ATENDE"/>
    <s v="ATENDE"/>
    <s v="ATENDE"/>
    <s v="P6"/>
    <n v="4.7733333333333334"/>
    <n v="17.32"/>
    <n v="12.5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40"/>
    <s v="PVP"/>
    <s v="Avenida Jardim Atlantico, 553 [E]"/>
    <n v="-30.06193056"/>
    <n v="-50.164006309999998"/>
    <s v="C2"/>
    <x v="0"/>
    <s v="P4"/>
    <s v="LED"/>
    <n v="50"/>
    <n v="0"/>
    <n v="0"/>
    <n v="100"/>
    <n v="2"/>
    <n v="3.5"/>
    <n v="7"/>
    <m/>
    <m/>
    <n v="0"/>
    <n v="3"/>
    <n v="0"/>
    <n v="0"/>
    <n v="0"/>
    <n v="3.5"/>
    <n v="3"/>
    <s v="Canteiro central"/>
    <s v="Braço"/>
    <n v="36.5"/>
    <n v="7.5"/>
    <n v="1"/>
    <n v="5.5"/>
    <n v="1.3"/>
    <n v="-4.2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549999999999993"/>
    <n v="0.53571428571428559"/>
    <s v="-"/>
    <n v="22.11"/>
    <n v="0.43"/>
    <m/>
    <m/>
    <m/>
    <m/>
    <s v="ATENDE"/>
    <s v="ATENDE"/>
    <s v="ATENDE"/>
    <s v="ATENDE"/>
    <s v="C2"/>
    <s v="P4"/>
    <n v="3.7333333333333441E-2"/>
    <n v="7.78"/>
    <n v="4.67"/>
    <n v="7.5"/>
    <n v="1.5"/>
    <s v="ATENDE"/>
    <s v="ATENDE"/>
    <s v="ATENDE"/>
    <s v="P4"/>
    <n v="4.4213333333333331"/>
    <n v="40.659999999999997"/>
    <n v="19.7"/>
    <n v="7.5"/>
    <n v="1.5"/>
    <s v="ATENDE"/>
    <s v="ATENDE"/>
    <s v="ATENDE"/>
    <x v="0"/>
    <s v=" SL VT 9.1 170W"/>
    <s v="LUM LED SL VT 9.1 170W"/>
    <m/>
    <e v="#N/A"/>
    <n v="1"/>
    <n v="170"/>
    <n v="0"/>
    <n v="26748"/>
    <n v="0"/>
    <n v="0"/>
    <n v="10"/>
    <s v="Curto II"/>
    <m/>
    <s v=""/>
    <s v=""/>
    <m/>
    <m/>
    <m/>
    <m/>
    <m/>
    <m/>
    <n v="170"/>
    <n v="50"/>
    <n v="220"/>
    <n v="-2.4"/>
    <m/>
    <m/>
    <s v="Sim"/>
    <m/>
  </r>
  <r>
    <n v="140"/>
    <s v="PVP"/>
    <s v="Avenida Jardim Atlantico, 553 [E]"/>
    <n v="-30.06193056"/>
    <n v="-50.164006309999998"/>
    <s v="C2"/>
    <x v="0"/>
    <s v="P4"/>
    <s v="LED"/>
    <n v="50"/>
    <n v="0"/>
    <n v="0"/>
    <n v="100"/>
    <n v="2"/>
    <n v="3.5"/>
    <n v="7"/>
    <m/>
    <m/>
    <n v="0"/>
    <n v="3"/>
    <n v="0"/>
    <n v="0"/>
    <n v="0"/>
    <n v="3.5"/>
    <n v="3"/>
    <s v="Canteiro central"/>
    <s v="Braço"/>
    <n v="36.5"/>
    <n v="7.5"/>
    <n v="1"/>
    <n v="5.5"/>
    <n v="1.3"/>
    <n v="-4.2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1.4499999999999957E-2"/>
    <n v="1.214285714285714"/>
    <s v="-"/>
    <n v="20.29"/>
    <n v="0.62"/>
    <m/>
    <m/>
    <m/>
    <m/>
    <s v="ATENDE"/>
    <s v="ATENDE"/>
    <s v="ATENDE"/>
    <s v="ATENDE"/>
    <s v="C2"/>
    <s v="P4"/>
    <n v="0.10666666666666669"/>
    <n v="8.3000000000000007"/>
    <n v="6.23"/>
    <n v="7.5"/>
    <n v="1.5"/>
    <s v="ATENDE"/>
    <s v="ATENDE"/>
    <s v="ATENDE"/>
    <s v="P4"/>
    <n v="3.6213333333333333"/>
    <n v="34.659999999999997"/>
    <n v="27.67"/>
    <n v="7.5"/>
    <n v="1.5"/>
    <s v="ATENDE"/>
    <s v="ATENDE"/>
    <s v="ATENDE"/>
    <x v="1"/>
    <s v="SX-INLPP070HF"/>
    <s v="SXINLPP070K40L12CZF7PHF"/>
    <m/>
    <n v="0"/>
    <n v="1"/>
    <n v="70"/>
    <n v="0"/>
    <n v="11970"/>
    <n v="0"/>
    <n v="0"/>
    <n v="10"/>
    <s v="Curto II"/>
    <s v="Longo I"/>
    <n v="2.8"/>
    <n v="8"/>
    <s v="APES-2"/>
    <n v="1"/>
    <m/>
    <s v="Redução do distanciamento entre postes 36.5 para 18.25"/>
    <m/>
    <m/>
    <n v="70"/>
    <n v="50"/>
    <n v="120"/>
    <n v="-0.39999999999999991"/>
    <m/>
    <m/>
    <s v="Sim"/>
    <m/>
  </r>
  <r>
    <n v="140"/>
    <s v="PVP"/>
    <s v="Avenida Jardim Atlantico, 553 [E]"/>
    <n v="-30.06193056"/>
    <n v="-50.164006309999998"/>
    <s v="C2"/>
    <x v="0"/>
    <s v="P4"/>
    <s v="LED"/>
    <n v="50"/>
    <n v="0"/>
    <n v="0"/>
    <n v="100"/>
    <n v="2"/>
    <n v="3.5"/>
    <n v="7"/>
    <m/>
    <m/>
    <n v="0"/>
    <n v="3"/>
    <n v="0"/>
    <n v="0"/>
    <n v="0"/>
    <n v="3.5"/>
    <n v="3"/>
    <s v="Canteiro central"/>
    <s v="Braço"/>
    <n v="36.5"/>
    <n v="7.5"/>
    <n v="1"/>
    <n v="5.5"/>
    <n v="1.3"/>
    <n v="-4.2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4265000000000001"/>
    <n v="0.5714285714285714"/>
    <s v="-"/>
    <n v="28.53"/>
    <n v="0.44"/>
    <m/>
    <m/>
    <m/>
    <m/>
    <s v="ATENDE"/>
    <s v="ATENDE"/>
    <s v="ATENDE"/>
    <s v="ATENDE"/>
    <s v="C2"/>
    <s v="P4"/>
    <n v="0.15333333333333332"/>
    <n v="8.65"/>
    <n v="6.06"/>
    <n v="7.5"/>
    <n v="1.5"/>
    <s v="ATENDE"/>
    <s v="ATENDE"/>
    <s v="ATENDE"/>
    <s v="P4"/>
    <n v="6.1013333333333328"/>
    <n v="53.26"/>
    <n v="17.97"/>
    <n v="7.5"/>
    <n v="1.5"/>
    <s v="ATENDE"/>
    <s v="ATENDE"/>
    <s v="ATENDE"/>
    <x v="2"/>
    <s v="TAUMAGPTLRRTMNDL183W_95IBB"/>
    <s v="TAUMAGPTLRRTMNDL183W_95IBB_x000a_RS1-10C1MUN6.5"/>
    <m/>
    <n v="0"/>
    <n v="1"/>
    <n v="183"/>
    <n v="0"/>
    <n v="30866"/>
    <n v="0"/>
    <n v="0"/>
    <n v="10"/>
    <s v="Curto II"/>
    <m/>
    <s v=""/>
    <s v=""/>
    <m/>
    <m/>
    <m/>
    <m/>
    <m/>
    <m/>
    <n v="183"/>
    <n v="50"/>
    <n v="233"/>
    <n v="-2.66"/>
    <m/>
    <m/>
    <s v="Sim"/>
    <m/>
  </r>
  <r>
    <n v="141"/>
    <s v="PVP"/>
    <s v="Rua F das Camelias, 447 [E]"/>
    <n v="-30.06161883"/>
    <n v="-50.162760810000002"/>
    <s v="C4"/>
    <x v="0"/>
    <s v="P6"/>
    <s v="Vapor de sódio"/>
    <n v="100"/>
    <n v="17"/>
    <n v="0"/>
    <n v="400"/>
    <n v="2"/>
    <n v="2.5"/>
    <n v="7"/>
    <m/>
    <m/>
    <n v="0"/>
    <n v="2.5"/>
    <n v="0"/>
    <n v="0"/>
    <n v="0"/>
    <n v="0"/>
    <n v="0"/>
    <s v="Unilateral"/>
    <s v="Braço"/>
    <n v="29"/>
    <n v="7.8"/>
    <n v="2"/>
    <n v="0.5"/>
    <n v="1.3"/>
    <n v="0.8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16900000000000004"/>
    <n v="2.0555555555555558"/>
    <s v="-"/>
    <n v="11.69"/>
    <n v="0.55000000000000004"/>
    <m/>
    <m/>
    <m/>
    <m/>
    <s v="ATENDE"/>
    <s v="ATENDE"/>
    <s v="ATENDE"/>
    <s v="ATENDE"/>
    <s v="C4"/>
    <s v="P6"/>
    <n v="1.5566666666666666"/>
    <n v="7.67"/>
    <n v="4.8"/>
    <n v="3"/>
    <n v="0.6"/>
    <s v="ATENDE"/>
    <s v="ATENDE"/>
    <s v="ATENDE"/>
    <s v="P6"/>
    <n v="2.3766666666666669"/>
    <n v="10.130000000000001"/>
    <n v="5.28"/>
    <n v="3"/>
    <n v="0.6"/>
    <s v="ATENDE"/>
    <s v="ATENDE"/>
    <s v="ATENDE"/>
    <x v="0"/>
    <s v=" SL VT 9.1 44W"/>
    <s v="LUM LED SL VT 9.1 44W"/>
    <m/>
    <e v="#N/A"/>
    <n v="2"/>
    <n v="44"/>
    <n v="0"/>
    <n v="7657.99"/>
    <n v="0"/>
    <n v="0"/>
    <m/>
    <s v="Curto II"/>
    <m/>
    <m/>
    <m/>
    <m/>
    <m/>
    <m/>
    <m/>
    <m/>
    <m/>
    <n v="44"/>
    <n v="100"/>
    <n v="288"/>
    <n v="0.56000000000000005"/>
    <m/>
    <m/>
    <s v="Sim"/>
    <m/>
  </r>
  <r>
    <n v="141"/>
    <s v="PVP"/>
    <s v="Rua F das Camelias, 447 [E]"/>
    <n v="-30.06161883"/>
    <n v="-50.162760810000002"/>
    <s v="C4"/>
    <x v="0"/>
    <s v="P6"/>
    <s v="Vapor de sódio"/>
    <n v="100"/>
    <n v="17"/>
    <n v="0"/>
    <n v="400"/>
    <n v="2"/>
    <n v="2.5"/>
    <n v="7"/>
    <m/>
    <m/>
    <n v="0"/>
    <n v="2.5"/>
    <n v="0"/>
    <n v="0"/>
    <n v="0"/>
    <n v="0"/>
    <n v="0"/>
    <s v="Unilateral"/>
    <s v="Braço"/>
    <n v="29"/>
    <n v="7.8"/>
    <n v="2"/>
    <n v="0.5"/>
    <n v="1.3"/>
    <n v="0.8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31400000000000006"/>
    <n v="2.4444444444444446"/>
    <s v="-"/>
    <n v="13.14"/>
    <n v="0.62"/>
    <m/>
    <m/>
    <m/>
    <m/>
    <s v="ATENDE"/>
    <s v="ATENDE"/>
    <s v="ATENDE"/>
    <s v="ATENDE"/>
    <s v="C4"/>
    <s v="P6"/>
    <n v="1.0966666666666667"/>
    <n v="6.29"/>
    <n v="4.6100000000000003"/>
    <n v="3"/>
    <n v="0.6"/>
    <s v="ATENDE"/>
    <s v="ATENDE"/>
    <s v="ATENDE"/>
    <s v="P6"/>
    <n v="4.7433333333333332"/>
    <n v="17.23"/>
    <n v="12.84"/>
    <n v="3"/>
    <n v="0.6"/>
    <s v="ATENDE"/>
    <s v="ATENDE"/>
    <s v="ATENDE"/>
    <x v="1"/>
    <s v="SX-INEVO030HF"/>
    <s v="SXINEVO030K40L12CZF7PHF"/>
    <m/>
    <e v="#N/A"/>
    <n v="2"/>
    <n v="31"/>
    <n v="0"/>
    <n v="5270"/>
    <n v="0"/>
    <n v="0"/>
    <m/>
    <s v="Curto II"/>
    <m/>
    <m/>
    <m/>
    <m/>
    <m/>
    <m/>
    <m/>
    <m/>
    <m/>
    <n v="31"/>
    <n v="100"/>
    <n v="262"/>
    <n v="0.69"/>
    <m/>
    <m/>
    <s v="Sim"/>
    <m/>
  </r>
  <r>
    <n v="141"/>
    <s v="PVP"/>
    <s v="Rua F das Camelias, 447 [E]"/>
    <n v="-30.06161883"/>
    <n v="-50.162760810000002"/>
    <s v="C4"/>
    <x v="0"/>
    <s v="P6"/>
    <s v="Vapor de sódio"/>
    <n v="100"/>
    <n v="17"/>
    <n v="0"/>
    <n v="400"/>
    <n v="2"/>
    <n v="2.5"/>
    <n v="7"/>
    <m/>
    <m/>
    <n v="0"/>
    <n v="2.5"/>
    <n v="0"/>
    <n v="0"/>
    <n v="0"/>
    <n v="0"/>
    <n v="0"/>
    <s v="Unilateral"/>
    <s v="Braço"/>
    <n v="29"/>
    <n v="7.8"/>
    <n v="2"/>
    <n v="0.5"/>
    <n v="1.3"/>
    <n v="0.8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35199999999999987"/>
    <n v="2.3333333333333335"/>
    <s v="-"/>
    <n v="13.52"/>
    <n v="0.6"/>
    <m/>
    <m/>
    <m/>
    <m/>
    <s v="ATENDE"/>
    <s v="ATENDE"/>
    <s v="ATENDE"/>
    <s v="ATENDE"/>
    <s v="C4"/>
    <s v="P6"/>
    <n v="1.0899999999999999"/>
    <n v="6.27"/>
    <n v="4.83"/>
    <n v="3"/>
    <n v="0.6"/>
    <s v="ATENDE"/>
    <s v="ATENDE"/>
    <s v="ATENDE"/>
    <s v="P6"/>
    <n v="4.7733333333333334"/>
    <n v="17.32"/>
    <n v="12.59"/>
    <n v="3"/>
    <n v="0.6"/>
    <s v="ATENDE"/>
    <s v="ATENDE"/>
    <s v="ATENDE"/>
    <x v="2"/>
    <s v="SIGSAGPTLRRSSNDL_30W_38IBBRS_x000a_"/>
    <s v="SIGSAGPTLRRSSNDL_30W_38IBBRS_x000a_1-10C1MUN6.5"/>
    <m/>
    <e v="#N/A"/>
    <n v="2"/>
    <n v="30"/>
    <e v="#N/A"/>
    <n v="5266"/>
    <n v="0"/>
    <n v="0"/>
    <m/>
    <s v="Curto II"/>
    <m/>
    <m/>
    <m/>
    <m/>
    <m/>
    <m/>
    <m/>
    <m/>
    <m/>
    <n v="30"/>
    <n v="100"/>
    <n v="260"/>
    <n v="0.7"/>
    <m/>
    <m/>
    <s v="Sim"/>
    <m/>
  </r>
  <r>
    <n v="142"/>
    <s v="PVP"/>
    <s v="Rua A-Seis dos Jasmins, 314 [E]"/>
    <n v="-30.063974089999999"/>
    <n v="-50.161727929999998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20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8"/>
    <n v="2.7777777777777781"/>
    <s v="-"/>
    <n v="11.1"/>
    <n v="0.68"/>
    <m/>
    <m/>
    <m/>
    <m/>
    <s v="ATENDE"/>
    <s v="ATENDE"/>
    <s v="ATENDE"/>
    <s v="ATENDE"/>
    <s v="C5"/>
    <s v="P6"/>
    <n v="1.37"/>
    <n v="7.11"/>
    <n v="5.25"/>
    <n v="3"/>
    <n v="0.6"/>
    <s v="ATENDE"/>
    <s v="ATENDE"/>
    <s v="ATENDE"/>
    <s v="P6"/>
    <n v="2.0533333333333332"/>
    <n v="9.16"/>
    <n v="6.4"/>
    <n v="3"/>
    <n v="0.6"/>
    <s v="ATENDE"/>
    <s v="ATENDE"/>
    <s v="ATENDE"/>
    <x v="0"/>
    <s v=" SL VT 9.1 28W"/>
    <s v="LUM LED SL VT 9.1 28W"/>
    <m/>
    <n v="0"/>
    <n v="1"/>
    <n v="28"/>
    <e v="#N/A"/>
    <n v="4927.3500000000004"/>
    <n v="0"/>
    <n v="0"/>
    <m/>
    <s v="Curto II"/>
    <m/>
    <s v=""/>
    <s v=""/>
    <m/>
    <m/>
    <m/>
    <m/>
    <m/>
    <m/>
    <n v="28"/>
    <n v="50"/>
    <n v="78"/>
    <n v="0.43999999999999995"/>
    <m/>
    <m/>
    <s v="Sim"/>
    <m/>
  </r>
  <r>
    <n v="142"/>
    <s v="PVP"/>
    <s v="Rua A-Seis dos Jasmins, 314 [E]"/>
    <n v="-30.063974089999999"/>
    <n v="-50.161727929999998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20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866666666666658"/>
    <n v="3.4444444444444446"/>
    <s v="-"/>
    <n v="9.2899999999999991"/>
    <n v="0.8"/>
    <m/>
    <m/>
    <m/>
    <m/>
    <s v="ATENDE"/>
    <s v="ATENDE"/>
    <s v="ATENDE"/>
    <s v="ATENDE"/>
    <s v="C5"/>
    <s v="P6"/>
    <n v="0.84666666666666668"/>
    <n v="5.54"/>
    <n v="3.81"/>
    <n v="3"/>
    <n v="0.6"/>
    <s v="ATENDE"/>
    <s v="ATENDE"/>
    <s v="ATENDE"/>
    <s v="P6"/>
    <n v="1.48"/>
    <n v="7.44"/>
    <n v="5.5"/>
    <n v="3"/>
    <n v="0.6"/>
    <s v="ATENDE"/>
    <s v="ATENDE"/>
    <s v="ATENDE"/>
    <x v="1"/>
    <s v="SX-INEVO020HF"/>
    <s v="SXINEVO020K40L12CZF7PHF"/>
    <m/>
    <e v="#N/A"/>
    <n v="1"/>
    <n v="22.5"/>
    <e v="#N/A"/>
    <n v="3825"/>
    <n v="0"/>
    <n v="0"/>
    <m/>
    <s v="Curto II"/>
    <m/>
    <s v=""/>
    <s v=""/>
    <m/>
    <m/>
    <m/>
    <m/>
    <m/>
    <m/>
    <n v="22.5"/>
    <n v="50"/>
    <n v="72.5"/>
    <n v="0.55000000000000004"/>
    <m/>
    <m/>
    <s v="Sim"/>
    <m/>
  </r>
  <r>
    <n v="142"/>
    <s v="PVP"/>
    <s v="Rua A-Seis dos Jasmins, 314 [E]"/>
    <n v="-30.063974089999999"/>
    <n v="-50.161727929999998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20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82666666666666666"/>
    <n v="3.0555555555555554"/>
    <s v="-"/>
    <n v="13.7"/>
    <n v="0.73"/>
    <m/>
    <m/>
    <m/>
    <m/>
    <s v="ATENDE"/>
    <s v="ATENDE"/>
    <s v="ATENDE"/>
    <s v="ATENDE"/>
    <s v="C5"/>
    <s v="P6"/>
    <n v="1.3833333333333333"/>
    <n v="7.15"/>
    <n v="5.31"/>
    <n v="3"/>
    <n v="0.6"/>
    <s v="ATENDE"/>
    <s v="ATENDE"/>
    <s v="ATENDE"/>
    <s v="P6"/>
    <n v="2.5666666666666664"/>
    <n v="10.7"/>
    <n v="7.9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Sim"/>
    <m/>
  </r>
  <r>
    <n v="143"/>
    <s v="PVP"/>
    <s v="Rua B das Begonias, 307 [E]"/>
    <n v="-30.065071530000001"/>
    <n v="-50.162077719999999"/>
    <s v="C5"/>
    <x v="0"/>
    <s v="P6"/>
    <s v="Vapor de sódio"/>
    <n v="100"/>
    <n v="17"/>
    <n v="0"/>
    <n v="200"/>
    <n v="2"/>
    <n v="3"/>
    <n v="7"/>
    <m/>
    <m/>
    <n v="0"/>
    <n v="4.5"/>
    <n v="0"/>
    <n v="0"/>
    <n v="0"/>
    <n v="0"/>
    <n v="0"/>
    <s v="Unilateral"/>
    <s v="Braço"/>
    <n v="33.1"/>
    <n v="6.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2666666666666613E-2"/>
    <n v="1"/>
    <s v="-"/>
    <n v="7.67"/>
    <n v="0.36"/>
    <m/>
    <m/>
    <m/>
    <m/>
    <s v="ATENDE"/>
    <s v="ATENDE"/>
    <s v="ATENDE"/>
    <s v="ATENDE"/>
    <s v="C5"/>
    <s v="P6"/>
    <n v="9.9999999999999867E-2"/>
    <n v="3.3"/>
    <n v="1.35"/>
    <n v="3"/>
    <n v="0.6"/>
    <s v="ATENDE"/>
    <s v="ATENDE"/>
    <s v="ATENDE"/>
    <s v="P6"/>
    <n v="0.94333333333333336"/>
    <n v="5.83"/>
    <n v="1.96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43"/>
    <s v="PVP"/>
    <s v="Rua B das Begonias, 307 [E]"/>
    <n v="-30.065071530000001"/>
    <n v="-50.162077719999999"/>
    <s v="C5"/>
    <x v="0"/>
    <s v="P6"/>
    <s v="Vapor de sódio"/>
    <n v="100"/>
    <n v="17"/>
    <n v="0"/>
    <n v="200"/>
    <n v="2"/>
    <n v="3"/>
    <n v="7"/>
    <m/>
    <m/>
    <n v="0"/>
    <n v="4.5"/>
    <n v="0"/>
    <n v="0"/>
    <n v="0"/>
    <n v="0"/>
    <n v="0"/>
    <s v="Unilateral"/>
    <s v="Braço"/>
    <n v="33.1"/>
    <n v="6.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733333333333317"/>
    <n v="0.7777777777777779"/>
    <s v="-"/>
    <n v="9.2799999999999994"/>
    <n v="0.32"/>
    <m/>
    <m/>
    <m/>
    <m/>
    <s v="ATENDE"/>
    <s v="ATENDE"/>
    <s v="ATENDE"/>
    <s v="ATENDE"/>
    <s v="C5"/>
    <s v="P6"/>
    <n v="0.29666666666666663"/>
    <n v="3.89"/>
    <n v="1.84"/>
    <n v="3"/>
    <n v="0.6"/>
    <s v="ATENDE"/>
    <s v="ATENDE"/>
    <s v="ATENDE"/>
    <s v="P6"/>
    <n v="0.90000000000000013"/>
    <n v="5.7"/>
    <n v="0.6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43"/>
    <s v="PVP"/>
    <s v="Rua B das Begonias, 307 [E]"/>
    <n v="-30.065071530000001"/>
    <n v="-50.162077719999999"/>
    <s v="C5"/>
    <x v="0"/>
    <s v="P6"/>
    <s v="Vapor de sódio"/>
    <n v="100"/>
    <n v="17"/>
    <n v="0"/>
    <n v="200"/>
    <n v="2"/>
    <n v="3"/>
    <n v="7"/>
    <m/>
    <m/>
    <n v="0"/>
    <n v="4.5"/>
    <n v="0"/>
    <n v="0"/>
    <n v="0"/>
    <n v="0"/>
    <n v="0"/>
    <s v="Unilateral"/>
    <s v="Braço"/>
    <n v="33.1"/>
    <n v="6.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466666666666677"/>
    <n v="1.2777777777777777"/>
    <s v="-"/>
    <n v="8.9600000000000009"/>
    <n v="0.41"/>
    <m/>
    <m/>
    <m/>
    <m/>
    <s v="ATENDE"/>
    <s v="ATENDE"/>
    <s v="ATENDE"/>
    <s v="ATENDE"/>
    <s v="C5"/>
    <s v="P6"/>
    <n v="0.38666666666666671"/>
    <n v="4.16"/>
    <n v="2.72"/>
    <n v="3"/>
    <n v="0.6"/>
    <s v="ATENDE"/>
    <s v="ATENDE"/>
    <s v="ATENDE"/>
    <s v="P6"/>
    <n v="0.80333333333333345"/>
    <n v="5.41"/>
    <n v="1.3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44"/>
    <s v="PVP"/>
    <s v="Rua T-Oito, 266 [E]"/>
    <n v="-30.063777380000001"/>
    <n v="-50.16233673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34.299999999999997"/>
    <n v="7.3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400000000000016"/>
    <n v="1.2222222222222223"/>
    <s v="-"/>
    <n v="8.8800000000000008"/>
    <n v="0.4"/>
    <m/>
    <m/>
    <m/>
    <m/>
    <s v="ATENDE"/>
    <s v="ATENDE"/>
    <s v="ATENDE"/>
    <s v="ATENDE"/>
    <s v="C5"/>
    <s v="P6"/>
    <n v="0.82333333333333325"/>
    <n v="5.47"/>
    <n v="2.54"/>
    <n v="3"/>
    <n v="0.6"/>
    <s v="ATENDE"/>
    <s v="ATENDE"/>
    <s v="ATENDE"/>
    <s v="P6"/>
    <n v="1.2333333333333334"/>
    <n v="6.7"/>
    <n v="2.5299999999999998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Médio I"/>
    <m/>
    <s v=""/>
    <s v=""/>
    <m/>
    <m/>
    <m/>
    <m/>
    <m/>
    <m/>
    <n v="35"/>
    <n v="100"/>
    <n v="135"/>
    <n v="0.65"/>
    <m/>
    <m/>
    <s v="Sim"/>
    <m/>
  </r>
  <r>
    <n v="144"/>
    <s v="PVP"/>
    <s v="Rua T-Oito, 266 [E]"/>
    <n v="-30.063777380000001"/>
    <n v="-50.16233673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34.299999999999997"/>
    <n v="7.3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399999999999991"/>
    <n v="1.3888888888888888"/>
    <s v="-"/>
    <n v="8.58"/>
    <n v="0.43"/>
    <m/>
    <m/>
    <m/>
    <m/>
    <s v="ATENDE"/>
    <s v="ATENDE"/>
    <s v="ATENDE"/>
    <s v="ATENDE"/>
    <s v="C5"/>
    <s v="P6"/>
    <n v="0.55333333333333345"/>
    <n v="4.66"/>
    <n v="2.5099999999999998"/>
    <n v="3"/>
    <n v="0.6"/>
    <s v="ATENDE"/>
    <s v="ATENDE"/>
    <s v="ATENDE"/>
    <s v="P6"/>
    <n v="1.0233333333333334"/>
    <n v="6.07"/>
    <n v="1.72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Médio I"/>
    <m/>
    <s v=""/>
    <s v=""/>
    <m/>
    <m/>
    <m/>
    <m/>
    <m/>
    <m/>
    <n v="31"/>
    <n v="100"/>
    <n v="131"/>
    <n v="0.69"/>
    <m/>
    <m/>
    <s v="Sim"/>
    <m/>
  </r>
  <r>
    <n v="144"/>
    <s v="PVP"/>
    <s v="Rua T-Oito, 266 [E]"/>
    <n v="-30.063777380000001"/>
    <n v="-50.16233673"/>
    <s v="C5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34.299999999999997"/>
    <n v="7.3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466666666666671"/>
    <n v="1.8333333333333335"/>
    <s v="-"/>
    <n v="8.51"/>
    <n v="0.51"/>
    <m/>
    <m/>
    <m/>
    <m/>
    <s v="ATENDE"/>
    <s v="ATENDE"/>
    <s v="ATENDE"/>
    <s v="ATENDE"/>
    <s v="C5"/>
    <s v="P6"/>
    <n v="0.42666666666666675"/>
    <n v="4.28"/>
    <n v="2.86"/>
    <n v="3"/>
    <n v="0.6"/>
    <s v="ATENDE"/>
    <s v="ATENDE"/>
    <s v="ATENDE"/>
    <s v="P6"/>
    <n v="1.0466666666666664"/>
    <n v="6.14"/>
    <n v="2.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"/>
    <m/>
    <s v=""/>
    <s v=""/>
    <m/>
    <m/>
    <m/>
    <m/>
    <m/>
    <m/>
    <n v="30"/>
    <n v="100"/>
    <n v="130"/>
    <n v="0.7"/>
    <m/>
    <m/>
    <s v="Sim"/>
    <m/>
  </r>
  <r>
    <n v="145"/>
    <s v="PVP"/>
    <s v="Rua Rondonia, 1995"/>
    <n v="-30.041405050000002"/>
    <n v="-50.163428330000002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0"/>
    <n v="7.5"/>
    <n v="1"/>
    <n v="0.5"/>
    <n v="2"/>
    <n v="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-5.0000000000001155E-3"/>
    <n v="1.8888888888888893"/>
    <s v="-"/>
    <n v="9.9499999999999993"/>
    <n v="0.52"/>
    <m/>
    <m/>
    <m/>
    <m/>
    <s v="ATENDE"/>
    <s v="ATENDIMENTO LIMIAR"/>
    <s v="ATENDE"/>
    <s v="ATENDE"/>
    <s v="C4"/>
    <s v="P6"/>
    <n v="1.2966666666666664"/>
    <n v="6.89"/>
    <n v="4.0599999999999996"/>
    <n v="3"/>
    <n v="0.6"/>
    <s v="ATENDE"/>
    <s v="ATENDE"/>
    <s v="ATENDE"/>
    <s v="P6"/>
    <n v="1.4233333333333333"/>
    <n v="7.27"/>
    <n v="3.7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Médio I"/>
    <m/>
    <m/>
    <m/>
    <m/>
    <m/>
    <m/>
    <m/>
    <m/>
    <m/>
    <n v="35"/>
    <n v="150"/>
    <n v="185"/>
    <n v="0.76666666666666661"/>
    <m/>
    <m/>
    <s v="Sim"/>
    <m/>
  </r>
  <r>
    <n v="145"/>
    <s v="PVP"/>
    <s v="Rua Rondonia, 1995"/>
    <n v="-30.041405050000002"/>
    <n v="-50.163428330000002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0"/>
    <n v="7.5"/>
    <n v="1"/>
    <n v="0.5"/>
    <n v="2"/>
    <n v="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2.4444444444444446"/>
    <s v="-"/>
    <n v="11.31"/>
    <n v="0.62"/>
    <m/>
    <m/>
    <m/>
    <m/>
    <s v="ATENDE"/>
    <s v="ATENDE"/>
    <s v="ATENDE"/>
    <s v="ATENDE"/>
    <s v="C4"/>
    <s v="P6"/>
    <n v="1.4966666666666666"/>
    <n v="7.49"/>
    <n v="5.67"/>
    <n v="3"/>
    <n v="0.6"/>
    <s v="ATENDE"/>
    <s v="ATENDE"/>
    <s v="ATENDE"/>
    <s v="P6"/>
    <n v="1.7866666666666666"/>
    <n v="8.36"/>
    <n v="4.6399999999999997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Médio I"/>
    <m/>
    <m/>
    <m/>
    <m/>
    <m/>
    <m/>
    <m/>
    <m/>
    <m/>
    <n v="39"/>
    <n v="150"/>
    <n v="189"/>
    <n v="0.74"/>
    <m/>
    <m/>
    <s v="Sim"/>
    <m/>
  </r>
  <r>
    <n v="145"/>
    <s v="PVP"/>
    <s v="Rua Rondonia, 1995"/>
    <n v="-30.041405050000002"/>
    <n v="-50.163428330000002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0"/>
    <n v="7.5"/>
    <n v="1"/>
    <n v="0.5"/>
    <n v="2"/>
    <n v="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299999999999993"/>
    <n v="2.5555555555555558"/>
    <s v="-"/>
    <n v="12.93"/>
    <n v="0.64"/>
    <m/>
    <m/>
    <m/>
    <m/>
    <s v="ATENDE"/>
    <s v="ATENDE"/>
    <s v="ATENDE"/>
    <s v="ATENDE"/>
    <s v="C4"/>
    <s v="P6"/>
    <n v="1.2399999999999998"/>
    <n v="6.72"/>
    <n v="4.5599999999999996"/>
    <n v="3"/>
    <n v="0.6"/>
    <s v="ATENDE"/>
    <s v="ATENDE"/>
    <s v="ATENDE"/>
    <s v="P6"/>
    <n v="1.92"/>
    <n v="8.76"/>
    <n v="5.3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Médio I"/>
    <m/>
    <s v=""/>
    <s v=""/>
    <m/>
    <m/>
    <m/>
    <m/>
    <m/>
    <m/>
    <n v="40"/>
    <n v="150"/>
    <n v="190"/>
    <n v="0.73333333333333339"/>
    <m/>
    <m/>
    <s v="Sim"/>
    <m/>
  </r>
  <r>
    <n v="146"/>
    <s v="PVP"/>
    <s v="Rua Brasilia, 2239"/>
    <n v="-30.046407030000001"/>
    <n v="-50.154886769999997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5.3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2.5555555555555558"/>
    <s v="-"/>
    <n v="11.67"/>
    <n v="0.64"/>
    <m/>
    <m/>
    <m/>
    <m/>
    <s v="ATENDE"/>
    <s v="ATENDE"/>
    <s v="ATENDE"/>
    <s v="ATENDE"/>
    <s v="C4"/>
    <s v="P6"/>
    <n v="1.4300000000000002"/>
    <n v="7.29"/>
    <n v="4.8899999999999997"/>
    <n v="3"/>
    <n v="0.6"/>
    <s v="ATENDE"/>
    <s v="ATENDE"/>
    <s v="ATENDE"/>
    <s v="P6"/>
    <n v="2.2066666666666666"/>
    <n v="9.6199999999999992"/>
    <n v="5.97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46"/>
    <s v="PVP"/>
    <s v="Rua Brasilia, 2239"/>
    <n v="-30.046407030000001"/>
    <n v="-50.154886769999997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5.3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799999999999989"/>
    <n v="3.2222222222222223"/>
    <s v="-"/>
    <n v="11.28"/>
    <n v="0.76"/>
    <m/>
    <m/>
    <m/>
    <m/>
    <s v="ATENDE"/>
    <s v="ATENDE"/>
    <s v="ATENDE"/>
    <s v="ATENDE"/>
    <s v="C4"/>
    <s v="P6"/>
    <n v="1.0766666666666667"/>
    <n v="6.23"/>
    <n v="3.98"/>
    <n v="3"/>
    <n v="0.6"/>
    <s v="ATENDE"/>
    <s v="ATENDE"/>
    <s v="ATENDE"/>
    <s v="P6"/>
    <n v="1.9666666666666668"/>
    <n v="8.9"/>
    <n v="6.12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146"/>
    <s v="PVP"/>
    <s v="Rua Brasilia, 2239"/>
    <n v="-30.046407030000001"/>
    <n v="-50.154886769999997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5.3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0000000000001"/>
    <n v="2.9444444444444442"/>
    <s v="-"/>
    <n v="11.16"/>
    <n v="0.71"/>
    <m/>
    <m/>
    <m/>
    <m/>
    <s v="ATENDE"/>
    <s v="ATENDE"/>
    <s v="ATENDE"/>
    <s v="ATENDE"/>
    <s v="C4"/>
    <s v="P6"/>
    <n v="0.90000000000000013"/>
    <n v="5.7"/>
    <n v="3.87"/>
    <n v="3"/>
    <n v="0.6"/>
    <s v="ATENDE"/>
    <s v="ATENDE"/>
    <s v="ATENDE"/>
    <s v="P6"/>
    <n v="1.9766666666666666"/>
    <n v="8.93"/>
    <n v="6.1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147"/>
    <s v="VP"/>
    <s v="Rua Espirito Santo, 2156"/>
    <n v="-30.04569167"/>
    <n v="-50.155676730000003"/>
    <s v="C4"/>
    <x v="0"/>
    <s v="P6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22.8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2000000000000046E-2"/>
    <n v="2.2222222222222223"/>
    <s v="-"/>
    <n v="10.52"/>
    <n v="0.57999999999999996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97333333333333338"/>
    <n v="5.92"/>
    <n v="3.95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47"/>
    <s v="VP"/>
    <s v="Rua Espirito Santo, 2156"/>
    <n v="-30.04569167"/>
    <n v="-50.155676730000003"/>
    <s v="C4"/>
    <x v="0"/>
    <s v="P6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22.8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699999999999994"/>
    <n v="3.0555555555555554"/>
    <s v="-"/>
    <n v="13.07"/>
    <n v="0.7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97666666666666657"/>
    <n v="5.93"/>
    <n v="3.34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47"/>
    <s v="VP"/>
    <s v="Rua Espirito Santo, 2156"/>
    <n v="-30.04569167"/>
    <n v="-50.155676730000003"/>
    <s v="C4"/>
    <x v="0"/>
    <s v="P6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22.8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600000000000003"/>
    <n v="2.666666666666667"/>
    <s v="-"/>
    <n v="12.86"/>
    <n v="0.66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86333333333333329"/>
    <n v="5.59"/>
    <n v="3.5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48"/>
    <s v="VP"/>
    <s v="Avenida Manaus, 486"/>
    <n v="-30.045915019999999"/>
    <n v="-50.155268810000003"/>
    <s v="C2"/>
    <x v="0"/>
    <s v="P6"/>
    <s v="Vapor de sódio"/>
    <n v="100"/>
    <n v="17"/>
    <n v="0"/>
    <n v="400"/>
    <n v="2"/>
    <n v="0"/>
    <n v="6.5"/>
    <m/>
    <m/>
    <n v="0"/>
    <n v="2.5"/>
    <n v="2"/>
    <n v="0"/>
    <n v="0"/>
    <n v="0"/>
    <n v="0"/>
    <s v="Canteiro central"/>
    <s v="Braço"/>
    <n v="32.5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4.8499999999999988E-2"/>
    <n v="0.64285714285714279"/>
    <s v="-"/>
    <n v="20.97"/>
    <n v="0.4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8600000000000003"/>
    <n v="14.58"/>
    <n v="7.04"/>
    <n v="3"/>
    <n v="0.6"/>
    <s v="ATENDE"/>
    <s v="ATENDE"/>
    <s v="ATENDE"/>
    <x v="0"/>
    <s v=" SL VT 9.1 85W"/>
    <s v="LUM LED SL VT 9.1 85W"/>
    <m/>
    <e v="#N/A"/>
    <n v="2"/>
    <n v="85"/>
    <n v="0"/>
    <n v="14489"/>
    <n v="0"/>
    <n v="0"/>
    <m/>
    <s v="Curto II"/>
    <m/>
    <s v=""/>
    <s v=""/>
    <m/>
    <m/>
    <m/>
    <m/>
    <m/>
    <m/>
    <n v="85"/>
    <n v="100"/>
    <n v="370"/>
    <n v="0.15000000000000002"/>
    <m/>
    <m/>
    <s v="Sim"/>
    <m/>
  </r>
  <r>
    <n v="148"/>
    <s v="VP"/>
    <s v="Avenida Manaus, 486"/>
    <n v="-30.045915019999999"/>
    <n v="-50.155268810000003"/>
    <s v="C2"/>
    <x v="0"/>
    <s v="P6"/>
    <s v="Vapor de sódio"/>
    <n v="100"/>
    <n v="17"/>
    <n v="0"/>
    <n v="400"/>
    <n v="2"/>
    <n v="0"/>
    <n v="6.5"/>
    <m/>
    <m/>
    <n v="0"/>
    <n v="2.5"/>
    <n v="2"/>
    <n v="0"/>
    <n v="0"/>
    <n v="0"/>
    <n v="0"/>
    <s v="Canteiro central"/>
    <s v="Braço"/>
    <n v="32.5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8.1499999999999906E-2"/>
    <n v="0.78571428571428559"/>
    <s v="-"/>
    <n v="21.63"/>
    <n v="0.5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9233333333333329"/>
    <n v="14.77"/>
    <n v="8.9"/>
    <n v="3"/>
    <n v="0.6"/>
    <s v="ATENDE"/>
    <s v="ATENDE"/>
    <s v="ATENDE"/>
    <x v="1"/>
    <s v="SX-INLPP080HF"/>
    <s v="SXINLPP080K40L12CZF7PHF"/>
    <m/>
    <n v="0"/>
    <n v="2"/>
    <n v="79"/>
    <n v="0"/>
    <n v="13359"/>
    <n v="0"/>
    <n v="0"/>
    <m/>
    <s v="Curto II"/>
    <m/>
    <s v=""/>
    <s v=""/>
    <m/>
    <m/>
    <m/>
    <m/>
    <m/>
    <m/>
    <n v="79"/>
    <n v="100"/>
    <n v="358"/>
    <n v="0.20999999999999996"/>
    <m/>
    <m/>
    <s v="Sim"/>
    <m/>
  </r>
  <r>
    <n v="148"/>
    <s v="VP"/>
    <s v="Avenida Manaus, 486"/>
    <n v="-30.045915019999999"/>
    <n v="-50.155268810000003"/>
    <s v="C2"/>
    <x v="0"/>
    <s v="P6"/>
    <s v="Vapor de sódio"/>
    <n v="100"/>
    <n v="17"/>
    <n v="0"/>
    <n v="400"/>
    <n v="2"/>
    <n v="0"/>
    <n v="6.5"/>
    <m/>
    <m/>
    <n v="0"/>
    <n v="2.5"/>
    <n v="2"/>
    <n v="0"/>
    <n v="0"/>
    <n v="0"/>
    <n v="0"/>
    <s v="Canteiro central"/>
    <s v="Braço"/>
    <n v="32.5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9499999999999869E-2"/>
    <n v="1.0714285714285712"/>
    <s v="-"/>
    <n v="20.79"/>
    <n v="0.5799999999999999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2"/>
    <n v="12.6"/>
    <n v="9.52"/>
    <n v="3"/>
    <n v="0.6"/>
    <s v="ATENDE"/>
    <s v="ATENDE"/>
    <s v="ATENDE"/>
    <x v="2"/>
    <s v="SIGMAGPTLRRSMNDL_80W_56IBBR_x000a_"/>
    <s v="SIGMAGPTLRRSMNDL_80W_56IBBR_x000a_S1-10C1MUN6.5"/>
    <m/>
    <n v="0"/>
    <n v="2"/>
    <n v="80"/>
    <n v="0"/>
    <n v="13209"/>
    <n v="0"/>
    <n v="0"/>
    <m/>
    <s v="Curto II"/>
    <m/>
    <s v=""/>
    <s v=""/>
    <m/>
    <m/>
    <m/>
    <m/>
    <m/>
    <m/>
    <n v="80"/>
    <n v="100"/>
    <n v="360"/>
    <n v="0.19999999999999996"/>
    <m/>
    <m/>
    <s v="Sim"/>
    <m/>
  </r>
  <r>
    <n v="149"/>
    <s v="PVP"/>
    <s v="Rua Brasilia, 2239"/>
    <n v="-30.046170879999998"/>
    <n v="-50.154762759999997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2.1111111111111116"/>
    <s v="-"/>
    <n v="10.01"/>
    <n v="0.56000000000000005"/>
    <m/>
    <m/>
    <m/>
    <m/>
    <s v="ATENDE"/>
    <s v="ATENDE"/>
    <s v="ATENDE"/>
    <s v="ATENDE"/>
    <s v="C4"/>
    <s v="P6"/>
    <n v="1.0833333333333335"/>
    <n v="6.25"/>
    <n v="3.75"/>
    <n v="3"/>
    <n v="0.6"/>
    <s v="ATENDE"/>
    <s v="ATENDE"/>
    <s v="ATENDE"/>
    <s v="P6"/>
    <n v="1.7466666666666666"/>
    <n v="8.24"/>
    <n v="4.230000000000000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49"/>
    <s v="PVP"/>
    <s v="Rua Brasilia, 2239"/>
    <n v="-30.046170879999998"/>
    <n v="-50.154762759999997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00000000000001"/>
    <n v="2.666666666666667"/>
    <s v="-"/>
    <n v="11.33"/>
    <n v="0.66"/>
    <m/>
    <m/>
    <m/>
    <m/>
    <s v="ATENDE"/>
    <s v="ATENDE"/>
    <s v="ATENDE"/>
    <s v="ATENDE"/>
    <s v="C4"/>
    <s v="P6"/>
    <n v="1.2200000000000002"/>
    <n v="6.66"/>
    <n v="4.55"/>
    <n v="3"/>
    <n v="0.6"/>
    <s v="ATENDE"/>
    <s v="ATENDE"/>
    <s v="ATENDE"/>
    <s v="P6"/>
    <n v="2.1966666666666668"/>
    <n v="9.59"/>
    <n v="5.4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49"/>
    <s v="PVP"/>
    <s v="Rua Brasilia, 2239"/>
    <n v="-30.046170879999998"/>
    <n v="-50.154762759999997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499999999999992"/>
    <n v="2.3888888888888888"/>
    <s v="-"/>
    <n v="12.85"/>
    <n v="0.61"/>
    <m/>
    <m/>
    <m/>
    <m/>
    <s v="ATENDE"/>
    <s v="ATENDE"/>
    <s v="ATENDE"/>
    <s v="ATENDE"/>
    <s v="C4"/>
    <s v="P6"/>
    <n v="0.91666666666666674"/>
    <n v="5.75"/>
    <n v="3.83"/>
    <n v="3"/>
    <n v="0.6"/>
    <s v="ATENDE"/>
    <s v="ATENDE"/>
    <s v="ATENDE"/>
    <s v="P6"/>
    <n v="2.39"/>
    <n v="10.17"/>
    <n v="6.2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150"/>
    <s v="PVP"/>
    <s v="Rua Guanabara, 69"/>
    <n v="-30.04504665"/>
    <n v="-50.150679850000003"/>
    <s v="C2"/>
    <x v="0"/>
    <s v="P6"/>
    <s v="Vapor de sódio"/>
    <n v="150"/>
    <n v="22"/>
    <n v="0"/>
    <n v="0"/>
    <n v="2"/>
    <n v="2.5"/>
    <n v="10"/>
    <m/>
    <m/>
    <n v="0"/>
    <n v="2.5"/>
    <n v="0"/>
    <n v="0"/>
    <n v="0"/>
    <n v="0"/>
    <n v="0"/>
    <s v="Unilateral"/>
    <s v="Braço"/>
    <n v="35.1"/>
    <n v="7.5"/>
    <n v="0"/>
    <n v="0.5"/>
    <n v="1.5"/>
    <n v="1"/>
    <s v="-"/>
    <s v="-"/>
    <s v="Não"/>
    <n v="0"/>
    <n v="0"/>
    <n v="0"/>
    <n v="0"/>
    <n v="0"/>
    <n v="0"/>
    <s v="-"/>
    <n v="0"/>
    <m/>
    <n v="20"/>
    <n v="0.28000000000000003"/>
    <s v="-"/>
    <n v="0.28000000000000003"/>
    <s v="-"/>
    <n v="14"/>
    <s v="ATENDE"/>
    <n v="7.4000000000000066E-2"/>
    <n v="0.39285714285714279"/>
    <s v="-"/>
    <n v="21.48"/>
    <n v="0.39"/>
    <m/>
    <m/>
    <m/>
    <m/>
    <s v="ATENDE"/>
    <s v="ATENDE"/>
    <s v="ATENDE"/>
    <s v="ATENDE"/>
    <s v="C2"/>
    <s v="P6"/>
    <n v="3.3433333333333328"/>
    <n v="13.03"/>
    <n v="5.05"/>
    <n v="3"/>
    <n v="0.6"/>
    <s v="ATENDE"/>
    <s v="ATENDE"/>
    <s v="ATENDE"/>
    <s v="P6"/>
    <n v="3.3266666666666671"/>
    <n v="12.98"/>
    <n v="8.77"/>
    <n v="3"/>
    <n v="0.6"/>
    <s v="ATENDE"/>
    <s v="ATENDE"/>
    <s v="ATENDE"/>
    <x v="0"/>
    <s v=" SL VT 9.1 100W"/>
    <s v="LUM LED SL VT 9.1 100W"/>
    <m/>
    <e v="#N/A"/>
    <n v="0"/>
    <n v="100"/>
    <n v="0"/>
    <n v="15900"/>
    <n v="0"/>
    <n v="0"/>
    <m/>
    <s v="Curto II"/>
    <s v="Longo II"/>
    <m/>
    <m/>
    <m/>
    <m/>
    <m/>
    <m/>
    <m/>
    <m/>
    <n v="100"/>
    <n v="150"/>
    <n v="0"/>
    <n v="0.33333333333333337"/>
    <m/>
    <m/>
    <s v="Sim"/>
    <m/>
  </r>
  <r>
    <n v="150"/>
    <s v="PVP"/>
    <s v="Rua Guanabara, 69"/>
    <n v="-30.04504665"/>
    <n v="-50.150679850000003"/>
    <s v="C2"/>
    <x v="0"/>
    <s v="P6"/>
    <s v="Vapor de sódio"/>
    <n v="150"/>
    <n v="22"/>
    <n v="0"/>
    <n v="0"/>
    <n v="2"/>
    <n v="2.5"/>
    <n v="10"/>
    <m/>
    <m/>
    <n v="0"/>
    <n v="2.5"/>
    <n v="0"/>
    <n v="0"/>
    <n v="0"/>
    <n v="0"/>
    <n v="0"/>
    <s v="Unilateral"/>
    <s v="Braço"/>
    <n v="35.1"/>
    <n v="7.5"/>
    <n v="0"/>
    <n v="0.5"/>
    <n v="1.5"/>
    <n v="1"/>
    <s v="-"/>
    <s v="-"/>
    <s v="Não"/>
    <n v="0"/>
    <n v="0"/>
    <n v="0"/>
    <n v="0"/>
    <n v="0"/>
    <n v="0"/>
    <s v="-"/>
    <n v="0"/>
    <m/>
    <n v="20"/>
    <n v="0.28000000000000003"/>
    <s v="-"/>
    <n v="0.28000000000000003"/>
    <s v="-"/>
    <n v="14"/>
    <s v="ATENDE"/>
    <n v="0.11199999999999988"/>
    <n v="0.24999999999999978"/>
    <s v="-"/>
    <n v="22.24"/>
    <n v="0.35"/>
    <m/>
    <m/>
    <m/>
    <m/>
    <s v="ATENDE"/>
    <s v="ATENDE"/>
    <s v="ATENDE"/>
    <s v="ATENDE"/>
    <s v="C2"/>
    <s v="P6"/>
    <n v="1.2066666666666666"/>
    <n v="6.62"/>
    <n v="2.87"/>
    <n v="3"/>
    <n v="0.6"/>
    <s v="ATENDE"/>
    <s v="ATENDE"/>
    <s v="ATENDE"/>
    <s v="P6"/>
    <n v="6.1133333333333333"/>
    <n v="21.34"/>
    <n v="9.4700000000000006"/>
    <n v="3"/>
    <n v="0.6"/>
    <s v="ATENDE"/>
    <s v="ATENDE"/>
    <s v="ATENDE"/>
    <x v="1"/>
    <s v="SX-INLPP090HF"/>
    <s v="SXINLPP090K40L12CZF7PHF"/>
    <m/>
    <e v="#N/A"/>
    <n v="0"/>
    <n v="90"/>
    <e v="#N/A"/>
    <n v="15476"/>
    <n v="0"/>
    <n v="0"/>
    <m/>
    <s v="Curto II"/>
    <m/>
    <m/>
    <m/>
    <m/>
    <m/>
    <m/>
    <m/>
    <m/>
    <m/>
    <n v="90"/>
    <n v="150"/>
    <n v="0"/>
    <n v="0.4"/>
    <m/>
    <m/>
    <s v="Sim"/>
    <m/>
  </r>
  <r>
    <n v="150"/>
    <s v="PVP"/>
    <s v="Rua Guanabara, 69"/>
    <n v="-30.04504665"/>
    <n v="-50.150679850000003"/>
    <s v="C2"/>
    <x v="0"/>
    <s v="P6"/>
    <s v="Vapor de sódio"/>
    <n v="150"/>
    <n v="22"/>
    <n v="0"/>
    <n v="0"/>
    <n v="2"/>
    <n v="2.5"/>
    <n v="10"/>
    <m/>
    <m/>
    <n v="0"/>
    <n v="2.5"/>
    <n v="0"/>
    <n v="0"/>
    <n v="0"/>
    <n v="0"/>
    <n v="0"/>
    <s v="Unilateral"/>
    <s v="Braço"/>
    <n v="35.1"/>
    <n v="7.5"/>
    <n v="0"/>
    <n v="0.5"/>
    <n v="1.5"/>
    <n v="1"/>
    <s v="-"/>
    <s v="-"/>
    <s v="Não"/>
    <n v="0"/>
    <n v="0"/>
    <n v="0"/>
    <n v="0"/>
    <n v="0"/>
    <n v="0"/>
    <s v="-"/>
    <n v="0"/>
    <m/>
    <n v="20"/>
    <n v="0.28000000000000003"/>
    <s v="-"/>
    <n v="0.28000000000000003"/>
    <s v="-"/>
    <n v="14"/>
    <s v="ATENDE"/>
    <n v="-2.5000000000000577E-3"/>
    <n v="0.14285714285714279"/>
    <s v="-"/>
    <n v="19.95"/>
    <n v="0.32"/>
    <m/>
    <m/>
    <m/>
    <m/>
    <s v="ATENDE"/>
    <s v="ATENDIMENTO LIMIAR"/>
    <s v="ATENDE"/>
    <s v="ATENDE"/>
    <s v="C2"/>
    <s v="P6"/>
    <n v="0.28333333333333344"/>
    <n v="3.85"/>
    <n v="1.39"/>
    <n v="3"/>
    <n v="0.6"/>
    <s v="ATENDE"/>
    <s v="ATENDE"/>
    <s v="ATENDE"/>
    <s v="P6"/>
    <n v="5.1733333333333329"/>
    <n v="18.52"/>
    <n v="8.01"/>
    <n v="3"/>
    <n v="0.6"/>
    <s v="ATENDE"/>
    <s v="ATENDE"/>
    <s v="ATENDE"/>
    <x v="2"/>
    <s v="SIGSAGPTLRRSSNDL100W125IBBRS_x000a_"/>
    <s v="SIGSAGPTLRRSSNDL100W125IBBRS_x000a_1-10C1MUN6.5"/>
    <m/>
    <e v="#N/A"/>
    <n v="0"/>
    <n v="100"/>
    <n v="0"/>
    <n v="15162"/>
    <n v="0"/>
    <n v="0"/>
    <m/>
    <s v="Curto II"/>
    <m/>
    <m/>
    <m/>
    <m/>
    <m/>
    <m/>
    <m/>
    <m/>
    <m/>
    <n v="100"/>
    <n v="150"/>
    <n v="0"/>
    <n v="0.33333333333333337"/>
    <m/>
    <m/>
    <s v="Sim"/>
    <m/>
  </r>
  <r>
    <n v="151"/>
    <s v="PVP"/>
    <s v="Rua Picada Cafe, 2671"/>
    <n v="-30.050441450000001"/>
    <n v="-50.15389025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00000000000003"/>
    <n v="1.2222222222222223"/>
    <s v="-"/>
    <n v="11.59"/>
    <n v="0.4"/>
    <m/>
    <m/>
    <m/>
    <m/>
    <s v="ATENDE"/>
    <s v="ATENDE"/>
    <s v="ATENDE"/>
    <s v="ATENDE"/>
    <s v="C4"/>
    <s v="P6"/>
    <n v="1.48"/>
    <n v="7.44"/>
    <n v="3.59"/>
    <n v="3"/>
    <n v="0.6"/>
    <s v="ATENDE"/>
    <s v="ATENDE"/>
    <s v="ATENDE"/>
    <s v="P6"/>
    <n v="2.23"/>
    <n v="9.69"/>
    <n v="3.64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51"/>
    <s v="PVP"/>
    <s v="Rua Picada Cafe, 2671"/>
    <n v="-30.050441450000001"/>
    <n v="-50.15389025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79"/>
    <n v="1.6666666666666665"/>
    <s v="-"/>
    <n v="13.79"/>
    <n v="0.48"/>
    <m/>
    <m/>
    <m/>
    <m/>
    <s v="ATENDE"/>
    <s v="ATENDE"/>
    <s v="ATENDE"/>
    <s v="ATENDE"/>
    <s v="C4"/>
    <s v="P6"/>
    <n v="1.8866666666666667"/>
    <n v="8.66"/>
    <n v="6.26"/>
    <n v="3"/>
    <n v="0.6"/>
    <s v="ATENDE"/>
    <s v="ATENDE"/>
    <s v="ATENDE"/>
    <s v="P6"/>
    <n v="2.65"/>
    <n v="10.95"/>
    <n v="3.86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1"/>
    <s v="PVP"/>
    <s v="Rua Picada Cafe, 2671"/>
    <n v="-30.050441450000001"/>
    <n v="-50.15389025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3559999999999999"/>
    <n v="1.5"/>
    <s v="-"/>
    <n v="23.56"/>
    <n v="0.45"/>
    <m/>
    <m/>
    <m/>
    <m/>
    <s v="ATENDE"/>
    <s v="ATENDE"/>
    <s v="ATENDE"/>
    <s v="ATENDE"/>
    <s v="C4"/>
    <s v="P6"/>
    <n v="2.5933333333333333"/>
    <n v="10.78"/>
    <n v="5.9"/>
    <n v="3"/>
    <n v="0.6"/>
    <s v="ATENDE"/>
    <s v="ATENDE"/>
    <s v="ATENDE"/>
    <s v="P6"/>
    <n v="5.1533333333333333"/>
    <n v="18.46"/>
    <n v="7.61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n v="0"/>
    <n v="15162"/>
    <n v="0"/>
    <n v="0"/>
    <m/>
    <s v="Curto II"/>
    <m/>
    <m/>
    <m/>
    <m/>
    <m/>
    <m/>
    <m/>
    <m/>
    <m/>
    <n v="100"/>
    <n v="100"/>
    <n v="200"/>
    <n v="0"/>
    <m/>
    <m/>
    <s v="Sim"/>
    <m/>
  </r>
  <r>
    <n v="152"/>
    <s v="PVP"/>
    <s v="Rua Picada Cafe, 565"/>
    <n v="-30.054592670000002"/>
    <n v="-50.155678109999997"/>
    <s v="C4"/>
    <x v="0"/>
    <s v="P6"/>
    <s v="Vapor de sódio"/>
    <n v="150"/>
    <n v="22"/>
    <n v="0"/>
    <n v="300"/>
    <n v="2"/>
    <n v="2.5"/>
    <n v="6.5"/>
    <m/>
    <m/>
    <n v="0"/>
    <n v="2.5"/>
    <n v="0"/>
    <n v="0"/>
    <n v="0"/>
    <n v="0"/>
    <n v="0"/>
    <s v="Unilateral"/>
    <s v="Braço"/>
    <n v="39.200000000000003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6000000000000059E-2"/>
    <n v="0.83333333333333348"/>
    <s v="-"/>
    <n v="10.66"/>
    <n v="0.33"/>
    <m/>
    <m/>
    <m/>
    <m/>
    <s v="ATENDE"/>
    <s v="ATENDE"/>
    <s v="ATENDE"/>
    <s v="ATENDE"/>
    <s v="C4"/>
    <s v="P6"/>
    <n v="1.4066666666666667"/>
    <s v="7,22"/>
    <n v="2.96"/>
    <n v="3"/>
    <n v="0.6"/>
    <s v="ATENDE"/>
    <s v="ATENDE"/>
    <s v="ATENDE"/>
    <s v="P6"/>
    <n v="1.98"/>
    <n v="8.94"/>
    <n v="2.75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m/>
    <m/>
    <m/>
    <m/>
    <m/>
    <m/>
    <m/>
    <m/>
    <n v="52"/>
    <n v="150"/>
    <n v="202"/>
    <n v="0.65333333333333332"/>
    <m/>
    <m/>
    <s v="Sim"/>
    <m/>
  </r>
  <r>
    <n v="152"/>
    <s v="PVP"/>
    <s v="Rua Picada Cafe, 565"/>
    <n v="-30.054592670000002"/>
    <n v="-50.155678109999997"/>
    <s v="C4"/>
    <x v="0"/>
    <s v="P6"/>
    <s v="Vapor de sódio"/>
    <n v="150"/>
    <n v="22"/>
    <n v="0"/>
    <n v="300"/>
    <n v="2"/>
    <n v="2.5"/>
    <n v="6.5"/>
    <m/>
    <m/>
    <n v="0"/>
    <n v="2.5"/>
    <n v="0"/>
    <n v="0"/>
    <n v="0"/>
    <n v="0"/>
    <n v="0"/>
    <s v="Unilateral"/>
    <s v="Braço"/>
    <n v="39.200000000000003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09999999999999"/>
    <n v="1"/>
    <s v="-"/>
    <n v="12.61"/>
    <n v="0.36"/>
    <m/>
    <m/>
    <m/>
    <m/>
    <s v="ATENDE"/>
    <s v="ATENDE"/>
    <s v="ATENDE"/>
    <s v="ATENDE"/>
    <s v="C4"/>
    <s v="P6"/>
    <n v="1.8333333333333335"/>
    <s v="8,50"/>
    <n v="5.13"/>
    <n v="3"/>
    <n v="0.6"/>
    <s v="ATENDE"/>
    <s v="ATENDE"/>
    <s v="ATENDE"/>
    <s v="P6"/>
    <n v="2.3833333333333333"/>
    <n v="10.15"/>
    <n v="2.39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m/>
    <m/>
    <m/>
    <m/>
    <m/>
    <m/>
    <m/>
    <m/>
    <n v="50"/>
    <n v="150"/>
    <n v="200"/>
    <n v="0.66666666666666674"/>
    <m/>
    <m/>
    <s v="Sim"/>
    <m/>
  </r>
  <r>
    <n v="152"/>
    <s v="PVP"/>
    <s v="Rua Picada Cafe, 565"/>
    <n v="-30.054592670000002"/>
    <n v="-50.155678109999997"/>
    <s v="C4"/>
    <x v="0"/>
    <s v="P6"/>
    <s v="Vapor de sódio"/>
    <n v="150"/>
    <n v="22"/>
    <n v="0"/>
    <n v="300"/>
    <n v="2"/>
    <n v="2.5"/>
    <n v="6.5"/>
    <m/>
    <m/>
    <n v="0"/>
    <n v="2.5"/>
    <n v="0"/>
    <n v="0"/>
    <n v="0"/>
    <n v="0"/>
    <n v="0"/>
    <s v="Unilateral"/>
    <s v="Braço"/>
    <n v="39.200000000000003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1840000000000002"/>
    <n v="0.72222222222222232"/>
    <s v="-"/>
    <n v="21.84"/>
    <n v="0.31"/>
    <m/>
    <m/>
    <m/>
    <m/>
    <s v="ATENDE"/>
    <s v="ATENDE"/>
    <s v="ATENDE"/>
    <s v="ATENDE"/>
    <s v="C4"/>
    <s v="P6"/>
    <n v="2.6566666666666667"/>
    <n v="10.97"/>
    <n v="4.3099999999999996"/>
    <n v="3"/>
    <n v="0.6"/>
    <s v="ATENDE"/>
    <s v="ATENDE"/>
    <s v="ATENDE"/>
    <s v="P6"/>
    <n v="4.7033333333333331"/>
    <n v="17.11"/>
    <n v="4.78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n v="0"/>
    <n v="15162"/>
    <n v="0"/>
    <n v="0"/>
    <m/>
    <s v="Curto II"/>
    <m/>
    <m/>
    <m/>
    <m/>
    <m/>
    <m/>
    <m/>
    <m/>
    <m/>
    <n v="100"/>
    <n v="150"/>
    <n v="250"/>
    <n v="0.33333333333333337"/>
    <m/>
    <m/>
    <s v="Sim"/>
    <m/>
  </r>
  <r>
    <n v="153"/>
    <s v="PVP"/>
    <s v="Rua Arroio do Meio, 668"/>
    <n v="-30.0534766"/>
    <n v="-50.156580300000002"/>
    <s v="C5"/>
    <x v="0"/>
    <s v="P6"/>
    <s v="Vapor de sódio"/>
    <n v="100"/>
    <n v="17"/>
    <n v="0"/>
    <n v="200"/>
    <n v="2"/>
    <n v="3"/>
    <n v="7.2"/>
    <m/>
    <m/>
    <n v="0"/>
    <n v="3"/>
    <n v="0"/>
    <n v="0"/>
    <n v="0"/>
    <n v="0"/>
    <n v="0"/>
    <s v="Unilateral"/>
    <s v="Braço"/>
    <n v="38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1333333333333426E-2"/>
    <n v="0.94444444444444442"/>
    <s v="-"/>
    <n v="7.66"/>
    <n v="0.35"/>
    <m/>
    <m/>
    <m/>
    <m/>
    <s v="ATENDE"/>
    <s v="ATENDE"/>
    <s v="ATENDE"/>
    <s v="ATENDE"/>
    <s v="C5"/>
    <s v="P6"/>
    <n v="0.45999999999999996"/>
    <n v="4.38"/>
    <n v="1.72"/>
    <n v="3"/>
    <n v="0.6"/>
    <s v="ATENDE"/>
    <s v="ATENDE"/>
    <s v="ATENDE"/>
    <s v="P6"/>
    <n v="1.0233333333333334"/>
    <n v="6.07"/>
    <n v="1.7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m/>
    <m/>
    <m/>
    <m/>
    <m/>
    <m/>
    <m/>
    <m/>
    <n v="35"/>
    <n v="100"/>
    <n v="135"/>
    <n v="0.65"/>
    <m/>
    <m/>
    <s v="Sim"/>
    <m/>
  </r>
  <r>
    <n v="153"/>
    <s v="PVP"/>
    <s v="Rua Arroio do Meio, 668"/>
    <n v="-30.0534766"/>
    <n v="-50.156580300000002"/>
    <s v="C5"/>
    <x v="0"/>
    <s v="P6"/>
    <s v="Vapor de sódio"/>
    <n v="100"/>
    <n v="17"/>
    <n v="0"/>
    <n v="200"/>
    <n v="2"/>
    <n v="3"/>
    <n v="7.2"/>
    <m/>
    <m/>
    <n v="0"/>
    <n v="3"/>
    <n v="0"/>
    <n v="0"/>
    <n v="0"/>
    <n v="0"/>
    <n v="0"/>
    <s v="Unilateral"/>
    <s v="Braço"/>
    <n v="38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599999999999992"/>
    <n v="1.3888888888888888"/>
    <s v="-"/>
    <n v="8.67"/>
    <n v="0.43"/>
    <m/>
    <m/>
    <m/>
    <m/>
    <s v="ATENDE"/>
    <s v="ATENDE"/>
    <s v="ATENDE"/>
    <s v="ATENDE"/>
    <s v="C5"/>
    <s v="P6"/>
    <n v="0.5199999999999998"/>
    <n v="4.5599999999999996"/>
    <n v="2.62"/>
    <n v="3"/>
    <n v="0.6"/>
    <s v="ATENDE"/>
    <s v="ATENDE"/>
    <s v="ATENDE"/>
    <s v="P6"/>
    <n v="1.3399999999999999"/>
    <n v="7.02"/>
    <n v="2.0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m/>
    <m/>
    <m/>
    <m/>
    <m/>
    <m/>
    <m/>
    <m/>
    <n v="39"/>
    <n v="100"/>
    <n v="139"/>
    <n v="0.61"/>
    <m/>
    <m/>
    <s v="Sim"/>
    <m/>
  </r>
  <r>
    <n v="153"/>
    <s v="PVP"/>
    <s v="Rua Arroio do Meio, 668"/>
    <n v="-30.0534766"/>
    <n v="-50.156580300000002"/>
    <s v="C5"/>
    <x v="0"/>
    <s v="P6"/>
    <s v="Vapor de sódio"/>
    <n v="100"/>
    <n v="17"/>
    <n v="0"/>
    <n v="200"/>
    <n v="2"/>
    <n v="3"/>
    <n v="7.2"/>
    <m/>
    <m/>
    <n v="0"/>
    <n v="3"/>
    <n v="0"/>
    <n v="0"/>
    <n v="0"/>
    <n v="0"/>
    <n v="0"/>
    <s v="Unilateral"/>
    <s v="Braço"/>
    <n v="38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666666666666687"/>
    <n v="0.7777777777777779"/>
    <s v="-"/>
    <n v="9.8000000000000007"/>
    <n v="0.32"/>
    <m/>
    <m/>
    <m/>
    <m/>
    <s v="ATENDE"/>
    <s v="ATENDE"/>
    <s v="ATENDE"/>
    <s v="ATENDE"/>
    <s v="C5"/>
    <s v="P6"/>
    <n v="0.29000000000000004"/>
    <n v="3.87"/>
    <n v="1.57"/>
    <n v="3"/>
    <n v="0.6"/>
    <s v="ATENDE"/>
    <s v="ATENDE"/>
    <s v="ATENDE"/>
    <s v="P6"/>
    <n v="1.4766666666666666"/>
    <n v="7.43"/>
    <n v="2.1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54"/>
    <s v="PVP"/>
    <s v="Rua Cristo, 695, 95593,"/>
    <n v="-30.053164769999999"/>
    <n v="-50.158508840000003"/>
    <s v="C4"/>
    <x v="0"/>
    <s v="P6"/>
    <s v="Vapor de sódio"/>
    <n v="100"/>
    <n v="17"/>
    <n v="0"/>
    <n v="200"/>
    <n v="2"/>
    <n v="2"/>
    <n v="7"/>
    <m/>
    <m/>
    <n v="0"/>
    <n v="3"/>
    <n v="0"/>
    <n v="0"/>
    <n v="0"/>
    <n v="0"/>
    <n v="0"/>
    <s v="Unilateral"/>
    <s v="Braço"/>
    <n v="33.5"/>
    <n v="7.5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000000000000012"/>
    <n v="1.3333333333333335"/>
    <s v="-"/>
    <n v="11.3"/>
    <n v="0.42"/>
    <m/>
    <m/>
    <m/>
    <m/>
    <s v="ATENDE"/>
    <s v="ATENDE"/>
    <s v="ATENDE"/>
    <s v="ATENDE"/>
    <s v="C4"/>
    <s v="-"/>
    <e v="#VALUE!"/>
    <n v="5.4"/>
    <n v="2.97"/>
    <s v="-"/>
    <s v="-"/>
    <s v="-"/>
    <s v="-"/>
    <s v="-"/>
    <s v="P6"/>
    <n v="3.2666666666666666"/>
    <n v="12.8"/>
    <n v="5.16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54"/>
    <s v="PVP"/>
    <s v="Rua Cristo, 695, 95593,"/>
    <n v="-30.053164769999999"/>
    <n v="-50.158508840000003"/>
    <s v="C4"/>
    <x v="0"/>
    <s v="P6"/>
    <s v="Vapor de sódio"/>
    <n v="100"/>
    <n v="17"/>
    <n v="0"/>
    <n v="200"/>
    <n v="2"/>
    <n v="2"/>
    <n v="7"/>
    <m/>
    <m/>
    <n v="0"/>
    <n v="3"/>
    <n v="0"/>
    <n v="0"/>
    <n v="0"/>
    <n v="0"/>
    <n v="0"/>
    <s v="Unilateral"/>
    <s v="Braço"/>
    <n v="33.5"/>
    <n v="7.5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3899999999999997"/>
    <n v="2.3333333333333335"/>
    <s v="-"/>
    <n v="13.39"/>
    <n v="0.6"/>
    <m/>
    <m/>
    <m/>
    <m/>
    <s v="ATENDE"/>
    <s v="ATENDE"/>
    <s v="ATENDE"/>
    <s v="ATENDE"/>
    <s v="C4"/>
    <s v="-"/>
    <e v="#VALUE!"/>
    <n v="5.65"/>
    <n v="3.08"/>
    <s v="-"/>
    <s v="-"/>
    <s v="-"/>
    <s v="-"/>
    <s v="-"/>
    <s v="P6"/>
    <n v="4.0466666666666669"/>
    <n v="15.14"/>
    <n v="7.3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4"/>
    <s v="PVP"/>
    <s v="Rua Cristo, 695, 95593,"/>
    <n v="-30.053164769999999"/>
    <n v="-50.158508840000003"/>
    <s v="C4"/>
    <x v="0"/>
    <s v="P6"/>
    <s v="Vapor de sódio"/>
    <n v="100"/>
    <n v="17"/>
    <n v="0"/>
    <n v="200"/>
    <n v="2"/>
    <n v="2"/>
    <n v="7"/>
    <m/>
    <m/>
    <n v="0"/>
    <n v="3"/>
    <n v="0"/>
    <n v="0"/>
    <n v="0"/>
    <n v="0"/>
    <n v="0"/>
    <s v="Unilateral"/>
    <s v="Braço"/>
    <n v="33.5"/>
    <n v="7.5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600000000000017"/>
    <n v="2.0000000000000004"/>
    <s v="-"/>
    <n v="11.96"/>
    <n v="0.54"/>
    <m/>
    <m/>
    <m/>
    <m/>
    <s v="ATENDE"/>
    <s v="ATENDE"/>
    <s v="ATENDE"/>
    <s v="ATENDE"/>
    <s v="C4"/>
    <s v="-"/>
    <e v="#VALUE!"/>
    <n v="5.01"/>
    <n v="3.53"/>
    <s v="-"/>
    <s v="-"/>
    <s v="-"/>
    <s v="-"/>
    <s v="-"/>
    <s v="P6"/>
    <n v="1.4566666666666666"/>
    <n v="7.37"/>
    <n v="6.25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5"/>
    <s v="V"/>
    <s v="Rua Santo Cristo, 551"/>
    <n v="-30.053901969999998"/>
    <n v="-50.158925859999997"/>
    <s v="C5"/>
    <x v="0"/>
    <n v="0"/>
    <s v="Vapor de sódio"/>
    <n v="100"/>
    <n v="17"/>
    <n v="0"/>
    <n v="400"/>
    <n v="2"/>
    <n v="0"/>
    <n v="7"/>
    <m/>
    <m/>
    <n v="0"/>
    <n v="0"/>
    <n v="0"/>
    <n v="0"/>
    <n v="0"/>
    <n v="0"/>
    <n v="0"/>
    <s v="Unilateral"/>
    <s v="Braço"/>
    <n v="34.5"/>
    <n v="7.3"/>
    <n v="2"/>
    <n v="0.3"/>
    <n v="1.3"/>
    <n v="1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e v="#N/A"/>
    <n v="0.16933333333333334"/>
    <n v="1.2777777777777777"/>
    <s v="-"/>
    <n v="8.77"/>
    <n v="0.41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35W"/>
    <s v="LUM LED SL VT 9.1 35W"/>
    <s v="p.24"/>
    <e v="#N/A"/>
    <n v="2"/>
    <n v="35"/>
    <e v="#N/A"/>
    <n v="5955.62"/>
    <e v="#N/A"/>
    <n v="0"/>
    <m/>
    <s v="Curto II"/>
    <m/>
    <m/>
    <m/>
    <m/>
    <m/>
    <m/>
    <m/>
    <m/>
    <m/>
    <n v="35"/>
    <n v="100"/>
    <n v="270"/>
    <n v="0.65"/>
    <m/>
    <m/>
    <s v="Sim"/>
    <m/>
  </r>
  <r>
    <n v="155"/>
    <s v="V"/>
    <s v="Rua Santo Cristo, 551"/>
    <n v="-30.053901969999998"/>
    <n v="-50.158925859999997"/>
    <s v="C5"/>
    <x v="0"/>
    <n v="0"/>
    <s v="Vapor de sódio"/>
    <n v="100"/>
    <n v="17"/>
    <n v="0"/>
    <n v="400"/>
    <n v="2"/>
    <n v="0"/>
    <n v="7"/>
    <m/>
    <m/>
    <n v="0"/>
    <n v="0"/>
    <n v="0"/>
    <n v="0"/>
    <n v="0"/>
    <n v="0"/>
    <n v="0"/>
    <s v="Unilateral"/>
    <s v="Braço"/>
    <n v="34.5"/>
    <n v="7.3"/>
    <n v="2"/>
    <n v="0.3"/>
    <n v="1.3"/>
    <n v="1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e v="#N/A"/>
    <n v="0.12800000000000011"/>
    <n v="1.5"/>
    <s v="-"/>
    <n v="8.4600000000000009"/>
    <n v="0.45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s v="t.30.1"/>
    <e v="#N/A"/>
    <n v="2"/>
    <n v="31"/>
    <e v="#N/A"/>
    <n v="5270"/>
    <e v="#N/A"/>
    <n v="0"/>
    <m/>
    <s v="Curto II"/>
    <m/>
    <m/>
    <m/>
    <m/>
    <m/>
    <m/>
    <m/>
    <m/>
    <m/>
    <n v="31"/>
    <n v="100"/>
    <n v="262"/>
    <n v="0.69"/>
    <m/>
    <m/>
    <s v="Sim"/>
    <m/>
  </r>
  <r>
    <n v="155"/>
    <s v="V"/>
    <s v="Rua Santo Cristo, 551"/>
    <n v="-30.053901969999998"/>
    <n v="-50.158925859999997"/>
    <s v="C5"/>
    <x v="0"/>
    <n v="0"/>
    <s v="Vapor de sódio"/>
    <n v="100"/>
    <n v="17"/>
    <n v="0"/>
    <n v="400"/>
    <n v="2"/>
    <n v="0"/>
    <n v="7"/>
    <m/>
    <m/>
    <n v="0"/>
    <n v="0"/>
    <n v="0"/>
    <n v="0"/>
    <n v="0"/>
    <n v="0"/>
    <n v="0"/>
    <s v="Unilateral"/>
    <s v="Braço"/>
    <n v="34.5"/>
    <n v="7.3"/>
    <n v="2"/>
    <n v="0.3"/>
    <n v="1.3"/>
    <n v="1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e v="#N/A"/>
    <n v="0.11733333333333351"/>
    <n v="1.8888888888888893"/>
    <s v="-"/>
    <n v="8.3800000000000008"/>
    <n v="0.52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s v="u.36"/>
    <e v="#N/A"/>
    <n v="2"/>
    <n v="30"/>
    <e v="#N/A"/>
    <n v="5266"/>
    <e v="#N/A"/>
    <n v="0"/>
    <m/>
    <s v="Curto II"/>
    <m/>
    <m/>
    <m/>
    <m/>
    <m/>
    <m/>
    <m/>
    <m/>
    <m/>
    <n v="30"/>
    <n v="100"/>
    <n v="260"/>
    <n v="0.7"/>
    <m/>
    <m/>
    <s v="Sim"/>
    <m/>
  </r>
  <r>
    <n v="156"/>
    <s v="PVP"/>
    <s v="Rua Santo Antonio, 721"/>
    <n v="-30.052250180000001"/>
    <n v="-50.15862290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4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6000000000000023E-2"/>
    <n v="0.72222222222222232"/>
    <s v="-"/>
    <n v="10.26"/>
    <n v="0.31"/>
    <m/>
    <m/>
    <m/>
    <m/>
    <s v="ATENDE"/>
    <s v="ATENDE"/>
    <s v="ATENDE"/>
    <s v="ATENDE"/>
    <s v="C4"/>
    <s v="P6"/>
    <n v="1.2399999999999998"/>
    <n v="6.72"/>
    <n v="2.66"/>
    <n v="3"/>
    <n v="0.6"/>
    <s v="ATENDE"/>
    <s v="ATENDE"/>
    <s v="ATENDE"/>
    <s v="P6"/>
    <n v="1.7799999999999998"/>
    <n v="8.34"/>
    <n v="2.4300000000000002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56"/>
    <s v="PVP"/>
    <s v="Rua Santo Antonio, 721"/>
    <n v="-30.052250180000001"/>
    <n v="-50.15862290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4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500000000000009"/>
    <n v="0.7777777777777779"/>
    <s v="-"/>
    <n v="12.25"/>
    <n v="0.32"/>
    <m/>
    <m/>
    <m/>
    <m/>
    <s v="ATENDE"/>
    <s v="ATENDE"/>
    <s v="ATENDE"/>
    <s v="ATENDE"/>
    <s v="C4"/>
    <s v="P6"/>
    <n v="1.62"/>
    <n v="7.86"/>
    <s v="4,48"/>
    <n v="3"/>
    <n v="0.6"/>
    <s v="ATENDE"/>
    <s v="ATENDE"/>
    <s v="ATENDE"/>
    <s v="P6"/>
    <n v="2.1166666666666667"/>
    <n v="9.35"/>
    <n v="1.86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6"/>
    <s v="PVP"/>
    <s v="Rua Santo Antonio, 721"/>
    <n v="-30.052250180000001"/>
    <n v="-50.15862290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4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400000000000011"/>
    <n v="0.44444444444444464"/>
    <s v="-"/>
    <n v="11.24"/>
    <n v="0.26"/>
    <m/>
    <m/>
    <m/>
    <m/>
    <s v="ATENDE"/>
    <s v="ATENDE"/>
    <s v="ATENDE"/>
    <s v="ATENDE"/>
    <s v="C4"/>
    <s v="P6"/>
    <n v="0.63333333333333353"/>
    <n v="4.9000000000000004"/>
    <n v="1.55"/>
    <n v="3"/>
    <n v="0.6"/>
    <s v="ATENDE"/>
    <s v="ATENDE"/>
    <s v="ATENDE"/>
    <s v="P6"/>
    <n v="1.9333333333333336"/>
    <n v="8.8000000000000007"/>
    <n v="2.4300000000000002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7"/>
    <s v="PVP"/>
    <s v="Rua Santo Angelo, 559"/>
    <n v="-30.053380310000001"/>
    <n v="-50.15984997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3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0999999999999925E-2"/>
    <n v="2.2222222222222223"/>
    <s v="-"/>
    <n v="10.41"/>
    <n v="0.57999999999999996"/>
    <m/>
    <m/>
    <m/>
    <m/>
    <s v="ATENDE"/>
    <s v="ATENDE"/>
    <s v="ATENDE"/>
    <s v="ATENDE"/>
    <s v="C4"/>
    <s v="P6"/>
    <n v="1.1299999999999999"/>
    <n v="6.39"/>
    <n v="3.97"/>
    <n v="3"/>
    <n v="0.6"/>
    <s v="ATENDE"/>
    <s v="ATENDE"/>
    <s v="ATENDE"/>
    <s v="P6"/>
    <n v="1.9100000000000001"/>
    <n v="8.73"/>
    <n v="4.730000000000000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m/>
    <m/>
    <m/>
    <m/>
    <m/>
    <m/>
    <m/>
    <m/>
    <n v="35"/>
    <n v="100"/>
    <n v="135"/>
    <n v="0.65"/>
    <m/>
    <m/>
    <s v="Sim"/>
    <m/>
  </r>
  <r>
    <n v="157"/>
    <s v="PVP"/>
    <s v="Rua Santo Angelo, 559"/>
    <n v="-30.053380310000001"/>
    <n v="-50.15984997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3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9999999999998916E-3"/>
    <n v="3.0555555555555554"/>
    <s v="-"/>
    <n v="10.029999999999999"/>
    <n v="0.73"/>
    <m/>
    <m/>
    <m/>
    <m/>
    <s v="ATENDE"/>
    <s v="ATENDE"/>
    <s v="ATENDE"/>
    <s v="ATENDE"/>
    <s v="C4"/>
    <s v="P6"/>
    <n v="0.80333333333333345"/>
    <n v="5.41"/>
    <n v="3.57"/>
    <n v="3"/>
    <n v="0.6"/>
    <s v="ATENDE"/>
    <s v="ATENDE"/>
    <s v="ATENDE"/>
    <s v="P6"/>
    <n v="1.7100000000000004"/>
    <n v="8.1300000000000008"/>
    <n v="4.940000000000000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m/>
    <m/>
    <m/>
    <m/>
    <m/>
    <m/>
    <m/>
    <m/>
    <n v="31"/>
    <n v="100"/>
    <n v="131"/>
    <n v="0.69"/>
    <m/>
    <m/>
    <s v="Sim"/>
    <m/>
  </r>
  <r>
    <n v="157"/>
    <s v="PVP"/>
    <s v="Rua Santo Angelo, 559"/>
    <n v="-30.053380310000001"/>
    <n v="-50.15984997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3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3299999999999996"/>
    <n v="2.4444444444444446"/>
    <s v="-"/>
    <n v="13.33"/>
    <n v="0.62"/>
    <m/>
    <m/>
    <m/>
    <m/>
    <s v="ATENDE"/>
    <s v="ATENDE"/>
    <s v="ATENDE"/>
    <s v="ATENDE"/>
    <s v="C4"/>
    <s v="P6"/>
    <n v="0.93666666666666654"/>
    <n v="5.81"/>
    <n v="4"/>
    <n v="3"/>
    <n v="0.6"/>
    <s v="ATENDE"/>
    <s v="ATENDE"/>
    <s v="ATENDE"/>
    <s v="P6"/>
    <n v="2.6033333333333335"/>
    <n v="10.81"/>
    <n v="7.0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58"/>
    <s v="PVP"/>
    <s v="Rua Sao Francisco de Assis, 2771"/>
    <n v="-30.05010532"/>
    <n v="-50.160348130000003"/>
    <s v="C4"/>
    <x v="0"/>
    <s v="P6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35.299999999999997"/>
    <n v="7.3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999999999999947E-2"/>
    <n v="2.1111111111111116"/>
    <s v="-"/>
    <n v="10.65"/>
    <n v="0.56000000000000005"/>
    <m/>
    <m/>
    <m/>
    <m/>
    <s v="ATENDE"/>
    <s v="ATENDE"/>
    <s v="ATENDE"/>
    <s v="ATENDE"/>
    <s v="C4"/>
    <s v="P6"/>
    <n v="1.1166666666666667"/>
    <n v="6.35"/>
    <n v="3.82"/>
    <n v="3"/>
    <n v="0.6"/>
    <s v="ATENDE"/>
    <s v="ATENDE"/>
    <s v="ATENDE"/>
    <s v="P6"/>
    <n v="1.9933333333333336"/>
    <n v="8.98"/>
    <n v="4.7"/>
    <n v="3"/>
    <n v="0.6"/>
    <s v="ATENDE"/>
    <s v="ATENDE"/>
    <s v="ATENDE"/>
    <x v="0"/>
    <s v=" SL VT 9.1 35W"/>
    <s v="LUM LED SL VT 9.1 35W"/>
    <m/>
    <n v="0"/>
    <n v="1"/>
    <n v="35"/>
    <e v="#N/A"/>
    <n v="5955.62"/>
    <n v="0"/>
    <n v="0"/>
    <m/>
    <s v="Curto II"/>
    <m/>
    <m/>
    <m/>
    <m/>
    <m/>
    <m/>
    <m/>
    <m/>
    <m/>
    <n v="35"/>
    <n v="100"/>
    <n v="135"/>
    <n v="0.65"/>
    <m/>
    <m/>
    <s v="Sim"/>
    <m/>
  </r>
  <r>
    <n v="158"/>
    <s v="PVP"/>
    <s v="Rua Sao Francisco de Assis, 2771"/>
    <n v="-30.05010532"/>
    <n v="-50.160348130000003"/>
    <s v="C4"/>
    <x v="0"/>
    <s v="P6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35.299999999999997"/>
    <n v="7.3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6000000000000023E-2"/>
    <n v="3"/>
    <s v="-"/>
    <n v="10.26"/>
    <n v="0.72"/>
    <m/>
    <m/>
    <m/>
    <m/>
    <s v="ATENDE"/>
    <s v="ATENDE"/>
    <s v="ATENDE"/>
    <s v="ATENDE"/>
    <s v="C4"/>
    <s v="P6"/>
    <n v="0.77333333333333343"/>
    <n v="5.32"/>
    <n v="3.45"/>
    <n v="3"/>
    <n v="0.6"/>
    <s v="ATENDE"/>
    <s v="ATENDE"/>
    <s v="ATENDE"/>
    <s v="P6"/>
    <n v="1.7899999999999996"/>
    <n v="8.3699999999999992"/>
    <n v="4.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m/>
    <m/>
    <m/>
    <m/>
    <m/>
    <m/>
    <m/>
    <m/>
    <n v="31"/>
    <n v="100"/>
    <n v="131"/>
    <n v="0.69"/>
    <m/>
    <m/>
    <s v="Sim"/>
    <m/>
  </r>
  <r>
    <n v="158"/>
    <s v="PVP"/>
    <s v="Rua Sao Francisco de Assis, 2771"/>
    <n v="-30.05010532"/>
    <n v="-50.160348130000003"/>
    <s v="C4"/>
    <x v="0"/>
    <s v="P6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35.299999999999997"/>
    <n v="7.3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5000000000000124E-2"/>
    <n v="2.666666666666667"/>
    <s v="-"/>
    <n v="10.15"/>
    <n v="0.66"/>
    <m/>
    <m/>
    <m/>
    <m/>
    <s v="ATENDE"/>
    <s v="ATENDE"/>
    <s v="ATENDE"/>
    <s v="ATENDE"/>
    <s v="C4"/>
    <s v="P6"/>
    <n v="0.6399999999999999"/>
    <n v="4.92"/>
    <n v="3.41"/>
    <n v="3"/>
    <n v="0.6"/>
    <s v="ATENDE"/>
    <s v="ATENDE"/>
    <s v="ATENDE"/>
    <s v="P6"/>
    <n v="1.7833333333333332"/>
    <n v="8.35"/>
    <n v="5.3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59"/>
    <s v="PVP"/>
    <s v="Rua Sao Francisco de Assis, 2611"/>
    <n v="-30.048748509999999"/>
    <n v="-50.159768489999998"/>
    <s v="C4"/>
    <x v="0"/>
    <s v="P6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29.9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799999999999994"/>
    <n v="1.8333333333333335"/>
    <s v="-"/>
    <n v="11.78"/>
    <n v="0.51"/>
    <m/>
    <m/>
    <m/>
    <m/>
    <s v="ATENDE"/>
    <s v="ATENDE"/>
    <s v="ATENDE"/>
    <s v="ATENDE"/>
    <s v="C4"/>
    <s v="P6"/>
    <n v="1.54"/>
    <n v="7.62"/>
    <n v="4.5"/>
    <n v="3"/>
    <n v="0.6"/>
    <s v="ATENDE"/>
    <s v="ATENDE"/>
    <s v="ATENDE"/>
    <s v="-"/>
    <e v="#VALUE!"/>
    <n v="9.9499999999999993"/>
    <n v="4.84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m/>
    <m/>
    <m/>
    <m/>
    <m/>
    <m/>
    <m/>
    <m/>
    <n v="44"/>
    <n v="100"/>
    <n v="144"/>
    <n v="0.56000000000000005"/>
    <m/>
    <m/>
    <s v="Sim"/>
    <m/>
  </r>
  <r>
    <n v="159"/>
    <s v="PVP"/>
    <s v="Rua Sao Francisco de Assis, 2611"/>
    <n v="-30.048748509999999"/>
    <n v="-50.159768489999998"/>
    <s v="C4"/>
    <x v="0"/>
    <s v="P6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29.9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200000000000011"/>
    <n v="2.6111111111111112"/>
    <s v="-"/>
    <n v="11.22"/>
    <n v="0.65"/>
    <m/>
    <m/>
    <m/>
    <m/>
    <s v="ATENDE"/>
    <s v="ATENDE"/>
    <s v="ATENDE"/>
    <s v="ATENDE"/>
    <s v="C4"/>
    <s v="P6"/>
    <n v="1.2433333333333336"/>
    <n v="6.73"/>
    <n v="4.75"/>
    <n v="3"/>
    <n v="0.6"/>
    <s v="ATENDE"/>
    <s v="ATENDE"/>
    <s v="ATENDE"/>
    <s v="-"/>
    <e v="#VALUE!"/>
    <n v="9.4700000000000006"/>
    <n v="5.37"/>
    <s v="-"/>
    <s v="-"/>
    <s v="-"/>
    <s v="-"/>
    <s v="-"/>
    <x v="1"/>
    <s v="SX-INEVO040HF"/>
    <s v="SXINEVO040K40L12CZF7PHF"/>
    <m/>
    <e v="#N/A"/>
    <n v="1"/>
    <n v="39"/>
    <e v="#N/A"/>
    <n v="6552"/>
    <e v="#N/A"/>
    <n v="0"/>
    <m/>
    <s v="Curto II"/>
    <m/>
    <m/>
    <m/>
    <m/>
    <m/>
    <m/>
    <m/>
    <m/>
    <m/>
    <n v="39"/>
    <n v="100"/>
    <n v="139"/>
    <n v="0.61"/>
    <m/>
    <m/>
    <s v="Sim"/>
    <m/>
  </r>
  <r>
    <n v="159"/>
    <s v="PVP"/>
    <s v="Rua Sao Francisco de Assis, 2611"/>
    <n v="-30.048748509999999"/>
    <n v="-50.159768489999998"/>
    <s v="C4"/>
    <x v="0"/>
    <s v="P6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29.9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400000000000002"/>
    <n v="2.3888888888888888"/>
    <s v="-"/>
    <n v="12.74"/>
    <n v="0.61"/>
    <m/>
    <m/>
    <m/>
    <m/>
    <s v="ATENDE"/>
    <s v="ATENDE"/>
    <s v="ATENDE"/>
    <s v="ATENDE"/>
    <s v="C4"/>
    <s v="P6"/>
    <n v="0.95"/>
    <n v="5.85"/>
    <n v="3.87"/>
    <n v="3"/>
    <n v="0.6"/>
    <s v="ATENDE"/>
    <s v="ATENDE"/>
    <s v="ATENDE"/>
    <s v="-"/>
    <e v="#VALUE!"/>
    <n v="10.039999999999999"/>
    <n v="6.15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m/>
    <m/>
    <m/>
    <m/>
    <m/>
    <m/>
    <m/>
    <m/>
    <n v="40"/>
    <n v="100"/>
    <n v="140"/>
    <n v="0.6"/>
    <m/>
    <m/>
    <s v="Sim"/>
    <m/>
  </r>
  <r>
    <n v="160"/>
    <s v="PVP"/>
    <s v="Rua Sao Vendelino, 2813"/>
    <n v="-30.050013799999999"/>
    <n v="-50.16401649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3999999999999861E-2"/>
    <n v="1.6111111111111112"/>
    <s v="-"/>
    <n v="10.94"/>
    <n v="0.47"/>
    <m/>
    <m/>
    <m/>
    <m/>
    <s v="ATENDE"/>
    <s v="ATENDE"/>
    <s v="ATENDE"/>
    <s v="ATENDE"/>
    <s v="C4"/>
    <s v="P6"/>
    <n v="1.2933333333333334"/>
    <n v="6.88"/>
    <n v="3.81"/>
    <n v="3"/>
    <n v="0.6"/>
    <s v="ATENDE"/>
    <s v="ATENDE"/>
    <s v="ATENDE"/>
    <s v="P6"/>
    <n v="2.1433333333333331"/>
    <n v="9.43"/>
    <n v="4.0599999999999996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m/>
    <m/>
    <m/>
    <m/>
    <m/>
    <m/>
    <m/>
    <m/>
    <n v="44"/>
    <n v="100"/>
    <n v="144"/>
    <n v="0.56000000000000005"/>
    <m/>
    <m/>
    <s v="Sim"/>
    <m/>
  </r>
  <r>
    <n v="160"/>
    <s v="PVP"/>
    <s v="Rua Sao Vendelino, 2813"/>
    <n v="-30.050013799999999"/>
    <n v="-50.16401649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0000000000000036E-2"/>
    <n v="2.5"/>
    <s v="-"/>
    <n v="10.4"/>
    <n v="0.63"/>
    <m/>
    <m/>
    <m/>
    <m/>
    <s v="ATENDE"/>
    <s v="ATENDE"/>
    <s v="ATENDE"/>
    <s v="ATENDE"/>
    <s v="C4"/>
    <s v="P6"/>
    <n v="0.9933333333333334"/>
    <n v="5.98"/>
    <n v="4.2229999999999999"/>
    <n v="3"/>
    <n v="0.6"/>
    <s v="ATENDE"/>
    <s v="ATENDE"/>
    <s v="ATENDE"/>
    <s v="P6"/>
    <n v="2"/>
    <n v="9"/>
    <n v="4.7300000000000004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m/>
    <m/>
    <m/>
    <m/>
    <m/>
    <m/>
    <m/>
    <m/>
    <n v="39"/>
    <n v="100"/>
    <n v="139"/>
    <n v="0.61"/>
    <m/>
    <m/>
    <s v="Sim"/>
    <m/>
  </r>
  <r>
    <n v="160"/>
    <s v="PVP"/>
    <s v="Rua Sao Vendelino, 2813"/>
    <n v="-30.050013799999999"/>
    <n v="-50.16401649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899999999999983"/>
    <n v="2.1111111111111116"/>
    <s v="-"/>
    <s v="11,79"/>
    <n v="0.56000000000000005"/>
    <m/>
    <m/>
    <m/>
    <m/>
    <s v="ATENDE"/>
    <s v="ATENDE"/>
    <s v="ATENDE"/>
    <s v="ATENDE"/>
    <s v="C4"/>
    <s v="P6"/>
    <n v="0.71333333333333315"/>
    <n v="5.14"/>
    <n v="3.2"/>
    <n v="3"/>
    <n v="0.6"/>
    <s v="ATENDE"/>
    <s v="ATENDE"/>
    <s v="ATENDE"/>
    <s v="P6"/>
    <n v="2.186666666666667"/>
    <s v="9,56"/>
    <n v="5.110000000000000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61"/>
    <s v="PVP"/>
    <s v="Rua Rio Grande do Norte, 277"/>
    <n v="-30.050855309999999"/>
    <n v="-50.16634486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000000000000016E-2"/>
    <n v="1.3333333333333335"/>
    <s v="-"/>
    <n v="10.18"/>
    <n v="0.42"/>
    <m/>
    <m/>
    <m/>
    <m/>
    <s v="ATENDE"/>
    <s v="ATENDE"/>
    <s v="ATENDE"/>
    <s v="ATENDE"/>
    <s v="C4"/>
    <s v="P6"/>
    <n v="1.1633333333333336"/>
    <n v="6.49"/>
    <n v="3.34"/>
    <n v="3"/>
    <n v="0.6"/>
    <s v="ATENDE"/>
    <s v="ATENDE"/>
    <s v="ATENDE"/>
    <s v="-"/>
    <e v="#VALUE!"/>
    <n v="8.6199999999999992"/>
    <n v="3.38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1"/>
    <s v="PVP"/>
    <s v="Rua Rio Grande do Norte, 277"/>
    <n v="-30.050855309999999"/>
    <n v="-50.16634486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1.2777777777777777"/>
    <s v="-"/>
    <n v="10.74"/>
    <n v="0.41"/>
    <m/>
    <m/>
    <m/>
    <m/>
    <s v="ATENDE"/>
    <s v="ATENDE"/>
    <s v="ATENDE"/>
    <s v="ATENDE"/>
    <s v="C4"/>
    <s v="P6"/>
    <n v="0.5199999999999998"/>
    <n v="4.5599999999999996"/>
    <n v="2.38"/>
    <n v="3"/>
    <n v="0.6"/>
    <s v="ATENDE"/>
    <s v="ATENDE"/>
    <s v="ATENDE"/>
    <s v="-"/>
    <e v="#VALUE!"/>
    <n v="9.07"/>
    <n v="2.4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61"/>
    <s v="PVP"/>
    <s v="Rua Rio Grande do Norte, 277"/>
    <n v="-30.050855309999999"/>
    <n v="-50.16634486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2999999999999972E-2"/>
    <n v="1.6666666666666665"/>
    <s v="-"/>
    <n v="10.93"/>
    <n v="0.48"/>
    <m/>
    <m/>
    <m/>
    <m/>
    <s v="ATENDE"/>
    <s v="ATENDE"/>
    <s v="ATENDE"/>
    <s v="ATENDE"/>
    <s v="C4"/>
    <s v="P6"/>
    <n v="0.58999999999999986"/>
    <n v="4.7699999999999996"/>
    <n v="2.7"/>
    <n v="3"/>
    <n v="0.6"/>
    <s v="ATENDE"/>
    <s v="ATENDE"/>
    <s v="ATENDE"/>
    <s v="-"/>
    <e v="#VALUE!"/>
    <n v="8.8699999999999992"/>
    <s v="3,99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n v="0"/>
    <n v="0"/>
    <m/>
    <s v="Curto II"/>
    <s v="Curto I"/>
    <n v="1.2"/>
    <n v="6.5"/>
    <m/>
    <m/>
    <m/>
    <m/>
    <m/>
    <m/>
    <n v="40"/>
    <n v="100"/>
    <n v="140"/>
    <n v="0.6"/>
    <m/>
    <m/>
    <s v="Sim"/>
    <m/>
  </r>
  <r>
    <n v="162"/>
    <s v="PVP"/>
    <s v="Rua Sao Sebastiao do Cai, 2857"/>
    <n v="-30.048725900000001"/>
    <n v="-50.1641245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100000000000013E-2"/>
    <n v="1.3333333333333335"/>
    <s v="-"/>
    <n v="10.210000000000001"/>
    <n v="0.42"/>
    <m/>
    <m/>
    <m/>
    <m/>
    <s v="ATENDE"/>
    <s v="ATENDE"/>
    <s v="ATENDE"/>
    <s v="ATENDE"/>
    <s v="C4"/>
    <s v="P6"/>
    <n v="1.1999999999999997"/>
    <n v="6.6"/>
    <n v="3.38"/>
    <n v="3"/>
    <n v="0.6"/>
    <s v="ATENDE"/>
    <s v="ATENDE"/>
    <s v="ATENDE"/>
    <s v="P6"/>
    <n v="1.8266666666666667"/>
    <n v="8.48"/>
    <n v="3.3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2"/>
    <s v="PVP"/>
    <s v="Rua Sao Sebastiao do Cai, 2857"/>
    <n v="-30.048725900000001"/>
    <n v="-50.1641245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1900000000000004"/>
    <n v="1.8888888888888893"/>
    <s v="-"/>
    <n v="14.19"/>
    <n v="0.52"/>
    <m/>
    <m/>
    <m/>
    <m/>
    <s v="ATENDE"/>
    <s v="ATENDE"/>
    <s v="ATENDE"/>
    <s v="ATENDE"/>
    <s v="C4"/>
    <s v="P6"/>
    <n v="2.0066666666666664"/>
    <n v="9.02"/>
    <n v="6.65"/>
    <n v="3"/>
    <n v="0.6"/>
    <s v="ATENDE"/>
    <s v="ATENDE"/>
    <s v="ATENDE"/>
    <s v="P6"/>
    <n v="2.7266666666666666"/>
    <n v="11.18"/>
    <n v="4.3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62"/>
    <s v="PVP"/>
    <s v="Rua Sao Sebastiao do Cai, 2857"/>
    <n v="-30.048725900000001"/>
    <n v="-50.1641245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399999999999987"/>
    <n v="1.7222222222222223"/>
    <s v="-"/>
    <n v="11.04"/>
    <n v="0.49"/>
    <m/>
    <m/>
    <m/>
    <m/>
    <s v="ATENDE"/>
    <s v="ATENDE"/>
    <s v="ATENDE"/>
    <s v="ATENDE"/>
    <s v="C4"/>
    <s v="P6"/>
    <n v="0.68666666666666654"/>
    <n v="5.0599999999999996"/>
    <n v="2.91"/>
    <n v="3"/>
    <n v="0.6"/>
    <s v="ATENDE"/>
    <s v="ATENDE"/>
    <s v="ATENDE"/>
    <s v="P6"/>
    <n v="1.8366666666666664"/>
    <n v="8.51"/>
    <n v="3.8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63"/>
    <s v="PV"/>
    <s v="Rua Sao Jorge, 1156"/>
    <n v="-30.046629719999999"/>
    <n v="-50.161162439999998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0999999999999961E-2"/>
    <n v="1.5"/>
    <s v="-"/>
    <n v="10.81"/>
    <n v="0.45"/>
    <m/>
    <m/>
    <m/>
    <m/>
    <s v="ATENDE"/>
    <s v="ATENDE"/>
    <s v="ATENDE"/>
    <s v="ATENDE"/>
    <s v="C4"/>
    <s v="P6"/>
    <n v="2.0466666666666669"/>
    <n v="9.14"/>
    <n v="3.87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3"/>
    <s v="PV"/>
    <s v="Rua Sao Jorge, 1156"/>
    <n v="-30.046629719999999"/>
    <n v="-50.161162439999998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8000000000000025E-2"/>
    <n v="2.4444444444444446"/>
    <s v="-"/>
    <n v="10.28"/>
    <n v="0.62"/>
    <m/>
    <m/>
    <m/>
    <m/>
    <s v="ATENDE"/>
    <s v="ATENDE"/>
    <s v="ATENDE"/>
    <s v="ATENDE"/>
    <s v="C4"/>
    <s v="P6"/>
    <n v="1.9033333333333338"/>
    <n v="8.7100000000000009"/>
    <n v="4.41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163"/>
    <s v="PV"/>
    <s v="Rua Sao Jorge, 1156"/>
    <n v="-30.046629719999999"/>
    <n v="-50.161162439999998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2.0555555555555558"/>
    <s v="-"/>
    <n v="11.67"/>
    <n v="0.55000000000000004"/>
    <m/>
    <m/>
    <m/>
    <m/>
    <s v="ATENDE"/>
    <s v="ATENDE"/>
    <s v="ATENDE"/>
    <s v="ATENDE"/>
    <s v="C4"/>
    <s v="P6"/>
    <n v="2.0766666666666667"/>
    <n v="9.23"/>
    <n v="4.76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64"/>
    <s v="PVP"/>
    <s v="Rua Parana, 2381"/>
    <n v="-30.045665530000001"/>
    <n v="-50.161360610000003"/>
    <s v="C4"/>
    <x v="0"/>
    <s v="P6"/>
    <s v="Vapor metálico"/>
    <n v="100"/>
    <n v="17"/>
    <n v="0"/>
    <n v="200"/>
    <n v="2"/>
    <n v="2.5"/>
    <n v="6.8"/>
    <m/>
    <m/>
    <n v="0"/>
    <n v="2.5"/>
    <n v="0"/>
    <n v="0"/>
    <n v="0"/>
    <n v="0"/>
    <n v="0"/>
    <s v="Unilateral"/>
    <s v="Braço"/>
    <n v="34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2999999999999927E-2"/>
    <n v="1.1111111111111112"/>
    <s v="-"/>
    <n v="10.43"/>
    <n v="0.38"/>
    <m/>
    <m/>
    <m/>
    <m/>
    <s v="ATENDE"/>
    <s v="ATENDE"/>
    <s v="ATENDE"/>
    <s v="ATENDE"/>
    <s v="C4"/>
    <s v="P6"/>
    <n v="1.7200000000000002"/>
    <n v="8.16"/>
    <n v="4.01"/>
    <n v="3"/>
    <n v="0.6"/>
    <s v="ATENDE"/>
    <s v="ATENDE"/>
    <s v="ATENDE"/>
    <s v="P6"/>
    <n v="1.25"/>
    <n v="6.75"/>
    <n v="2.95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Médio II"/>
    <m/>
    <s v=""/>
    <s v=""/>
    <m/>
    <m/>
    <m/>
    <m/>
    <m/>
    <m/>
    <n v="44"/>
    <n v="100"/>
    <n v="144"/>
    <n v="0.56000000000000005"/>
    <m/>
    <m/>
    <s v="Sim"/>
    <m/>
  </r>
  <r>
    <n v="164"/>
    <s v="PVP"/>
    <s v="Rua Parana, 2381"/>
    <n v="-30.045665530000001"/>
    <n v="-50.161360610000003"/>
    <s v="C4"/>
    <x v="0"/>
    <s v="P6"/>
    <s v="Vapor metálico"/>
    <n v="100"/>
    <n v="17"/>
    <n v="0"/>
    <n v="200"/>
    <n v="2"/>
    <n v="2.5"/>
    <n v="6.8"/>
    <m/>
    <m/>
    <n v="0"/>
    <n v="2.5"/>
    <n v="0"/>
    <n v="0"/>
    <n v="0"/>
    <n v="0"/>
    <n v="0"/>
    <s v="Unilateral"/>
    <s v="Braço"/>
    <n v="34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600000000000009"/>
    <n v="1.166666666666667"/>
    <s v="-"/>
    <n v="11.06"/>
    <n v="0.39"/>
    <m/>
    <m/>
    <m/>
    <m/>
    <s v="ATENDE"/>
    <s v="ATENDE"/>
    <s v="ATENDE"/>
    <s v="ATENDE"/>
    <s v="C4"/>
    <s v="P6"/>
    <n v="0.83666666666666667"/>
    <n v="5.51"/>
    <n v="2.96"/>
    <n v="3"/>
    <n v="0.6"/>
    <s v="ATENDE"/>
    <s v="ATENDE"/>
    <s v="ATENDE"/>
    <s v="P6"/>
    <n v="1.8333333333333335"/>
    <n v="8.5"/>
    <n v="2.2599999999999998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Médio II"/>
    <s v="Curto II"/>
    <n v="1.4"/>
    <n v="6.5"/>
    <m/>
    <m/>
    <m/>
    <m/>
    <m/>
    <m/>
    <n v="39"/>
    <n v="100"/>
    <n v="139"/>
    <n v="0.61"/>
    <m/>
    <m/>
    <s v="Sim"/>
    <m/>
  </r>
  <r>
    <n v="164"/>
    <s v="PVP"/>
    <s v="Rua Parana, 2381"/>
    <n v="-30.045665530000001"/>
    <n v="-50.161360610000003"/>
    <s v="C4"/>
    <x v="0"/>
    <s v="P6"/>
    <s v="Vapor metálico"/>
    <n v="100"/>
    <n v="17"/>
    <n v="0"/>
    <n v="200"/>
    <n v="2"/>
    <n v="2.5"/>
    <n v="6.8"/>
    <m/>
    <m/>
    <n v="0"/>
    <n v="2.5"/>
    <n v="0"/>
    <n v="0"/>
    <n v="0"/>
    <n v="0"/>
    <n v="0"/>
    <s v="Unilateral"/>
    <s v="Braço"/>
    <n v="34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9999999999999"/>
    <n v="1.5"/>
    <s v="-"/>
    <n v="11.42"/>
    <n v="0.45"/>
    <m/>
    <m/>
    <m/>
    <m/>
    <s v="ATENDE"/>
    <s v="ATENDE"/>
    <s v="ATENDE"/>
    <s v="ATENDE"/>
    <s v="C4"/>
    <s v="P6"/>
    <n v="1.46"/>
    <n v="7.38"/>
    <n v="4.26"/>
    <n v="3"/>
    <n v="0.6"/>
    <s v="ATENDE"/>
    <s v="ATENDE"/>
    <s v="ATENDE"/>
    <s v="P6"/>
    <n v="1.1499999999999999"/>
    <n v="6.45"/>
    <n v="2.97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Médio II"/>
    <m/>
    <s v=""/>
    <s v=""/>
    <m/>
    <m/>
    <m/>
    <m/>
    <m/>
    <m/>
    <n v="40"/>
    <n v="100"/>
    <n v="140"/>
    <n v="0.6"/>
    <m/>
    <m/>
    <s v="Sim"/>
    <m/>
  </r>
  <r>
    <n v="165"/>
    <s v="PV"/>
    <s v="Rua Rio de Janeiro, 2333"/>
    <n v="-30.044685049999998"/>
    <n v="-50.163065000000003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0"/>
    <n v="7.5"/>
    <n v="1"/>
    <n v="0.5"/>
    <n v="2.5"/>
    <n v="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000000000000085E-2"/>
    <n v="0.11111111111111116"/>
    <s v="-"/>
    <n v="10.96"/>
    <n v="0.2"/>
    <m/>
    <m/>
    <m/>
    <m/>
    <s v="ATENDE"/>
    <s v="ATENDE"/>
    <s v="ATENDE"/>
    <s v="ATENDE"/>
    <s v="C4"/>
    <s v="P6"/>
    <n v="1.3966666666666669"/>
    <n v="7.19"/>
    <n v="1.3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Médio II"/>
    <m/>
    <s v=""/>
    <s v=""/>
    <m/>
    <m/>
    <m/>
    <m/>
    <m/>
    <m/>
    <n v="65"/>
    <n v="100"/>
    <n v="165"/>
    <n v="0.35"/>
    <m/>
    <m/>
    <s v="Sim"/>
    <m/>
  </r>
  <r>
    <n v="165"/>
    <s v="PV"/>
    <s v="Rua Rio de Janeiro, 2333"/>
    <n v="-30.044685049999998"/>
    <n v="-50.163065000000003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0"/>
    <n v="7.5"/>
    <n v="1"/>
    <n v="0.5"/>
    <n v="2.5"/>
    <n v="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1799999999999993"/>
    <n v="0.11111111111111116"/>
    <s v="-"/>
    <n v="14.18"/>
    <n v="0.2"/>
    <m/>
    <m/>
    <m/>
    <m/>
    <s v="ATENDE"/>
    <s v="ATENDE"/>
    <s v="ATENDE"/>
    <s v="ATENDE"/>
    <s v="C4"/>
    <s v="P6"/>
    <n v="2.3566666666666669"/>
    <n v="10.07"/>
    <n v="1.84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m/>
    <s v="Médio II"/>
    <m/>
    <s v=""/>
    <s v=""/>
    <m/>
    <m/>
    <m/>
    <m/>
    <m/>
    <m/>
    <n v="70"/>
    <n v="100"/>
    <n v="170"/>
    <n v="0.30000000000000004"/>
    <m/>
    <m/>
    <s v="Sim"/>
    <m/>
  </r>
  <r>
    <n v="165"/>
    <s v="PV"/>
    <s v="Rua Rio de Janeiro, 2333"/>
    <n v="-30.044685049999998"/>
    <n v="-50.163065000000003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0"/>
    <n v="7.5"/>
    <n v="1"/>
    <n v="0.5"/>
    <n v="2.5"/>
    <n v="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600000000000014"/>
    <n v="2.833333333333333"/>
    <s v="-"/>
    <s v="11,56"/>
    <n v="0.69"/>
    <m/>
    <m/>
    <m/>
    <m/>
    <s v="ATENDE"/>
    <s v="ATENDE"/>
    <s v="ATENDE"/>
    <s v="ATENDE"/>
    <s v="C4"/>
    <s v="P6"/>
    <n v="1.3666666666666667"/>
    <n v="7.1"/>
    <n v="4.9800000000000004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I"/>
    <m/>
    <m/>
    <m/>
    <s v="APEA"/>
    <n v="1"/>
    <m/>
    <s v="Reduzido espaçamento de 50 mts para 25 mts, mantendo os mesmos parâmetros"/>
    <m/>
    <m/>
    <n v="30"/>
    <n v="100"/>
    <n v="130"/>
    <n v="0.7"/>
    <m/>
    <m/>
    <s v="Sim"/>
    <m/>
  </r>
  <r>
    <n v="166"/>
    <s v="VP"/>
    <s v="Avenida Manaus, 1564"/>
    <n v="-30.042741719999999"/>
    <n v="-50.166589999999999"/>
    <s v="C4"/>
    <x v="0"/>
    <s v="P6"/>
    <s v="Vapor de sódio"/>
    <n v="150"/>
    <n v="22"/>
    <n v="0"/>
    <n v="300"/>
    <n v="2"/>
    <n v="0"/>
    <n v="7"/>
    <m/>
    <m/>
    <n v="0"/>
    <n v="2.5"/>
    <n v="0"/>
    <n v="0"/>
    <n v="0"/>
    <n v="0"/>
    <n v="0"/>
    <s v="Unilateral"/>
    <s v="Braço"/>
    <n v="34.299999999999997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099999999999985"/>
    <n v="0.72222222222222232"/>
    <s v="-"/>
    <n v="12.11"/>
    <n v="0.31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-"/>
    <e v="#VALUE!"/>
    <n v="5.16"/>
    <n v="2.19"/>
    <s v="-"/>
    <s v="-"/>
    <s v="-"/>
    <s v="-"/>
    <s v="-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66"/>
    <s v="VP"/>
    <s v="Avenida Manaus, 1564"/>
    <n v="-30.042741719999999"/>
    <n v="-50.166589999999999"/>
    <s v="C4"/>
    <x v="0"/>
    <s v="P6"/>
    <s v="Vapor de sódio"/>
    <n v="150"/>
    <n v="22"/>
    <n v="0"/>
    <n v="300"/>
    <n v="2"/>
    <n v="0"/>
    <n v="7"/>
    <m/>
    <m/>
    <n v="0"/>
    <n v="2.5"/>
    <n v="0"/>
    <n v="0"/>
    <n v="0"/>
    <n v="0"/>
    <n v="0"/>
    <s v="Unilateral"/>
    <s v="Braço"/>
    <n v="34.299999999999997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000000000000009"/>
    <n v="1.4444444444444446"/>
    <s v="-"/>
    <n v="13.5"/>
    <n v="0.44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-"/>
    <e v="#VALUE!"/>
    <n v="4.9400000000000004"/>
    <n v="3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s v="APEA"/>
    <n v="1"/>
    <m/>
    <s v="Reduzido espaçamento de 72,5 mts para 36.25 mts, mantendo os mesmos parâmetros"/>
    <m/>
    <m/>
    <n v="39"/>
    <n v="150"/>
    <n v="189"/>
    <n v="0.74"/>
    <m/>
    <m/>
    <s v="Sim"/>
    <m/>
  </r>
  <r>
    <n v="166"/>
    <s v="VP"/>
    <s v="Avenida Manaus, 1564"/>
    <n v="-30.042741719999999"/>
    <n v="-50.166589999999999"/>
    <s v="C4"/>
    <x v="0"/>
    <s v="P6"/>
    <s v="Vapor de sódio"/>
    <n v="150"/>
    <n v="22"/>
    <n v="0"/>
    <n v="300"/>
    <n v="2"/>
    <n v="0"/>
    <n v="7"/>
    <m/>
    <m/>
    <n v="0"/>
    <n v="2.5"/>
    <n v="0"/>
    <n v="0"/>
    <n v="0"/>
    <n v="0"/>
    <n v="0"/>
    <s v="Unilateral"/>
    <s v="Braço"/>
    <n v="34.299999999999997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9999999999999"/>
    <n v="1.2777777777777777"/>
    <s v="-"/>
    <n v="11.34"/>
    <n v="0.41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-"/>
    <e v="#VALUE!"/>
    <n v="4.12"/>
    <n v="2.5099999999999998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167"/>
    <s v="PVP"/>
    <s v="Rua Pernambuco, 1191"/>
    <n v="-30.035559970000001"/>
    <n v="-50.15764892"/>
    <s v="C4"/>
    <x v="0"/>
    <s v="P6"/>
    <s v="Vapor de sódio"/>
    <n v="100"/>
    <n v="17"/>
    <n v="0"/>
    <n v="200"/>
    <n v="2"/>
    <n v="2.8"/>
    <n v="7.2"/>
    <m/>
    <m/>
    <n v="0"/>
    <n v="2.6"/>
    <n v="0"/>
    <n v="0"/>
    <n v="0"/>
    <n v="0"/>
    <n v="0"/>
    <s v="Unilateral"/>
    <s v="Braço"/>
    <n v="34.799999999999997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1.3333333333333335"/>
    <s v="-"/>
    <n v="10.01"/>
    <n v="0.42"/>
    <m/>
    <m/>
    <m/>
    <m/>
    <s v="ATENDE"/>
    <s v="ATENDE"/>
    <s v="ATENDE"/>
    <s v="ATENDE"/>
    <s v="C4"/>
    <s v="P6"/>
    <n v="1.0366666666666666"/>
    <n v="6.11"/>
    <n v="3.14"/>
    <n v="3"/>
    <n v="0.6"/>
    <s v="ATENDE"/>
    <s v="ATENDE"/>
    <s v="ATENDE"/>
    <s v="P6"/>
    <n v="1.7966666666666669"/>
    <n v="8.39"/>
    <n v="3.2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7"/>
    <s v="PVP"/>
    <s v="Rua Pernambuco, 1191"/>
    <n v="-30.035559970000001"/>
    <n v="-50.15764892"/>
    <s v="C4"/>
    <x v="0"/>
    <s v="P6"/>
    <s v="Vapor de sódio"/>
    <n v="100"/>
    <n v="17"/>
    <n v="0"/>
    <n v="200"/>
    <n v="2"/>
    <n v="2.8"/>
    <n v="7.2"/>
    <m/>
    <m/>
    <n v="0"/>
    <n v="2.6"/>
    <n v="0"/>
    <n v="0"/>
    <n v="0"/>
    <n v="0"/>
    <n v="0"/>
    <s v="Unilateral"/>
    <s v="Braço"/>
    <n v="34.799999999999997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19999999999999"/>
    <n v="1.8888888888888893"/>
    <s v="-"/>
    <n v="13.92"/>
    <n v="0.52"/>
    <m/>
    <m/>
    <m/>
    <m/>
    <s v="ATENDE"/>
    <s v="ATENDE"/>
    <s v="ATENDE"/>
    <s v="ATENDE"/>
    <s v="C4"/>
    <s v="P6"/>
    <n v="1.7366666666666668"/>
    <n v="8.2100000000000009"/>
    <n v="6.05"/>
    <n v="3"/>
    <n v="0.6"/>
    <s v="ATENDE"/>
    <s v="ATENDE"/>
    <s v="ATENDE"/>
    <s v="P6"/>
    <n v="2.69"/>
    <n v="11.07"/>
    <n v="4.0999999999999996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67"/>
    <s v="PVP"/>
    <s v="Rua Pernambuco, 1191"/>
    <n v="-30.035559970000001"/>
    <n v="-50.15764892"/>
    <s v="C4"/>
    <x v="0"/>
    <s v="P6"/>
    <s v="Vapor de sódio"/>
    <n v="100"/>
    <n v="17"/>
    <n v="0"/>
    <n v="200"/>
    <n v="2"/>
    <n v="2.8"/>
    <n v="7.2"/>
    <m/>
    <m/>
    <n v="0"/>
    <n v="2.6"/>
    <n v="0"/>
    <n v="0"/>
    <n v="0"/>
    <n v="0"/>
    <n v="0"/>
    <s v="Unilateral"/>
    <s v="Braço"/>
    <n v="34.799999999999997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999999999999956E-2"/>
    <n v="1.5555555555555558"/>
    <s v="-"/>
    <n v="10.75"/>
    <n v="0.46"/>
    <m/>
    <m/>
    <m/>
    <m/>
    <s v="ATENDE"/>
    <s v="ATENDE"/>
    <s v="ATENDE"/>
    <s v="ATENDE"/>
    <s v="C4"/>
    <s v="P6"/>
    <n v="0.4800000000000002"/>
    <n v="4.4400000000000004"/>
    <n v="2.42"/>
    <n v="3"/>
    <n v="0.6"/>
    <s v="ATENDE"/>
    <s v="ATENDE"/>
    <s v="ATENDE"/>
    <s v="P6"/>
    <n v="1.813333333333333"/>
    <n v="8.44"/>
    <n v="3.65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68"/>
    <s v="PVP"/>
    <s v="Rua Sao Paulo, 1427"/>
    <n v="-30.036046349999999"/>
    <n v="-50.163120710000001"/>
    <s v="C4"/>
    <x v="0"/>
    <s v="P6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3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99999999999994E-2"/>
    <n v="1.1111111111111112"/>
    <s v="-"/>
    <n v="10.57"/>
    <n v="0.38"/>
    <m/>
    <m/>
    <m/>
    <m/>
    <s v="ATENDE"/>
    <s v="ATENDE"/>
    <s v="ATENDE"/>
    <s v="ATENDE"/>
    <s v="C4"/>
    <s v="P6"/>
    <n v="1.04"/>
    <n v="6.12"/>
    <n v="2.88"/>
    <n v="3"/>
    <n v="0.6"/>
    <s v="ATENDE"/>
    <s v="ATENDE"/>
    <s v="ATENDE"/>
    <s v="P6"/>
    <n v="1.9833333333333329"/>
    <n v="8.9499999999999993"/>
    <n v="3.04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8"/>
    <s v="PVP"/>
    <s v="Rua Sao Paulo, 1427"/>
    <n v="-30.036046349999999"/>
    <n v="-50.163120710000001"/>
    <s v="C4"/>
    <x v="0"/>
    <s v="P6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3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3"/>
    <n v="1.6111111111111112"/>
    <s v="-"/>
    <n v="10.06"/>
    <n v="0.47"/>
    <m/>
    <m/>
    <m/>
    <m/>
    <s v="ATENDE"/>
    <s v="ATENDE"/>
    <s v="ATENDE"/>
    <s v="ATENDE"/>
    <s v="C4"/>
    <s v="P6"/>
    <n v="0.69000000000000017"/>
    <n v="5.07"/>
    <n v="3.14"/>
    <n v="3"/>
    <n v="0.6"/>
    <s v="ATENDE"/>
    <s v="ATENDE"/>
    <s v="ATENDE"/>
    <s v="P6"/>
    <n v="1.83"/>
    <n v="8.49"/>
    <n v="2.8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68"/>
    <s v="PVP"/>
    <s v="Rua Sao Paulo, 1427"/>
    <n v="-30.036046349999999"/>
    <n v="-50.163120710000001"/>
    <s v="C4"/>
    <x v="0"/>
    <s v="P6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3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1"/>
    <s v="-"/>
    <n v="11.31"/>
    <n v="0.36"/>
    <m/>
    <m/>
    <m/>
    <m/>
    <s v="ATENDE"/>
    <s v="ATENDE"/>
    <s v="ATENDE"/>
    <s v="ATENDE"/>
    <s v="C4"/>
    <s v="P6"/>
    <n v="0.41666666666666674"/>
    <n v="4.25"/>
    <n v="1.89"/>
    <n v="3"/>
    <n v="0.6"/>
    <s v="ATENDE"/>
    <s v="ATENDE"/>
    <s v="ATENDE"/>
    <s v="P6"/>
    <n v="2"/>
    <n v="9"/>
    <n v="3.0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69"/>
    <s v="VP"/>
    <s v="Avenida Curitiba, 1572"/>
    <n v="-30.035742979999998"/>
    <n v="-50.162462300000001"/>
    <s v="C2"/>
    <x v="0"/>
    <s v="P6"/>
    <s v="Vapor de sódio"/>
    <n v="150"/>
    <n v="22"/>
    <n v="0"/>
    <n v="600"/>
    <n v="2"/>
    <n v="2.9"/>
    <n v="7.5"/>
    <m/>
    <m/>
    <n v="0"/>
    <n v="0"/>
    <n v="6"/>
    <n v="0"/>
    <n v="0"/>
    <n v="0"/>
    <n v="0"/>
    <s v="Canteiro central"/>
    <s v="Braço"/>
    <n v="32"/>
    <n v="7"/>
    <n v="2"/>
    <n v="3"/>
    <n v="1.3"/>
    <n v="-1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3000000000000012"/>
    <n v="7.1428571428571397E-2"/>
    <s v="-"/>
    <n v="22.6"/>
    <n v="0.3"/>
    <m/>
    <m/>
    <m/>
    <m/>
    <s v="ATENDE"/>
    <s v="ATENDE"/>
    <s v="ATENDE"/>
    <s v="ATENDE"/>
    <s v="C2"/>
    <s v="P6"/>
    <n v="1.1366666666666667"/>
    <n v="6.41"/>
    <n v="2.19"/>
    <n v="3"/>
    <n v="0.6"/>
    <s v="ATENDE"/>
    <s v="ATENDE"/>
    <s v="ATENDE"/>
    <s v="-"/>
    <e v="#VALUE!"/>
    <s v=" -"/>
    <s v=" -"/>
    <s v="-"/>
    <s v="-"/>
    <s v="-"/>
    <s v="-"/>
    <s v="-"/>
    <x v="0"/>
    <s v=" SL VT 9.1 85W"/>
    <s v="LUM LED SL VT 9.1 85W"/>
    <m/>
    <e v="#N/A"/>
    <n v="2"/>
    <n v="85"/>
    <n v="0"/>
    <n v="14489"/>
    <n v="0"/>
    <n v="0"/>
    <n v="10"/>
    <s v="Curto II"/>
    <m/>
    <s v=""/>
    <s v=""/>
    <m/>
    <m/>
    <m/>
    <m/>
    <m/>
    <m/>
    <n v="85"/>
    <n v="150"/>
    <n v="470"/>
    <n v="0.43333333333333335"/>
    <m/>
    <m/>
    <s v="Sim"/>
    <m/>
  </r>
  <r>
    <n v="169"/>
    <s v="VP"/>
    <s v="Avenida Curitiba, 1572"/>
    <n v="-30.035742979999998"/>
    <n v="-50.162462300000001"/>
    <s v="C2"/>
    <x v="0"/>
    <s v="P6"/>
    <s v="Vapor de sódio"/>
    <n v="150"/>
    <n v="22"/>
    <n v="0"/>
    <n v="600"/>
    <n v="2"/>
    <n v="2.9"/>
    <n v="7.5"/>
    <m/>
    <m/>
    <n v="0"/>
    <n v="0"/>
    <n v="6"/>
    <n v="0"/>
    <n v="0"/>
    <n v="0"/>
    <n v="0"/>
    <s v="Canteiro central"/>
    <s v="Braço"/>
    <n v="32"/>
    <n v="7"/>
    <n v="2"/>
    <n v="3"/>
    <n v="1.3"/>
    <n v="-1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0499999999999954E-2"/>
    <n v="0.3214285714285714"/>
    <s v="-"/>
    <n v="20.21"/>
    <n v="0.37"/>
    <m/>
    <m/>
    <m/>
    <m/>
    <s v="ATENDE"/>
    <s v="ATENDE"/>
    <s v="ATENDE"/>
    <s v="ATENDE"/>
    <s v="C2"/>
    <s v="P6"/>
    <n v="0.76"/>
    <n v="5.28"/>
    <n v="1.35"/>
    <n v="3"/>
    <n v="0.6"/>
    <s v="ATENDE"/>
    <s v="ATENDE"/>
    <s v="ATENDE"/>
    <s v="-"/>
    <e v="#VALUE!"/>
    <s v=" -"/>
    <s v=" -"/>
    <s v="-"/>
    <s v="-"/>
    <s v="-"/>
    <s v="-"/>
    <s v="-"/>
    <x v="1"/>
    <s v="SX-INLPP070HF"/>
    <s v="SXINLPP070K40L12CZF7PHF"/>
    <m/>
    <e v="#N/A"/>
    <n v="2"/>
    <n v="70"/>
    <n v="0"/>
    <n v="11970"/>
    <n v="0"/>
    <n v="0"/>
    <n v="8"/>
    <s v="Curto II"/>
    <m/>
    <m/>
    <m/>
    <m/>
    <m/>
    <m/>
    <m/>
    <m/>
    <m/>
    <n v="70"/>
    <n v="150"/>
    <n v="440"/>
    <n v="0.53333333333333333"/>
    <m/>
    <m/>
    <s v="Sim"/>
    <m/>
  </r>
  <r>
    <n v="169"/>
    <s v="VP"/>
    <s v="Avenida Curitiba, 1572"/>
    <n v="-30.035742979999998"/>
    <n v="-50.162462300000001"/>
    <s v="C2"/>
    <x v="0"/>
    <s v="P6"/>
    <s v="Vapor de sódio"/>
    <n v="150"/>
    <n v="22"/>
    <n v="0"/>
    <n v="600"/>
    <n v="2"/>
    <n v="2.9"/>
    <n v="7.5"/>
    <m/>
    <m/>
    <n v="0"/>
    <n v="0"/>
    <n v="6"/>
    <n v="0"/>
    <n v="0"/>
    <n v="0"/>
    <n v="0"/>
    <s v="Canteiro central"/>
    <s v="Braço"/>
    <n v="32"/>
    <n v="7"/>
    <n v="2"/>
    <n v="3"/>
    <n v="1.3"/>
    <n v="-1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2000000000000046E-2"/>
    <n v="0.53571428571428559"/>
    <s v="-"/>
    <n v="21.04"/>
    <n v="0.43"/>
    <m/>
    <m/>
    <m/>
    <m/>
    <s v="ATENDE"/>
    <s v="ATENDE"/>
    <s v="ATENDE"/>
    <s v="ATENDE"/>
    <s v="C2"/>
    <s v="P6"/>
    <n v="0.29000000000000004"/>
    <n v="3.87"/>
    <n v="1.33"/>
    <n v="3"/>
    <n v="0.6"/>
    <s v="ATENDE"/>
    <s v="ATENDE"/>
    <s v="ATENDE"/>
    <s v="-"/>
    <e v="#VALUE!"/>
    <s v=" -"/>
    <s v=" -"/>
    <s v="-"/>
    <s v="-"/>
    <s v="-"/>
    <s v="-"/>
    <s v="-"/>
    <x v="2"/>
    <s v="SIGMAGPTLRRSMNDL_80W_56IBBR_x000a_"/>
    <s v="SIGMAGPTLRRSMNDL_80W_56IBBR_x000a_S1-10C1MUN6.5"/>
    <m/>
    <e v="#N/A"/>
    <n v="2"/>
    <n v="80"/>
    <n v="0"/>
    <n v="13209"/>
    <n v="0"/>
    <n v="0"/>
    <n v="5"/>
    <s v="Curto II"/>
    <m/>
    <m/>
    <m/>
    <m/>
    <m/>
    <m/>
    <m/>
    <m/>
    <m/>
    <n v="80"/>
    <n v="150"/>
    <n v="460"/>
    <n v="0.46666666666666667"/>
    <m/>
    <m/>
    <s v="Sim"/>
    <m/>
  </r>
  <r>
    <n v="170"/>
    <s v="PVP"/>
    <s v="Rua Santa Catarina, 1443"/>
    <n v="-30.036167890000002"/>
    <n v="-50.162467149999998"/>
    <s v="C4"/>
    <x v="0"/>
    <s v="P6"/>
    <s v="Vapor de sódio"/>
    <n v="100"/>
    <n v="17"/>
    <n v="0"/>
    <n v="200"/>
    <n v="2"/>
    <n v="2.5"/>
    <n v="7"/>
    <m/>
    <m/>
    <n v="0"/>
    <n v="2.7"/>
    <n v="0"/>
    <n v="0"/>
    <n v="0"/>
    <n v="0"/>
    <n v="0"/>
    <s v="Unilateral"/>
    <s v="Braço"/>
    <n v="7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700000000000001"/>
    <n v="1.1111111111111112"/>
    <s v="-"/>
    <n v="11.37"/>
    <n v="0.38"/>
    <m/>
    <m/>
    <m/>
    <m/>
    <s v="ATENDE"/>
    <s v="ATENDE"/>
    <s v="ATENDE"/>
    <s v="ATENDE"/>
    <s v="C4"/>
    <s v="P6"/>
    <n v="1.3733333333333335"/>
    <n v="7.12"/>
    <n v="3.31"/>
    <n v="3"/>
    <n v="0.6"/>
    <s v="ATENDE"/>
    <s v="ATENDE"/>
    <s v="ATENDE"/>
    <s v="P6"/>
    <n v="2.1999999999999997"/>
    <n v="9.6"/>
    <n v="3.4"/>
    <n v="3"/>
    <n v="0.6"/>
    <s v="ATENDE"/>
    <s v="ATENDE"/>
    <s v="ATENDE"/>
    <x v="0"/>
    <s v=" SL VT 9.1 52W"/>
    <s v="LUM LED SL VT 9.1 52W"/>
    <m/>
    <n v="0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70"/>
    <s v="PVP"/>
    <s v="Rua Santa Catarina, 1443"/>
    <n v="-30.036167890000002"/>
    <n v="-50.162467149999998"/>
    <s v="C4"/>
    <x v="0"/>
    <s v="P6"/>
    <s v="Vapor de sódio"/>
    <n v="100"/>
    <n v="17"/>
    <n v="0"/>
    <n v="200"/>
    <n v="2"/>
    <n v="2.5"/>
    <n v="7"/>
    <m/>
    <m/>
    <n v="0"/>
    <n v="2.7"/>
    <n v="0"/>
    <n v="0"/>
    <n v="0"/>
    <n v="0"/>
    <n v="0"/>
    <s v="Unilateral"/>
    <s v="Braço"/>
    <n v="7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699999999999998"/>
    <n v="1.5555555555555558"/>
    <s v="-"/>
    <n v="13.47"/>
    <n v="0.46"/>
    <m/>
    <m/>
    <m/>
    <m/>
    <s v="ATENDE"/>
    <s v="ATENDE"/>
    <s v="ATENDE"/>
    <s v="ATENDE"/>
    <s v="C4"/>
    <s v="P6"/>
    <n v="1.7466666666666666"/>
    <n v="8.24"/>
    <n v="5.8"/>
    <n v="3"/>
    <n v="0.6"/>
    <s v="ATENDE"/>
    <s v="ATENDE"/>
    <s v="ATENDE"/>
    <s v="P6"/>
    <n v="2.6199999999999997"/>
    <n v="10.86"/>
    <n v="3.39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70"/>
    <s v="PVP"/>
    <s v="Rua Santa Catarina, 1443"/>
    <n v="-30.036167890000002"/>
    <n v="-50.162467149999998"/>
    <s v="C4"/>
    <x v="0"/>
    <s v="P6"/>
    <s v="Vapor de sódio"/>
    <n v="100"/>
    <n v="17"/>
    <n v="0"/>
    <n v="200"/>
    <n v="2"/>
    <n v="2.5"/>
    <n v="7"/>
    <m/>
    <m/>
    <n v="0"/>
    <n v="2.7"/>
    <n v="0"/>
    <n v="0"/>
    <n v="0"/>
    <n v="0"/>
    <n v="0"/>
    <s v="Unilateral"/>
    <s v="Braço"/>
    <n v="7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6000000000000041E-2"/>
    <n v="1.2777777777777777"/>
    <s v="-"/>
    <n v="10.46"/>
    <n v="0.41"/>
    <m/>
    <m/>
    <m/>
    <m/>
    <s v="ATENDE"/>
    <s v="ATENDE"/>
    <s v="ATENDE"/>
    <s v="ATENDE"/>
    <s v="C4"/>
    <s v="P6"/>
    <n v="0.51666666666666661"/>
    <n v="4.55"/>
    <n v="2.29"/>
    <n v="3"/>
    <n v="0.6"/>
    <s v="ATENDE"/>
    <s v="ATENDE"/>
    <s v="ATENDE"/>
    <s v="P6"/>
    <n v="1.7566666666666664"/>
    <n v="8.27"/>
    <n v="3.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1"/>
    <s v="VP"/>
    <s v="Rua Sergipe, 1272"/>
    <n v="-30.034873739999998"/>
    <n v="-50.162887660000003"/>
    <s v="C5"/>
    <x v="0"/>
    <s v="P6"/>
    <s v="Vapor de sódio"/>
    <n v="100"/>
    <n v="17"/>
    <n v="0"/>
    <n v="200"/>
    <n v="2"/>
    <n v="0"/>
    <n v="7.5"/>
    <m/>
    <m/>
    <n v="0"/>
    <n v="3.2"/>
    <n v="0"/>
    <n v="0"/>
    <n v="0"/>
    <n v="0"/>
    <n v="0"/>
    <s v="Bilateral alternada"/>
    <s v="Braço"/>
    <n v="28"/>
    <n v="7"/>
    <n v="1"/>
    <n v="0.3"/>
    <n v="1.3"/>
    <n v="1"/>
    <s v="-"/>
    <s v="-"/>
    <s v="Não"/>
    <n v="3"/>
    <n v="0"/>
    <n v="0"/>
    <n v="0"/>
    <n v="0"/>
    <n v="0"/>
    <s v="-"/>
    <n v="0"/>
    <m/>
    <n v="7.5"/>
    <n v="0.18"/>
    <s v="-"/>
    <n v="0.18"/>
    <s v="-"/>
    <n v="16"/>
    <s v="ATENDE"/>
    <n v="0.36933333333333329"/>
    <n v="3.4444444444444446"/>
    <s v="-"/>
    <n v="10.27"/>
    <n v="0.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1.2233333333333332"/>
    <n v="6.67"/>
    <n v="4.49"/>
    <n v="3"/>
    <n v="0.6"/>
    <s v="ATENDE"/>
    <s v="ATENDE"/>
    <s v="ATENDE"/>
    <x v="0"/>
    <s v=" SL VT 9.1 17W"/>
    <s v="LUM LED SL VT 9.1 17W"/>
    <m/>
    <e v="#N/A"/>
    <n v="1"/>
    <n v="17"/>
    <n v="0"/>
    <n v="2929.66"/>
    <n v="0"/>
    <n v="0"/>
    <m/>
    <s v="Curto II"/>
    <m/>
    <s v=""/>
    <s v=""/>
    <m/>
    <m/>
    <m/>
    <m/>
    <m/>
    <m/>
    <n v="17"/>
    <n v="100"/>
    <n v="117"/>
    <n v="0.83"/>
    <m/>
    <m/>
    <s v="Sim"/>
    <m/>
  </r>
  <r>
    <n v="171"/>
    <s v="VP"/>
    <s v="Rua Sergipe, 1272"/>
    <n v="-30.034873739999998"/>
    <n v="-50.162887660000003"/>
    <s v="C5"/>
    <x v="0"/>
    <s v="P6"/>
    <s v="Vapor de sódio"/>
    <n v="100"/>
    <n v="17"/>
    <n v="0"/>
    <n v="200"/>
    <n v="2"/>
    <n v="0"/>
    <n v="7.5"/>
    <m/>
    <m/>
    <n v="0"/>
    <n v="3.2"/>
    <n v="0"/>
    <n v="0"/>
    <n v="0"/>
    <n v="0"/>
    <n v="0"/>
    <s v="Bilateral alternada"/>
    <s v="Braço"/>
    <n v="28"/>
    <n v="7"/>
    <n v="1"/>
    <n v="0.3"/>
    <n v="1.3"/>
    <n v="1"/>
    <s v="-"/>
    <s v="-"/>
    <s v="Não"/>
    <n v="3"/>
    <n v="0"/>
    <n v="0"/>
    <n v="0"/>
    <n v="0"/>
    <n v="0"/>
    <s v="-"/>
    <n v="0"/>
    <m/>
    <n v="7.5"/>
    <n v="0.18"/>
    <s v="-"/>
    <n v="0.18"/>
    <s v="-"/>
    <n v="16"/>
    <s v="ATENDE"/>
    <n v="0.89600000000000013"/>
    <n v="3.0555555555555554"/>
    <s v="-"/>
    <n v="14.22"/>
    <n v="0.7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1.7033333333333331"/>
    <n v="8.11"/>
    <n v="3.97"/>
    <n v="3"/>
    <n v="0.6"/>
    <s v="ATENDE"/>
    <s v="ATENDE"/>
    <s v="ATENDE"/>
    <x v="1"/>
    <s v="SX-INEVO020HF"/>
    <s v="SXINEVO020K40L12CZF7PHF"/>
    <m/>
    <e v="#N/A"/>
    <n v="1"/>
    <n v="22.5"/>
    <e v="#N/A"/>
    <n v="3825"/>
    <e v="#N/A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171"/>
    <s v="VP"/>
    <s v="Rua Sergipe, 1272"/>
    <n v="-30.034873739999998"/>
    <n v="-50.162887660000003"/>
    <s v="C5"/>
    <x v="0"/>
    <s v="P6"/>
    <s v="Vapor de sódio"/>
    <n v="100"/>
    <n v="17"/>
    <n v="0"/>
    <n v="200"/>
    <n v="2"/>
    <n v="0"/>
    <n v="7.5"/>
    <m/>
    <m/>
    <n v="0"/>
    <n v="3.2"/>
    <n v="0"/>
    <n v="0"/>
    <n v="0"/>
    <n v="0"/>
    <n v="0"/>
    <s v="Bilateral alternada"/>
    <s v="Braço"/>
    <n v="28"/>
    <n v="7"/>
    <n v="1"/>
    <n v="0.3"/>
    <n v="1.3"/>
    <n v="1"/>
    <s v="-"/>
    <s v="-"/>
    <s v="Não"/>
    <n v="3"/>
    <n v="0"/>
    <n v="0"/>
    <n v="0"/>
    <n v="0"/>
    <n v="0"/>
    <s v="-"/>
    <n v="0"/>
    <m/>
    <n v="7.5"/>
    <n v="0.18"/>
    <s v="-"/>
    <n v="0.18"/>
    <s v="-"/>
    <n v="16"/>
    <s v="ATENDE"/>
    <n v="1.7626666666666666"/>
    <n v="2.9444444444444442"/>
    <s v="-"/>
    <n v="20.72"/>
    <n v="0.71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2.8200000000000003"/>
    <n v="11.46"/>
    <n v="6.7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172"/>
    <s v="PVP"/>
    <s v="Estrada do Agual, 681"/>
    <n v="-30.034049150000001"/>
    <n v="-50.168407449999997"/>
    <s v="C4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7.2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0.7777777777777779"/>
    <s v="-"/>
    <n v="11.67"/>
    <n v="0.32"/>
    <m/>
    <m/>
    <m/>
    <m/>
    <s v="ATENDE"/>
    <s v="ATENDE"/>
    <s v="ATENDE"/>
    <s v="ATENDE"/>
    <s v="C4"/>
    <s v="P6"/>
    <n v="2.0933333333333333"/>
    <n v="9.2799999999999994"/>
    <n v="2.67"/>
    <n v="3"/>
    <n v="0.6"/>
    <s v="ATENDE"/>
    <s v="ATENDE"/>
    <s v="ATENDE"/>
    <s v="P6"/>
    <n v="1.17"/>
    <n v="6.51"/>
    <n v="2.64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72"/>
    <s v="PVP"/>
    <s v="Estrada do Agual, 681"/>
    <n v="-30.034049150000001"/>
    <n v="-50.168407449999997"/>
    <s v="C4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7.2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300000000000001"/>
    <n v="0.83333333333333348"/>
    <s v="-"/>
    <n v="13.83"/>
    <n v="0.33"/>
    <m/>
    <m/>
    <m/>
    <m/>
    <s v="ATENDE"/>
    <s v="ATENDE"/>
    <s v="ATENDE"/>
    <s v="ATENDE"/>
    <s v="C4"/>
    <s v="P6"/>
    <n v="2.436666666666667"/>
    <n v="10.31"/>
    <n v="1.83"/>
    <n v="3"/>
    <n v="0.6"/>
    <s v="ATENDE"/>
    <s v="ATENDE"/>
    <s v="ATENDE"/>
    <s v="P6"/>
    <n v="1.4366666666666665"/>
    <n v="7.31"/>
    <n v="4.21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72"/>
    <s v="PVP"/>
    <s v="Estrada do Agual, 681"/>
    <n v="-30.034049150000001"/>
    <n v="-50.168407449999997"/>
    <s v="C4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7.2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000000000000057E-2"/>
    <n v="0.44444444444444464"/>
    <s v="-"/>
    <n v="10.64"/>
    <n v="0.26"/>
    <m/>
    <m/>
    <m/>
    <m/>
    <s v="ATENDE"/>
    <s v="ATENDE"/>
    <s v="ATENDE"/>
    <s v="ATENDE"/>
    <s v="C4"/>
    <s v="P6"/>
    <n v="1.6266666666666665"/>
    <n v="7.88"/>
    <n v="1.84"/>
    <n v="3"/>
    <n v="0.6"/>
    <s v="ATENDE"/>
    <s v="ATENDE"/>
    <s v="ATENDE"/>
    <s v="P6"/>
    <n v="0.27"/>
    <n v="3.81"/>
    <n v="1.2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3"/>
    <s v="PV"/>
    <s v="Avenida Florianopolis, 1722"/>
    <n v="-30.03782335"/>
    <n v="-50.165285679999997"/>
    <s v="C4"/>
    <x v="0"/>
    <s v="P6"/>
    <s v="Vapor de sódio"/>
    <n v="150"/>
    <n v="22"/>
    <n v="0"/>
    <n v="300"/>
    <n v="2"/>
    <n v="4.5"/>
    <n v="8"/>
    <m/>
    <m/>
    <n v="0"/>
    <n v="0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1000000000000174E-2"/>
    <n v="1"/>
    <s v="-"/>
    <n v="10.71"/>
    <n v="0.36"/>
    <m/>
    <m/>
    <m/>
    <m/>
    <s v="ATENDE"/>
    <s v="ATENDE"/>
    <s v="ATENDE"/>
    <s v="ATENDE"/>
    <s v="C4"/>
    <s v="P6"/>
    <n v="1.65"/>
    <n v="7.95"/>
    <n v="2.64"/>
    <n v="3"/>
    <n v="0.6"/>
    <s v="ATENDE"/>
    <s v="ATENDE"/>
    <s v="ATENDE"/>
    <s v="-"/>
    <e v="#VALUE!"/>
    <m/>
    <m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173"/>
    <s v="PV"/>
    <s v="Avenida Florianopolis, 1722"/>
    <n v="-30.03782335"/>
    <n v="-50.165285679999997"/>
    <s v="C4"/>
    <x v="0"/>
    <s v="P6"/>
    <s v="Vapor de sódio"/>
    <n v="150"/>
    <n v="22"/>
    <n v="0"/>
    <n v="300"/>
    <n v="2"/>
    <n v="4.5"/>
    <n v="8"/>
    <m/>
    <m/>
    <n v="0"/>
    <n v="0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"/>
    <n v="1.5555555555555558"/>
    <s v="-"/>
    <n v="12.7"/>
    <n v="0.46"/>
    <m/>
    <m/>
    <m/>
    <m/>
    <s v="ATENDE"/>
    <s v="ATENDE"/>
    <s v="ATENDE"/>
    <s v="ATENDE"/>
    <s v="C4"/>
    <s v="P6"/>
    <n v="1.8900000000000001"/>
    <n v="8.67"/>
    <n v="1.75"/>
    <n v="3"/>
    <n v="0.6"/>
    <s v="ATENDE"/>
    <s v="ATENDE"/>
    <s v="ATENDE"/>
    <s v="-"/>
    <e v="#VALUE!"/>
    <m/>
    <m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173"/>
    <s v="PV"/>
    <s v="Avenida Florianopolis, 1722"/>
    <n v="-30.03782335"/>
    <n v="-50.165285679999997"/>
    <s v="C4"/>
    <x v="0"/>
    <s v="P6"/>
    <s v="Vapor de sódio"/>
    <n v="150"/>
    <n v="22"/>
    <n v="0"/>
    <n v="300"/>
    <n v="2"/>
    <n v="4.5"/>
    <n v="8"/>
    <m/>
    <m/>
    <n v="0"/>
    <n v="0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00000000000001"/>
    <n v="0.72222222222222232"/>
    <s v="-"/>
    <n v="11.33"/>
    <n v="0.31"/>
    <m/>
    <m/>
    <m/>
    <m/>
    <s v="ATENDE"/>
    <s v="ATENDE"/>
    <s v="ATENDE"/>
    <s v="ATENDE"/>
    <s v="C4"/>
    <s v="P6"/>
    <n v="1.7533333333333334"/>
    <n v="8.26"/>
    <n v="2.85"/>
    <n v="3"/>
    <n v="0.6"/>
    <s v="ATENDE"/>
    <s v="ATENDE"/>
    <s v="ATENDE"/>
    <s v="-"/>
    <e v="#VALUE!"/>
    <m/>
    <m/>
    <s v="-"/>
    <s v="-"/>
    <s v="-"/>
    <s v="-"/>
    <s v="-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174"/>
    <s v="PVP"/>
    <s v="Rua Rio Grande do Sul, 1613"/>
    <n v="-30.03875481"/>
    <n v="-50.161531420000003"/>
    <s v="C4"/>
    <x v="0"/>
    <s v="P6"/>
    <s v="Vapor de sódio"/>
    <n v="100"/>
    <n v="17"/>
    <n v="0"/>
    <n v="200"/>
    <n v="2"/>
    <n v="3.2"/>
    <n v="7"/>
    <m/>
    <m/>
    <n v="0"/>
    <n v="3.1"/>
    <n v="0"/>
    <n v="0"/>
    <n v="0"/>
    <n v="0"/>
    <n v="0"/>
    <s v="Unilateral"/>
    <s v="Braço"/>
    <n v="32.700000000000003"/>
    <n v="6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3000000000000123E-2"/>
    <n v="1"/>
    <s v="-"/>
    <n v="10.130000000000001"/>
    <n v="0.36"/>
    <m/>
    <m/>
    <m/>
    <m/>
    <s v="ATENDE"/>
    <s v="ATENDE"/>
    <s v="ATENDE"/>
    <s v="ATENDE"/>
    <s v="C4"/>
    <s v="P6"/>
    <n v="1.4300000000000002"/>
    <n v="7.29"/>
    <n v="2.13"/>
    <n v="3"/>
    <n v="0.6"/>
    <s v="ATENDE"/>
    <s v="ATENDE"/>
    <s v="ATENDE"/>
    <s v="P6"/>
    <n v="0.58000000000000007"/>
    <n v="4.74"/>
    <n v="1.8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74"/>
    <s v="PVP"/>
    <s v="Rua Rio Grande do Sul, 1613"/>
    <n v="-30.03875481"/>
    <n v="-50.161531420000003"/>
    <s v="C4"/>
    <x v="0"/>
    <s v="P6"/>
    <s v="Vapor de sódio"/>
    <n v="100"/>
    <n v="17"/>
    <n v="0"/>
    <n v="200"/>
    <n v="2"/>
    <n v="3.2"/>
    <n v="7"/>
    <m/>
    <m/>
    <n v="0"/>
    <n v="3.1"/>
    <n v="0"/>
    <n v="0"/>
    <n v="0"/>
    <n v="0"/>
    <n v="0"/>
    <s v="Unilateral"/>
    <s v="Braço"/>
    <n v="32.700000000000003"/>
    <n v="6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99999999999991"/>
    <n v="1.5"/>
    <s v="-"/>
    <n v="11.44"/>
    <n v="0.45"/>
    <m/>
    <m/>
    <m/>
    <m/>
    <s v="ATENDE"/>
    <s v="ATENDE"/>
    <s v="ATENDE"/>
    <s v="ATENDE"/>
    <s v="C4"/>
    <s v="P6"/>
    <n v="1.7866666666666666"/>
    <n v="8.36"/>
    <n v="2.2999999999999998"/>
    <n v="3"/>
    <n v="0.6"/>
    <s v="ATENDE"/>
    <s v="ATENDE"/>
    <s v="ATENDE"/>
    <s v="P6"/>
    <n v="0.55000000000000004"/>
    <n v="4.6500000000000004"/>
    <n v="2.2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74"/>
    <s v="PVP"/>
    <s v="Rua Rio Grande do Sul, 1613"/>
    <n v="-30.03875481"/>
    <n v="-50.161531420000003"/>
    <s v="C4"/>
    <x v="0"/>
    <s v="P6"/>
    <s v="Vapor de sódio"/>
    <n v="100"/>
    <n v="17"/>
    <n v="0"/>
    <n v="200"/>
    <n v="2"/>
    <n v="3.2"/>
    <n v="7"/>
    <m/>
    <m/>
    <n v="0"/>
    <n v="3.1"/>
    <n v="0"/>
    <n v="0"/>
    <n v="0"/>
    <n v="0"/>
    <n v="0"/>
    <s v="Unilateral"/>
    <s v="Braço"/>
    <n v="32.700000000000003"/>
    <n v="6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800000000000002"/>
    <n v="0.83333333333333348"/>
    <s v="-"/>
    <n v="12.78"/>
    <n v="0.33"/>
    <m/>
    <m/>
    <m/>
    <m/>
    <s v="ATENDE"/>
    <s v="ATENDE"/>
    <s v="ATENDE"/>
    <s v="ATENDE"/>
    <s v="C4"/>
    <s v="P6"/>
    <n v="1.936666666666667"/>
    <n v="8.81"/>
    <n v="2.52"/>
    <n v="3"/>
    <n v="0.6"/>
    <s v="ATENDE"/>
    <s v="ATENDE"/>
    <s v="ATENDE"/>
    <s v="P6"/>
    <n v="0.28666666666666663"/>
    <n v="3.86"/>
    <n v="1.3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5"/>
    <s v="PVP"/>
    <s v="Rua Rio de Janeiro, 1631"/>
    <n v="-30.03884146"/>
    <n v="-50.16046191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1.2222222222222223"/>
    <s v="-"/>
    <n v="10.51"/>
    <n v="0.4"/>
    <m/>
    <m/>
    <m/>
    <m/>
    <s v="ATENDE"/>
    <s v="ATENDE"/>
    <s v="ATENDE"/>
    <s v="ATENDE"/>
    <s v="C4"/>
    <s v="P6"/>
    <n v="1.9466666666666668"/>
    <n v="8.84"/>
    <n v="3.24"/>
    <n v="3"/>
    <n v="0.6"/>
    <s v="ATENDE"/>
    <s v="ATENDE"/>
    <s v="ATENDE"/>
    <s v="P6"/>
    <n v="1.1366666666666667"/>
    <n v="6.41"/>
    <n v="3.17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75"/>
    <s v="PVP"/>
    <s v="Rua Rio de Janeiro, 1631"/>
    <n v="-30.03884146"/>
    <n v="-50.16046191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1.8888888888888893"/>
    <s v="-"/>
    <n v="10.01"/>
    <n v="0.52"/>
    <m/>
    <m/>
    <m/>
    <m/>
    <s v="ATENDE"/>
    <s v="ATENDE"/>
    <s v="ATENDE"/>
    <s v="ATENDE"/>
    <s v="C4"/>
    <s v="P6"/>
    <n v="1.8000000000000003"/>
    <n v="8.4"/>
    <n v="3.28"/>
    <n v="3"/>
    <n v="0.6"/>
    <s v="ATENDE"/>
    <s v="ATENDE"/>
    <s v="ATENDE"/>
    <s v="P6"/>
    <n v="0.82666666666666688"/>
    <n v="5.48"/>
    <n v="3.75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175"/>
    <s v="PVP"/>
    <s v="Rua Rio de Janeiro, 1631"/>
    <n v="-30.03884146"/>
    <n v="-50.16046191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000000000000012"/>
    <n v="1.3333333333333335"/>
    <s v="-"/>
    <n v="11.3"/>
    <n v="0.42"/>
    <m/>
    <m/>
    <m/>
    <m/>
    <s v="ATENDE"/>
    <s v="ATENDE"/>
    <s v="ATENDE"/>
    <s v="ATENDE"/>
    <s v="C4"/>
    <s v="P6"/>
    <n v="1.9633333333333334"/>
    <n v="8.89"/>
    <n v="3.51"/>
    <n v="3"/>
    <n v="0.6"/>
    <s v="ATENDE"/>
    <s v="ATENDE"/>
    <s v="ATENDE"/>
    <s v="P6"/>
    <n v="0.55333333333333345"/>
    <n v="4.66"/>
    <n v="2.3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76"/>
    <s v="PVP"/>
    <s v="Rua Piaui, 1843"/>
    <n v="-30.04091764"/>
    <n v="-50.160665510000001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00000000000003"/>
    <n v="7.3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800000000000006E-2"/>
    <n v="1.3333333333333335"/>
    <s v="-"/>
    <n v="10.68"/>
    <n v="0.42"/>
    <m/>
    <m/>
    <m/>
    <m/>
    <s v="ATENDE"/>
    <s v="ATENDE"/>
    <s v="ATENDE"/>
    <s v="ATENDE"/>
    <s v="C4"/>
    <s v="P6"/>
    <n v="1.9433333333333334"/>
    <n v="8.83"/>
    <n v="3.46"/>
    <n v="3"/>
    <n v="0.6"/>
    <s v="ATENDE"/>
    <s v="ATENDE"/>
    <s v="ATENDE"/>
    <s v="P6"/>
    <n v="1.2399999999999998"/>
    <n v="6.72"/>
    <n v="3.44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76"/>
    <s v="PVP"/>
    <s v="Rua Piaui, 1843"/>
    <n v="-30.04091764"/>
    <n v="-50.160665510000001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00000000000003"/>
    <n v="7.3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000000000000014E-2"/>
    <n v="2.0555555555555558"/>
    <s v="-"/>
    <n v="10.16"/>
    <n v="0.55000000000000004"/>
    <m/>
    <m/>
    <m/>
    <m/>
    <s v="ATENDE"/>
    <s v="ATENDE"/>
    <s v="ATENDE"/>
    <s v="ATENDE"/>
    <s v="C4"/>
    <s v="P6"/>
    <n v="1.7899999999999996"/>
    <n v="8.3699999999999992"/>
    <n v="3.65"/>
    <n v="3"/>
    <n v="0.6"/>
    <s v="ATENDE"/>
    <s v="ATENDE"/>
    <s v="ATENDE"/>
    <s v="P6"/>
    <n v="0.94666666666666655"/>
    <n v="5.84"/>
    <n v="4.07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76"/>
    <s v="PVP"/>
    <s v="Rua Piaui, 1843"/>
    <n v="-30.04091764"/>
    <n v="-50.160665510000001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00000000000003"/>
    <n v="7.3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99999999999991"/>
    <n v="1.6666666666666665"/>
    <s v="-"/>
    <n v="11.52"/>
    <n v="0.48"/>
    <m/>
    <m/>
    <m/>
    <m/>
    <s v="ATENDE"/>
    <s v="ATENDE"/>
    <s v="ATENDE"/>
    <s v="ATENDE"/>
    <s v="C4"/>
    <s v="P6"/>
    <n v="1.9466666666666668"/>
    <n v="8.84"/>
    <n v="3.93"/>
    <n v="3"/>
    <n v="0.6"/>
    <s v="ATENDE"/>
    <s v="ATENDE"/>
    <s v="ATENDE"/>
    <s v="P6"/>
    <n v="0.67333333333333312"/>
    <n v="5.0199999999999996"/>
    <n v="2.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7"/>
    <s v="PVP"/>
    <s v="Rua Piaui, 1835"/>
    <n v="-30.04031518"/>
    <n v="-50.160413179999999"/>
    <s v="C4"/>
    <x v="0"/>
    <s v="P6"/>
    <s v="Vapor de sódio"/>
    <n v="100"/>
    <n v="17"/>
    <n v="0"/>
    <n v="200"/>
    <n v="2"/>
    <n v="2.6"/>
    <n v="7"/>
    <m/>
    <m/>
    <n v="0"/>
    <n v="2.5"/>
    <n v="0"/>
    <n v="0"/>
    <n v="0"/>
    <n v="0"/>
    <n v="0"/>
    <s v="Unilateral"/>
    <s v="Braço"/>
    <n v="34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999999999999897E-3"/>
    <n v="1.3333333333333335"/>
    <s v="-"/>
    <n v="10.09"/>
    <n v="0.42"/>
    <m/>
    <m/>
    <m/>
    <m/>
    <s v="ATENDE"/>
    <s v="ATENDE"/>
    <s v="ATENDE"/>
    <s v="ATENDE"/>
    <s v="C4"/>
    <s v="P6"/>
    <n v="1.8233333333333337"/>
    <n v="8.4700000000000006"/>
    <n v="3.27"/>
    <n v="3"/>
    <n v="0.6"/>
    <s v="ATENDE"/>
    <s v="ATENDE"/>
    <s v="ATENDE"/>
    <s v="P6"/>
    <n v="1.1466666666666669"/>
    <n v="6.44"/>
    <n v="3.27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77"/>
    <s v="PVP"/>
    <s v="Rua Piaui, 1835"/>
    <n v="-30.04031518"/>
    <n v="-50.160413179999999"/>
    <s v="C4"/>
    <x v="0"/>
    <s v="P6"/>
    <s v="Vapor de sódio"/>
    <n v="100"/>
    <n v="17"/>
    <n v="0"/>
    <n v="200"/>
    <n v="2"/>
    <n v="2.6"/>
    <n v="7"/>
    <m/>
    <m/>
    <n v="0"/>
    <n v="2.5"/>
    <n v="0"/>
    <n v="0"/>
    <n v="0"/>
    <n v="0"/>
    <n v="0"/>
    <s v="Unilateral"/>
    <s v="Braço"/>
    <n v="34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300000000000002"/>
    <n v="1.8333333333333335"/>
    <s v="-"/>
    <n v="14.03"/>
    <n v="0.51"/>
    <m/>
    <m/>
    <m/>
    <m/>
    <s v="ATENDE"/>
    <s v="ATENDE"/>
    <s v="ATENDE"/>
    <s v="ATENDE"/>
    <s v="C4"/>
    <s v="P6"/>
    <n v="2.73"/>
    <n v="11.19"/>
    <n v="4.24"/>
    <n v="3"/>
    <n v="0.6"/>
    <s v="ATENDE"/>
    <s v="ATENDE"/>
    <s v="ATENDE"/>
    <s v="P6"/>
    <n v="1.92"/>
    <n v="8.76"/>
    <n v="6.4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77"/>
    <s v="PVP"/>
    <s v="Rua Piaui, 1835"/>
    <n v="-30.04031518"/>
    <n v="-50.160413179999999"/>
    <s v="C4"/>
    <x v="0"/>
    <s v="P6"/>
    <s v="Vapor de sódio"/>
    <n v="100"/>
    <n v="17"/>
    <n v="0"/>
    <n v="200"/>
    <n v="2"/>
    <n v="2.6"/>
    <n v="7"/>
    <m/>
    <m/>
    <n v="0"/>
    <n v="2.5"/>
    <n v="0"/>
    <n v="0"/>
    <n v="0"/>
    <n v="0"/>
    <n v="0"/>
    <s v="Unilateral"/>
    <s v="Braço"/>
    <n v="34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00000000000008E-2"/>
    <n v="1.6111111111111112"/>
    <s v="-"/>
    <n v="10.9"/>
    <n v="0.47"/>
    <m/>
    <m/>
    <m/>
    <m/>
    <s v="ATENDE"/>
    <s v="ATENDE"/>
    <s v="ATENDE"/>
    <s v="ATENDE"/>
    <s v="C4"/>
    <s v="P6"/>
    <n v="1.8433333333333333"/>
    <n v="8.5299999999999994"/>
    <n v="3.73"/>
    <n v="3"/>
    <n v="0.6"/>
    <s v="ATENDE"/>
    <s v="ATENDE"/>
    <s v="ATENDE"/>
    <s v="P6"/>
    <n v="0.62333333333333329"/>
    <n v="4.87"/>
    <n v="2.7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8"/>
    <s v="VP"/>
    <s v="Avenida Florianopolis, 1006"/>
    <n v="-30.039983920000001"/>
    <n v="-50.158086500000003"/>
    <s v="C2"/>
    <x v="0"/>
    <s v="P6"/>
    <s v="Vapor de sódio"/>
    <n v="100"/>
    <n v="17"/>
    <n v="0"/>
    <n v="400"/>
    <n v="2"/>
    <n v="0"/>
    <n v="7"/>
    <m/>
    <m/>
    <n v="0"/>
    <n v="2.5"/>
    <n v="2"/>
    <n v="0"/>
    <n v="0"/>
    <n v="0"/>
    <n v="0"/>
    <s v="Canteiro central"/>
    <s v="Braço"/>
    <n v="31.1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1449999999999991"/>
    <n v="0.24999999999999978"/>
    <s v="-"/>
    <n v="24.29"/>
    <n v="0.3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8.8733333333333331"/>
    <n v="29.62"/>
    <n v="16.48"/>
    <n v="3"/>
    <n v="0.6"/>
    <s v="ATENDE"/>
    <s v="ATENDE"/>
    <s v="ATENDE"/>
    <x v="0"/>
    <s v=" SL VT 9.1 65W"/>
    <s v="LUM LED SL VT 9.1 65W"/>
    <m/>
    <e v="#N/A"/>
    <n v="2"/>
    <n v="65"/>
    <n v="0"/>
    <n v="10496"/>
    <n v="0"/>
    <n v="0"/>
    <m/>
    <s v="Curto II"/>
    <m/>
    <s v=""/>
    <s v=""/>
    <m/>
    <m/>
    <m/>
    <m/>
    <m/>
    <m/>
    <n v="65"/>
    <n v="100"/>
    <n v="330"/>
    <n v="0.35"/>
    <m/>
    <m/>
    <s v="Sim"/>
    <m/>
  </r>
  <r>
    <n v="178"/>
    <s v="VP"/>
    <s v="Avenida Florianopolis, 1006"/>
    <n v="-30.039983920000001"/>
    <n v="-50.158086500000003"/>
    <s v="C2"/>
    <x v="0"/>
    <s v="P6"/>
    <s v="Vapor de sódio"/>
    <n v="100"/>
    <n v="17"/>
    <n v="0"/>
    <n v="400"/>
    <n v="2"/>
    <n v="0"/>
    <n v="7"/>
    <m/>
    <m/>
    <n v="0"/>
    <n v="2.5"/>
    <n v="2"/>
    <n v="0"/>
    <n v="0"/>
    <n v="0"/>
    <n v="0"/>
    <s v="Canteiro central"/>
    <s v="Braço"/>
    <n v="31.1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0499999999999972E-2"/>
    <n v="0.96428571428571419"/>
    <s v="-"/>
    <n v="20.61"/>
    <n v="0.5500000000000000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7.65"/>
    <n v="25.95"/>
    <n v="16.190000000000001"/>
    <n v="3"/>
    <n v="0.6"/>
    <s v="ATENDE"/>
    <s v="ATENDE"/>
    <s v="ATENDE"/>
    <x v="1"/>
    <s v="SX-INEVO050HF"/>
    <s v="SXINEVO050K40L12CZF7PHF"/>
    <m/>
    <e v="#N/A"/>
    <n v="2"/>
    <n v="50"/>
    <e v="#N/A"/>
    <n v="8650"/>
    <n v="0"/>
    <n v="0"/>
    <m/>
    <s v="Curto II"/>
    <m/>
    <s v=""/>
    <s v=""/>
    <m/>
    <m/>
    <m/>
    <m/>
    <m/>
    <m/>
    <n v="50"/>
    <n v="100"/>
    <n v="300"/>
    <n v="0.5"/>
    <m/>
    <m/>
    <s v="Sim"/>
    <m/>
  </r>
  <r>
    <n v="178"/>
    <s v="VP"/>
    <s v="Avenida Florianopolis, 1006"/>
    <n v="-30.039983920000001"/>
    <n v="-50.158086500000003"/>
    <s v="C2"/>
    <x v="0"/>
    <s v="P6"/>
    <s v="Vapor de sódio"/>
    <n v="100"/>
    <n v="17"/>
    <n v="0"/>
    <n v="400"/>
    <n v="2"/>
    <n v="0"/>
    <n v="7"/>
    <m/>
    <m/>
    <n v="0"/>
    <n v="2.5"/>
    <n v="2"/>
    <n v="0"/>
    <n v="0"/>
    <n v="0"/>
    <n v="0"/>
    <s v="Canteiro central"/>
    <s v="Braço"/>
    <n v="31.1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6250000000000009"/>
    <n v="0.74999999999999978"/>
    <s v="-"/>
    <n v="23.25"/>
    <n v="0.49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9.0033333333333339"/>
    <n v="30.01"/>
    <n v="19.14"/>
    <n v="3"/>
    <n v="0.6"/>
    <s v="ATENDE"/>
    <s v="ATENDE"/>
    <s v="ATENDE"/>
    <x v="2"/>
    <s v="SIGSAGPTLRRSSNDL_60W_73IBBRS_x000a_"/>
    <s v="SIGSAGPTLRRSSNDL_60W_73IBBRS_x000a_1-10C1MUN6.5"/>
    <m/>
    <e v="#N/A"/>
    <n v="2"/>
    <n v="60"/>
    <n v="0"/>
    <n v="9453"/>
    <n v="0"/>
    <n v="0"/>
    <m/>
    <s v="Curto II"/>
    <m/>
    <s v=""/>
    <s v=""/>
    <m/>
    <m/>
    <m/>
    <m/>
    <m/>
    <m/>
    <n v="60"/>
    <n v="100"/>
    <n v="320"/>
    <n v="0.4"/>
    <m/>
    <m/>
    <s v="Sim"/>
    <m/>
  </r>
  <r>
    <n v="179"/>
    <s v="PVP"/>
    <s v="Rua Maranhao, 1749"/>
    <n v="-30.041302420000001"/>
    <n v="-50.15584578"/>
    <s v="C4"/>
    <x v="0"/>
    <s v="P6"/>
    <s v="Vapor de sódio"/>
    <n v="100"/>
    <n v="17"/>
    <n v="0"/>
    <n v="200"/>
    <n v="2"/>
    <n v="2.5"/>
    <n v="6.9"/>
    <m/>
    <m/>
    <n v="0"/>
    <n v="2.5"/>
    <n v="0"/>
    <n v="0"/>
    <n v="0"/>
    <n v="0"/>
    <n v="0"/>
    <s v="Unilateral"/>
    <s v="Braço"/>
    <n v="36.799999999999997"/>
    <n v="7.5"/>
    <n v="1"/>
    <n v="0.7"/>
    <n v="1.3"/>
    <n v="0.60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199999999999988"/>
    <n v="1.1111111111111112"/>
    <s v="-"/>
    <n v="11.12"/>
    <n v="0.38"/>
    <m/>
    <m/>
    <m/>
    <m/>
    <s v="ATENDE"/>
    <s v="ATENDE"/>
    <s v="ATENDE"/>
    <s v="ATENDE"/>
    <s v="C4"/>
    <s v="P6"/>
    <n v="2.2933333333333334"/>
    <n v="9.8800000000000008"/>
    <n v="3.36"/>
    <n v="3"/>
    <n v="0.6"/>
    <s v="ATENDE"/>
    <s v="ATENDE"/>
    <s v="ATENDE"/>
    <s v="P6"/>
    <n v="1.2966666666666664"/>
    <n v="6.89"/>
    <n v="3.1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79"/>
    <s v="PVP"/>
    <s v="Rua Maranhao, 1749"/>
    <n v="-30.041302420000001"/>
    <n v="-50.15584578"/>
    <s v="C4"/>
    <x v="0"/>
    <s v="P6"/>
    <s v="Vapor de sódio"/>
    <n v="100"/>
    <n v="17"/>
    <n v="0"/>
    <n v="200"/>
    <n v="2"/>
    <n v="2.5"/>
    <n v="6.9"/>
    <m/>
    <m/>
    <n v="0"/>
    <n v="2.5"/>
    <n v="0"/>
    <n v="0"/>
    <n v="0"/>
    <n v="0"/>
    <n v="0"/>
    <s v="Unilateral"/>
    <s v="Braço"/>
    <n v="36.799999999999997"/>
    <n v="7.5"/>
    <n v="1"/>
    <n v="0.7"/>
    <n v="1.3"/>
    <n v="0.60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800000000000006"/>
    <n v="1.5555555555555558"/>
    <s v="-"/>
    <n v="13.18"/>
    <n v="0.46"/>
    <m/>
    <m/>
    <m/>
    <m/>
    <s v="ATENDE"/>
    <s v="ATENDE"/>
    <s v="ATENDE"/>
    <s v="ATENDE"/>
    <s v="C4"/>
    <s v="P6"/>
    <n v="2.7833333333333332"/>
    <n v="11.35"/>
    <n v="3.41"/>
    <n v="3"/>
    <n v="0.6"/>
    <s v="ATENDE"/>
    <s v="ATENDE"/>
    <s v="ATENDE"/>
    <s v="P6"/>
    <n v="1.6466666666666669"/>
    <n v="7.94"/>
    <n v="5.55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79"/>
    <s v="PVP"/>
    <s v="Rua Maranhao, 1749"/>
    <n v="-30.041302420000001"/>
    <n v="-50.15584578"/>
    <s v="C4"/>
    <x v="0"/>
    <s v="P6"/>
    <s v="Vapor de sódio"/>
    <n v="100"/>
    <n v="17"/>
    <n v="0"/>
    <n v="200"/>
    <n v="2"/>
    <n v="2.5"/>
    <n v="6.9"/>
    <m/>
    <m/>
    <n v="0"/>
    <n v="2.5"/>
    <n v="0"/>
    <n v="0"/>
    <n v="0"/>
    <n v="0"/>
    <n v="0"/>
    <s v="Unilateral"/>
    <s v="Braço"/>
    <n v="36.799999999999997"/>
    <n v="7.5"/>
    <n v="1"/>
    <n v="0.7"/>
    <n v="1.3"/>
    <n v="0.60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999999999999906E-2"/>
    <n v="1.1111111111111112"/>
    <s v="-"/>
    <n v="10.19"/>
    <n v="0.38"/>
    <m/>
    <m/>
    <m/>
    <m/>
    <s v="ATENDE"/>
    <s v="ATENDE"/>
    <s v="ATENDE"/>
    <s v="ATENDE"/>
    <s v="C4"/>
    <s v="P6"/>
    <n v="1.8833333333333333"/>
    <n v="8.65"/>
    <n v="3.02"/>
    <n v="3"/>
    <n v="0.6"/>
    <s v="ATENDE"/>
    <s v="ATENDE"/>
    <s v="ATENDE"/>
    <s v="P6"/>
    <n v="0.44333333333333336"/>
    <n v="4.33"/>
    <n v="2.1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80"/>
    <s v="PV"/>
    <s v="Rua Brasilia, 1627"/>
    <n v="-30.041259669999999"/>
    <n v="-50.152653659999999"/>
    <s v="C4"/>
    <x v="0"/>
    <s v="P6"/>
    <s v="Vapor de sódio"/>
    <n v="100"/>
    <n v="17"/>
    <n v="0"/>
    <n v="200"/>
    <n v="2"/>
    <n v="2.8"/>
    <n v="7.2"/>
    <m/>
    <m/>
    <n v="0"/>
    <n v="0"/>
    <n v="0"/>
    <n v="0"/>
    <n v="0"/>
    <n v="0"/>
    <n v="0"/>
    <s v="Unilateral"/>
    <s v="Braço"/>
    <n v="33.5"/>
    <n v="6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999999999999911E-2"/>
    <n v="0.50000000000000022"/>
    <s v="-"/>
    <n v="10.25"/>
    <n v="0.27"/>
    <m/>
    <m/>
    <m/>
    <m/>
    <s v="ATENDE"/>
    <s v="ATENDE"/>
    <s v="ATENDE"/>
    <s v="ATENDE"/>
    <s v="C4"/>
    <s v="P6"/>
    <n v="1.7033333333333331"/>
    <n v="8.11"/>
    <n v="1.74"/>
    <n v="3"/>
    <n v="0.6"/>
    <s v="ATENDE"/>
    <s v="ATENDE"/>
    <s v="ATENDE"/>
    <s v="-"/>
    <e v="#VALUE!"/>
    <m/>
    <m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80"/>
    <s v="PV"/>
    <s v="Rua Brasilia, 1627"/>
    <n v="-30.041259669999999"/>
    <n v="-50.152653659999999"/>
    <s v="C4"/>
    <x v="0"/>
    <s v="P6"/>
    <s v="Vapor de sódio"/>
    <n v="100"/>
    <n v="17"/>
    <n v="0"/>
    <n v="200"/>
    <n v="2"/>
    <n v="2.8"/>
    <n v="7.2"/>
    <m/>
    <m/>
    <n v="0"/>
    <n v="0"/>
    <n v="0"/>
    <n v="0"/>
    <n v="0"/>
    <n v="0"/>
    <n v="0"/>
    <s v="Unilateral"/>
    <s v="Braço"/>
    <n v="33.5"/>
    <n v="6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99999999999991"/>
    <n v="1"/>
    <s v="-"/>
    <n v="11.52"/>
    <n v="0.36"/>
    <m/>
    <m/>
    <m/>
    <m/>
    <s v="ATENDE"/>
    <s v="ATENDE"/>
    <s v="ATENDE"/>
    <s v="ATENDE"/>
    <s v="C4"/>
    <s v="P6"/>
    <n v="2.1133333333333333"/>
    <n v="9.34"/>
    <n v="1.83"/>
    <n v="3"/>
    <n v="0.6"/>
    <s v="ATENDE"/>
    <s v="ATENDE"/>
    <s v="ATENDE"/>
    <s v="-"/>
    <e v="#VALUE!"/>
    <m/>
    <m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80"/>
    <s v="PV"/>
    <s v="Rua Brasilia, 1627"/>
    <n v="-30.041259669999999"/>
    <n v="-50.152653659999999"/>
    <s v="C4"/>
    <x v="0"/>
    <s v="P6"/>
    <s v="Vapor de sódio"/>
    <n v="100"/>
    <n v="17"/>
    <n v="0"/>
    <n v="200"/>
    <n v="2"/>
    <n v="2.8"/>
    <n v="7.2"/>
    <m/>
    <m/>
    <n v="0"/>
    <n v="0"/>
    <n v="0"/>
    <n v="0"/>
    <n v="0"/>
    <n v="0"/>
    <n v="0"/>
    <s v="Unilateral"/>
    <s v="Braço"/>
    <n v="33.5"/>
    <n v="6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400000000000001"/>
    <n v="0.11111111111111116"/>
    <s v="-"/>
    <n v="12.64"/>
    <n v="0.2"/>
    <m/>
    <m/>
    <m/>
    <m/>
    <s v="ATENDE"/>
    <s v="ATENDE"/>
    <s v="ATENDE"/>
    <s v="ATENDE"/>
    <s v="C4"/>
    <s v="P6"/>
    <n v="2.2833333333333332"/>
    <n v="9.85"/>
    <n v="1.88"/>
    <n v="3"/>
    <n v="0.6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81"/>
    <s v="PVP"/>
    <s v="Rua Alagoas, 4744"/>
    <n v="-30.042515430000002"/>
    <n v="-50.150456069999997"/>
    <s v="C4"/>
    <x v="0"/>
    <s v="P6"/>
    <s v="Vapor de sódio"/>
    <n v="150"/>
    <n v="22"/>
    <n v="0"/>
    <n v="300"/>
    <n v="2"/>
    <n v="2.7"/>
    <n v="7"/>
    <m/>
    <m/>
    <n v="0"/>
    <n v="2.5"/>
    <n v="0"/>
    <n v="0"/>
    <n v="0"/>
    <n v="0"/>
    <n v="0"/>
    <s v="Unilateral"/>
    <s v="Braço"/>
    <n v="33.1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0000000000001"/>
    <n v="1.2777777777777777"/>
    <s v="-"/>
    <n v="11.16"/>
    <n v="0.41"/>
    <m/>
    <m/>
    <m/>
    <m/>
    <s v="ATENDE"/>
    <s v="ATENDE"/>
    <s v="ATENDE"/>
    <s v="ATENDE"/>
    <s v="C4"/>
    <s v="P6"/>
    <n v="2.1233333333333331"/>
    <n v="9.3699999999999992"/>
    <n v="3.49"/>
    <n v="3"/>
    <n v="0.6"/>
    <s v="ATENDE"/>
    <s v="ATENDE"/>
    <s v="ATENDE"/>
    <s v="P6"/>
    <n v="1.1600000000000001"/>
    <n v="6.48"/>
    <n v="3.29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181"/>
    <s v="PVP"/>
    <s v="Rua Alagoas, 4744"/>
    <n v="-30.042515430000002"/>
    <n v="-50.150456069999997"/>
    <s v="C4"/>
    <x v="0"/>
    <s v="P6"/>
    <s v="Vapor de sódio"/>
    <n v="150"/>
    <n v="22"/>
    <n v="0"/>
    <n v="300"/>
    <n v="2"/>
    <n v="2.7"/>
    <n v="7"/>
    <m/>
    <m/>
    <n v="0"/>
    <n v="2.5"/>
    <n v="0"/>
    <n v="0"/>
    <n v="0"/>
    <n v="0"/>
    <n v="0"/>
    <s v="Unilateral"/>
    <s v="Braço"/>
    <n v="33.1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999999999999943E-2"/>
    <n v="2.0555555555555558"/>
    <s v="-"/>
    <n v="10.61"/>
    <n v="0.55000000000000004"/>
    <m/>
    <m/>
    <m/>
    <m/>
    <s v="ATENDE"/>
    <s v="ATENDE"/>
    <s v="ATENDE"/>
    <s v="ATENDE"/>
    <s v="C4"/>
    <s v="P6"/>
    <n v="1.9600000000000004"/>
    <n v="8.8800000000000008"/>
    <n v="3.53"/>
    <n v="3"/>
    <n v="0.6"/>
    <s v="ATENDE"/>
    <s v="ATENDE"/>
    <s v="ATENDE"/>
    <s v="P6"/>
    <n v="0.78666666666666685"/>
    <n v="5.36"/>
    <n v="3.4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81"/>
    <s v="PVP"/>
    <s v="Rua Alagoas, 4744"/>
    <n v="-30.042515430000002"/>
    <n v="-50.150456069999997"/>
    <s v="C4"/>
    <x v="0"/>
    <s v="P6"/>
    <s v="Vapor de sódio"/>
    <n v="150"/>
    <n v="22"/>
    <n v="0"/>
    <n v="300"/>
    <n v="2"/>
    <n v="2.7"/>
    <n v="7"/>
    <m/>
    <m/>
    <n v="0"/>
    <n v="2.5"/>
    <n v="0"/>
    <n v="0"/>
    <n v="0"/>
    <n v="0"/>
    <n v="0"/>
    <s v="Unilateral"/>
    <s v="Braço"/>
    <n v="33.1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199999999999995"/>
    <n v="1.3888888888888888"/>
    <s v="-"/>
    <n v="11.92"/>
    <n v="0.43"/>
    <m/>
    <m/>
    <m/>
    <m/>
    <s v="ATENDE"/>
    <s v="ATENDE"/>
    <s v="ATENDE"/>
    <s v="ATENDE"/>
    <s v="C4"/>
    <s v="P6"/>
    <n v="2.1333333333333333"/>
    <n v="9.4"/>
    <n v="3.81"/>
    <n v="3"/>
    <n v="0.6"/>
    <s v="ATENDE"/>
    <s v="ATENDE"/>
    <s v="ATENDE"/>
    <s v="P6"/>
    <n v="0.49666666666666681"/>
    <n v="4.49"/>
    <n v="2.27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182"/>
    <s v="PVP"/>
    <s v="Rua S, 266"/>
    <n v="-30.029451609999999"/>
    <n v="-50.16498936"/>
    <s v="C4"/>
    <x v="0"/>
    <s v="P6"/>
    <s v="Vapor de sódio"/>
    <n v="100"/>
    <n v="17"/>
    <n v="0"/>
    <n v="200"/>
    <n v="2"/>
    <n v="3"/>
    <n v="8.3000000000000007"/>
    <m/>
    <m/>
    <n v="0"/>
    <n v="3"/>
    <n v="0"/>
    <n v="0"/>
    <n v="0"/>
    <n v="0"/>
    <n v="0"/>
    <s v="Unilateral"/>
    <s v="Braço"/>
    <n v="29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300000000000004"/>
    <n v="1.4444444444444446"/>
    <s v="-"/>
    <n v="11.73"/>
    <n v="0.44"/>
    <m/>
    <m/>
    <m/>
    <m/>
    <s v="ATENDE"/>
    <s v="ATENDE"/>
    <s v="ATENDE"/>
    <s v="ATENDE"/>
    <s v="C4"/>
    <s v="P6"/>
    <n v="2.3699999999999997"/>
    <n v="10.11"/>
    <n v="4.46"/>
    <n v="3"/>
    <n v="0.6"/>
    <s v="ATENDE"/>
    <s v="ATENDE"/>
    <s v="ATENDE"/>
    <s v="P6"/>
    <n v="0.67666666666666675"/>
    <n v="5.03"/>
    <n v="2.9"/>
    <n v="3"/>
    <n v="0.6"/>
    <s v="ATENDE"/>
    <s v="ATENDE"/>
    <s v="ATENDE"/>
    <x v="0"/>
    <s v=" SL VT 9.1 44W"/>
    <s v="LUM LED SL VT 9.1 44W"/>
    <m/>
    <n v="0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82"/>
    <s v="PVP"/>
    <s v="Rua S, 266"/>
    <n v="-30.029451609999999"/>
    <n v="-50.16498936"/>
    <s v="C4"/>
    <x v="0"/>
    <s v="P6"/>
    <s v="Vapor de sódio"/>
    <n v="100"/>
    <n v="17"/>
    <n v="0"/>
    <n v="200"/>
    <n v="2"/>
    <n v="3"/>
    <n v="8.3000000000000007"/>
    <m/>
    <m/>
    <n v="0"/>
    <n v="3"/>
    <n v="0"/>
    <n v="0"/>
    <n v="0"/>
    <n v="0"/>
    <n v="0"/>
    <s v="Unilateral"/>
    <s v="Braço"/>
    <n v="29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80000000000001"/>
    <n v="2.1666666666666665"/>
    <s v="-"/>
    <n v="11.08"/>
    <n v="0.56999999999999995"/>
    <m/>
    <m/>
    <m/>
    <m/>
    <s v="ATENDE"/>
    <s v="ATENDE"/>
    <s v="ATENDE"/>
    <s v="ATENDE"/>
    <s v="C4"/>
    <s v="P6"/>
    <n v="2.1799999999999997"/>
    <n v="9.5399999999999991"/>
    <n v="4.82"/>
    <n v="3"/>
    <n v="0.6"/>
    <s v="ATENDE"/>
    <s v="ATENDE"/>
    <s v="ATENDE"/>
    <s v="P6"/>
    <n v="0.11333333333333329"/>
    <n v="3.34"/>
    <n v="1.4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82"/>
    <s v="PVP"/>
    <s v="Rua S, 266"/>
    <n v="-30.029451609999999"/>
    <n v="-50.16498936"/>
    <s v="C4"/>
    <x v="0"/>
    <s v="P6"/>
    <s v="Vapor de sódio"/>
    <n v="100"/>
    <n v="17"/>
    <n v="0"/>
    <n v="200"/>
    <n v="2"/>
    <n v="3"/>
    <n v="8.3000000000000007"/>
    <m/>
    <m/>
    <n v="0"/>
    <n v="3"/>
    <n v="0"/>
    <n v="0"/>
    <n v="0"/>
    <n v="0"/>
    <n v="0"/>
    <s v="Unilateral"/>
    <s v="Braço"/>
    <n v="29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300000000000009"/>
    <n v="1.8333333333333335"/>
    <s v="-"/>
    <n v="12.23"/>
    <n v="0.51"/>
    <m/>
    <m/>
    <m/>
    <m/>
    <s v="ATENDE"/>
    <s v="ATENDE"/>
    <s v="ATENDE"/>
    <s v="ATENDE"/>
    <s v="C4"/>
    <s v="P6"/>
    <n v="2.0233333333333334"/>
    <n v="9.07"/>
    <n v="4.22"/>
    <n v="3"/>
    <n v="0.6"/>
    <s v="ATENDE"/>
    <s v="ATENDE"/>
    <s v="ATENDE"/>
    <s v="P6"/>
    <n v="0.31666666666666665"/>
    <n v="3.95"/>
    <n v="2.4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83"/>
    <s v="PVP"/>
    <s v="Rua R, 1323"/>
    <n v="-30.030908849999999"/>
    <n v="-50.164884309999998"/>
    <s v="C4"/>
    <x v="0"/>
    <s v="P6"/>
    <s v="Vapor de sódio"/>
    <n v="100"/>
    <n v="17"/>
    <n v="0"/>
    <n v="200"/>
    <n v="2"/>
    <n v="2.5"/>
    <n v="8.5"/>
    <m/>
    <m/>
    <n v="0"/>
    <n v="2.6"/>
    <n v="0"/>
    <n v="0"/>
    <n v="0"/>
    <n v="0"/>
    <n v="0"/>
    <s v="Unilateral"/>
    <s v="Braço"/>
    <n v="19.899999999999999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000000000000012"/>
    <n v="2.1666666666666665"/>
    <s v="-"/>
    <n v="11.4"/>
    <n v="0.56999999999999995"/>
    <m/>
    <m/>
    <m/>
    <m/>
    <s v="ATENDE"/>
    <s v="ATENDE"/>
    <s v="ATENDE"/>
    <s v="ATENDE"/>
    <s v="C4"/>
    <s v="P6"/>
    <n v="2.3733333333333331"/>
    <n v="10.119999999999999"/>
    <n v="6.87"/>
    <n v="3"/>
    <n v="0.6"/>
    <s v="ATENDE"/>
    <s v="ATENDE"/>
    <s v="ATENDE"/>
    <s v="P6"/>
    <n v="0.6399999999999999"/>
    <n v="4.92"/>
    <n v="3.47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83"/>
    <s v="PVP"/>
    <s v="Rua R, 1323"/>
    <n v="-30.030908849999999"/>
    <n v="-50.164884309999998"/>
    <s v="C4"/>
    <x v="0"/>
    <s v="P6"/>
    <s v="Vapor de sódio"/>
    <n v="100"/>
    <n v="17"/>
    <n v="0"/>
    <n v="200"/>
    <n v="2"/>
    <n v="2.5"/>
    <n v="8.5"/>
    <m/>
    <m/>
    <n v="0"/>
    <n v="2.6"/>
    <n v="0"/>
    <n v="0"/>
    <n v="0"/>
    <n v="0"/>
    <n v="0"/>
    <s v="Unilateral"/>
    <s v="Braço"/>
    <n v="19.899999999999999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800000000000013"/>
    <n v="2.0000000000000004"/>
    <s v="-"/>
    <n v="13.98"/>
    <n v="0.54"/>
    <m/>
    <m/>
    <m/>
    <m/>
    <s v="ATENDE"/>
    <s v="ATENDE"/>
    <s v="ATENDE"/>
    <s v="ATENDE"/>
    <s v="C4"/>
    <s v="P6"/>
    <n v="2.9066666666666667"/>
    <n v="11.72"/>
    <n v="8.59"/>
    <n v="3"/>
    <n v="0.6"/>
    <s v="ATENDE"/>
    <s v="ATENDE"/>
    <s v="ATENDE"/>
    <s v="P6"/>
    <n v="0.29333333333333322"/>
    <n v="3.88"/>
    <n v="1.95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183"/>
    <s v="PVP"/>
    <s v="Rua R, 1323"/>
    <n v="-30.030908849999999"/>
    <n v="-50.164884309999998"/>
    <s v="C4"/>
    <x v="0"/>
    <s v="P6"/>
    <s v="Vapor de sódio"/>
    <n v="100"/>
    <n v="17"/>
    <n v="0"/>
    <n v="200"/>
    <n v="2"/>
    <n v="2.5"/>
    <n v="8.5"/>
    <m/>
    <m/>
    <n v="0"/>
    <n v="2.6"/>
    <n v="0"/>
    <n v="0"/>
    <n v="0"/>
    <n v="0"/>
    <n v="0"/>
    <s v="Unilateral"/>
    <s v="Braço"/>
    <n v="19.899999999999999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6699999999999999"/>
    <n v="2.0000000000000004"/>
    <s v="-"/>
    <n v="13.67"/>
    <n v="0.54"/>
    <m/>
    <m/>
    <m/>
    <m/>
    <s v="ATENDE"/>
    <s v="ATENDE"/>
    <s v="ATENDE"/>
    <s v="ATENDE"/>
    <s v="C4"/>
    <s v="P6"/>
    <n v="2.9333333333333336"/>
    <n v="11.8"/>
    <n v="8.58"/>
    <n v="3"/>
    <n v="0.6"/>
    <s v="ATENDE"/>
    <s v="ATENDE"/>
    <s v="ATENDE"/>
    <s v="P6"/>
    <n v="0.37333333333333329"/>
    <n v="4.12"/>
    <n v="2.6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184"/>
    <s v="PVP"/>
    <s v="Rua Sergipe, 804"/>
    <n v="-30.030655769999999"/>
    <n v="-50.161536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999999999999947E-2"/>
    <n v="0.50000000000000022"/>
    <s v="-"/>
    <n v="10.65"/>
    <n v="0.27"/>
    <m/>
    <m/>
    <m/>
    <m/>
    <s v="ATENDE"/>
    <s v="ATENDE"/>
    <s v="ATENDE"/>
    <s v="ATENDE"/>
    <s v="C4"/>
    <s v="P6"/>
    <n v="2.0266666666666668"/>
    <n v="9.08"/>
    <n v="2.16"/>
    <n v="3"/>
    <n v="0.6"/>
    <s v="ATENDE"/>
    <s v="ATENDE"/>
    <s v="ATENDE"/>
    <s v="P6"/>
    <n v="1.0500000000000003"/>
    <n v="6.15"/>
    <n v="2.21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84"/>
    <s v="PVP"/>
    <s v="Rua Sergipe, 804"/>
    <n v="-30.030655769999999"/>
    <n v="-50.161536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300000000000012"/>
    <n v="0.38888888888888884"/>
    <s v="-"/>
    <n v="12.63"/>
    <n v="0.25"/>
    <m/>
    <m/>
    <m/>
    <m/>
    <s v="ATENDE"/>
    <s v="ATENDE"/>
    <s v="ATENDE"/>
    <s v="ATENDE"/>
    <s v="C4"/>
    <s v="P6"/>
    <n v="2.4233333333333333"/>
    <n v="10.27"/>
    <n v="1.33"/>
    <n v="3"/>
    <n v="0.6"/>
    <s v="ATENDE"/>
    <s v="ATENDE"/>
    <s v="ATENDE"/>
    <s v="P6"/>
    <n v="1.3199999999999998"/>
    <n v="6.96"/>
    <n v="3.32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84"/>
    <s v="PVP"/>
    <s v="Rua Sergipe, 804"/>
    <n v="-30.030655769999999"/>
    <n v="-50.161536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600000000000013"/>
    <n v="0"/>
    <s v="-"/>
    <n v="11.46"/>
    <n v="0.18"/>
    <m/>
    <m/>
    <m/>
    <m/>
    <s v="ATENDE"/>
    <s v="ATENDE"/>
    <s v="ATENDE"/>
    <s v="ATENDE"/>
    <s v="C4"/>
    <s v="P6"/>
    <n v="1.9066666666666667"/>
    <n v="8.7200000000000006"/>
    <n v="1.23"/>
    <n v="3"/>
    <n v="0.6"/>
    <s v="ATENDE"/>
    <s v="ATENDE"/>
    <s v="ATENDE"/>
    <s v="P6"/>
    <n v="0.66999999999999993"/>
    <n v="5.01"/>
    <n v="1.69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n v="5"/>
    <s v="Curto II"/>
    <m/>
    <s v=""/>
    <s v=""/>
    <m/>
    <m/>
    <m/>
    <m/>
    <m/>
    <m/>
    <n v="50"/>
    <n v="100"/>
    <n v="150"/>
    <n v="0.5"/>
    <m/>
    <m/>
    <s v="Sim"/>
    <m/>
  </r>
  <r>
    <n v="185"/>
    <s v="PVP"/>
    <s v="Rua Rio Grande do Sul, 749"/>
    <n v="-30.031288830000001"/>
    <n v="-50.158288659999997"/>
    <s v="C4"/>
    <x v="0"/>
    <s v="P6"/>
    <s v="Vapor de sódio"/>
    <n v="100"/>
    <n v="17"/>
    <n v="0"/>
    <n v="200"/>
    <n v="2"/>
    <n v="2.5"/>
    <n v="7.2"/>
    <m/>
    <m/>
    <n v="0"/>
    <n v="2.5"/>
    <n v="0"/>
    <n v="0"/>
    <n v="0"/>
    <n v="0"/>
    <n v="0"/>
    <s v="Unilateral"/>
    <s v="Braço"/>
    <n v="30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3"/>
    <n v="1.5555555555555558"/>
    <s v="-"/>
    <n v="10.02"/>
    <n v="0.46"/>
    <m/>
    <m/>
    <m/>
    <m/>
    <s v="ATENDE"/>
    <s v="ATENDE"/>
    <s v="ATENDE"/>
    <s v="ATENDE"/>
    <s v="C4"/>
    <s v="P6"/>
    <n v="1.7966666666666669"/>
    <n v="8.39"/>
    <n v="3.46"/>
    <n v="3"/>
    <n v="0.6"/>
    <s v="ATENDE"/>
    <s v="ATENDE"/>
    <s v="ATENDE"/>
    <s v="P6"/>
    <n v="0.77333333333333343"/>
    <n v="5.32"/>
    <n v="2.8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85"/>
    <s v="PVP"/>
    <s v="Rua Rio Grande do Sul, 749"/>
    <n v="-30.031288830000001"/>
    <n v="-50.158288659999997"/>
    <s v="C4"/>
    <x v="0"/>
    <s v="P6"/>
    <s v="Vapor de sódio"/>
    <n v="100"/>
    <n v="17"/>
    <n v="0"/>
    <n v="200"/>
    <n v="2"/>
    <n v="2.5"/>
    <n v="7.2"/>
    <m/>
    <m/>
    <n v="0"/>
    <n v="2.5"/>
    <n v="0"/>
    <n v="0"/>
    <n v="0"/>
    <n v="0"/>
    <n v="0"/>
    <s v="Unilateral"/>
    <s v="Braço"/>
    <n v="30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2.4444444444444446"/>
    <s v="-"/>
    <n v="11.31"/>
    <n v="0.62"/>
    <m/>
    <m/>
    <m/>
    <m/>
    <s v="ATENDE"/>
    <s v="ATENDE"/>
    <s v="ATENDE"/>
    <s v="ATENDE"/>
    <s v="C4"/>
    <s v="P6"/>
    <n v="2.25"/>
    <n v="9.75"/>
    <n v="4.68"/>
    <n v="3"/>
    <n v="0.6"/>
    <s v="ATENDE"/>
    <s v="ATENDE"/>
    <s v="ATENDE"/>
    <s v="P6"/>
    <n v="0.8"/>
    <n v="5.4"/>
    <n v="3.17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85"/>
    <s v="PVP"/>
    <s v="Rua Rio Grande do Sul, 749"/>
    <n v="-30.031288830000001"/>
    <n v="-50.158288659999997"/>
    <s v="C4"/>
    <x v="0"/>
    <s v="P6"/>
    <s v="Vapor de sódio"/>
    <n v="100"/>
    <n v="17"/>
    <n v="0"/>
    <n v="200"/>
    <n v="2"/>
    <n v="2.5"/>
    <n v="7.2"/>
    <m/>
    <m/>
    <n v="0"/>
    <n v="2.5"/>
    <n v="0"/>
    <n v="0"/>
    <n v="0"/>
    <n v="0"/>
    <n v="0"/>
    <s v="Unilateral"/>
    <s v="Braço"/>
    <n v="30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500000000000012"/>
    <n v="1.7222222222222223"/>
    <s v="-"/>
    <n v="12.65"/>
    <n v="0.49"/>
    <m/>
    <m/>
    <m/>
    <m/>
    <s v="ATENDE"/>
    <s v="ATENDE"/>
    <s v="ATENDE"/>
    <s v="ATENDE"/>
    <s v="C4"/>
    <s v="P6"/>
    <n v="2.4466666666666668"/>
    <n v="10.34"/>
    <n v="5.0599999999999996"/>
    <n v="3"/>
    <n v="0.6"/>
    <s v="ATENDE"/>
    <s v="ATENDE"/>
    <s v="ATENDE"/>
    <s v="P6"/>
    <n v="0.49666666666666681"/>
    <n v="4.49"/>
    <n v="2.4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86"/>
    <s v="PVP"/>
    <s v="Rua Belem, 965"/>
    <n v="-30.0313479"/>
    <n v="-50.156897989999997"/>
    <s v="C4"/>
    <x v="0"/>
    <s v="P6"/>
    <s v="Vapor de sódio"/>
    <n v="100"/>
    <n v="17"/>
    <n v="0"/>
    <n v="200"/>
    <n v="2"/>
    <n v="2.5"/>
    <n v="9.9"/>
    <m/>
    <m/>
    <n v="0"/>
    <n v="2.5"/>
    <n v="0"/>
    <n v="0"/>
    <n v="0"/>
    <n v="0"/>
    <n v="0"/>
    <s v="Unilateral"/>
    <s v="Braço"/>
    <n v="34.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999999999999977E-2"/>
    <n v="0.7777777777777779"/>
    <s v="-"/>
    <n v="10.99"/>
    <n v="0.32"/>
    <m/>
    <m/>
    <m/>
    <m/>
    <s v="ATENDE"/>
    <s v="ATENDE"/>
    <s v="ATENDE"/>
    <s v="ATENDE"/>
    <s v="C4"/>
    <s v="P6"/>
    <n v="2.5433333333333334"/>
    <n v="10.63"/>
    <n v="3.7"/>
    <n v="3"/>
    <n v="0.6"/>
    <s v="ATENDE"/>
    <s v="ATENDE"/>
    <s v="ATENDE"/>
    <s v="P6"/>
    <n v="0.12666666666666671"/>
    <n v="3.38"/>
    <n v="2.0099999999999998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86"/>
    <s v="PVP"/>
    <s v="Rua Belem, 965"/>
    <n v="-30.0313479"/>
    <n v="-50.156897989999997"/>
    <s v="C4"/>
    <x v="0"/>
    <s v="P6"/>
    <s v="Vapor de sódio"/>
    <n v="100"/>
    <n v="17"/>
    <n v="0"/>
    <n v="200"/>
    <n v="2"/>
    <n v="2.5"/>
    <n v="9.9"/>
    <m/>
    <m/>
    <n v="0"/>
    <n v="2.5"/>
    <n v="0"/>
    <n v="0"/>
    <n v="0"/>
    <n v="0"/>
    <n v="0"/>
    <s v="Unilateral"/>
    <s v="Braço"/>
    <n v="34.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299999999999993"/>
    <n v="1.5555555555555558"/>
    <s v="-"/>
    <n v="12.93"/>
    <n v="0.46"/>
    <m/>
    <m/>
    <m/>
    <m/>
    <s v="ATENDE"/>
    <s v="ATENDE"/>
    <s v="ATENDE"/>
    <s v="ATENDE"/>
    <s v="C4"/>
    <s v="P6"/>
    <n v="2.9933333333333336"/>
    <n v="11.98"/>
    <n v="3.59"/>
    <n v="3"/>
    <n v="0.6"/>
    <s v="ATENDE"/>
    <s v="ATENDE"/>
    <s v="ATENDE"/>
    <s v="P6"/>
    <n v="0"/>
    <n v="3"/>
    <n v="1.51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86"/>
    <s v="PVP"/>
    <s v="Rua Belem, 965"/>
    <n v="-30.0313479"/>
    <n v="-50.156897989999997"/>
    <s v="C4"/>
    <x v="0"/>
    <s v="P6"/>
    <s v="Vapor de sódio"/>
    <n v="100"/>
    <n v="17"/>
    <n v="0"/>
    <n v="200"/>
    <n v="2"/>
    <n v="2.5"/>
    <n v="9.9"/>
    <m/>
    <m/>
    <n v="0"/>
    <n v="2.5"/>
    <n v="0"/>
    <n v="0"/>
    <n v="0"/>
    <n v="0"/>
    <n v="0"/>
    <s v="Unilateral"/>
    <s v="Braço"/>
    <n v="34.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300000000000001"/>
    <n v="1.0555555555555558"/>
    <s v="-"/>
    <n v="13.83"/>
    <n v="0.37"/>
    <m/>
    <m/>
    <m/>
    <m/>
    <s v="ATENDE"/>
    <s v="ATENDE"/>
    <s v="ATENDE"/>
    <s v="ATENDE"/>
    <s v="C4"/>
    <s v="P6"/>
    <n v="2.9600000000000004"/>
    <n v="11.88"/>
    <n v="3.88"/>
    <n v="3"/>
    <n v="0.6"/>
    <s v="ATENDE"/>
    <s v="ATENDE"/>
    <s v="ATENDE"/>
    <s v="P6"/>
    <n v="0.12333333333333329"/>
    <n v="3.37"/>
    <n v="1.76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n v="5"/>
    <s v="Curto II"/>
    <m/>
    <s v=""/>
    <s v=""/>
    <m/>
    <m/>
    <m/>
    <m/>
    <m/>
    <m/>
    <n v="60"/>
    <n v="100"/>
    <n v="160"/>
    <n v="0.4"/>
    <m/>
    <m/>
    <s v="Sim"/>
    <m/>
  </r>
  <r>
    <n v="187"/>
    <s v="PVP"/>
    <s v="Rua Para, 513"/>
    <n v="-30.029990940000001"/>
    <n v="-50.15324059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4999999999999929E-2"/>
    <n v="1.0555555555555558"/>
    <s v="-"/>
    <n v="10.45"/>
    <n v="0.37"/>
    <m/>
    <m/>
    <m/>
    <m/>
    <s v="ATENDE"/>
    <s v="ATENDE"/>
    <s v="ATENDE"/>
    <s v="ATENDE"/>
    <s v="C4"/>
    <s v="P6"/>
    <n v="1.9166666666666665"/>
    <n v="8.75"/>
    <n v="2.91"/>
    <n v="3"/>
    <n v="0.6"/>
    <s v="ATENDE"/>
    <s v="ATENDE"/>
    <s v="ATENDE"/>
    <s v="P6"/>
    <n v="1.0533333333333332"/>
    <n v="6.16"/>
    <n v="2.8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87"/>
    <s v="PVP"/>
    <s v="Rua Para, 513"/>
    <n v="-30.029990940000001"/>
    <n v="-50.15324059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5399999999999996"/>
    <n v="1.2777777777777777"/>
    <s v="-"/>
    <n v="14.54"/>
    <n v="0.41"/>
    <m/>
    <m/>
    <m/>
    <m/>
    <s v="ATENDE"/>
    <s v="ATENDE"/>
    <s v="ATENDE"/>
    <s v="ATENDE"/>
    <s v="C4"/>
    <s v="P6"/>
    <n v="2.8366666666666664"/>
    <n v="11.51"/>
    <n v="3.05"/>
    <n v="3"/>
    <n v="0.6"/>
    <s v="ATENDE"/>
    <s v="ATENDE"/>
    <s v="ATENDE"/>
    <s v="P6"/>
    <n v="1.73"/>
    <n v="8.19"/>
    <n v="5.37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87"/>
    <s v="PVP"/>
    <s v="Rua Para, 513"/>
    <n v="-30.029990940000001"/>
    <n v="-50.15324059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799999999999988"/>
    <n v="0.88888888888888906"/>
    <s v="-"/>
    <n v="11.18"/>
    <n v="0.34"/>
    <m/>
    <m/>
    <m/>
    <m/>
    <s v="ATENDE"/>
    <s v="ATENDE"/>
    <s v="ATENDE"/>
    <s v="ATENDE"/>
    <s v="C4"/>
    <s v="P6"/>
    <n v="1.9233333333333333"/>
    <n v="8.77"/>
    <n v="2.8"/>
    <n v="3"/>
    <n v="0.6"/>
    <s v="ATENDE"/>
    <s v="ATENDE"/>
    <s v="ATENDE"/>
    <s v="P6"/>
    <n v="0.44666666666666655"/>
    <n v="4.34"/>
    <n v="1.8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88"/>
    <s v="PVP"/>
    <s v="Rua Goias, 535"/>
    <n v="-30.030777409999999"/>
    <n v="-50.152010930000003"/>
    <s v="C4"/>
    <x v="0"/>
    <s v="P6"/>
    <s v="Vapor de sódio"/>
    <n v="100"/>
    <n v="17"/>
    <n v="0"/>
    <n v="0"/>
    <n v="2"/>
    <n v="2.6"/>
    <n v="7"/>
    <m/>
    <m/>
    <n v="0"/>
    <n v="2.5"/>
    <n v="0"/>
    <n v="0"/>
    <n v="0"/>
    <n v="0"/>
    <n v="0"/>
    <s v="Unilateral"/>
    <s v="Braço"/>
    <n v="39.6"/>
    <n v="0"/>
    <n v="0"/>
    <n v="0.5"/>
    <n v="0"/>
    <n v="-0.5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1.2000000000000011E-2"/>
    <n v="0.5555555555555558"/>
    <s v="-"/>
    <n v="10.119999999999999"/>
    <n v="0.28000000000000003"/>
    <m/>
    <m/>
    <m/>
    <m/>
    <s v="ATENDE"/>
    <s v="ATENDE"/>
    <s v="ATENDE"/>
    <s v="ATENDE"/>
    <s v="C4"/>
    <s v="P6"/>
    <n v="2.6766666666666663"/>
    <n v="11.03"/>
    <n v="2.74"/>
    <n v="3"/>
    <n v="0.6"/>
    <s v="ATENDE"/>
    <s v="ATENDE"/>
    <s v="ATENDE"/>
    <s v="P6"/>
    <n v="0.56333333333333346"/>
    <n v="4.6900000000000004"/>
    <n v="1.94"/>
    <n v="3"/>
    <n v="0.6"/>
    <s v="ATENDE"/>
    <s v="ATENDE"/>
    <s v="ATENDE"/>
    <x v="0"/>
    <s v=" SL VT 9.1 52W"/>
    <s v="LUM LED SL VT 9.1 52W"/>
    <m/>
    <n v="0"/>
    <n v="0"/>
    <n v="52"/>
    <n v="0"/>
    <n v="8960.18"/>
    <n v="0"/>
    <n v="0"/>
    <m/>
    <s v="Curto I"/>
    <m/>
    <s v=""/>
    <s v=""/>
    <m/>
    <m/>
    <m/>
    <m/>
    <m/>
    <m/>
    <n v="52"/>
    <n v="100"/>
    <n v="0"/>
    <n v="0.48"/>
    <m/>
    <m/>
    <s v="Sim"/>
    <m/>
  </r>
  <r>
    <n v="188"/>
    <s v="PVP"/>
    <s v="Rua Goias, 535"/>
    <n v="-30.030777409999999"/>
    <n v="-50.152010930000003"/>
    <s v="C4"/>
    <x v="0"/>
    <s v="P6"/>
    <s v="Vapor de sódio"/>
    <n v="100"/>
    <n v="17"/>
    <n v="0"/>
    <n v="0"/>
    <n v="2"/>
    <n v="2.6"/>
    <n v="7"/>
    <m/>
    <m/>
    <n v="0"/>
    <n v="2.5"/>
    <n v="0"/>
    <n v="0"/>
    <n v="0"/>
    <n v="0"/>
    <n v="0"/>
    <s v="Unilateral"/>
    <s v="Braço"/>
    <n v="39.6"/>
    <n v="0"/>
    <n v="0"/>
    <n v="0.5"/>
    <n v="0"/>
    <n v="-0.5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0.19700000000000006"/>
    <n v="1.2222222222222223"/>
    <s v="-"/>
    <n v="11.97"/>
    <n v="0.4"/>
    <m/>
    <m/>
    <m/>
    <m/>
    <s v="ATENDE"/>
    <s v="ATENDE"/>
    <s v="ATENDE"/>
    <s v="ATENDE"/>
    <s v="C4"/>
    <s v="P6"/>
    <n v="3.3233333333333333"/>
    <n v="12.97"/>
    <n v="2.34"/>
    <n v="3"/>
    <n v="0.6"/>
    <s v="ATENDE"/>
    <s v="ATENDE"/>
    <s v="ATENDE"/>
    <s v="P6"/>
    <n v="0.6100000000000001"/>
    <n v="4.83"/>
    <n v="2.61"/>
    <n v="3"/>
    <n v="0.6"/>
    <s v="ATENDE"/>
    <s v="ATENDE"/>
    <s v="ATENDE"/>
    <x v="1"/>
    <s v="SX-INEVO050HF"/>
    <s v="SXINEVO050K40L12CZF7PHF"/>
    <m/>
    <n v="0"/>
    <n v="0"/>
    <n v="50"/>
    <n v="0"/>
    <n v="8650"/>
    <n v="0"/>
    <n v="0"/>
    <m/>
    <s v="Curto I"/>
    <m/>
    <s v=""/>
    <s v=""/>
    <m/>
    <m/>
    <m/>
    <m/>
    <m/>
    <m/>
    <n v="50"/>
    <n v="100"/>
    <n v="0"/>
    <n v="0.5"/>
    <m/>
    <m/>
    <s v="Sim"/>
    <m/>
  </r>
  <r>
    <n v="188"/>
    <s v="PVP"/>
    <s v="Rua Goias, 535"/>
    <n v="-30.030777409999999"/>
    <n v="-50.152010930000003"/>
    <s v="C4"/>
    <x v="0"/>
    <s v="P6"/>
    <s v="Vapor de sódio"/>
    <n v="100"/>
    <n v="17"/>
    <n v="0"/>
    <n v="0"/>
    <n v="2"/>
    <n v="2.6"/>
    <n v="7"/>
    <m/>
    <m/>
    <n v="0"/>
    <n v="2.5"/>
    <n v="0"/>
    <n v="0"/>
    <n v="0"/>
    <n v="0"/>
    <n v="0"/>
    <s v="Unilateral"/>
    <s v="Braço"/>
    <n v="39.6"/>
    <n v="0"/>
    <n v="0"/>
    <n v="0.5"/>
    <n v="0"/>
    <n v="-0.5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5.600000000000005E-2"/>
    <n v="0.38888888888888884"/>
    <s v="-"/>
    <n v="10.56"/>
    <n v="0.25"/>
    <m/>
    <m/>
    <m/>
    <m/>
    <s v="ATENDE"/>
    <s v="ATENDE"/>
    <s v="ATENDE"/>
    <s v="ATENDE"/>
    <s v="C4"/>
    <s v="P6"/>
    <n v="2.8466666666666662"/>
    <n v="11.54"/>
    <n v="1.94"/>
    <n v="3"/>
    <n v="0.6"/>
    <s v="ATENDE"/>
    <s v="ATENDE"/>
    <s v="ATENDE"/>
    <s v="P6"/>
    <n v="0.15999999999999992"/>
    <n v="3.48"/>
    <n v="1.46"/>
    <n v="3"/>
    <n v="0.6"/>
    <s v="ATENDE"/>
    <s v="ATENDE"/>
    <s v="ATENDE"/>
    <x v="2"/>
    <s v="SIGSAGPTLRRSSNDL_50W_61IBBRS_x000a_"/>
    <s v="SIGSAGPTLRRSSNDL_50W_61IBBRS_x000a_1-10C1MUN6.5"/>
    <m/>
    <n v="0"/>
    <n v="0"/>
    <n v="50"/>
    <n v="0"/>
    <n v="8163"/>
    <n v="0"/>
    <n v="0"/>
    <n v="5"/>
    <s v="Curto I"/>
    <m/>
    <s v=""/>
    <s v=""/>
    <m/>
    <m/>
    <m/>
    <m/>
    <m/>
    <m/>
    <n v="50"/>
    <n v="100"/>
    <n v="0"/>
    <n v="0.5"/>
    <m/>
    <m/>
    <s v="Sim"/>
    <m/>
  </r>
  <r>
    <n v="189"/>
    <s v="PVP"/>
    <s v="Rua Mato Grosso, 773"/>
    <n v="-30.032745689999999"/>
    <n v="-50.152778300000001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4999999999999929E-2"/>
    <n v="1.0555555555555558"/>
    <s v="-"/>
    <n v="10.45"/>
    <n v="0.37"/>
    <m/>
    <m/>
    <m/>
    <m/>
    <s v="ATENDE"/>
    <s v="ATENDE"/>
    <s v="ATENDE"/>
    <s v="ATENDE"/>
    <s v="C4"/>
    <s v="P6"/>
    <n v="2.0433333333333334"/>
    <n v="9.1300000000000008"/>
    <n v="3.05"/>
    <n v="3"/>
    <n v="0.6"/>
    <s v="ATENDE"/>
    <s v="ATENDE"/>
    <s v="ATENDE"/>
    <s v="P6"/>
    <n v="0.99"/>
    <n v="5.97"/>
    <n v="2.8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89"/>
    <s v="PVP"/>
    <s v="Rua Mato Grosso, 773"/>
    <n v="-30.032745689999999"/>
    <n v="-50.152778300000001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5500000000000007"/>
    <n v="1.4444444444444446"/>
    <s v="-"/>
    <n v="14.55"/>
    <n v="0.44"/>
    <m/>
    <m/>
    <m/>
    <m/>
    <s v="ATENDE"/>
    <s v="ATENDE"/>
    <s v="ATENDE"/>
    <s v="ATENDE"/>
    <s v="C4"/>
    <s v="P6"/>
    <n v="3.0466666666666669"/>
    <n v="12.14"/>
    <n v="3.4"/>
    <n v="3"/>
    <n v="0.6"/>
    <s v="ATENDE"/>
    <s v="ATENDE"/>
    <s v="ATENDE"/>
    <s v="P6"/>
    <n v="1.6133333333333333"/>
    <n v="7.84"/>
    <n v="5.2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89"/>
    <s v="PVP"/>
    <s v="Rua Mato Grosso, 773"/>
    <n v="-30.032745689999999"/>
    <n v="-50.152778300000001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94444444444444442"/>
    <s v="-"/>
    <n v="11.14"/>
    <n v="0.35"/>
    <m/>
    <m/>
    <m/>
    <m/>
    <s v="ATENDE"/>
    <s v="ATENDE"/>
    <s v="ATENDE"/>
    <s v="ATENDE"/>
    <s v="C4"/>
    <s v="P6"/>
    <n v="2.0833333333333335"/>
    <n v="9.25"/>
    <n v="3.04"/>
    <n v="3"/>
    <n v="0.6"/>
    <s v="ATENDE"/>
    <s v="ATENDE"/>
    <s v="ATENDE"/>
    <s v="P6"/>
    <n v="0.35666666666666669"/>
    <n v="4.07"/>
    <n v="1.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90"/>
    <s v="PVP"/>
    <s v="Rua Amapa, 809"/>
    <n v="-30.034504890000001"/>
    <n v="-50.14766327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200000000000003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799999999999989"/>
    <n v="0.94444444444444442"/>
    <s v="-"/>
    <n v="11.28"/>
    <n v="0.35"/>
    <m/>
    <m/>
    <m/>
    <m/>
    <s v="ATENDE"/>
    <s v="ATENDE"/>
    <s v="ATENDE"/>
    <s v="ATENDE"/>
    <s v="C4"/>
    <s v="P6"/>
    <n v="2.2233333333333332"/>
    <n v="9.67"/>
    <n v="3.07"/>
    <n v="3"/>
    <n v="0.6"/>
    <s v="ATENDE"/>
    <s v="ATENDE"/>
    <s v="ATENDE"/>
    <s v="P6"/>
    <n v="1.29"/>
    <n v="6.87"/>
    <n v="3"/>
    <n v="3"/>
    <n v="0.6"/>
    <s v="ATENDE"/>
    <s v="ATENDE"/>
    <s v="ATENDE"/>
    <x v="0"/>
    <s v=" SL VT 9.1 52W"/>
    <s v="LUM LED SL VT 9.1 52W"/>
    <m/>
    <n v="0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90"/>
    <s v="PVP"/>
    <s v="Rua Amapa, 809"/>
    <n v="-30.034504890000001"/>
    <n v="-50.14766327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200000000000003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3699999999999997"/>
    <n v="1.2222222222222223"/>
    <s v="-"/>
    <n v="13.37"/>
    <n v="0.4"/>
    <m/>
    <m/>
    <m/>
    <m/>
    <s v="ATENDE"/>
    <s v="ATENDE"/>
    <s v="ATENDE"/>
    <s v="ATENDE"/>
    <s v="C4"/>
    <s v="P6"/>
    <n v="2.6566666666666667"/>
    <n v="10.97"/>
    <n v="2.73"/>
    <n v="3"/>
    <n v="0.6"/>
    <s v="ATENDE"/>
    <s v="ATENDE"/>
    <s v="ATENDE"/>
    <s v="P6"/>
    <n v="1.6266666666666665"/>
    <n v="7.88"/>
    <n v="5.1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90"/>
    <s v="PVP"/>
    <s v="Rua Amapa, 809"/>
    <n v="-30.034504890000001"/>
    <n v="-50.14766327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200000000000003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2000000000000028E-2"/>
    <n v="0.83333333333333348"/>
    <s v="-"/>
    <n v="10.32"/>
    <n v="0.33"/>
    <m/>
    <m/>
    <m/>
    <m/>
    <s v="ATENDE"/>
    <s v="ATENDE"/>
    <s v="ATENDE"/>
    <s v="ATENDE"/>
    <s v="C4"/>
    <s v="P6"/>
    <n v="1.7866666666666666"/>
    <n v="8.36"/>
    <n v="2.4900000000000002"/>
    <n v="3"/>
    <n v="0.6"/>
    <s v="ATENDE"/>
    <s v="ATENDE"/>
    <s v="ATENDE"/>
    <s v="P6"/>
    <n v="0.41999999999999993"/>
    <n v="4.26"/>
    <n v="1.8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91"/>
    <s v="PVP"/>
    <s v="Rua Alagoas, 815"/>
    <n v="-30.03469793"/>
    <n v="-50.147054969999999"/>
    <s v="C4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38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200000000000012"/>
    <n v="0.66666666666666674"/>
    <s v="-"/>
    <n v="11.32"/>
    <n v="0.3"/>
    <m/>
    <m/>
    <m/>
    <m/>
    <s v="ATENDE"/>
    <s v="ATENDE"/>
    <s v="ATENDE"/>
    <s v="ATENDE"/>
    <s v="C4"/>
    <s v="P6"/>
    <n v="2.2266666666666666"/>
    <n v="9.68"/>
    <n v="2.62"/>
    <n v="3"/>
    <n v="0.6"/>
    <s v="ATENDE"/>
    <s v="ATENDE"/>
    <s v="ATENDE"/>
    <s v="P6"/>
    <n v="1.2533333333333334"/>
    <n v="6.76"/>
    <n v="2.5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91"/>
    <s v="PVP"/>
    <s v="Rua Alagoas, 815"/>
    <n v="-30.03469793"/>
    <n v="-50.147054969999999"/>
    <s v="C4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38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099999999999997"/>
    <n v="0.61111111111111116"/>
    <s v="-"/>
    <n v="13.41"/>
    <n v="0.28999999999999998"/>
    <m/>
    <m/>
    <m/>
    <m/>
    <s v="ATENDE"/>
    <s v="ATENDE"/>
    <s v="ATENDE"/>
    <s v="ATENDE"/>
    <s v="C4"/>
    <s v="P6"/>
    <n v="2.66"/>
    <n v="10.98"/>
    <n v="1.92"/>
    <n v="3"/>
    <n v="0.6"/>
    <s v="ATENDE"/>
    <s v="ATENDE"/>
    <s v="ATENDE"/>
    <s v="P6"/>
    <n v="1.5766666666666667"/>
    <n v="7.73"/>
    <n v="4.1500000000000004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91"/>
    <s v="PVP"/>
    <s v="Rua Alagoas, 815"/>
    <n v="-30.03469793"/>
    <n v="-50.147054969999999"/>
    <s v="C4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38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00000000000003E-2"/>
    <n v="0.16666666666666674"/>
    <s v="-"/>
    <n v="10.34"/>
    <n v="0.21"/>
    <m/>
    <m/>
    <m/>
    <m/>
    <s v="ATENDE"/>
    <s v="ATENDE"/>
    <s v="ATENDE"/>
    <s v="ATENDE"/>
    <s v="C4"/>
    <s v="P6"/>
    <n v="1.7833333333333332"/>
    <n v="8.35"/>
    <n v="1.66"/>
    <n v="3"/>
    <n v="0.6"/>
    <s v="ATENDE"/>
    <s v="ATENDE"/>
    <s v="ATENDE"/>
    <s v="P6"/>
    <n v="0.37666666666666671"/>
    <n v="4.13"/>
    <n v="1.2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92"/>
    <s v="PVP"/>
    <s v="Avenida Beira-Mar, 1622"/>
    <n v="-30.035083929999999"/>
    <n v="-50.145924749999999"/>
    <s v="C1"/>
    <x v="0"/>
    <s v="P5"/>
    <s v="Vapor de sódio"/>
    <n v="150"/>
    <n v="22"/>
    <n v="0"/>
    <n v="300"/>
    <n v="2"/>
    <n v="2.5"/>
    <n v="11.06"/>
    <m/>
    <m/>
    <n v="0"/>
    <n v="2"/>
    <n v="0"/>
    <n v="0"/>
    <n v="0"/>
    <n v="0"/>
    <n v="0"/>
    <s v="Bilateral alternada"/>
    <s v="Braço"/>
    <n v="38.6"/>
    <n v="7"/>
    <n v="1"/>
    <n v="0.4"/>
    <n v="1.3"/>
    <n v="0.9"/>
    <s v="-"/>
    <s v="-"/>
    <s v="Não"/>
    <n v="3"/>
    <n v="0"/>
    <n v="0"/>
    <n v="0"/>
    <n v="0"/>
    <n v="0"/>
    <s v="-"/>
    <n v="0"/>
    <m/>
    <n v="30"/>
    <n v="0.38"/>
    <s v="-"/>
    <n v="0.38"/>
    <s v="-"/>
    <n v="14"/>
    <s v="ATENDE"/>
    <n v="7.1333333333333249E-2"/>
    <n v="0.47368421052631593"/>
    <s v="-"/>
    <n v="32.14"/>
    <n v="0.56000000000000005"/>
    <m/>
    <m/>
    <m/>
    <m/>
    <s v="ATENDE"/>
    <s v="ATENDE"/>
    <s v="ATENDE"/>
    <s v="ATENDE"/>
    <s v="C1"/>
    <s v="P5"/>
    <n v="2.7619999999999996"/>
    <n v="18.809999999999999"/>
    <n v="9.34"/>
    <n v="5"/>
    <n v="1"/>
    <s v="ATENDE"/>
    <s v="ATENDE"/>
    <s v="ATENDE"/>
    <s v="P5"/>
    <n v="2.5680000000000001"/>
    <n v="17.84"/>
    <n v="8.36"/>
    <n v="5"/>
    <n v="1"/>
    <s v="ATENDE"/>
    <s v="ATENDE"/>
    <s v="ATENDE"/>
    <x v="0"/>
    <s v=" SL VT 9.1 85W"/>
    <s v="LUM LED SL VT 9.1 85W"/>
    <m/>
    <e v="#N/A"/>
    <n v="1"/>
    <n v="85"/>
    <n v="0"/>
    <n v="14489"/>
    <n v="0"/>
    <n v="0"/>
    <m/>
    <s v="Curto II"/>
    <m/>
    <s v=""/>
    <s v=""/>
    <m/>
    <m/>
    <m/>
    <m/>
    <m/>
    <m/>
    <n v="85"/>
    <n v="150"/>
    <n v="235"/>
    <n v="0.43333333333333335"/>
    <m/>
    <m/>
    <s v="Sim"/>
    <m/>
  </r>
  <r>
    <n v="192"/>
    <s v="PVP"/>
    <s v="Avenida Beira-Mar, 1622"/>
    <n v="-30.035083929999999"/>
    <n v="-50.145924749999999"/>
    <s v="C1"/>
    <x v="0"/>
    <s v="P5"/>
    <s v="Vapor de sódio"/>
    <n v="150"/>
    <n v="22"/>
    <n v="0"/>
    <n v="300"/>
    <n v="2"/>
    <n v="2.5"/>
    <n v="11.06"/>
    <m/>
    <m/>
    <n v="0"/>
    <n v="2"/>
    <n v="0"/>
    <n v="0"/>
    <n v="0"/>
    <n v="0"/>
    <n v="0"/>
    <s v="Bilateral alternada"/>
    <s v="Braço"/>
    <n v="38.6"/>
    <n v="7"/>
    <n v="1"/>
    <n v="0.4"/>
    <n v="1.3"/>
    <n v="0.9"/>
    <s v="-"/>
    <s v="-"/>
    <s v="Não"/>
    <n v="3"/>
    <n v="0"/>
    <n v="0"/>
    <n v="0"/>
    <n v="0"/>
    <n v="0"/>
    <s v="-"/>
    <n v="0"/>
    <m/>
    <n v="30"/>
    <n v="0.38"/>
    <s v="-"/>
    <n v="0.38"/>
    <s v="-"/>
    <n v="14"/>
    <s v="ATENDE"/>
    <n v="1.7333333333333423E-2"/>
    <n v="0.39473684210526327"/>
    <s v="-"/>
    <n v="30.52"/>
    <n v="0.53"/>
    <m/>
    <m/>
    <m/>
    <m/>
    <s v="ATENDE"/>
    <s v="ATENDE"/>
    <s v="ATENDE"/>
    <s v="ATENDE"/>
    <s v="C1"/>
    <s v="P5"/>
    <n v="2.8119999999999998"/>
    <n v="19.059999999999999"/>
    <n v="7.73"/>
    <n v="5"/>
    <n v="1"/>
    <s v="ATENDE"/>
    <s v="ATENDE"/>
    <s v="ATENDE"/>
    <s v="P5"/>
    <n v="2.6100000000000003"/>
    <n v="18.05"/>
    <n v="6.94"/>
    <n v="5"/>
    <n v="1"/>
    <s v="ATENDE"/>
    <s v="ATENDE"/>
    <s v="ATENDE"/>
    <x v="1"/>
    <s v="SX-INLPP070HF"/>
    <s v="SXINLPP070K40L12CZF7PHF"/>
    <m/>
    <e v="#N/A"/>
    <n v="1"/>
    <n v="70"/>
    <n v="0"/>
    <n v="11970"/>
    <n v="0"/>
    <n v="0"/>
    <m/>
    <s v="Curto II"/>
    <m/>
    <s v=""/>
    <s v=""/>
    <m/>
    <m/>
    <m/>
    <m/>
    <m/>
    <m/>
    <n v="70"/>
    <n v="150"/>
    <n v="220"/>
    <n v="0.53333333333333333"/>
    <m/>
    <m/>
    <s v="Sim"/>
    <m/>
  </r>
  <r>
    <n v="192"/>
    <s v="PVP"/>
    <s v="Avenida Beira-Mar, 1622"/>
    <n v="-30.035083929999999"/>
    <n v="-50.145924749999999"/>
    <s v="C1"/>
    <x v="0"/>
    <s v="P5"/>
    <s v="Vapor de sódio"/>
    <n v="150"/>
    <n v="22"/>
    <n v="0"/>
    <n v="300"/>
    <n v="2"/>
    <n v="2.5"/>
    <n v="11.06"/>
    <m/>
    <m/>
    <n v="0"/>
    <n v="2"/>
    <n v="0"/>
    <n v="0"/>
    <n v="0"/>
    <n v="0"/>
    <n v="0"/>
    <s v="Bilateral alternada"/>
    <s v="Braço"/>
    <n v="38.6"/>
    <n v="7"/>
    <n v="1"/>
    <n v="0.4"/>
    <n v="1.3"/>
    <n v="0.9"/>
    <s v="-"/>
    <s v="-"/>
    <s v="Não"/>
    <n v="3"/>
    <n v="0"/>
    <n v="0"/>
    <n v="0"/>
    <n v="0"/>
    <n v="0"/>
    <s v="-"/>
    <n v="0"/>
    <m/>
    <n v="30"/>
    <n v="0.38"/>
    <s v="-"/>
    <n v="0.38"/>
    <s v="-"/>
    <n v="14"/>
    <s v="ATENDE"/>
    <n v="7.3333333333331918E-3"/>
    <n v="0.34210526315789469"/>
    <s v="-"/>
    <n v="30.22"/>
    <n v="0.51"/>
    <m/>
    <m/>
    <m/>
    <m/>
    <s v="ATENDE"/>
    <s v="ATENDE"/>
    <s v="ATENDE"/>
    <s v="ATENDE"/>
    <s v="C1"/>
    <s v="P5"/>
    <n v="2.6799999999999997"/>
    <n v="18.399999999999999"/>
    <n v="7.75"/>
    <n v="5"/>
    <n v="1"/>
    <s v="ATENDE"/>
    <s v="ATENDE"/>
    <s v="ATENDE"/>
    <s v="P5"/>
    <n v="2.4700000000000002"/>
    <n v="17.350000000000001"/>
    <n v="6.99"/>
    <n v="5"/>
    <n v="1"/>
    <s v="ATENDE"/>
    <s v="ATENDE"/>
    <s v="ATENDE"/>
    <x v="2"/>
    <s v="SIGMAGPTLRRSMNDL_80W_56IBBR_x000a_"/>
    <s v="SIGMAGPTLRRSMNDL_80W_56IBBR_x000a_S1-10C1MUN6.5"/>
    <m/>
    <n v="0"/>
    <n v="1"/>
    <n v="80"/>
    <n v="0"/>
    <n v="13209"/>
    <n v="0"/>
    <n v="0"/>
    <n v="10"/>
    <s v="Curto II"/>
    <m/>
    <s v=""/>
    <s v=""/>
    <m/>
    <m/>
    <m/>
    <m/>
    <m/>
    <m/>
    <n v="80"/>
    <n v="150"/>
    <n v="230"/>
    <n v="0.46666666666666667"/>
    <m/>
    <m/>
    <s v="Sim"/>
    <m/>
  </r>
  <r>
    <n v="193"/>
    <s v="PVP"/>
    <s v="Rua Amazonas, 1025"/>
    <n v="-30.03635126"/>
    <n v="-50.149149710000003"/>
    <s v="C4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5.6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999999999999996"/>
    <n v="2.1666666666666665"/>
    <s v="-"/>
    <n v="12.1"/>
    <n v="0.56999999999999995"/>
    <m/>
    <m/>
    <m/>
    <m/>
    <s v="ATENDE"/>
    <s v="ATENDE"/>
    <s v="ATENDE"/>
    <s v="ATENDE"/>
    <s v="C4"/>
    <s v="P6"/>
    <n v="2.58"/>
    <n v="10.74"/>
    <n v="6.09"/>
    <n v="3"/>
    <n v="0.6"/>
    <s v="ATENDE"/>
    <s v="ATENDE"/>
    <s v="ATENDE"/>
    <s v="P6"/>
    <n v="1.19"/>
    <n v="6.57"/>
    <n v="4.1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93"/>
    <s v="PVP"/>
    <s v="Rua Amazonas, 1025"/>
    <n v="-30.03635126"/>
    <n v="-50.149149710000003"/>
    <s v="C4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5.6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300000000000003"/>
    <n v="2.9444444444444442"/>
    <s v="-"/>
    <n v="11.63"/>
    <n v="0.71"/>
    <m/>
    <m/>
    <m/>
    <m/>
    <s v="ATENDE"/>
    <s v="ATENDE"/>
    <s v="ATENDE"/>
    <s v="ATENDE"/>
    <s v="C4"/>
    <s v="P6"/>
    <n v="2.3666666666666667"/>
    <n v="10.1"/>
    <n v="6.8"/>
    <n v="3"/>
    <n v="0.6"/>
    <s v="ATENDE"/>
    <s v="ATENDE"/>
    <s v="ATENDE"/>
    <s v="P6"/>
    <n v="0.7566666666666666"/>
    <n v="5.27"/>
    <n v="3.0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93"/>
    <s v="PVP"/>
    <s v="Rua Amazonas, 1025"/>
    <n v="-30.03635126"/>
    <n v="-50.149149710000003"/>
    <s v="C4"/>
    <x v="0"/>
    <s v="P6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5.6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500000000000002"/>
    <n v="2.6111111111111112"/>
    <s v="-"/>
    <n v="11.45"/>
    <n v="0.65"/>
    <m/>
    <m/>
    <m/>
    <m/>
    <s v="ATENDE"/>
    <s v="ATENDE"/>
    <s v="ATENDE"/>
    <s v="ATENDE"/>
    <s v="C4"/>
    <s v="P6"/>
    <n v="2.3533333333333335"/>
    <n v="10.06"/>
    <n v="6.77"/>
    <n v="3"/>
    <n v="0.6"/>
    <s v="ATENDE"/>
    <s v="ATENDE"/>
    <s v="ATENDE"/>
    <s v="P6"/>
    <n v="0.66000000000000014"/>
    <n v="4.9800000000000004"/>
    <n v="3.1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94"/>
    <s v="PVP"/>
    <s v="Rua Espirito Santo, 1129"/>
    <n v="-30.036361100000001"/>
    <n v="-50.15163917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6999999999999957E-2"/>
    <n v="1.166666666666667"/>
    <s v="-"/>
    <n v="10.77"/>
    <n v="0.39"/>
    <m/>
    <m/>
    <m/>
    <m/>
    <s v="ATENDE"/>
    <s v="ATENDE"/>
    <s v="ATENDE"/>
    <s v="ATENDE"/>
    <s v="C4"/>
    <s v="P6"/>
    <n v="2.0700000000000003"/>
    <n v="9.2100000000000009"/>
    <n v="3.24"/>
    <n v="3"/>
    <n v="0.6"/>
    <s v="ATENDE"/>
    <s v="ATENDE"/>
    <s v="ATENDE"/>
    <s v="P6"/>
    <n v="1.0833333333333335"/>
    <n v="6.25"/>
    <n v="3.0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94"/>
    <s v="PVP"/>
    <s v="Rua Espirito Santo, 1129"/>
    <n v="-30.036361100000001"/>
    <n v="-50.15163917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000000000000021E-2"/>
    <n v="1.7777777777777777"/>
    <s v="-"/>
    <n v="10.24"/>
    <n v="0.5"/>
    <m/>
    <m/>
    <m/>
    <m/>
    <s v="ATENDE"/>
    <s v="ATENDE"/>
    <s v="ATENDE"/>
    <s v="ATENDE"/>
    <s v="C4"/>
    <s v="P6"/>
    <n v="1.92"/>
    <n v="8.76"/>
    <n v="3.17"/>
    <n v="3"/>
    <n v="0.6"/>
    <s v="ATENDE"/>
    <s v="ATENDE"/>
    <s v="ATENDE"/>
    <s v="P6"/>
    <n v="0.72333333333333338"/>
    <n v="5.17"/>
    <n v="3.37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94"/>
    <s v="PVP"/>
    <s v="Rua Espirito Santo, 1129"/>
    <n v="-30.036361100000001"/>
    <n v="-50.15163917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99999999999991"/>
    <n v="1.1111111111111112"/>
    <s v="-"/>
    <n v="11.5"/>
    <n v="0.38"/>
    <m/>
    <m/>
    <m/>
    <m/>
    <s v="ATENDE"/>
    <s v="ATENDE"/>
    <s v="ATENDE"/>
    <s v="ATENDE"/>
    <s v="C4"/>
    <s v="P6"/>
    <n v="2.0933333333333333"/>
    <n v="9.2799999999999994"/>
    <n v="3.37"/>
    <n v="3"/>
    <n v="0.6"/>
    <s v="ATENDE"/>
    <s v="ATENDE"/>
    <s v="ATENDE"/>
    <s v="P6"/>
    <n v="0.44333333333333336"/>
    <n v="4.33"/>
    <n v="2.06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95"/>
    <s v="PVP"/>
    <s v="Rua Para, 1012"/>
    <n v="-30.03442089"/>
    <n v="-50.155108239999997"/>
    <s v="C3"/>
    <x v="0"/>
    <s v="P6"/>
    <s v="Vapor de sódio"/>
    <n v="100"/>
    <n v="17"/>
    <n v="0"/>
    <n v="0"/>
    <n v="2"/>
    <n v="2.5"/>
    <n v="7"/>
    <m/>
    <m/>
    <n v="0"/>
    <n v="2.5"/>
    <n v="0"/>
    <n v="0"/>
    <n v="0"/>
    <n v="0"/>
    <n v="0"/>
    <s v="Unilateral"/>
    <s v="Braço"/>
    <n v="28.6"/>
    <n v="0"/>
    <n v="0"/>
    <n v="0.5"/>
    <n v="0"/>
    <n v="-0.5"/>
    <s v="-"/>
    <s v="-"/>
    <s v="Não"/>
    <n v="0"/>
    <n v="0"/>
    <n v="0"/>
    <n v="0"/>
    <n v="0"/>
    <n v="0"/>
    <s v="-"/>
    <n v="0"/>
    <m/>
    <n v="15"/>
    <n v="0.18"/>
    <s v="-"/>
    <n v="0.18"/>
    <s v="-"/>
    <n v="15"/>
    <s v="ATENDE"/>
    <n v="0.28133333333333321"/>
    <n v="1.0555555555555558"/>
    <s v="-"/>
    <n v="19.22"/>
    <n v="0.37"/>
    <m/>
    <m/>
    <m/>
    <m/>
    <s v="ATENDE"/>
    <s v="ATENDE"/>
    <s v="ATENDE"/>
    <s v="ATENDE"/>
    <s v="C3"/>
    <s v="P6"/>
    <n v="5.05"/>
    <n v="18.149999999999999"/>
    <n v="10.32"/>
    <n v="3"/>
    <n v="0.6"/>
    <s v="ATENDE"/>
    <s v="ATENDE"/>
    <s v="ATENDE"/>
    <s v="P6"/>
    <n v="2.0099999999999998"/>
    <n v="9.0299999999999994"/>
    <n v="3.72"/>
    <n v="3"/>
    <n v="0.6"/>
    <s v="ATENDE"/>
    <s v="ATENDE"/>
    <s v="ATENDE"/>
    <x v="0"/>
    <s v=" SL VT 9.1 65W"/>
    <s v="LUM LED SL VT 9.1 65W"/>
    <m/>
    <e v="#N/A"/>
    <n v="0"/>
    <n v="65"/>
    <n v="0"/>
    <n v="10496"/>
    <n v="0"/>
    <n v="0"/>
    <m/>
    <s v="Curto I"/>
    <m/>
    <s v=""/>
    <s v=""/>
    <m/>
    <m/>
    <m/>
    <m/>
    <m/>
    <m/>
    <n v="65"/>
    <n v="100"/>
    <n v="0"/>
    <n v="0.35"/>
    <m/>
    <m/>
    <s v="Sim"/>
    <m/>
  </r>
  <r>
    <n v="195"/>
    <s v="PVP"/>
    <s v="Rua Para, 1012"/>
    <n v="-30.03442089"/>
    <n v="-50.155108239999997"/>
    <s v="C3"/>
    <x v="0"/>
    <s v="P6"/>
    <s v="Vapor de sódio"/>
    <n v="100"/>
    <n v="17"/>
    <n v="0"/>
    <n v="0"/>
    <n v="2"/>
    <n v="2.5"/>
    <n v="7"/>
    <m/>
    <m/>
    <n v="0"/>
    <n v="2.5"/>
    <n v="0"/>
    <n v="0"/>
    <n v="0"/>
    <n v="0"/>
    <n v="0"/>
    <s v="Unilateral"/>
    <s v="Braço"/>
    <n v="28.6"/>
    <n v="0"/>
    <n v="0"/>
    <n v="0.5"/>
    <n v="0"/>
    <n v="-0.5"/>
    <s v="-"/>
    <s v="-"/>
    <s v="Não"/>
    <n v="0"/>
    <n v="0"/>
    <n v="0"/>
    <n v="0"/>
    <n v="0"/>
    <n v="0"/>
    <s v="-"/>
    <n v="0"/>
    <m/>
    <n v="15"/>
    <n v="0.18"/>
    <s v="-"/>
    <n v="0.18"/>
    <s v="-"/>
    <n v="15"/>
    <s v="ATENDE"/>
    <n v="0.14733333333333332"/>
    <n v="2.5555555555555558"/>
    <s v="-"/>
    <n v="17.21"/>
    <n v="0.64"/>
    <m/>
    <m/>
    <m/>
    <m/>
    <s v="ATENDE"/>
    <s v="ATENDE"/>
    <s v="ATENDE"/>
    <s v="ATENDE"/>
    <s v="C3"/>
    <s v="P6"/>
    <n v="4.6533333333333333"/>
    <n v="16.96"/>
    <n v="9.23"/>
    <n v="3"/>
    <n v="0.6"/>
    <s v="ATENDE"/>
    <s v="ATENDE"/>
    <s v="ATENDE"/>
    <s v="P6"/>
    <n v="1.6266666666666665"/>
    <n v="7.88"/>
    <n v="4.57"/>
    <n v="3"/>
    <n v="0.6"/>
    <s v="ATENDE"/>
    <s v="ATENDE"/>
    <s v="ATENDE"/>
    <x v="1"/>
    <s v="SX-INEVO050HF"/>
    <s v="SXINEVO050K40L12CZF7PHF"/>
    <m/>
    <e v="#N/A"/>
    <n v="0"/>
    <n v="50"/>
    <e v="#N/A"/>
    <n v="8650"/>
    <e v="#N/A"/>
    <n v="0"/>
    <m/>
    <s v="Curto I"/>
    <m/>
    <s v=""/>
    <s v=""/>
    <m/>
    <m/>
    <m/>
    <m/>
    <m/>
    <m/>
    <n v="50"/>
    <n v="100"/>
    <n v="0"/>
    <n v="0.5"/>
    <m/>
    <m/>
    <s v="Sim"/>
    <m/>
  </r>
  <r>
    <n v="195"/>
    <s v="PVP"/>
    <s v="Rua Para, 1012"/>
    <n v="-30.03442089"/>
    <n v="-50.155108239999997"/>
    <s v="C3"/>
    <x v="0"/>
    <s v="P6"/>
    <s v="Vapor de sódio"/>
    <n v="100"/>
    <n v="17"/>
    <n v="0"/>
    <n v="0"/>
    <n v="2"/>
    <n v="2.5"/>
    <n v="7"/>
    <m/>
    <m/>
    <n v="0"/>
    <n v="2.5"/>
    <n v="0"/>
    <n v="0"/>
    <n v="0"/>
    <n v="0"/>
    <n v="0"/>
    <s v="Unilateral"/>
    <s v="Braço"/>
    <n v="28.6"/>
    <n v="0"/>
    <n v="0"/>
    <n v="0.5"/>
    <n v="0"/>
    <n v="-0.5"/>
    <s v="-"/>
    <s v="-"/>
    <s v="Não"/>
    <n v="0"/>
    <n v="0"/>
    <n v="0"/>
    <n v="0"/>
    <n v="0"/>
    <n v="0"/>
    <s v="-"/>
    <n v="0"/>
    <m/>
    <n v="15"/>
    <n v="0.18"/>
    <s v="-"/>
    <n v="0.18"/>
    <s v="-"/>
    <n v="15"/>
    <s v="ATENDE"/>
    <n v="5.3333333333334121E-3"/>
    <n v="1.5"/>
    <s v="-"/>
    <n v="15.08"/>
    <n v="0.45"/>
    <m/>
    <m/>
    <m/>
    <m/>
    <s v="ATENDE"/>
    <s v="ATENDE"/>
    <s v="ATENDE"/>
    <s v="ATENDE"/>
    <s v="C3"/>
    <s v="P6"/>
    <n v="4.3566666666666665"/>
    <n v="16.07"/>
    <n v="9.4600000000000009"/>
    <n v="3"/>
    <n v="0.6"/>
    <s v="ATENDE"/>
    <s v="ATENDE"/>
    <s v="ATENDE"/>
    <s v="P6"/>
    <n v="0.39333333333333331"/>
    <n v="4.18"/>
    <n v="2.09"/>
    <n v="3"/>
    <n v="0.6"/>
    <s v="ATENDE"/>
    <s v="ATENDE"/>
    <s v="ATENDE"/>
    <x v="2"/>
    <s v="SIGSAGPTLRRSSNDL_50W_61IBBRS_x000a_"/>
    <s v="SIGSAGPTLRRSSNDL_50W_61IBBRS_x000a_1-10C1MUN6.5"/>
    <m/>
    <e v="#N/A"/>
    <n v="0"/>
    <n v="50"/>
    <e v="#N/A"/>
    <n v="8163"/>
    <e v="#N/A"/>
    <n v="0"/>
    <m/>
    <s v="Curto I"/>
    <m/>
    <s v=""/>
    <s v=""/>
    <m/>
    <m/>
    <m/>
    <m/>
    <m/>
    <m/>
    <n v="50"/>
    <n v="100"/>
    <n v="0"/>
    <n v="0.5"/>
    <m/>
    <m/>
    <s v="Sim"/>
    <m/>
  </r>
  <r>
    <n v="196"/>
    <s v="VP"/>
    <s v="Rua Belo Horizonte, 1150"/>
    <n v="-30.034109430000001"/>
    <n v="-50.15760264"/>
    <s v="C5"/>
    <x v="0"/>
    <s v="P6"/>
    <s v="Vapor de sódio"/>
    <n v="100"/>
    <n v="17"/>
    <n v="0"/>
    <n v="400"/>
    <n v="2"/>
    <n v="0"/>
    <n v="7"/>
    <m/>
    <m/>
    <n v="0"/>
    <n v="3"/>
    <n v="1.5"/>
    <n v="0"/>
    <n v="0"/>
    <n v="0"/>
    <n v="0"/>
    <s v="Canteiro central"/>
    <s v="Braço"/>
    <n v="34.299999999999997"/>
    <n v="7"/>
    <n v="2"/>
    <n v="0.4"/>
    <n v="1.3"/>
    <n v="0.9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4.6666666666666634E-2"/>
    <n v="0.5555555555555558"/>
    <s v="-"/>
    <n v="7.85"/>
    <n v="0.2800000000000000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2.9166666666666665"/>
    <n v="11.75"/>
    <n v="4.5199999999999996"/>
    <n v="3"/>
    <n v="0.6"/>
    <s v="ATENDE"/>
    <s v="ATENDE"/>
    <s v="ATENDE"/>
    <x v="0"/>
    <s v=" SL VT 9.1 28W"/>
    <s v="LUM LED SL VT 9.1 28W"/>
    <m/>
    <n v="0"/>
    <n v="2"/>
    <n v="28"/>
    <n v="0"/>
    <n v="4927.3500000000004"/>
    <n v="0"/>
    <n v="0"/>
    <m/>
    <s v="Curto II"/>
    <m/>
    <s v=""/>
    <s v=""/>
    <m/>
    <m/>
    <m/>
    <m/>
    <m/>
    <m/>
    <n v="28"/>
    <n v="100"/>
    <n v="256"/>
    <n v="0.72"/>
    <m/>
    <m/>
    <s v="Sim"/>
    <m/>
  </r>
  <r>
    <n v="196"/>
    <s v="VP"/>
    <s v="Rua Belo Horizonte, 1150"/>
    <n v="-30.034109430000001"/>
    <n v="-50.15760264"/>
    <s v="C5"/>
    <x v="0"/>
    <s v="P6"/>
    <s v="Vapor de sódio"/>
    <n v="100"/>
    <n v="17"/>
    <n v="0"/>
    <n v="400"/>
    <n v="2"/>
    <n v="0"/>
    <n v="7"/>
    <m/>
    <m/>
    <n v="0"/>
    <n v="3"/>
    <n v="1.5"/>
    <n v="0"/>
    <n v="0"/>
    <n v="0"/>
    <n v="0"/>
    <s v="Canteiro central"/>
    <s v="Braço"/>
    <n v="34.299999999999997"/>
    <n v="7"/>
    <n v="2"/>
    <n v="0.4"/>
    <n v="1.3"/>
    <n v="0.9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3733333333333326"/>
    <n v="0.61111111111111116"/>
    <s v="-"/>
    <n v="10.029999999999999"/>
    <n v="0.2899999999999999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2.1266666666666669"/>
    <n v="9.3800000000000008"/>
    <n v="4.05"/>
    <n v="3"/>
    <n v="0.6"/>
    <s v="ATENDE"/>
    <s v="ATENDE"/>
    <s v="ATENDE"/>
    <x v="1"/>
    <s v="SX-INEVO020HF"/>
    <s v="SXINEVO020K40L12CZF7PHF"/>
    <m/>
    <n v="0"/>
    <n v="2"/>
    <n v="22.5"/>
    <n v="0"/>
    <n v="3825"/>
    <n v="0"/>
    <n v="0"/>
    <m/>
    <s v="Curto II"/>
    <m/>
    <s v=""/>
    <s v=""/>
    <m/>
    <m/>
    <m/>
    <m/>
    <m/>
    <m/>
    <n v="22.5"/>
    <n v="100"/>
    <n v="245"/>
    <n v="0.77500000000000002"/>
    <m/>
    <m/>
    <s v="Sim"/>
    <m/>
  </r>
  <r>
    <n v="196"/>
    <s v="VP"/>
    <s v="Rua Belo Horizonte, 1150"/>
    <n v="-30.034109430000001"/>
    <n v="-50.15760264"/>
    <s v="C5"/>
    <x v="0"/>
    <s v="P6"/>
    <s v="Vapor de sódio"/>
    <n v="100"/>
    <n v="17"/>
    <n v="0"/>
    <n v="400"/>
    <n v="2"/>
    <n v="0"/>
    <n v="7"/>
    <m/>
    <m/>
    <n v="0"/>
    <n v="3"/>
    <n v="1.5"/>
    <n v="0"/>
    <n v="0"/>
    <n v="0"/>
    <n v="0"/>
    <s v="Canteiro central"/>
    <s v="Braço"/>
    <n v="34.299999999999997"/>
    <n v="7"/>
    <n v="2"/>
    <n v="0.4"/>
    <n v="1.3"/>
    <n v="0.9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1.008"/>
    <n v="1.1111111111111112"/>
    <s v="-"/>
    <n v="15.06"/>
    <n v="0.3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3.7866666666666662"/>
    <n v="14.36"/>
    <n v="6.7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m/>
    <s v="Curto II"/>
    <m/>
    <s v=""/>
    <s v=""/>
    <m/>
    <m/>
    <m/>
    <m/>
    <m/>
    <m/>
    <n v="30"/>
    <n v="100"/>
    <n v="260"/>
    <n v="0.7"/>
    <m/>
    <m/>
    <s v="Sim"/>
    <m/>
  </r>
  <r>
    <n v="197"/>
    <s v="PVP"/>
    <s v="Rua Rio Grande do Norte, 1277"/>
    <n v="-30.035471300000001"/>
    <n v="-50.15941104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2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7000000000000153E-2"/>
    <n v="2.2777777777777777"/>
    <s v="-"/>
    <n v="10.47"/>
    <n v="0.59"/>
    <m/>
    <m/>
    <m/>
    <m/>
    <s v="ATENDE"/>
    <s v="ATENDE"/>
    <s v="ATENDE"/>
    <s v="ATENDE"/>
    <s v="C4"/>
    <s v="P6"/>
    <n v="1.8766666666666669"/>
    <n v="8.6300000000000008"/>
    <n v="4.7"/>
    <n v="3"/>
    <n v="0.6"/>
    <s v="ATENDE"/>
    <s v="ATENDE"/>
    <s v="ATENDE"/>
    <s v="P6"/>
    <n v="1.1800000000000002"/>
    <n v="6.54"/>
    <n v="4.0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97"/>
    <s v="PVP"/>
    <s v="Rua Rio Grande do Norte, 1277"/>
    <n v="-30.035471300000001"/>
    <n v="-50.15941104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2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000000000000009E-2"/>
    <n v="3.1111111111111116"/>
    <s v="-"/>
    <n v="10.1"/>
    <n v="0.74"/>
    <m/>
    <m/>
    <m/>
    <m/>
    <s v="ATENDE"/>
    <s v="ATENDE"/>
    <s v="ATENDE"/>
    <s v="ATENDE"/>
    <s v="C4"/>
    <s v="P6"/>
    <n v="1.6633333333333336"/>
    <n v="7.99"/>
    <n v="4.87"/>
    <n v="3"/>
    <n v="0.6"/>
    <s v="ATENDE"/>
    <s v="ATENDE"/>
    <s v="ATENDE"/>
    <s v="P6"/>
    <n v="0.86333333333333329"/>
    <n v="5.59"/>
    <n v="3.7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97"/>
    <s v="PVP"/>
    <s v="Rua Rio Grande do Norte, 1277"/>
    <n v="-30.035471300000001"/>
    <n v="-50.15941104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2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2.7777777777777781"/>
    <s v="-"/>
    <n v="10.01"/>
    <n v="0.68"/>
    <m/>
    <m/>
    <m/>
    <m/>
    <s v="ATENDE"/>
    <s v="ATENDE"/>
    <s v="ATENDE"/>
    <s v="ATENDE"/>
    <s v="C4"/>
    <s v="P6"/>
    <n v="1.6666666666666665"/>
    <n v="8"/>
    <n v="5.21"/>
    <n v="3"/>
    <n v="0.6"/>
    <s v="ATENDE"/>
    <s v="ATENDE"/>
    <s v="ATENDE"/>
    <s v="P6"/>
    <n v="0.70666666666666678"/>
    <n v="5.12"/>
    <n v="3.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98"/>
    <s v="VP"/>
    <s v="Rua Belo Horizonte, 1580"/>
    <n v="-30.03305903"/>
    <n v="-50.16132614"/>
    <s v="C5"/>
    <x v="0"/>
    <s v="P6"/>
    <s v="Vapor de sódio"/>
    <n v="150"/>
    <n v="22"/>
    <n v="0"/>
    <n v="600"/>
    <n v="2"/>
    <n v="0"/>
    <n v="7"/>
    <m/>
    <m/>
    <n v="0"/>
    <n v="3"/>
    <n v="2"/>
    <n v="0"/>
    <n v="0"/>
    <n v="0"/>
    <n v="0"/>
    <s v="Canteiro central"/>
    <s v="Braço"/>
    <n v="27.9"/>
    <n v="5.3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56800000000000006"/>
    <n v="0.66666666666666674"/>
    <s v="-"/>
    <n v="11.76"/>
    <n v="0.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40333333333333332"/>
    <n v="4.21"/>
    <n v="2.21"/>
    <n v="3"/>
    <n v="0.6"/>
    <s v="ATENDE"/>
    <s v="ATENDE"/>
    <s v="ATENDE"/>
    <x v="0"/>
    <s v=" SL VT 9.1 28W"/>
    <s v="LUM LED SL VT 9.1 28W"/>
    <m/>
    <n v="0"/>
    <n v="2"/>
    <n v="28"/>
    <n v="0"/>
    <n v="4927.3500000000004"/>
    <n v="0"/>
    <n v="0"/>
    <n v="10"/>
    <s v="Curto II"/>
    <m/>
    <s v=""/>
    <s v=""/>
    <m/>
    <m/>
    <m/>
    <m/>
    <m/>
    <m/>
    <n v="28"/>
    <n v="150"/>
    <n v="356"/>
    <n v="0.81333333333333335"/>
    <m/>
    <m/>
    <s v="Sim"/>
    <m/>
  </r>
  <r>
    <n v="198"/>
    <s v="VP"/>
    <s v="Rua Belo Horizonte, 1580"/>
    <n v="-30.03305903"/>
    <n v="-50.16132614"/>
    <s v="C5"/>
    <x v="0"/>
    <s v="P6"/>
    <s v="Vapor de sódio"/>
    <n v="150"/>
    <n v="22"/>
    <n v="0"/>
    <n v="600"/>
    <n v="2"/>
    <n v="0"/>
    <n v="7"/>
    <m/>
    <m/>
    <n v="0"/>
    <n v="3"/>
    <n v="2"/>
    <n v="0"/>
    <n v="0"/>
    <n v="0"/>
    <n v="0"/>
    <s v="Canteiro central"/>
    <s v="Braço"/>
    <n v="27.9"/>
    <n v="5.3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2933333333333339"/>
    <n v="1.166666666666667"/>
    <s v="-"/>
    <n v="9.2200000000000006"/>
    <n v="0.39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6.6666666666665986E-3"/>
    <n v="3.02"/>
    <n v="1.66"/>
    <n v="3"/>
    <n v="0.6"/>
    <s v="ATENDE"/>
    <s v="ATENDE"/>
    <s v="ATENDE"/>
    <x v="1"/>
    <s v="SX-INEVO020HF"/>
    <s v="SXINEVO020K40L12CZF7PHF"/>
    <m/>
    <n v="0"/>
    <n v="2"/>
    <n v="22.5"/>
    <e v="#N/A"/>
    <n v="3825"/>
    <n v="0"/>
    <n v="0"/>
    <n v="10"/>
    <s v="Curto II"/>
    <m/>
    <s v=""/>
    <s v=""/>
    <m/>
    <m/>
    <m/>
    <m/>
    <m/>
    <m/>
    <n v="22.5"/>
    <n v="150"/>
    <n v="345"/>
    <n v="0.85"/>
    <m/>
    <m/>
    <s v="Sim"/>
    <m/>
  </r>
  <r>
    <n v="198"/>
    <s v="VP"/>
    <s v="Rua Belo Horizonte, 1580"/>
    <n v="-30.03305903"/>
    <n v="-50.16132614"/>
    <s v="C5"/>
    <x v="0"/>
    <s v="P6"/>
    <s v="Vapor de sódio"/>
    <n v="150"/>
    <n v="22"/>
    <n v="0"/>
    <n v="600"/>
    <n v="2"/>
    <n v="0"/>
    <n v="7"/>
    <m/>
    <m/>
    <n v="0"/>
    <n v="3"/>
    <n v="2"/>
    <n v="0"/>
    <n v="0"/>
    <n v="0"/>
    <n v="0"/>
    <s v="Canteiro central"/>
    <s v="Braço"/>
    <n v="27.9"/>
    <n v="5.3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8919999999999999"/>
    <n v="1.3333333333333335"/>
    <s v="-"/>
    <n v="14.19"/>
    <n v="0.42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32333333333333347"/>
    <n v="3.97"/>
    <n v="2.58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n v="10"/>
    <s v="Curto II"/>
    <m/>
    <s v=""/>
    <s v=""/>
    <m/>
    <m/>
    <m/>
    <m/>
    <m/>
    <m/>
    <n v="30"/>
    <n v="150"/>
    <n v="360"/>
    <n v="0.8"/>
    <m/>
    <m/>
    <s v="Sim"/>
    <m/>
  </r>
  <r>
    <n v="199"/>
    <s v="VP"/>
    <s v="Rua Roraima, 476"/>
    <n v="-30.028559229999999"/>
    <n v="-50.158590259999997"/>
    <s v="C5"/>
    <x v="0"/>
    <s v="P6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36.1"/>
    <n v="6.3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466666666666667"/>
    <n v="0.2777777777777779"/>
    <s v="-"/>
    <n v="10.01"/>
    <n v="0.2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38333333333333353"/>
    <n v="4.1500000000000004"/>
    <n v="1.4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99"/>
    <s v="VP"/>
    <s v="Rua Roraima, 476"/>
    <n v="-30.028559229999999"/>
    <n v="-50.158590259999997"/>
    <s v="C5"/>
    <x v="0"/>
    <s v="P6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36.1"/>
    <n v="6.3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4121E-3"/>
    <n v="0.22222222222222232"/>
    <s v="-"/>
    <n v="7.54"/>
    <n v="0.22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3.0000000000000027E-2"/>
    <n v="3.09"/>
    <n v="1.58"/>
    <n v="3"/>
    <n v="0.6"/>
    <s v="ATENDE"/>
    <s v="ATENDE"/>
    <s v="ATENDE"/>
    <x v="1"/>
    <s v="SX-INEVO020HF"/>
    <s v="SXINEVO020K40L12CZF7PHF"/>
    <m/>
    <e v="#N/A"/>
    <n v="1"/>
    <n v="22.5"/>
    <e v="#N/A"/>
    <n v="3825"/>
    <e v="#N/A"/>
    <n v="0"/>
    <n v="5"/>
    <s v="Curto II"/>
    <m/>
    <s v=""/>
    <s v=""/>
    <m/>
    <m/>
    <m/>
    <m/>
    <m/>
    <m/>
    <n v="22.5"/>
    <n v="100"/>
    <n v="122.5"/>
    <n v="0.77500000000000002"/>
    <m/>
    <m/>
    <s v="Sim"/>
    <m/>
  </r>
  <r>
    <n v="199"/>
    <s v="VP"/>
    <s v="Rua Roraima, 476"/>
    <n v="-30.028559229999999"/>
    <n v="-50.158590259999997"/>
    <s v="C5"/>
    <x v="0"/>
    <s v="P6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36.1"/>
    <n v="6.3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9466666666666668"/>
    <n v="0.33333333333333326"/>
    <s v="-"/>
    <n v="11.96"/>
    <n v="0.24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29333333333333322"/>
    <n v="3.88"/>
    <n v="1.5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00"/>
    <s v="PVP"/>
    <s v="Rua Paraiba, 33"/>
    <n v="-30.02591413"/>
    <n v="-50.152264359999997"/>
    <s v="C4"/>
    <x v="0"/>
    <s v="P6"/>
    <s v="Vapor de sódio"/>
    <n v="100"/>
    <n v="17"/>
    <n v="0"/>
    <n v="200"/>
    <n v="2"/>
    <n v="3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99999999999999"/>
    <n v="1"/>
    <s v="-"/>
    <n v="11.17"/>
    <n v="0.36"/>
    <m/>
    <m/>
    <m/>
    <m/>
    <s v="ATENDE"/>
    <s v="ATENDE"/>
    <s v="ATENDE"/>
    <s v="ATENDE"/>
    <s v="C4"/>
    <s v="P6"/>
    <n v="1.9499999999999997"/>
    <n v="8.85"/>
    <n v="3.02"/>
    <n v="3"/>
    <n v="0.6"/>
    <s v="ATENDE"/>
    <s v="ATENDE"/>
    <s v="ATENDE"/>
    <s v="P6"/>
    <n v="1.4066666666666667"/>
    <n v="7.22"/>
    <n v="3.25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0"/>
    <s v="PVP"/>
    <s v="Rua Paraiba, 33"/>
    <n v="-30.02591413"/>
    <n v="-50.152264359999997"/>
    <s v="C4"/>
    <x v="0"/>
    <s v="P6"/>
    <s v="Vapor de sódio"/>
    <n v="100"/>
    <n v="17"/>
    <n v="0"/>
    <n v="200"/>
    <n v="2"/>
    <n v="3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99999999999995"/>
    <n v="1.3333333333333335"/>
    <s v="-"/>
    <n v="13.23"/>
    <n v="0.42"/>
    <m/>
    <m/>
    <m/>
    <m/>
    <s v="ATENDE"/>
    <s v="ATENDE"/>
    <s v="ATENDE"/>
    <s v="ATENDE"/>
    <s v="C4"/>
    <s v="P6"/>
    <n v="2.2866666666666666"/>
    <n v="9.86"/>
    <n v="2.61"/>
    <n v="3"/>
    <n v="0.6"/>
    <s v="ATENDE"/>
    <s v="ATENDE"/>
    <s v="ATENDE"/>
    <s v="P6"/>
    <n v="1.8033333333333332"/>
    <n v="8.41"/>
    <n v="5.7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0"/>
    <s v="PVP"/>
    <s v="Rua Paraiba, 33"/>
    <n v="-30.02591413"/>
    <n v="-50.152264359999997"/>
    <s v="C4"/>
    <x v="0"/>
    <s v="P6"/>
    <s v="Vapor de sódio"/>
    <n v="100"/>
    <n v="17"/>
    <n v="0"/>
    <n v="200"/>
    <n v="2"/>
    <n v="3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0000000000000027E-2"/>
    <n v="1.1111111111111112"/>
    <s v="-"/>
    <n v="10.3"/>
    <n v="0.38"/>
    <m/>
    <m/>
    <m/>
    <m/>
    <s v="ATENDE"/>
    <s v="ATENDE"/>
    <s v="ATENDE"/>
    <s v="ATENDE"/>
    <s v="C4"/>
    <s v="P6"/>
    <n v="1.5066666666666664"/>
    <n v="7.52"/>
    <n v="2.52"/>
    <n v="3"/>
    <n v="0.6"/>
    <s v="ATENDE"/>
    <s v="ATENDE"/>
    <s v="ATENDE"/>
    <s v="P6"/>
    <n v="0.57333333333333325"/>
    <n v="4.72"/>
    <n v="2.25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1"/>
    <s v="PVP"/>
    <s v="Travessa Tres, 258"/>
    <n v="-30.025410180000002"/>
    <n v="-50.153057490000002"/>
    <s v="C4"/>
    <x v="0"/>
    <s v="P6"/>
    <s v="Vapor de sódio"/>
    <n v="100"/>
    <n v="17"/>
    <n v="0"/>
    <n v="200"/>
    <n v="2"/>
    <n v="6"/>
    <n v="7"/>
    <m/>
    <m/>
    <n v="0"/>
    <n v="4"/>
    <n v="0"/>
    <n v="0"/>
    <n v="0"/>
    <n v="0"/>
    <n v="0"/>
    <s v="Unilateral"/>
    <s v="Braço"/>
    <n v="26.7"/>
    <n v="8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000000000000016"/>
    <n v="2.5"/>
    <s v="-"/>
    <n v="11.8"/>
    <n v="0.63"/>
    <m/>
    <m/>
    <m/>
    <m/>
    <s v="ATENDE"/>
    <s v="ATENDE"/>
    <s v="ATENDE"/>
    <s v="ATENDE"/>
    <s v="C4"/>
    <s v="P6"/>
    <n v="1.65"/>
    <n v="7.95"/>
    <n v="4.0999999999999996"/>
    <n v="3"/>
    <n v="0.6"/>
    <s v="ATENDE"/>
    <s v="ATENDE"/>
    <s v="ATENDE"/>
    <s v="P6"/>
    <n v="1.48"/>
    <n v="7.44"/>
    <n v="4.9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01"/>
    <s v="PVP"/>
    <s v="Travessa Tres, 258"/>
    <n v="-30.025410180000002"/>
    <n v="-50.153057490000002"/>
    <s v="C4"/>
    <x v="0"/>
    <s v="P6"/>
    <s v="Vapor de sódio"/>
    <n v="100"/>
    <n v="17"/>
    <n v="0"/>
    <n v="200"/>
    <n v="2"/>
    <n v="6"/>
    <n v="7"/>
    <m/>
    <m/>
    <n v="0"/>
    <n v="4"/>
    <n v="0"/>
    <n v="0"/>
    <n v="0"/>
    <n v="0"/>
    <n v="0"/>
    <s v="Unilateral"/>
    <s v="Braço"/>
    <n v="26.7"/>
    <n v="8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3"/>
    <n v="3.3333333333333339"/>
    <s v="-"/>
    <n v="11.23"/>
    <n v="0.78"/>
    <m/>
    <m/>
    <m/>
    <m/>
    <s v="ATENDE"/>
    <s v="ATENDE"/>
    <s v="ATENDE"/>
    <s v="ATENDE"/>
    <s v="C4"/>
    <s v="P6"/>
    <n v="1.46"/>
    <n v="7.38"/>
    <n v="3.48"/>
    <n v="3"/>
    <n v="0.6"/>
    <s v="ATENDE"/>
    <s v="ATENDE"/>
    <s v="ATENDE"/>
    <s v="P6"/>
    <n v="1.1733333333333333"/>
    <n v="6.52"/>
    <n v="3.72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01"/>
    <s v="PVP"/>
    <s v="Travessa Tres, 258"/>
    <n v="-30.025410180000002"/>
    <n v="-50.153057490000002"/>
    <s v="C4"/>
    <x v="0"/>
    <s v="P6"/>
    <s v="Vapor de sódio"/>
    <n v="100"/>
    <n v="17"/>
    <n v="0"/>
    <n v="200"/>
    <n v="2"/>
    <n v="6"/>
    <n v="7"/>
    <m/>
    <m/>
    <n v="0"/>
    <n v="4"/>
    <n v="0"/>
    <n v="0"/>
    <n v="0"/>
    <n v="0"/>
    <n v="0"/>
    <s v="Unilateral"/>
    <s v="Braço"/>
    <n v="26.7"/>
    <n v="8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000000000000004"/>
    <n v="3"/>
    <s v="-"/>
    <n v="12.9"/>
    <n v="0.72"/>
    <m/>
    <m/>
    <m/>
    <m/>
    <s v="ATENDE"/>
    <s v="ATENDE"/>
    <s v="ATENDE"/>
    <s v="ATENDE"/>
    <s v="C4"/>
    <s v="P6"/>
    <n v="1.6266666666666665"/>
    <n v="7.88"/>
    <n v="4.09"/>
    <n v="3"/>
    <n v="0.6"/>
    <s v="ATENDE"/>
    <s v="ATENDE"/>
    <s v="ATENDE"/>
    <s v="P6"/>
    <n v="0.90666666666666651"/>
    <n v="5.72"/>
    <n v="3.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2"/>
    <s v="PVP"/>
    <s v="Rua Paraiba, 466"/>
    <n v="-30.029913359999998"/>
    <n v="-50.15388706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s v="7 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600000000000009"/>
    <n v="0.7777777777777779"/>
    <s v="-"/>
    <n v="11.06"/>
    <n v="0.32"/>
    <m/>
    <m/>
    <m/>
    <m/>
    <s v="ATENDE"/>
    <s v="ATENDE"/>
    <s v="ATENDE"/>
    <s v="ATENDE"/>
    <s v="C4"/>
    <s v="P6"/>
    <n v="2.09"/>
    <n v="9.27"/>
    <n v="2.67"/>
    <n v="3"/>
    <n v="0.6"/>
    <s v="ATENDE"/>
    <s v="ATENDE"/>
    <s v="ATENDE"/>
    <s v="P6"/>
    <n v="1.2433333333333336"/>
    <n v="6.73"/>
    <n v="2.71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2"/>
    <s v="PVP"/>
    <s v="Rua Paraiba, 466"/>
    <n v="-30.029913359999998"/>
    <n v="-50.15388706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s v="7 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099999999999994"/>
    <n v="0.83333333333333348"/>
    <s v="-"/>
    <n v="13.11"/>
    <n v="0.33"/>
    <m/>
    <m/>
    <m/>
    <m/>
    <s v="ATENDE"/>
    <s v="ATENDE"/>
    <s v="ATENDE"/>
    <s v="ATENDE"/>
    <s v="C4"/>
    <s v="P6"/>
    <n v="2.4866666666666668"/>
    <n v="10.46"/>
    <n v="2.04"/>
    <n v="3"/>
    <n v="0.6"/>
    <s v="ATENDE"/>
    <s v="ATENDE"/>
    <s v="ATENDE"/>
    <s v="P6"/>
    <n v="1.5733333333333333"/>
    <n v="7.72"/>
    <n v="4.51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2"/>
    <s v="PVP"/>
    <s v="Rua Paraiba, 466"/>
    <n v="-30.029913359999998"/>
    <n v="-50.15388706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s v="7 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3000000000000123E-2"/>
    <n v="0.38888888888888884"/>
    <s v="-"/>
    <n v="10.130000000000001"/>
    <n v="0.25"/>
    <m/>
    <m/>
    <m/>
    <m/>
    <s v="ATENDE"/>
    <s v="ATENDE"/>
    <s v="ATENDE"/>
    <s v="ATENDE"/>
    <s v="C4"/>
    <s v="P6"/>
    <n v="1.6566666666666667"/>
    <n v="7.97"/>
    <n v="1.87"/>
    <n v="3"/>
    <n v="0.6"/>
    <s v="ATENDE"/>
    <s v="ATENDE"/>
    <s v="ATENDE"/>
    <s v="P6"/>
    <n v="0.3899999999999999"/>
    <n v="4.17"/>
    <n v="1.4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3"/>
    <s v="PVP"/>
    <s v="Rua Fernando de Noronha, 302"/>
    <n v="-30.029722809999999"/>
    <n v="-50.14961138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2000000000000011E-2"/>
    <n v="2.1666666666666665"/>
    <s v="-"/>
    <n v="10.119999999999999"/>
    <n v="0.56999999999999995"/>
    <m/>
    <m/>
    <m/>
    <m/>
    <s v="ATENDE"/>
    <s v="ATENDE"/>
    <s v="ATENDE"/>
    <s v="ATENDE"/>
    <s v="C4"/>
    <s v="P6"/>
    <n v="1.83"/>
    <n v="8.49"/>
    <n v="4.42"/>
    <n v="3"/>
    <n v="0.6"/>
    <s v="ATENDE"/>
    <s v="ATENDE"/>
    <s v="ATENDE"/>
    <s v="P6"/>
    <n v="1.0699999999999998"/>
    <n v="6.21"/>
    <n v="3.78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03"/>
    <s v="PVP"/>
    <s v="Rua Fernando de Noronha, 302"/>
    <n v="-30.029722809999999"/>
    <n v="-50.14961138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99999999999991"/>
    <n v="2.7222222222222228"/>
    <s v="-"/>
    <n v="11.44"/>
    <n v="0.67"/>
    <m/>
    <m/>
    <m/>
    <m/>
    <s v="ATENDE"/>
    <s v="ATENDE"/>
    <s v="ATENDE"/>
    <s v="ATENDE"/>
    <s v="C4"/>
    <s v="P6"/>
    <n v="2.3000000000000003"/>
    <n v="9.9"/>
    <n v="5.69"/>
    <n v="3"/>
    <n v="0.6"/>
    <s v="ATENDE"/>
    <s v="ATENDE"/>
    <s v="ATENDE"/>
    <s v="P6"/>
    <n v="1.1933333333333334"/>
    <n v="6.58"/>
    <n v="4.37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203"/>
    <s v="PVP"/>
    <s v="Rua Fernando de Noronha, 302"/>
    <n v="-30.029722809999999"/>
    <n v="-50.14961138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600000000000004"/>
    <n v="2.3333333333333335"/>
    <s v="-"/>
    <n v="12.96"/>
    <n v="0.6"/>
    <m/>
    <m/>
    <m/>
    <m/>
    <s v="ATENDE"/>
    <s v="ATENDE"/>
    <s v="ATENDE"/>
    <s v="ATENDE"/>
    <s v="C4"/>
    <s v="P6"/>
    <n v="2.5066666666666664"/>
    <n v="10.52"/>
    <n v="6.6"/>
    <n v="3"/>
    <n v="0.6"/>
    <s v="ATENDE"/>
    <s v="ATENDE"/>
    <s v="ATENDE"/>
    <s v="P6"/>
    <n v="0.88333333333333353"/>
    <n v="5.65"/>
    <n v="3.7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204"/>
    <s v="PVP"/>
    <s v="Rua Rio Grande do Sul, 259"/>
    <n v="-30.027126809999999"/>
    <n v="-50.15662961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266666666666668"/>
    <n v="1.3333333333333335"/>
    <s v="-"/>
    <n v="8.27"/>
    <n v="0.42"/>
    <m/>
    <m/>
    <m/>
    <m/>
    <s v="ATENDE"/>
    <s v="ATENDE"/>
    <s v="ATENDE"/>
    <s v="ATENDE"/>
    <s v="C5"/>
    <s v="P6"/>
    <n v="1.3133333333333335"/>
    <n v="6.94"/>
    <n v="2.5299999999999998"/>
    <n v="3"/>
    <n v="0.6"/>
    <s v="ATENDE"/>
    <s v="ATENDE"/>
    <s v="ATENDE"/>
    <s v="P6"/>
    <n v="0.69333333333333336"/>
    <n v="5.08"/>
    <n v="2.4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04"/>
    <s v="PVP"/>
    <s v="Rua Rio Grande do Sul, 259"/>
    <n v="-30.027126809999999"/>
    <n v="-50.15662961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1.5555555555555558"/>
    <s v="-"/>
    <n v="7.98"/>
    <n v="0.46"/>
    <m/>
    <m/>
    <m/>
    <m/>
    <s v="ATENDE"/>
    <s v="ATENDE"/>
    <s v="ATENDE"/>
    <s v="ATENDE"/>
    <s v="C5"/>
    <s v="P6"/>
    <n v="1.1600000000000001"/>
    <n v="6.48"/>
    <n v="1.89"/>
    <n v="3"/>
    <n v="0.6"/>
    <s v="ATENDE"/>
    <s v="ATENDE"/>
    <s v="ATENDE"/>
    <s v="P6"/>
    <n v="0.43666666666666654"/>
    <n v="4.3099999999999996"/>
    <n v="2.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204"/>
    <s v="PVP"/>
    <s v="Rua Rio Grande do Sul, 259"/>
    <n v="-30.027126809999999"/>
    <n v="-50.156629619999997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1.9444444444444446"/>
    <s v="-"/>
    <n v="7.89"/>
    <n v="0.53"/>
    <m/>
    <m/>
    <m/>
    <m/>
    <s v="ATENDE"/>
    <s v="ATENDE"/>
    <s v="ATENDE"/>
    <s v="ATENDE"/>
    <s v="C5"/>
    <s v="P6"/>
    <n v="1.1533333333333333"/>
    <n v="6.46"/>
    <n v="2.96"/>
    <n v="3"/>
    <n v="0.6"/>
    <s v="ATENDE"/>
    <s v="ATENDE"/>
    <s v="ATENDE"/>
    <s v="P6"/>
    <n v="0.31666666666666665"/>
    <n v="3.95"/>
    <n v="2.7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05"/>
    <s v="VP"/>
    <s v="Avenida Perimetral, 683"/>
    <n v="-30.029555070000001"/>
    <n v="-50.150972860000003"/>
    <s v="C2"/>
    <x v="0"/>
    <s v="P6"/>
    <s v="Vapor de sódio"/>
    <n v="100"/>
    <n v="17"/>
    <n v="0"/>
    <n v="400"/>
    <n v="2"/>
    <n v="0"/>
    <n v="6.2"/>
    <m/>
    <m/>
    <n v="0"/>
    <n v="4"/>
    <n v="8"/>
    <n v="0"/>
    <n v="0"/>
    <n v="0"/>
    <n v="0"/>
    <s v="Canteiro central"/>
    <s v="Braço"/>
    <n v="29.6"/>
    <n v="7.5"/>
    <n v="2"/>
    <n v="4"/>
    <n v="2.8"/>
    <n v="-1.2000000000000002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549999999999993"/>
    <n v="0.28571428571428559"/>
    <s v="-"/>
    <n v="22.11"/>
    <n v="0.36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7866666666666666"/>
    <n v="8.36"/>
    <n v="2.83"/>
    <n v="3"/>
    <n v="0.6"/>
    <s v="ATENDE"/>
    <s v="ATENDE"/>
    <s v="ATENDE"/>
    <x v="0"/>
    <s v=" SL VT 9.1 72W"/>
    <s v="LUM LED SL VT 9.1 72W"/>
    <m/>
    <n v="0"/>
    <n v="2"/>
    <n v="72"/>
    <n v="0"/>
    <n v="12107"/>
    <n v="0"/>
    <n v="0"/>
    <m/>
    <s v="Longo I"/>
    <m/>
    <s v=""/>
    <s v=""/>
    <m/>
    <m/>
    <m/>
    <m/>
    <m/>
    <m/>
    <n v="72"/>
    <n v="100"/>
    <n v="344"/>
    <n v="0.28000000000000003"/>
    <m/>
    <m/>
    <s v="Sim"/>
    <m/>
  </r>
  <r>
    <n v="205"/>
    <s v="VP"/>
    <s v="Avenida Perimetral, 683"/>
    <n v="-30.029555070000001"/>
    <n v="-50.150972860000003"/>
    <s v="C2"/>
    <x v="0"/>
    <s v="P6"/>
    <s v="Vapor de sódio"/>
    <n v="100"/>
    <n v="17"/>
    <n v="0"/>
    <n v="400"/>
    <n v="2"/>
    <n v="0"/>
    <n v="6.2"/>
    <m/>
    <m/>
    <n v="0"/>
    <n v="4"/>
    <n v="8"/>
    <n v="0"/>
    <n v="0"/>
    <n v="0"/>
    <n v="0"/>
    <s v="Canteiro central"/>
    <s v="Braço"/>
    <n v="29.6"/>
    <n v="7.5"/>
    <n v="2"/>
    <n v="4"/>
    <n v="2.8"/>
    <n v="-1.2000000000000002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7700000000000005"/>
    <n v="0.64285714285714279"/>
    <s v="-"/>
    <n v="23.54"/>
    <n v="0.46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9"/>
    <n v="8.6999999999999993"/>
    <n v="3.08"/>
    <n v="3"/>
    <n v="0.6"/>
    <s v="ATENDE"/>
    <s v="ATENDE"/>
    <s v="ATENDE"/>
    <x v="1"/>
    <s v="SX-INLPP070HF"/>
    <s v="SXINLPP070K40L12CZF7PHF"/>
    <m/>
    <n v="0"/>
    <n v="2"/>
    <n v="70"/>
    <n v="0"/>
    <n v="11970"/>
    <n v="0"/>
    <n v="0"/>
    <m/>
    <s v="Longo I"/>
    <m/>
    <s v=""/>
    <s v=""/>
    <m/>
    <m/>
    <m/>
    <m/>
    <m/>
    <m/>
    <n v="70"/>
    <n v="100"/>
    <n v="340"/>
    <n v="0.30000000000000004"/>
    <m/>
    <m/>
    <s v="Sim"/>
    <m/>
  </r>
  <r>
    <n v="205"/>
    <s v="VP"/>
    <s v="Avenida Perimetral, 683"/>
    <n v="-30.029555070000001"/>
    <n v="-50.150972860000003"/>
    <s v="C2"/>
    <x v="0"/>
    <s v="P6"/>
    <s v="Vapor de sódio"/>
    <n v="100"/>
    <n v="17"/>
    <n v="0"/>
    <n v="400"/>
    <n v="2"/>
    <n v="0"/>
    <n v="6.2"/>
    <m/>
    <m/>
    <n v="0"/>
    <n v="4"/>
    <n v="8"/>
    <n v="0"/>
    <n v="0"/>
    <n v="0"/>
    <n v="0"/>
    <s v="Canteiro central"/>
    <s v="Braço"/>
    <n v="29.6"/>
    <n v="7.5"/>
    <n v="2"/>
    <n v="4"/>
    <n v="2.8"/>
    <n v="-1.2000000000000002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400000000000003E-2"/>
    <n v="1"/>
    <s v="-"/>
    <n v="20.68"/>
    <n v="0.5600000000000000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0.87999999999999989"/>
    <n v="5.64"/>
    <n v="2.39"/>
    <n v="3"/>
    <n v="0.6"/>
    <s v="ATENDE"/>
    <s v="ATENDE"/>
    <s v="ATENDE"/>
    <x v="2"/>
    <s v="SIGSAGPTLRRSSNDL_68W_83IBBRS_x000a_"/>
    <s v="SIGSAGPTLRRSSNDL_68W_83IBBRS_x000a_1-10C1MUN6.5"/>
    <m/>
    <n v="0"/>
    <n v="2"/>
    <n v="68"/>
    <n v="0"/>
    <n v="10884"/>
    <n v="0"/>
    <n v="0"/>
    <m/>
    <s v="Longo I"/>
    <m/>
    <s v=""/>
    <s v=""/>
    <m/>
    <m/>
    <m/>
    <m/>
    <m/>
    <m/>
    <n v="68"/>
    <n v="100"/>
    <n v="336"/>
    <n v="0.31999999999999995"/>
    <m/>
    <m/>
    <s v="Sim"/>
    <m/>
  </r>
  <r>
    <n v="206"/>
    <s v="PVP"/>
    <s v="Rua Rio de Janeiro, 134"/>
    <n v="-30.026164000000001"/>
    <n v="-50.15510541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799999999999997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00000000000002"/>
    <n v="1.2222222222222223"/>
    <s v="-"/>
    <n v="11.43"/>
    <n v="0.4"/>
    <m/>
    <m/>
    <m/>
    <m/>
    <s v="ATENDE"/>
    <s v="ATENDE"/>
    <s v="ATENDE"/>
    <s v="ATENDE"/>
    <s v="C4"/>
    <s v="P6"/>
    <n v="2.3366666666666664"/>
    <n v="10.01"/>
    <n v="3.68"/>
    <n v="3"/>
    <n v="0.6"/>
    <s v="ATENDE"/>
    <s v="ATENDE"/>
    <s v="ATENDE"/>
    <s v="P6"/>
    <n v="1.3599999999999999"/>
    <n v="7.08"/>
    <n v="3.43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6"/>
    <s v="PVP"/>
    <s v="Rua Rio de Janeiro, 134"/>
    <n v="-30.026164000000001"/>
    <n v="-50.15510541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799999999999997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499999999999998"/>
    <n v="1.7222222222222223"/>
    <s v="-"/>
    <n v="13.55"/>
    <n v="0.49"/>
    <m/>
    <m/>
    <m/>
    <m/>
    <s v="ATENDE"/>
    <s v="ATENDE"/>
    <s v="ATENDE"/>
    <s v="ATENDE"/>
    <s v="C4"/>
    <s v="P6"/>
    <n v="2.8166666666666664"/>
    <n v="11.45"/>
    <n v="4.03"/>
    <n v="3"/>
    <n v="0.6"/>
    <s v="ATENDE"/>
    <s v="ATENDE"/>
    <s v="ATENDE"/>
    <s v="P6"/>
    <n v="1.7200000000000002"/>
    <n v="8.16"/>
    <n v="5.9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6"/>
    <s v="PVP"/>
    <s v="Rua Rio de Janeiro, 134"/>
    <n v="-30.026164000000001"/>
    <n v="-50.15510541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799999999999997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1.3888888888888888"/>
    <s v="-"/>
    <n v="10.48"/>
    <n v="0.43"/>
    <m/>
    <m/>
    <m/>
    <m/>
    <s v="ATENDE"/>
    <s v="ATENDE"/>
    <s v="ATENDE"/>
    <s v="ATENDE"/>
    <s v="C4"/>
    <s v="P6"/>
    <n v="1.9066666666666667"/>
    <n v="8.7200000000000006"/>
    <n v="3.51"/>
    <n v="3"/>
    <n v="0.6"/>
    <s v="ATENDE"/>
    <s v="ATENDE"/>
    <s v="ATENDE"/>
    <s v="P6"/>
    <n v="0.48333333333333339"/>
    <n v="4.45"/>
    <n v="2.3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7"/>
    <s v="PVP"/>
    <s v="Rua Alagoas, 165"/>
    <n v="-30.02601512"/>
    <n v="-50.14399551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000000000000009E-2"/>
    <n v="0.72222222222222232"/>
    <s v="-"/>
    <n v="10.1"/>
    <n v="0.31"/>
    <m/>
    <m/>
    <m/>
    <m/>
    <s v="ATENDE"/>
    <s v="ATENDE"/>
    <s v="ATENDE"/>
    <s v="ATENDE"/>
    <s v="C4"/>
    <s v="P6"/>
    <n v="1.8399999999999999"/>
    <n v="8.52"/>
    <n v="2.41"/>
    <n v="3"/>
    <n v="0.6"/>
    <s v="ATENDE"/>
    <s v="ATENDE"/>
    <s v="ATENDE"/>
    <s v="P6"/>
    <n v="1.1466666666666669"/>
    <n v="6.44"/>
    <n v="2.529999999999999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7"/>
    <s v="PVP"/>
    <s v="Rua Alagoas, 165"/>
    <n v="-30.02601512"/>
    <n v="-50.14399551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700000000000006"/>
    <n v="0.7777777777777779"/>
    <s v="-"/>
    <n v="11.97"/>
    <n v="0.32"/>
    <m/>
    <m/>
    <m/>
    <m/>
    <s v="ATENDE"/>
    <s v="ATENDE"/>
    <s v="ATENDE"/>
    <s v="ATENDE"/>
    <s v="C4"/>
    <s v="P6"/>
    <n v="2.2166666666666668"/>
    <n v="9.65"/>
    <n v="1.86"/>
    <n v="3"/>
    <n v="0.6"/>
    <s v="ATENDE"/>
    <s v="ATENDE"/>
    <s v="ATENDE"/>
    <s v="P6"/>
    <n v="1.4933333333333336"/>
    <n v="7.48"/>
    <n v="4.18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207"/>
    <s v="PVP"/>
    <s v="Rua Alagoas, 165"/>
    <n v="-30.02601512"/>
    <n v="-50.14399551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099999999999998"/>
    <n v="0.33333333333333326"/>
    <s v="-"/>
    <n v="11.01"/>
    <n v="0.24"/>
    <m/>
    <m/>
    <m/>
    <m/>
    <s v="ATENDE"/>
    <s v="ATENDE"/>
    <s v="ATENDE"/>
    <s v="ATENDE"/>
    <s v="C4"/>
    <s v="P6"/>
    <n v="2.0266666666666668"/>
    <n v="9.08"/>
    <n v="2.34"/>
    <n v="3"/>
    <n v="0.6"/>
    <s v="ATENDE"/>
    <s v="ATENDE"/>
    <s v="ATENDE"/>
    <s v="P6"/>
    <n v="0.5199999999999998"/>
    <n v="4.5599999999999996"/>
    <n v="1.39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e v="#N/A"/>
    <n v="8163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208"/>
    <s v="PVP"/>
    <s v="Rua Rio Grande do Norte, 531"/>
    <n v="-30.029094390000001"/>
    <n v="-50.156761840000001"/>
    <s v="C4"/>
    <x v="0"/>
    <s v="P6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5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700000000000002"/>
    <n v="1.2222222222222223"/>
    <s v="-"/>
    <n v="11.47"/>
    <n v="0.4"/>
    <m/>
    <m/>
    <m/>
    <m/>
    <s v="ATENDE"/>
    <s v="ATENDE"/>
    <s v="ATENDE"/>
    <s v="ATENDE"/>
    <s v="C4"/>
    <s v="P6"/>
    <n v="2.2866666666666666"/>
    <n v="9.86"/>
    <n v="3.64"/>
    <n v="3"/>
    <n v="0.6"/>
    <s v="ATENDE"/>
    <s v="ATENDE"/>
    <s v="ATENDE"/>
    <s v="P6"/>
    <n v="1.5066666666666664"/>
    <n v="7.52"/>
    <n v="3.67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8"/>
    <s v="PVP"/>
    <s v="Rua Rio Grande do Norte, 531"/>
    <n v="-30.029094390000001"/>
    <n v="-50.156761840000001"/>
    <s v="C4"/>
    <x v="0"/>
    <s v="P6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5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999999999999988"/>
    <n v="1.7222222222222223"/>
    <s v="-"/>
    <n v="13.6"/>
    <n v="0.49"/>
    <m/>
    <m/>
    <m/>
    <m/>
    <s v="ATENDE"/>
    <s v="ATENDE"/>
    <s v="ATENDE"/>
    <s v="ATENDE"/>
    <s v="C4"/>
    <s v="P6"/>
    <n v="2.7433333333333336"/>
    <n v="11.23"/>
    <n v="3.92"/>
    <n v="3"/>
    <n v="0.6"/>
    <s v="ATENDE"/>
    <s v="ATENDE"/>
    <s v="ATENDE"/>
    <s v="P6"/>
    <n v="1.9299999999999997"/>
    <n v="8.7899999999999991"/>
    <n v="6.4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8"/>
    <s v="PVP"/>
    <s v="Rua Rio Grande do Norte, 531"/>
    <n v="-30.029094390000001"/>
    <n v="-50.156761840000001"/>
    <s v="C4"/>
    <x v="0"/>
    <s v="P6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5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3999999999999826E-2"/>
    <n v="1.3888888888888888"/>
    <s v="-"/>
    <n v="10.54"/>
    <n v="0.43"/>
    <m/>
    <m/>
    <m/>
    <m/>
    <s v="ATENDE"/>
    <s v="ATENDE"/>
    <s v="ATENDE"/>
    <s v="ATENDE"/>
    <s v="C4"/>
    <s v="P6"/>
    <n v="1.85"/>
    <n v="8.5500000000000007"/>
    <n v="3.45"/>
    <n v="3"/>
    <n v="0.6"/>
    <s v="ATENDE"/>
    <s v="ATENDE"/>
    <s v="ATENDE"/>
    <s v="P6"/>
    <n v="0.64666666666666672"/>
    <n v="4.9400000000000004"/>
    <n v="2.7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9"/>
    <s v="PVP"/>
    <s v="Rua Rio Grande do Sul, 29"/>
    <n v="-30.02527688"/>
    <n v="-50.15589030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99999999999992E-2"/>
    <n v="1.4444444444444446"/>
    <s v="-"/>
    <n v="10.35"/>
    <n v="0.44"/>
    <m/>
    <m/>
    <m/>
    <m/>
    <s v="ATENDE"/>
    <s v="ATENDE"/>
    <s v="ATENDE"/>
    <s v="ATENDE"/>
    <s v="C4"/>
    <s v="P6"/>
    <n v="1.9766666666666666"/>
    <n v="8.93"/>
    <n v="3.6"/>
    <n v="3"/>
    <n v="0.6"/>
    <s v="ATENDE"/>
    <s v="ATENDE"/>
    <s v="ATENDE"/>
    <s v="-"/>
    <e v="#VALUE!"/>
    <n v="6.52"/>
    <n v="3.44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09"/>
    <s v="PVP"/>
    <s v="Rua Rio Grande do Sul, 29"/>
    <n v="-30.02527688"/>
    <n v="-50.15589030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3999999999999995"/>
    <n v="2.1111111111111116"/>
    <s v="-"/>
    <n v="14.4"/>
    <n v="0.56000000000000005"/>
    <m/>
    <m/>
    <m/>
    <m/>
    <s v="ATENDE"/>
    <s v="ATENDE"/>
    <s v="ATENDE"/>
    <s v="ATENDE"/>
    <s v="C4"/>
    <s v="P6"/>
    <n v="2.9633333333333334"/>
    <n v="11.89"/>
    <n v="5"/>
    <n v="3"/>
    <n v="0.6"/>
    <s v="ATENDE"/>
    <s v="ATENDE"/>
    <s v="ATENDE"/>
    <s v="-"/>
    <e v="#VALUE!"/>
    <n v="8.84"/>
    <n v="6.59"/>
    <s v="-"/>
    <s v="-"/>
    <s v="-"/>
    <s v="-"/>
    <s v="-"/>
    <x v="1"/>
    <s v="SX-INEVO050HF"/>
    <s v="SXINEVO050K40L12CZF7PHF"/>
    <m/>
    <n v="0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9"/>
    <s v="PVP"/>
    <s v="Rua Rio Grande do Sul, 29"/>
    <n v="-30.02527688"/>
    <n v="-50.15589030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0000000000001"/>
    <n v="1.7777777777777777"/>
    <s v="-"/>
    <n v="11.16"/>
    <n v="0.5"/>
    <m/>
    <m/>
    <m/>
    <m/>
    <s v="ATENDE"/>
    <s v="ATENDE"/>
    <s v="ATENDE"/>
    <s v="ATENDE"/>
    <s v="C4"/>
    <s v="P6"/>
    <n v="2.0166666666666671"/>
    <n v="9.0500000000000007"/>
    <n v="4.3099999999999996"/>
    <n v="3"/>
    <n v="0.6"/>
    <s v="ATENDE"/>
    <s v="ATENDE"/>
    <s v="ATENDE"/>
    <s v="-"/>
    <e v="#VALUE!"/>
    <n v="4.87"/>
    <n v="2.81"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10"/>
    <s v="PVP"/>
    <s v="Rua Rio Grande do Norte, 406"/>
    <n v="-30.02464707"/>
    <n v="-50.155037909999997"/>
    <s v="C4"/>
    <x v="0"/>
    <s v="P6"/>
    <s v="Vapor de sódio"/>
    <n v="150"/>
    <n v="22"/>
    <n v="0"/>
    <n v="300"/>
    <n v="2"/>
    <n v="1.5"/>
    <n v="5"/>
    <m/>
    <m/>
    <n v="0"/>
    <n v="1.5"/>
    <n v="0"/>
    <n v="0"/>
    <n v="0"/>
    <n v="0"/>
    <n v="0"/>
    <s v="Unilateral"/>
    <s v="Braço"/>
    <n v="34.9"/>
    <n v="8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399999999999987"/>
    <n v="1.6111111111111112"/>
    <s v="-"/>
    <n v="11.04"/>
    <n v="0.47"/>
    <m/>
    <m/>
    <m/>
    <m/>
    <s v="ATENDE"/>
    <s v="ATENDE"/>
    <s v="ATENDE"/>
    <s v="ATENDE"/>
    <s v="C4"/>
    <s v="P6"/>
    <n v="2.2733333333333334"/>
    <n v="9.82"/>
    <n v="4.66"/>
    <n v="3"/>
    <n v="0.6"/>
    <s v="ATENDE"/>
    <s v="ATENDE"/>
    <s v="ATENDE"/>
    <s v="P6"/>
    <n v="2.2799999999999998"/>
    <n v="9.84"/>
    <n v="5.39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210"/>
    <s v="PVP"/>
    <s v="Rua Rio Grande do Norte, 406"/>
    <n v="-30.02464707"/>
    <n v="-50.155037909999997"/>
    <s v="C4"/>
    <x v="0"/>
    <s v="P6"/>
    <s v="Vapor de sódio"/>
    <n v="150"/>
    <n v="22"/>
    <n v="0"/>
    <n v="300"/>
    <n v="2"/>
    <n v="1.5"/>
    <n v="5"/>
    <m/>
    <m/>
    <n v="0"/>
    <n v="1.5"/>
    <n v="0"/>
    <n v="0"/>
    <n v="0"/>
    <n v="0"/>
    <n v="0"/>
    <s v="Unilateral"/>
    <s v="Braço"/>
    <n v="34.9"/>
    <n v="8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099999999999993"/>
    <n v="2.2777777777777777"/>
    <s v="-"/>
    <n v="13.01"/>
    <n v="0.59"/>
    <m/>
    <m/>
    <m/>
    <m/>
    <s v="ATENDE"/>
    <s v="ATENDE"/>
    <s v="ATENDE"/>
    <s v="ATENDE"/>
    <s v="C4"/>
    <s v="P6"/>
    <n v="2.83"/>
    <n v="11.49"/>
    <n v="6.63"/>
    <n v="3"/>
    <n v="0.6"/>
    <s v="ATENDE"/>
    <s v="ATENDE"/>
    <s v="ATENDE"/>
    <s v="P6"/>
    <n v="2.9266666666666663"/>
    <n v="11.78"/>
    <n v="8.69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10"/>
    <s v="PVP"/>
    <s v="Rua Rio Grande do Norte, 406"/>
    <n v="-30.02464707"/>
    <n v="-50.155037909999997"/>
    <s v="C4"/>
    <x v="0"/>
    <s v="P6"/>
    <s v="Vapor de sódio"/>
    <n v="150"/>
    <n v="22"/>
    <n v="0"/>
    <n v="300"/>
    <n v="2"/>
    <n v="1.5"/>
    <n v="5"/>
    <m/>
    <m/>
    <n v="0"/>
    <n v="1.5"/>
    <n v="0"/>
    <n v="0"/>
    <n v="0"/>
    <n v="0"/>
    <n v="0"/>
    <s v="Unilateral"/>
    <s v="Braço"/>
    <n v="34.9"/>
    <n v="8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2999999999999936E-2"/>
    <n v="2.3888888888888888"/>
    <s v="-"/>
    <n v="10.53"/>
    <n v="0.61"/>
    <m/>
    <m/>
    <m/>
    <m/>
    <s v="ATENDE"/>
    <s v="ATENDE"/>
    <s v="ATENDE"/>
    <s v="ATENDE"/>
    <s v="C4"/>
    <s v="P6"/>
    <n v="1.9299999999999997"/>
    <n v="8.7899999999999991"/>
    <n v="5.34"/>
    <n v="3"/>
    <n v="0.6"/>
    <s v="ATENDE"/>
    <s v="ATENDE"/>
    <s v="ATENDE"/>
    <s v="P6"/>
    <n v="1.8699999999999997"/>
    <n v="8.61"/>
    <n v="6.2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11"/>
    <s v="PVP"/>
    <s v="Rua Espirito Santo, 45"/>
    <n v="-30.027523810000002"/>
    <n v="-50.147948370000002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733333333333331"/>
    <n v="1.3888888888888888"/>
    <s v="-"/>
    <n v="8.5299999999999994"/>
    <n v="0.43"/>
    <m/>
    <m/>
    <m/>
    <m/>
    <s v="ATENDE"/>
    <s v="ATENDE"/>
    <s v="ATENDE"/>
    <s v="ATENDE"/>
    <s v="C5"/>
    <s v="P6"/>
    <n v="0.90000000000000013"/>
    <n v="5.7"/>
    <n v="2.88"/>
    <n v="3"/>
    <n v="0.6"/>
    <s v="ATENDE"/>
    <s v="ATENDE"/>
    <s v="ATENDE"/>
    <s v="-"/>
    <e v="#VALUE!"/>
    <n v="7.2"/>
    <n v="2.81"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11"/>
    <s v="PVP"/>
    <s v="Rua Espirito Santo, 45"/>
    <n v="-30.027523810000002"/>
    <n v="-50.147948370000002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7333333333333494E-2"/>
    <n v="1.6666666666666665"/>
    <s v="-"/>
    <n v="8.23"/>
    <n v="0.48"/>
    <m/>
    <m/>
    <m/>
    <m/>
    <s v="ATENDE"/>
    <s v="ATENDE"/>
    <s v="ATENDE"/>
    <s v="ATENDE"/>
    <s v="C5"/>
    <s v="P6"/>
    <n v="0.66000000000000014"/>
    <n v="4.9800000000000004"/>
    <n v="3.07"/>
    <n v="3"/>
    <n v="0.6"/>
    <s v="ATENDE"/>
    <s v="ATENDE"/>
    <s v="ATENDE"/>
    <s v="-"/>
    <e v="#VALUE!"/>
    <n v="6.73"/>
    <n v="2.2999999999999998"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11"/>
    <s v="PVP"/>
    <s v="Rua Espirito Santo, 45"/>
    <n v="-30.027523810000002"/>
    <n v="-50.147948370000002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9333333333333265E-2"/>
    <n v="2.0000000000000004"/>
    <s v="-"/>
    <n v="8.17"/>
    <n v="0.54"/>
    <m/>
    <m/>
    <m/>
    <m/>
    <s v="ATENDE"/>
    <s v="ATENDE"/>
    <s v="ATENDE"/>
    <s v="ATENDE"/>
    <s v="C5"/>
    <s v="P6"/>
    <n v="0.5066666666666666"/>
    <n v="4.5199999999999996"/>
    <n v="3.35"/>
    <n v="3"/>
    <n v="0.6"/>
    <s v="ATENDE"/>
    <s v="ATENDE"/>
    <s v="ATENDE"/>
    <s v="-"/>
    <e v="#VALUE!"/>
    <n v="6.7"/>
    <n v="3.31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12"/>
    <s v="PV"/>
    <s v="Rua Bergano, 168"/>
    <n v="-30.028021500000001"/>
    <n v="-50.143248130000003"/>
    <s v="C5"/>
    <x v="0"/>
    <s v="P6"/>
    <s v="Vapor de sódio"/>
    <n v="150"/>
    <n v="22"/>
    <n v="0"/>
    <n v="300"/>
    <n v="2"/>
    <n v="2.5"/>
    <n v="7"/>
    <m/>
    <m/>
    <n v="0"/>
    <n v="0"/>
    <n v="0"/>
    <n v="0"/>
    <n v="0"/>
    <n v="0"/>
    <n v="0"/>
    <s v="Unilateral"/>
    <s v="Braço"/>
    <n v="27.9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4666666666666677E-2"/>
    <n v="2.0000000000000004"/>
    <s v="-"/>
    <n v="8.2100000000000009"/>
    <n v="0.54"/>
    <m/>
    <m/>
    <m/>
    <m/>
    <s v="ATENDE"/>
    <s v="ATENDE"/>
    <s v="ATENDE"/>
    <s v="ATENDE"/>
    <s v="C5"/>
    <s v="P6"/>
    <n v="1.3033333333333332"/>
    <n v="6.91"/>
    <n v="3.6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212"/>
    <s v="PV"/>
    <s v="Rua Bergano, 168"/>
    <n v="-30.028021500000001"/>
    <n v="-50.143248130000003"/>
    <s v="C5"/>
    <x v="0"/>
    <s v="P6"/>
    <s v="Vapor de sódio"/>
    <n v="150"/>
    <n v="22"/>
    <n v="0"/>
    <n v="300"/>
    <n v="2"/>
    <n v="2.5"/>
    <n v="7"/>
    <m/>
    <m/>
    <n v="0"/>
    <n v="0"/>
    <n v="0"/>
    <n v="0"/>
    <n v="0"/>
    <n v="0"/>
    <n v="0"/>
    <s v="Unilateral"/>
    <s v="Braço"/>
    <n v="27.9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6133333333333351"/>
    <n v="3.1111111111111116"/>
    <s v="-"/>
    <n v="10.210000000000001"/>
    <n v="0.74"/>
    <m/>
    <m/>
    <m/>
    <m/>
    <s v="ATENDE"/>
    <s v="ATENDE"/>
    <s v="ATENDE"/>
    <s v="ATENDE"/>
    <s v="C5"/>
    <s v="P6"/>
    <n v="1.69"/>
    <n v="8.07"/>
    <n v="5.05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212"/>
    <s v="PV"/>
    <s v="Rua Bergano, 168"/>
    <n v="-30.028021500000001"/>
    <n v="-50.143248130000003"/>
    <s v="C5"/>
    <x v="0"/>
    <s v="P6"/>
    <s v="Vapor de sódio"/>
    <n v="150"/>
    <n v="22"/>
    <n v="0"/>
    <n v="300"/>
    <n v="2"/>
    <n v="2.5"/>
    <n v="7"/>
    <m/>
    <m/>
    <n v="0"/>
    <n v="0"/>
    <n v="0"/>
    <n v="0"/>
    <n v="0"/>
    <n v="0"/>
    <n v="0"/>
    <s v="Unilateral"/>
    <s v="Braço"/>
    <n v="27.9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933333333333327"/>
    <n v="2.7777777777777781"/>
    <s v="-"/>
    <n v="10.119999999999999"/>
    <n v="0.68"/>
    <m/>
    <m/>
    <m/>
    <m/>
    <s v="ATENDE"/>
    <s v="ATENDE"/>
    <s v="ATENDE"/>
    <s v="ATENDE"/>
    <s v="C5"/>
    <s v="P6"/>
    <n v="1.6966666666666668"/>
    <n v="8.09"/>
    <n v="5.3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13"/>
    <s v="PV"/>
    <s v="Travessa 2  Sul, 78"/>
    <n v="-30.030632600000001"/>
    <n v="-50.144687840000003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1.3333333333333335"/>
    <s v="-"/>
    <n v="11.67"/>
    <n v="0.42"/>
    <m/>
    <m/>
    <m/>
    <m/>
    <s v="ATENDE"/>
    <s v="ATENDE"/>
    <s v="ATENDE"/>
    <s v="ATENDE"/>
    <s v="C4"/>
    <s v="P6"/>
    <n v="2.186666666666667"/>
    <n v="9.56"/>
    <n v="3.77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13"/>
    <s v="PV"/>
    <s v="Travessa 2  Sul, 78"/>
    <n v="-30.030632600000001"/>
    <n v="-50.144687840000003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2.1666666666666665"/>
    <s v="-"/>
    <n v="11.1"/>
    <n v="0.56999999999999995"/>
    <m/>
    <m/>
    <m/>
    <m/>
    <s v="ATENDE"/>
    <s v="ATENDE"/>
    <s v="ATENDE"/>
    <s v="ATENDE"/>
    <s v="C4"/>
    <s v="P6"/>
    <n v="2.0099999999999998"/>
    <n v="9.0299999999999994"/>
    <n v="3.9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13"/>
    <s v="PV"/>
    <s v="Travessa 2  Sul, 78"/>
    <n v="-30.030632600000001"/>
    <n v="-50.144687840000003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52"/>
    <n v="1.6666666666666665"/>
    <s v="-"/>
    <n v="12.52"/>
    <n v="0.48"/>
    <m/>
    <m/>
    <m/>
    <m/>
    <s v="ATENDE"/>
    <s v="ATENDE"/>
    <s v="ATENDE"/>
    <s v="ATENDE"/>
    <s v="C4"/>
    <s v="P6"/>
    <n v="2.1799999999999997"/>
    <n v="9.5399999999999991"/>
    <n v="4.25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/A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14"/>
    <s v="PVP"/>
    <s v="Rua Alagoas, 460"/>
    <n v="-30.031668979999999"/>
    <n v="-50.145900789999999"/>
    <s v="C4"/>
    <x v="0"/>
    <s v="P6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27.4"/>
    <n v="5.8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999999999999899E-2"/>
    <n v="1.1111111111111112"/>
    <s v="-"/>
    <n v="10.11"/>
    <n v="0.38"/>
    <m/>
    <m/>
    <m/>
    <m/>
    <s v="ATENDE"/>
    <s v="ATENDE"/>
    <s v="ATENDE"/>
    <s v="ATENDE"/>
    <s v="C4"/>
    <s v="P6"/>
    <n v="0.42333333333333312"/>
    <n v="4.2699999999999996"/>
    <n v="2.14"/>
    <n v="3"/>
    <n v="0.6"/>
    <s v="ATENDE"/>
    <s v="ATENDE"/>
    <s v="ATENDE"/>
    <s v="-"/>
    <e v="#VALUE!"/>
    <n v="8.1199999999999992"/>
    <n v="3.07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214"/>
    <s v="PVP"/>
    <s v="Rua Alagoas, 460"/>
    <n v="-30.031668979999999"/>
    <n v="-50.145900789999999"/>
    <s v="C4"/>
    <x v="0"/>
    <s v="P6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27.4"/>
    <n v="5.8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299999999999988"/>
    <n v="1.5"/>
    <s v="-"/>
    <n v="12.43"/>
    <n v="0.45"/>
    <m/>
    <m/>
    <m/>
    <m/>
    <s v="ATENDE"/>
    <s v="ATENDE"/>
    <s v="ATENDE"/>
    <s v="ATENDE"/>
    <s v="C4"/>
    <s v="P6"/>
    <n v="0.12666666666666671"/>
    <n v="3.38"/>
    <n v="1.21"/>
    <n v="3"/>
    <n v="0.6"/>
    <s v="ATENDE"/>
    <s v="ATENDE"/>
    <s v="ATENDE"/>
    <s v="-"/>
    <e v="#VALUE!"/>
    <n v="9.15"/>
    <n v="2.31"/>
    <s v="-"/>
    <s v="-"/>
    <s v="-"/>
    <s v="-"/>
    <s v="-"/>
    <x v="1"/>
    <s v="SX-INEVO030HF"/>
    <s v="SXINEVO030K40L12CZF7PHF"/>
    <m/>
    <e v="#N/A"/>
    <n v="1"/>
    <n v="31"/>
    <e v="#N/A"/>
    <n v="5270"/>
    <n v="0"/>
    <n v="0"/>
    <m/>
    <s v="Curto II"/>
    <s v="Médio I"/>
    <n v="1.8"/>
    <n v="7"/>
    <m/>
    <m/>
    <m/>
    <m/>
    <m/>
    <m/>
    <n v="31"/>
    <n v="100"/>
    <n v="131"/>
    <n v="0.69"/>
    <m/>
    <m/>
    <s v="Sim"/>
    <m/>
  </r>
  <r>
    <n v="214"/>
    <s v="PVP"/>
    <s v="Rua Alagoas, 460"/>
    <n v="-30.031668979999999"/>
    <n v="-50.145900789999999"/>
    <s v="C4"/>
    <x v="0"/>
    <s v="P6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27.4"/>
    <n v="5.8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700000000000008"/>
    <n v="1.7777777777777777"/>
    <s v="-"/>
    <n v="12.17"/>
    <n v="0.5"/>
    <m/>
    <m/>
    <m/>
    <m/>
    <s v="ATENDE"/>
    <s v="ATENDE"/>
    <s v="ATENDE"/>
    <s v="ATENDE"/>
    <s v="C4"/>
    <s v="P6"/>
    <n v="0.19666666666666655"/>
    <n v="3.59"/>
    <n v="1.83"/>
    <n v="3"/>
    <n v="0.6"/>
    <s v="ATENDE"/>
    <s v="ATENDE"/>
    <s v="ATENDE"/>
    <s v="-"/>
    <e v="#VALUE!"/>
    <n v="9.36"/>
    <n v="4.18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s v="Médio II"/>
    <n v="2.4"/>
    <n v="7.5"/>
    <m/>
    <m/>
    <m/>
    <m/>
    <m/>
    <m/>
    <n v="30"/>
    <n v="100"/>
    <n v="130"/>
    <n v="0.7"/>
    <m/>
    <m/>
    <s v="Sim"/>
    <m/>
  </r>
  <r>
    <n v="215"/>
    <s v="PVP"/>
    <s v="Rua Piaui, 309"/>
    <n v="-30.027553650000002"/>
    <n v="-50.15498651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1111111111111112"/>
    <s v="-"/>
    <n v="9.0500000000000007"/>
    <n v="0.38"/>
    <m/>
    <m/>
    <m/>
    <m/>
    <s v="ATENDE"/>
    <s v="ATENDE"/>
    <s v="ATENDE"/>
    <s v="ATENDE"/>
    <s v="C5"/>
    <s v="P6"/>
    <n v="0.7433333333333334"/>
    <n v="5.23"/>
    <n v="2.29"/>
    <n v="3"/>
    <n v="0.6"/>
    <s v="ATENDE"/>
    <s v="ATENDE"/>
    <s v="ATENDE"/>
    <s v="P6"/>
    <n v="1.4"/>
    <n v="7.2"/>
    <n v="2.3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15"/>
    <s v="PVP"/>
    <s v="Rua Piaui, 309"/>
    <n v="-30.027553650000002"/>
    <n v="-50.15498651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400000000000015"/>
    <n v="1.166666666666667"/>
    <s v="-"/>
    <n v="8.73"/>
    <n v="0.39"/>
    <m/>
    <m/>
    <m/>
    <m/>
    <s v="ATENDE"/>
    <s v="ATENDE"/>
    <s v="ATENDE"/>
    <s v="ATENDE"/>
    <s v="C5"/>
    <s v="P6"/>
    <n v="0.44000000000000017"/>
    <n v="4.32"/>
    <n v="2.06"/>
    <n v="3"/>
    <n v="0.6"/>
    <s v="ATENDE"/>
    <s v="ATENDE"/>
    <s v="ATENDE"/>
    <s v="P6"/>
    <n v="1.1966666666666668"/>
    <n v="6.59"/>
    <n v="1.45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15"/>
    <s v="PVP"/>
    <s v="Rua Piaui, 309"/>
    <n v="-30.027553650000002"/>
    <n v="-50.154986510000001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666666666666672"/>
    <n v="1.6666666666666665"/>
    <s v="-"/>
    <n v="8.6"/>
    <n v="0.48"/>
    <m/>
    <m/>
    <m/>
    <m/>
    <s v="ATENDE"/>
    <s v="ATENDE"/>
    <s v="ATENDE"/>
    <s v="ATENDE"/>
    <s v="C5"/>
    <s v="P6"/>
    <n v="0.33999999999999986"/>
    <n v="4.0199999999999996"/>
    <n v="2.62"/>
    <n v="3"/>
    <n v="0.6"/>
    <s v="ATENDE"/>
    <s v="ATENDE"/>
    <s v="ATENDE"/>
    <s v="P6"/>
    <n v="1.2133333333333334"/>
    <n v="6.64"/>
    <n v="2.7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16"/>
    <s v="PVP"/>
    <s v="Rua Adelino Souza de Aguiar, 39"/>
    <n v="-30.015525960000002"/>
    <n v="-50.157846020000001"/>
    <s v="C4"/>
    <x v="0"/>
    <s v="P6"/>
    <s v="LED"/>
    <n v="50"/>
    <n v="0"/>
    <n v="0"/>
    <n v="100"/>
    <n v="2"/>
    <n v="4"/>
    <n v="7"/>
    <m/>
    <m/>
    <n v="0"/>
    <n v="4"/>
    <n v="0"/>
    <n v="0"/>
    <n v="0"/>
    <n v="4"/>
    <n v="0"/>
    <s v="Unilateral"/>
    <s v="Braço"/>
    <n v="20"/>
    <n v="8"/>
    <n v="1"/>
    <n v="14.5"/>
    <n v="3"/>
    <n v="-1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5"/>
    <n v="2.2777777777777777"/>
    <s v="-"/>
    <n v="11.25"/>
    <n v="0.59"/>
    <m/>
    <m/>
    <m/>
    <m/>
    <s v="ATENDE"/>
    <s v="ATENDE"/>
    <s v="ATENDE"/>
    <s v="ATENDE"/>
    <s v="C4"/>
    <s v="P6"/>
    <n v="1.3033333333333332"/>
    <n v="6.91"/>
    <n v="4.2"/>
    <n v="3"/>
    <n v="0.6"/>
    <s v="ATENDE"/>
    <s v="ATENDE"/>
    <s v="ATENDE"/>
    <s v="-"/>
    <e v="#VALUE!"/>
    <n v="4.71"/>
    <n v="2.3199999999999998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Longo I"/>
    <m/>
    <s v=""/>
    <s v=""/>
    <m/>
    <m/>
    <m/>
    <m/>
    <m/>
    <m/>
    <n v="44"/>
    <n v="50"/>
    <n v="94"/>
    <n v="0.12"/>
    <m/>
    <m/>
    <s v="Sim"/>
    <m/>
  </r>
  <r>
    <n v="216"/>
    <s v="PVP"/>
    <s v="Rua Adelino Souza de Aguiar, 39"/>
    <n v="-30.015525960000002"/>
    <n v="-50.157846020000001"/>
    <s v="C4"/>
    <x v="0"/>
    <s v="P6"/>
    <s v="LED"/>
    <n v="50"/>
    <n v="0"/>
    <n v="0"/>
    <n v="100"/>
    <n v="2"/>
    <n v="4"/>
    <n v="7"/>
    <m/>
    <m/>
    <n v="0"/>
    <n v="4"/>
    <n v="0"/>
    <n v="0"/>
    <n v="0"/>
    <n v="4"/>
    <n v="0"/>
    <s v="Unilateral"/>
    <s v="Braço"/>
    <n v="20"/>
    <n v="8"/>
    <n v="1"/>
    <n v="14.5"/>
    <n v="3"/>
    <n v="-1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4999999999999964E-2"/>
    <n v="2.9444444444444442"/>
    <s v="-"/>
    <n v="10.85"/>
    <n v="0.71"/>
    <m/>
    <m/>
    <m/>
    <m/>
    <s v="ATENDE"/>
    <s v="ATENDE"/>
    <s v="ATENDE"/>
    <s v="ATENDE"/>
    <s v="C4"/>
    <s v="P6"/>
    <n v="1.0933333333333333"/>
    <n v="6.28"/>
    <n v="3.62"/>
    <n v="3"/>
    <n v="0.6"/>
    <s v="ATENDE"/>
    <s v="ATENDE"/>
    <s v="ATENDE"/>
    <s v="-"/>
    <e v="#VALUE!"/>
    <n v="3.18"/>
    <n v="1.36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Longo I"/>
    <m/>
    <s v=""/>
    <s v=""/>
    <m/>
    <m/>
    <m/>
    <m/>
    <m/>
    <m/>
    <n v="39"/>
    <n v="50"/>
    <n v="89"/>
    <n v="0.21999999999999997"/>
    <m/>
    <m/>
    <s v="Sim"/>
    <m/>
  </r>
  <r>
    <n v="216"/>
    <s v="PVP"/>
    <s v="Rua Adelino Souza de Aguiar, 39"/>
    <n v="-30.015525960000002"/>
    <n v="-50.157846020000001"/>
    <s v="C4"/>
    <x v="0"/>
    <s v="P6"/>
    <s v="LED"/>
    <n v="50"/>
    <n v="0"/>
    <n v="0"/>
    <n v="100"/>
    <n v="2"/>
    <n v="4"/>
    <n v="7"/>
    <m/>
    <m/>
    <n v="0"/>
    <n v="4"/>
    <n v="0"/>
    <n v="0"/>
    <n v="0"/>
    <n v="4"/>
    <n v="0"/>
    <s v="Unilateral"/>
    <s v="Braço"/>
    <n v="20"/>
    <n v="8"/>
    <n v="1"/>
    <n v="14.5"/>
    <n v="3"/>
    <n v="-1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600000000000003"/>
    <n v="3"/>
    <s v="-"/>
    <n v="12.86"/>
    <n v="0.72"/>
    <m/>
    <m/>
    <m/>
    <m/>
    <s v="ATENDE"/>
    <s v="ATENDE"/>
    <s v="ATENDE"/>
    <s v="ATENDE"/>
    <s v="C4"/>
    <s v="P6"/>
    <n v="1.2533333333333334"/>
    <n v="6.76"/>
    <n v="4.2699999999999996"/>
    <n v="3"/>
    <n v="0.6"/>
    <s v="ATENDE"/>
    <s v="ATENDE"/>
    <s v="ATENDE"/>
    <s v="-"/>
    <e v="#VALUE!"/>
    <n v="5.41"/>
    <n v="3.05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Longo I"/>
    <m/>
    <s v=""/>
    <s v=""/>
    <m/>
    <m/>
    <m/>
    <m/>
    <m/>
    <m/>
    <n v="40"/>
    <n v="50"/>
    <n v="90"/>
    <n v="0.19999999999999996"/>
    <m/>
    <m/>
    <s v="Sim"/>
    <m/>
  </r>
  <r>
    <n v="217"/>
    <s v="PVP"/>
    <s v="Rua Dez, 54"/>
    <n v="-30.011189770000001"/>
    <n v="-50.159059159999998"/>
    <s v="C4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20.9"/>
    <n v="6.2"/>
    <n v="1"/>
    <n v="0.5"/>
    <n v="0.4"/>
    <n v="-9.9999999999999978E-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000000000000016"/>
    <n v="1.7222222222222223"/>
    <s v="-"/>
    <n v="11.8"/>
    <n v="0.49"/>
    <m/>
    <m/>
    <m/>
    <m/>
    <s v="ATENDE"/>
    <s v="ATENDE"/>
    <s v="ATENDE"/>
    <s v="ATENDE"/>
    <s v="C4"/>
    <s v="P6"/>
    <n v="0.51666666666666661"/>
    <n v="4.55"/>
    <n v="2.98"/>
    <n v="3"/>
    <n v="0.6"/>
    <s v="ATENDE"/>
    <s v="ATENDE"/>
    <s v="ATENDE"/>
    <s v="P6"/>
    <n v="3.1266666666666669"/>
    <n v="12.38"/>
    <n v="6.9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"/>
    <m/>
    <s v=""/>
    <s v=""/>
    <m/>
    <m/>
    <m/>
    <m/>
    <m/>
    <m/>
    <n v="28"/>
    <n v="70"/>
    <n v="98"/>
    <n v="0.6"/>
    <m/>
    <m/>
    <s v="Sim"/>
    <m/>
  </r>
  <r>
    <n v="217"/>
    <s v="PVP"/>
    <s v="Rua Dez, 54"/>
    <n v="-30.011189770000001"/>
    <n v="-50.159059159999998"/>
    <s v="C4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20.9"/>
    <n v="6.2"/>
    <n v="1"/>
    <n v="0.5"/>
    <n v="0.4"/>
    <n v="-9.9999999999999978E-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3599999999999994"/>
    <n v="1.6111111111111112"/>
    <s v="-"/>
    <n v="14.36"/>
    <n v="0.47"/>
    <m/>
    <m/>
    <m/>
    <m/>
    <s v="ATENDE"/>
    <s v="ATENDE"/>
    <s v="ATENDE"/>
    <s v="ATENDE"/>
    <s v="C4"/>
    <s v="P6"/>
    <n v="7.6666666666666661E-2"/>
    <n v="3.23"/>
    <n v="1.54"/>
    <n v="3"/>
    <n v="0.6"/>
    <s v="ATENDE"/>
    <s v="ATENDE"/>
    <s v="ATENDE"/>
    <s v="P6"/>
    <n v="3.9666666666666668"/>
    <n v="14.9"/>
    <n v="10.24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"/>
    <m/>
    <s v=""/>
    <s v=""/>
    <m/>
    <m/>
    <m/>
    <m/>
    <m/>
    <m/>
    <n v="31"/>
    <n v="70"/>
    <n v="101"/>
    <n v="0.55714285714285716"/>
    <m/>
    <m/>
    <s v="Sim"/>
    <m/>
  </r>
  <r>
    <n v="217"/>
    <s v="PVP"/>
    <s v="Rua Dez, 54"/>
    <n v="-30.011189770000001"/>
    <n v="-50.159059159999998"/>
    <s v="C4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20.9"/>
    <n v="6.2"/>
    <n v="1"/>
    <n v="0.5"/>
    <n v="0.4"/>
    <n v="-9.9999999999999978E-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500000000000002"/>
    <n v="1.5555555555555558"/>
    <s v="-"/>
    <n v="13.95"/>
    <n v="0.46"/>
    <m/>
    <m/>
    <m/>
    <m/>
    <s v="ATENDE"/>
    <s v="ATENDE"/>
    <s v="ATENDE"/>
    <s v="ATENDE"/>
    <s v="C4"/>
    <s v="P6"/>
    <n v="0.21666666666666656"/>
    <n v="3.65"/>
    <n v="2"/>
    <n v="3"/>
    <n v="0.6"/>
    <s v="ATENDE"/>
    <s v="ATENDE"/>
    <s v="ATENDE"/>
    <s v="P6"/>
    <n v="3.9733333333333336"/>
    <n v="14.92"/>
    <n v="10.02999999999999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"/>
    <m/>
    <s v=""/>
    <s v=""/>
    <m/>
    <m/>
    <m/>
    <m/>
    <m/>
    <m/>
    <n v="30"/>
    <n v="70"/>
    <n v="100"/>
    <n v="0.5714285714285714"/>
    <m/>
    <m/>
    <s v="Sim"/>
    <m/>
  </r>
  <r>
    <n v="218"/>
    <s v="PVP"/>
    <s v="Rua Santa Clara, 738"/>
    <n v="-30.01441647"/>
    <n v="-50.158625030000003"/>
    <s v="C4"/>
    <x v="0"/>
    <s v="P6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Braço"/>
    <n v="36.299999999999997"/>
    <n v="6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799999999999988"/>
    <n v="0.5555555555555558"/>
    <s v="-"/>
    <n v="11.18"/>
    <n v="0.28000000000000003"/>
    <m/>
    <m/>
    <m/>
    <m/>
    <s v="ATENDE"/>
    <s v="ATENDE"/>
    <s v="ATENDE"/>
    <s v="ATENDE"/>
    <s v="C4"/>
    <s v="P6"/>
    <n v="0.96666666666666679"/>
    <n v="5.9"/>
    <n v="2.2400000000000002"/>
    <n v="3"/>
    <n v="0.6"/>
    <s v="ATENDE"/>
    <s v="ATENDE"/>
    <s v="ATENDE"/>
    <s v="-"/>
    <e v="#VALUE!"/>
    <n v="9.17"/>
    <n v="2.2000000000000002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18"/>
    <s v="PVP"/>
    <s v="Rua Santa Clara, 738"/>
    <n v="-30.01441647"/>
    <n v="-50.158625030000003"/>
    <s v="C4"/>
    <x v="0"/>
    <s v="P6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Braço"/>
    <n v="36.299999999999997"/>
    <n v="6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2"/>
    <n v="0.50000000000000022"/>
    <s v="-"/>
    <n v="10.6"/>
    <n v="0.27"/>
    <m/>
    <m/>
    <m/>
    <m/>
    <s v="ATENDE"/>
    <s v="ATENDE"/>
    <s v="ATENDE"/>
    <s v="ATENDE"/>
    <s v="C4"/>
    <s v="P6"/>
    <n v="0.51333333333333342"/>
    <n v="4.54"/>
    <n v="1.75"/>
    <n v="3"/>
    <n v="0.6"/>
    <s v="ATENDE"/>
    <s v="ATENDE"/>
    <s v="ATENDE"/>
    <s v="-"/>
    <e v="#VALUE!"/>
    <n v="8.6199999999999992"/>
    <n v="1.27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18"/>
    <s v="PVP"/>
    <s v="Rua Santa Clara, 738"/>
    <n v="-30.01441647"/>
    <n v="-50.158625030000003"/>
    <s v="C4"/>
    <x v="0"/>
    <s v="P6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Braço"/>
    <n v="36.299999999999997"/>
    <n v="6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99999999999991"/>
    <n v="5.555555555555558E-2"/>
    <s v="-"/>
    <n v="11.52"/>
    <n v="0.19"/>
    <m/>
    <m/>
    <m/>
    <m/>
    <s v="ATENDE"/>
    <s v="ATENDE"/>
    <s v="ATENDE"/>
    <s v="ATENDE"/>
    <s v="C4"/>
    <s v="P6"/>
    <n v="0.41666666666666674"/>
    <n v="4.25"/>
    <n v="1.22"/>
    <n v="3"/>
    <n v="0.6"/>
    <s v="ATENDE"/>
    <s v="ATENDE"/>
    <s v="ATENDE"/>
    <s v="-"/>
    <e v="#VALUE!"/>
    <n v="8.67"/>
    <n v="1.58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Curto II"/>
    <n v="1.4"/>
    <n v="6.5"/>
    <m/>
    <m/>
    <m/>
    <m/>
    <m/>
    <m/>
    <n v="40"/>
    <n v="150"/>
    <n v="190"/>
    <n v="0.73333333333333339"/>
    <m/>
    <m/>
    <s v="Sim"/>
    <m/>
  </r>
  <r>
    <n v="219"/>
    <s v="PVP"/>
    <s v="Rua Sargento Geraldo, 172"/>
    <n v="-30.0187186"/>
    <n v="-50.15249529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8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000000000000009E-2"/>
    <n v="1.9444444444444446"/>
    <s v="-"/>
    <n v="10.1"/>
    <n v="0.53"/>
    <m/>
    <m/>
    <m/>
    <m/>
    <s v="ATENDE"/>
    <s v="ATENDE"/>
    <s v="ATENDE"/>
    <s v="ATENDE"/>
    <s v="C4"/>
    <s v="P6"/>
    <n v="1.1000000000000001"/>
    <n v="6.3"/>
    <n v="3.76"/>
    <n v="3"/>
    <n v="0.6"/>
    <s v="ATENDE"/>
    <s v="ATENDE"/>
    <s v="ATENDE"/>
    <s v="P6"/>
    <n v="1.813333333333333"/>
    <n v="8.44"/>
    <n v="4.0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19"/>
    <s v="PVP"/>
    <s v="Rua Sargento Geraldo, 172"/>
    <n v="-30.0187186"/>
    <n v="-50.15249529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8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9999999999999"/>
    <n v="2.5555555555555558"/>
    <s v="-"/>
    <n v="11.42"/>
    <n v="0.64"/>
    <m/>
    <m/>
    <m/>
    <m/>
    <s v="ATENDE"/>
    <s v="ATENDE"/>
    <s v="ATENDE"/>
    <s v="ATENDE"/>
    <s v="C4"/>
    <s v="P6"/>
    <n v="1.2333333333333334"/>
    <n v="6.7"/>
    <n v="4.97"/>
    <n v="3"/>
    <n v="0.6"/>
    <s v="ATENDE"/>
    <s v="ATENDE"/>
    <s v="ATENDE"/>
    <s v="P6"/>
    <n v="2.2766666666666668"/>
    <n v="9.83"/>
    <n v="5.39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219"/>
    <s v="PVP"/>
    <s v="Rua Sargento Geraldo, 172"/>
    <n v="-30.0187186"/>
    <n v="-50.15249529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8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900000000000015"/>
    <n v="2.1666666666666665"/>
    <s v="-"/>
    <n v="12.89"/>
    <n v="0.56999999999999995"/>
    <m/>
    <m/>
    <m/>
    <m/>
    <s v="ATENDE"/>
    <s v="ATENDE"/>
    <s v="ATENDE"/>
    <s v="ATENDE"/>
    <s v="C4"/>
    <s v="P6"/>
    <n v="0.91333333333333333"/>
    <n v="5.74"/>
    <n v="3.9"/>
    <n v="3"/>
    <n v="0.6"/>
    <s v="ATENDE"/>
    <s v="ATENDE"/>
    <s v="ATENDE"/>
    <s v="P6"/>
    <n v="2.48"/>
    <n v="10.44"/>
    <n v="6.0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220"/>
    <s v="PV"/>
    <s v="Rua Um, 80"/>
    <n v="-30.009139560000001"/>
    <n v="-50.15866114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6"/>
    <n v="6.7"/>
    <n v="1"/>
    <n v="0.4"/>
    <n v="0.65"/>
    <n v="0.2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200000000000015"/>
    <n v="1.166666666666667"/>
    <s v="-"/>
    <n v="11.72"/>
    <n v="0.39"/>
    <m/>
    <m/>
    <m/>
    <m/>
    <s v="ATENDE"/>
    <s v="ATENDE"/>
    <s v="ATENDE"/>
    <s v="ATENDE"/>
    <s v="C4"/>
    <s v="-"/>
    <e v="#VALUE!"/>
    <n v="11.27"/>
    <n v="4.03"/>
    <s v="-"/>
    <s v="-"/>
    <s v="-"/>
    <s v="-"/>
    <s v="-"/>
    <s v="P6"/>
    <s v="-"/>
    <s v="-"/>
    <s v="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"/>
    <m/>
    <s v=""/>
    <s v=""/>
    <m/>
    <m/>
    <m/>
    <m/>
    <m/>
    <m/>
    <n v="44"/>
    <n v="100"/>
    <n v="144"/>
    <n v="0.56000000000000005"/>
    <m/>
    <m/>
    <s v="Sim"/>
    <m/>
  </r>
  <r>
    <n v="220"/>
    <s v="PV"/>
    <s v="Rua Um, 80"/>
    <n v="-30.009139560000001"/>
    <n v="-50.15866114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6"/>
    <n v="6.7"/>
    <n v="1"/>
    <n v="0.4"/>
    <n v="0.65"/>
    <n v="0.2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899999999999999"/>
    <n v="2.1111111111111116"/>
    <s v="-"/>
    <n v="11.09"/>
    <n v="0.56000000000000005"/>
    <m/>
    <m/>
    <m/>
    <m/>
    <s v="ATENDE"/>
    <s v="ATENDE"/>
    <s v="ATENDE"/>
    <s v="ATENDE"/>
    <s v="C4"/>
    <s v="-"/>
    <e v="#VALUE!"/>
    <n v="10.79"/>
    <n v="4.29"/>
    <s v="-"/>
    <s v="-"/>
    <s v="-"/>
    <s v="-"/>
    <s v="-"/>
    <s v="P6"/>
    <s v="-"/>
    <s v="-"/>
    <s v="-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"/>
    <m/>
    <s v=""/>
    <s v=""/>
    <m/>
    <m/>
    <m/>
    <m/>
    <m/>
    <m/>
    <n v="39"/>
    <n v="100"/>
    <n v="139"/>
    <n v="0.61"/>
    <m/>
    <m/>
    <s v="Sim"/>
    <m/>
  </r>
  <r>
    <n v="220"/>
    <s v="PV"/>
    <s v="Rua Um, 80"/>
    <n v="-30.009139560000001"/>
    <n v="-50.15866114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6"/>
    <n v="6.7"/>
    <n v="1"/>
    <n v="0.4"/>
    <n v="0.65"/>
    <n v="0.2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300000000000009"/>
    <n v="1.166666666666667"/>
    <s v="-"/>
    <n v="12.23"/>
    <n v="0.39"/>
    <m/>
    <m/>
    <m/>
    <m/>
    <s v="ATENDE"/>
    <s v="ATENDE"/>
    <s v="ATENDE"/>
    <s v="ATENDE"/>
    <s v="C4"/>
    <s v="-"/>
    <e v="#VALUE!"/>
    <n v="11.64"/>
    <n v="4.59"/>
    <s v="-"/>
    <s v="-"/>
    <s v="-"/>
    <s v="-"/>
    <s v="-"/>
    <s v="P6"/>
    <s v="-"/>
    <s v="-"/>
    <s v="-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"/>
    <m/>
    <s v=""/>
    <s v=""/>
    <m/>
    <m/>
    <m/>
    <m/>
    <m/>
    <m/>
    <n v="40"/>
    <n v="100"/>
    <n v="140"/>
    <n v="0.6"/>
    <m/>
    <m/>
    <s v="Sim"/>
    <m/>
  </r>
  <r>
    <n v="221"/>
    <s v="PVP"/>
    <s v="Rua Castro Alves, 286"/>
    <n v="-30.01916928"/>
    <n v="-50.1518928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52.5"/>
    <n v="7.1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2999999999999936E-2"/>
    <n v="0"/>
    <s v="-"/>
    <n v="10.53"/>
    <n v="0.18"/>
    <m/>
    <m/>
    <m/>
    <m/>
    <s v="ATENDE"/>
    <s v="ATENDE"/>
    <s v="ATENDE"/>
    <s v="ATENDE"/>
    <s v="C4"/>
    <s v="P6"/>
    <n v="1.5066666666666664"/>
    <n v="7.52"/>
    <n v="1.27"/>
    <n v="3"/>
    <n v="0.6"/>
    <s v="ATENDE"/>
    <s v="ATENDE"/>
    <s v="ATENDE"/>
    <s v="P6"/>
    <n v="1.5"/>
    <n v="7.5"/>
    <n v="1.24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221"/>
    <s v="PVP"/>
    <s v="Rua Castro Alves, 286"/>
    <n v="-30.01916928"/>
    <n v="-50.1518928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52.5"/>
    <n v="7.1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000000000000004"/>
    <n v="5.555555555555558E-2"/>
    <s v="-"/>
    <n v="12.9"/>
    <n v="0.19"/>
    <m/>
    <m/>
    <m/>
    <m/>
    <s v="ATENDE"/>
    <s v="ATENDE"/>
    <s v="ATENDE"/>
    <s v="ATENDE"/>
    <s v="C4"/>
    <s v="P6"/>
    <n v="1.83"/>
    <n v="8.49"/>
    <n v="2.0699999999999998"/>
    <n v="3"/>
    <n v="0.6"/>
    <s v="ATENDE"/>
    <s v="ATENDE"/>
    <s v="ATENDE"/>
    <s v="P6"/>
    <n v="2.9766666666666666"/>
    <n v="11.93"/>
    <n v="1.59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n v="5"/>
    <s v="Curto II"/>
    <m/>
    <s v=""/>
    <s v=""/>
    <m/>
    <m/>
    <m/>
    <m/>
    <m/>
    <m/>
    <n v="70"/>
    <n v="100"/>
    <n v="170"/>
    <n v="0.30000000000000004"/>
    <m/>
    <m/>
    <s v="Sim"/>
    <m/>
  </r>
  <r>
    <n v="221"/>
    <s v="PVP"/>
    <s v="Rua Castro Alves, 286"/>
    <n v="-30.01916928"/>
    <n v="-50.1518928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52.5"/>
    <n v="7.1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00000000000005E-2"/>
    <n v="3"/>
    <s v="-"/>
    <n v="10.56"/>
    <n v="0.72"/>
    <m/>
    <m/>
    <m/>
    <m/>
    <s v="ATENDE"/>
    <s v="ATENDE"/>
    <s v="ATENDE"/>
    <s v="ATENDE"/>
    <s v="C4"/>
    <s v="P6"/>
    <n v="0.98333333333333339"/>
    <n v="5.95"/>
    <n v="4.54"/>
    <n v="3"/>
    <n v="0.6"/>
    <s v="ATENDE"/>
    <s v="ATENDE"/>
    <s v="ATENDE"/>
    <s v="P6"/>
    <n v="1.8800000000000003"/>
    <n v="8.64"/>
    <n v="6.0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n v="5"/>
    <s v="Curto II"/>
    <m/>
    <s v=""/>
    <s v=""/>
    <s v="APEA"/>
    <n v="1"/>
    <m/>
    <s v="Redução pela metade da distância entre postes. 52,10 para 26.05"/>
    <m/>
    <m/>
    <n v="30"/>
    <n v="100"/>
    <n v="130"/>
    <n v="0.7"/>
    <m/>
    <m/>
    <s v="Sim"/>
    <m/>
  </r>
  <r>
    <n v="222"/>
    <s v="PVP"/>
    <s v="Rua Eleodoro Franzen, 1335"/>
    <n v="-30.00740154"/>
    <n v="-50.152964150000003"/>
    <s v="C3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6.3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2.6666666666666616E-2"/>
    <n v="0.16666666666666674"/>
    <s v="-"/>
    <n v="15.4"/>
    <n v="0.21"/>
    <m/>
    <m/>
    <m/>
    <m/>
    <s v="ATENDE"/>
    <s v="ATENDE"/>
    <s v="ATENDE"/>
    <s v="ATENDE"/>
    <s v="C3"/>
    <s v="P6"/>
    <n v="1.9733333333333332"/>
    <n v="8.92"/>
    <n v="2.06"/>
    <n v="3"/>
    <n v="0.6"/>
    <s v="ATENDE"/>
    <s v="ATENDE"/>
    <s v="ATENDE"/>
    <s v="P6"/>
    <n v="2.6666666666666665"/>
    <n v="11"/>
    <n v="1.7"/>
    <n v="3"/>
    <n v="0.6"/>
    <s v="ATENDE"/>
    <s v="ATENDE"/>
    <s v="ATENDE"/>
    <x v="0"/>
    <s v=" SL VT 9.1 72W"/>
    <s v="LUM LED SL VT 9.1 72W"/>
    <m/>
    <e v="#N/A"/>
    <n v="1"/>
    <n v="72"/>
    <e v="#N/A"/>
    <n v="12107"/>
    <n v="0"/>
    <n v="0"/>
    <n v="5"/>
    <s v="Curto II"/>
    <m/>
    <m/>
    <m/>
    <m/>
    <m/>
    <m/>
    <m/>
    <m/>
    <m/>
    <n v="72"/>
    <n v="100"/>
    <n v="172"/>
    <n v="0.28000000000000003"/>
    <m/>
    <m/>
    <s v="Sim"/>
    <m/>
  </r>
  <r>
    <n v="222"/>
    <s v="PVP"/>
    <s v="Rua Eleodoro Franzen, 1335"/>
    <n v="-30.00740154"/>
    <n v="-50.152964150000003"/>
    <s v="C3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6.3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199999999999997"/>
    <n v="0.11111111111111116"/>
    <s v="-"/>
    <n v="18.18"/>
    <n v="0.2"/>
    <m/>
    <m/>
    <m/>
    <m/>
    <s v="ATENDE"/>
    <s v="ATENDE"/>
    <s v="ATENDE"/>
    <s v="ATENDE"/>
    <s v="C3"/>
    <s v="P6"/>
    <n v="2.4133333333333336"/>
    <n v="10.24"/>
    <n v="2.63"/>
    <n v="3"/>
    <n v="0.6"/>
    <s v="ATENDE"/>
    <s v="ATENDE"/>
    <s v="ATENDE"/>
    <s v="P6"/>
    <n v="3.7800000000000002"/>
    <n v="14.34"/>
    <n v="1.71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n v="5"/>
    <s v="Curto II"/>
    <m/>
    <m/>
    <m/>
    <m/>
    <m/>
    <m/>
    <m/>
    <m/>
    <m/>
    <n v="70"/>
    <n v="100"/>
    <n v="170"/>
    <n v="0.30000000000000004"/>
    <m/>
    <m/>
    <s v="Sim"/>
    <m/>
  </r>
  <r>
    <n v="222"/>
    <s v="PVP"/>
    <s v="Rua Eleodoro Franzen, 1335"/>
    <n v="-30.00740154"/>
    <n v="-50.152964150000003"/>
    <s v="C3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6.3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2199999999999989"/>
    <n v="0.2777777777777779"/>
    <s v="-"/>
    <n v="16.829999999999998"/>
    <n v="0.23"/>
    <m/>
    <m/>
    <m/>
    <m/>
    <s v="ATENDE"/>
    <s v="ATENDE"/>
    <s v="ATENDE"/>
    <s v="ATENDE"/>
    <s v="C3"/>
    <s v="P6"/>
    <n v="3.6366666666666667"/>
    <n v="13.91"/>
    <n v="4.1100000000000003"/>
    <n v="3"/>
    <n v="0.6"/>
    <s v="ATENDE"/>
    <s v="ATENDE"/>
    <s v="ATENDE"/>
    <s v="P6"/>
    <n v="1.7799999999999998"/>
    <n v="8.34"/>
    <n v="2.35"/>
    <n v="3"/>
    <n v="0.6"/>
    <s v="ATENDE"/>
    <s v="ATENDE"/>
    <s v="ATENDE"/>
    <x v="2"/>
    <s v="SIGSAGPTLRRSSNDL_90W112IBBRS_x000a_"/>
    <s v="SIGSAGPTLRRSSNDL_90W112IBBRS_x000a_1-10C1MUN6.5"/>
    <m/>
    <e v="#N/A"/>
    <n v="1"/>
    <n v="90"/>
    <n v="0"/>
    <n v="13859"/>
    <n v="0"/>
    <n v="0"/>
    <m/>
    <s v="Curto II"/>
    <s v="Longo II"/>
    <n v="3.5"/>
    <n v="8.5"/>
    <m/>
    <m/>
    <m/>
    <m/>
    <m/>
    <m/>
    <n v="90"/>
    <n v="100"/>
    <n v="190"/>
    <n v="9.9999999999999978E-2"/>
    <m/>
    <m/>
    <s v="Sim"/>
    <m/>
  </r>
  <r>
    <n v="223"/>
    <s v="PV"/>
    <s v="Rua Um, 2"/>
    <n v="-30.008188919999998"/>
    <n v="-50.158575220000003"/>
    <s v="C4"/>
    <x v="0"/>
    <s v="P6"/>
    <s v="Vapor de sódio"/>
    <n v="250"/>
    <n v="30"/>
    <n v="0"/>
    <n v="500"/>
    <n v="2"/>
    <n v="2.5"/>
    <n v="7"/>
    <m/>
    <m/>
    <n v="0"/>
    <n v="0"/>
    <n v="0"/>
    <n v="0"/>
    <n v="0"/>
    <n v="0"/>
    <n v="0"/>
    <s v="Unilateral"/>
    <s v="Braço"/>
    <n v="20.9"/>
    <n v="6.9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000000000000087E-2"/>
    <n v="2.1111111111111116"/>
    <s v="-"/>
    <n v="10.98"/>
    <n v="0.56000000000000005"/>
    <m/>
    <m/>
    <m/>
    <m/>
    <s v="ATENDE"/>
    <s v="ATENDE"/>
    <s v="ATENDE"/>
    <s v="ATENDE"/>
    <s v="C4"/>
    <s v="P6"/>
    <n v="2.8200000000000003"/>
    <n v="11.46"/>
    <n v="7.22"/>
    <n v="3"/>
    <n v="0.6"/>
    <s v="ATENDE"/>
    <s v="ATENDE"/>
    <s v="ATENDE"/>
    <s v="P6"/>
    <s v="-"/>
    <s v="-"/>
    <s v="-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250"/>
    <n v="278"/>
    <n v="0.88800000000000001"/>
    <m/>
    <m/>
    <s v="Sim"/>
    <m/>
  </r>
  <r>
    <n v="223"/>
    <s v="PV"/>
    <s v="Rua Um, 2"/>
    <n v="-30.008188919999998"/>
    <n v="-50.158575220000003"/>
    <s v="C4"/>
    <x v="0"/>
    <s v="P6"/>
    <s v="Vapor de sódio"/>
    <n v="250"/>
    <n v="30"/>
    <n v="0"/>
    <n v="500"/>
    <n v="2"/>
    <n v="2.5"/>
    <n v="7"/>
    <m/>
    <m/>
    <n v="0"/>
    <n v="0"/>
    <n v="0"/>
    <n v="0"/>
    <n v="0"/>
    <n v="0"/>
    <n v="0"/>
    <s v="Unilateral"/>
    <s v="Braço"/>
    <n v="20.9"/>
    <n v="6.9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099999999999998"/>
    <n v="2.1666666666666665"/>
    <s v="-"/>
    <n v="13.51"/>
    <n v="0.56999999999999995"/>
    <m/>
    <m/>
    <m/>
    <m/>
    <s v="ATENDE"/>
    <s v="ATENDE"/>
    <s v="ATENDE"/>
    <s v="ATENDE"/>
    <s v="C4"/>
    <s v="P6"/>
    <n v="3.6366666666666667"/>
    <n v="13.91"/>
    <n v="10.4"/>
    <n v="3"/>
    <n v="0.6"/>
    <s v="ATENDE"/>
    <s v="ATENDE"/>
    <s v="ATENDE"/>
    <s v="P6"/>
    <s v="-"/>
    <s v="-"/>
    <s v="-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250"/>
    <n v="281"/>
    <n v="0.876"/>
    <m/>
    <m/>
    <s v="Sim"/>
    <m/>
  </r>
  <r>
    <n v="223"/>
    <s v="PV"/>
    <s v="Rua Um, 2"/>
    <n v="-30.008188919999998"/>
    <n v="-50.158575220000003"/>
    <s v="C4"/>
    <x v="0"/>
    <s v="P6"/>
    <s v="Vapor de sódio"/>
    <n v="250"/>
    <n v="30"/>
    <n v="0"/>
    <n v="500"/>
    <n v="2"/>
    <n v="2.5"/>
    <n v="7"/>
    <m/>
    <m/>
    <n v="0"/>
    <n v="0"/>
    <n v="0"/>
    <n v="0"/>
    <n v="0"/>
    <n v="0"/>
    <n v="0"/>
    <s v="Unilateral"/>
    <s v="Braço"/>
    <n v="20.9"/>
    <n v="6.9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400000000000006"/>
    <n v="2.0555555555555558"/>
    <s v="-"/>
    <n v="13.14"/>
    <n v="0.55000000000000004"/>
    <m/>
    <m/>
    <m/>
    <m/>
    <s v="ATENDE"/>
    <s v="ATENDE"/>
    <s v="ATENDE"/>
    <s v="ATENDE"/>
    <s v="C4"/>
    <s v="P6"/>
    <n v="3.6433333333333335"/>
    <n v="13.93"/>
    <n v="10"/>
    <n v="3"/>
    <n v="0.6"/>
    <s v="ATENDE"/>
    <s v="ATENDE"/>
    <s v="ATENDE"/>
    <s v="P6"/>
    <s v="-"/>
    <s v="-"/>
    <s v="-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250"/>
    <n v="280"/>
    <n v="0.88"/>
    <m/>
    <m/>
    <s v="Sim"/>
    <m/>
  </r>
  <r>
    <n v="224"/>
    <s v="PVP"/>
    <s v="Rua Dez de Novembro, 364"/>
    <n v="-30.018354729999999"/>
    <n v="-50.158127499999999"/>
    <s v="C4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5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6000000000000041E-2"/>
    <n v="1.0555555555555558"/>
    <s v="-"/>
    <n v="10.46"/>
    <n v="0.37"/>
    <m/>
    <m/>
    <m/>
    <m/>
    <s v="ATENDE"/>
    <s v="ATENDE"/>
    <s v="ATENDE"/>
    <s v="ATENDE"/>
    <s v="C4"/>
    <s v="P6"/>
    <n v="1.1266666666666665"/>
    <n v="6.38"/>
    <n v="3.02"/>
    <n v="3"/>
    <n v="0.6"/>
    <s v="ATENDE"/>
    <s v="ATENDE"/>
    <s v="ATENDE"/>
    <s v="P6"/>
    <n v="2.1166666666666667"/>
    <n v="9.35"/>
    <n v="3.1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24"/>
    <s v="PVP"/>
    <s v="Rua Dez de Novembro, 364"/>
    <n v="-30.018354729999999"/>
    <n v="-50.158127499999999"/>
    <s v="C4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5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3999999999999826E-2"/>
    <n v="1.1111111111111112"/>
    <s v="-"/>
    <n v="10.54"/>
    <n v="0.38"/>
    <m/>
    <m/>
    <m/>
    <m/>
    <s v="ATENDE"/>
    <s v="ATENDE"/>
    <s v="ATENDE"/>
    <s v="ATENDE"/>
    <s v="C4"/>
    <s v="P6"/>
    <n v="0.69000000000000017"/>
    <n v="5.07"/>
    <n v="2.63"/>
    <n v="3"/>
    <n v="0.6"/>
    <s v="ATENDE"/>
    <s v="ATENDE"/>
    <s v="ATENDE"/>
    <s v="P6"/>
    <n v="2.0666666666666664"/>
    <n v="9.1999999999999993"/>
    <n v="2.3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Curto I"/>
    <n v="1.2"/>
    <n v="6.5"/>
    <m/>
    <m/>
    <m/>
    <m/>
    <m/>
    <m/>
    <n v="39"/>
    <n v="100"/>
    <n v="139"/>
    <n v="0.61"/>
    <m/>
    <m/>
    <s v="Sim"/>
    <m/>
  </r>
  <r>
    <n v="224"/>
    <s v="PVP"/>
    <s v="Rua Dez de Novembro, 364"/>
    <n v="-30.018354729999999"/>
    <n v="-50.158127499999999"/>
    <s v="C4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5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799999999999988"/>
    <n v="0.94444444444444442"/>
    <s v="-"/>
    <n v="11.18"/>
    <n v="0.35"/>
    <m/>
    <m/>
    <m/>
    <m/>
    <s v="ATENDE"/>
    <s v="ATENDE"/>
    <s v="ATENDE"/>
    <s v="ATENDE"/>
    <s v="C4"/>
    <s v="P6"/>
    <n v="0.52333333333333343"/>
    <n v="4.57"/>
    <n v="2.13"/>
    <n v="3"/>
    <n v="0.6"/>
    <s v="ATENDE"/>
    <s v="ATENDE"/>
    <s v="ATENDE"/>
    <s v="P6"/>
    <n v="2.1799999999999997"/>
    <n v="9.5399999999999991"/>
    <n v="3.1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25"/>
    <s v="PVP"/>
    <s v="Avenida Nordeste, 388"/>
    <n v="-30.012892229999999"/>
    <n v="-50.150037650000002"/>
    <s v="C4"/>
    <x v="0"/>
    <s v="P6"/>
    <s v="LED"/>
    <n v="50"/>
    <n v="0"/>
    <n v="0"/>
    <n v="100"/>
    <n v="2"/>
    <n v="3"/>
    <n v="7"/>
    <m/>
    <m/>
    <n v="0"/>
    <n v="2.5"/>
    <n v="0"/>
    <n v="0"/>
    <n v="0"/>
    <n v="0"/>
    <n v="0"/>
    <s v="Unilateral"/>
    <s v="Braço"/>
    <n v="30.1"/>
    <n v="6.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1.5"/>
    <s v="-"/>
    <n v="10.74"/>
    <n v="0.45"/>
    <m/>
    <m/>
    <m/>
    <m/>
    <s v="ATENDE"/>
    <s v="ATENDE"/>
    <s v="ATENDE"/>
    <s v="ATENDE"/>
    <s v="C4"/>
    <s v="P6"/>
    <n v="0.90666666666666651"/>
    <n v="5.72"/>
    <n v="2.91"/>
    <n v="3"/>
    <n v="0.6"/>
    <s v="ATENDE"/>
    <s v="ATENDE"/>
    <s v="ATENDE"/>
    <s v="-"/>
    <e v="#VALUE!"/>
    <n v="8.1"/>
    <n v="3.17"/>
    <s v="-"/>
    <s v="-"/>
    <s v="-"/>
    <s v="-"/>
    <s v="-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50"/>
    <n v="85"/>
    <n v="0.30000000000000004"/>
    <m/>
    <m/>
    <s v="Sim"/>
    <m/>
  </r>
  <r>
    <n v="225"/>
    <s v="PVP"/>
    <s v="Avenida Nordeste, 388"/>
    <n v="-30.012892229999999"/>
    <n v="-50.150037650000002"/>
    <s v="C4"/>
    <x v="0"/>
    <s v="P6"/>
    <s v="LED"/>
    <n v="50"/>
    <n v="0"/>
    <n v="0"/>
    <n v="100"/>
    <n v="2"/>
    <n v="3"/>
    <n v="7"/>
    <m/>
    <m/>
    <n v="0"/>
    <n v="2.5"/>
    <n v="0"/>
    <n v="0"/>
    <n v="0"/>
    <n v="0"/>
    <n v="0"/>
    <s v="Unilateral"/>
    <s v="Braço"/>
    <n v="30.1"/>
    <n v="6.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00000000000003E-2"/>
    <n v="1.9444444444444446"/>
    <s v="-"/>
    <n v="10.34"/>
    <n v="0.53"/>
    <m/>
    <m/>
    <m/>
    <m/>
    <s v="ATENDE"/>
    <s v="ATENDE"/>
    <s v="ATENDE"/>
    <s v="ATENDE"/>
    <s v="C4"/>
    <s v="P6"/>
    <n v="0.5199999999999998"/>
    <n v="4.5599999999999996"/>
    <n v="2.73"/>
    <n v="3"/>
    <n v="0.6"/>
    <s v="ATENDE"/>
    <s v="ATENDE"/>
    <s v="ATENDE"/>
    <s v="-"/>
    <e v="#VALUE!"/>
    <n v="7.3"/>
    <n v="2.0499999999999998"/>
    <s v="-"/>
    <s v="-"/>
    <s v="-"/>
    <s v="-"/>
    <s v="-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50"/>
    <n v="81"/>
    <n v="0.38"/>
    <m/>
    <m/>
    <s v="Sim"/>
    <m/>
  </r>
  <r>
    <n v="225"/>
    <s v="PVP"/>
    <s v="Avenida Nordeste, 388"/>
    <n v="-30.012892229999999"/>
    <n v="-50.150037650000002"/>
    <s v="C4"/>
    <x v="0"/>
    <s v="P6"/>
    <s v="LED"/>
    <n v="50"/>
    <n v="0"/>
    <n v="0"/>
    <n v="100"/>
    <n v="2"/>
    <n v="3"/>
    <n v="7"/>
    <m/>
    <m/>
    <n v="0"/>
    <n v="2.5"/>
    <n v="0"/>
    <n v="0"/>
    <n v="0"/>
    <n v="0"/>
    <n v="0"/>
    <s v="Unilateral"/>
    <s v="Braço"/>
    <n v="30.1"/>
    <n v="6.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999999999999904E-2"/>
    <n v="2.2222222222222223"/>
    <s v="-"/>
    <n v="10.17"/>
    <n v="0.57999999999999996"/>
    <m/>
    <m/>
    <m/>
    <m/>
    <s v="ATENDE"/>
    <s v="ATENDE"/>
    <s v="ATENDE"/>
    <s v="ATENDE"/>
    <s v="C4"/>
    <s v="P6"/>
    <n v="0.44000000000000017"/>
    <n v="4.32"/>
    <n v="2.95"/>
    <n v="3"/>
    <n v="0.6"/>
    <s v="ATENDE"/>
    <s v="ATENDE"/>
    <s v="ATENDE"/>
    <s v="-"/>
    <e v="#VALUE!"/>
    <n v="7.44"/>
    <n v="3.64"/>
    <s v="-"/>
    <s v="-"/>
    <s v="-"/>
    <s v="-"/>
    <s v="-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Sim"/>
    <m/>
  </r>
  <r>
    <n v="226"/>
    <s v="PVP"/>
    <s v="Rua Mario Totta, 483"/>
    <n v="-30.01082735"/>
    <n v="-50.1572496"/>
    <s v="C5"/>
    <x v="0"/>
    <s v="P6"/>
    <s v="LED"/>
    <n v="50"/>
    <n v="0"/>
    <n v="0"/>
    <n v="140"/>
    <n v="2"/>
    <n v="4"/>
    <n v="7"/>
    <m/>
    <m/>
    <n v="0"/>
    <n v="4"/>
    <n v="0"/>
    <n v="0"/>
    <n v="0"/>
    <n v="0"/>
    <n v="0"/>
    <s v="Unilateral"/>
    <s v="Braço"/>
    <n v="13.1"/>
    <n v="7.8"/>
    <n v="1"/>
    <n v="1.5"/>
    <n v="2.8"/>
    <n v="1.299999999999999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7333333333333352"/>
    <n v="3.666666666666667"/>
    <s v="-"/>
    <n v="10.3"/>
    <n v="0.84"/>
    <m/>
    <m/>
    <m/>
    <m/>
    <s v="ATENDE"/>
    <s v="ATENDE"/>
    <s v="ATENDE"/>
    <s v="ATENDE"/>
    <s v="C5"/>
    <s v="-"/>
    <e v="#VALUE!"/>
    <n v="6.52"/>
    <n v="5.08"/>
    <s v="-"/>
    <s v="-"/>
    <s v="-"/>
    <s v="-"/>
    <s v="-"/>
    <s v="-"/>
    <e v="#VALUE!"/>
    <n v="7.08"/>
    <n v="4.9800000000000004"/>
    <s v="-"/>
    <s v="-"/>
    <s v="-"/>
    <s v="-"/>
    <s v="-"/>
    <x v="0"/>
    <s v=" SL VT 9.1 17W"/>
    <s v="LUM LED SL VT 9.1 17W"/>
    <m/>
    <e v="#N/A"/>
    <n v="1"/>
    <n v="17"/>
    <n v="0"/>
    <n v="2929.66"/>
    <n v="0"/>
    <n v="0"/>
    <m/>
    <s v="Longo I"/>
    <m/>
    <s v=""/>
    <s v=""/>
    <m/>
    <m/>
    <m/>
    <m/>
    <m/>
    <m/>
    <n v="30"/>
    <n v="70"/>
    <n v="100"/>
    <n v="0.5714285714285714"/>
    <m/>
    <m/>
    <s v="Sim"/>
    <m/>
  </r>
  <r>
    <n v="226"/>
    <s v="PVP"/>
    <s v="Rua Mario Totta, 483"/>
    <n v="-30.01082735"/>
    <n v="-50.1572496"/>
    <s v="C5"/>
    <x v="0"/>
    <s v="P6"/>
    <s v="LED"/>
    <n v="50"/>
    <n v="0"/>
    <n v="0"/>
    <n v="140"/>
    <n v="2"/>
    <n v="4"/>
    <n v="7"/>
    <m/>
    <m/>
    <n v="0"/>
    <n v="4"/>
    <n v="0"/>
    <n v="0"/>
    <n v="0"/>
    <n v="0"/>
    <n v="0"/>
    <s v="Unilateral"/>
    <s v="Braço"/>
    <n v="13.1"/>
    <n v="7.8"/>
    <n v="1"/>
    <n v="1.5"/>
    <n v="2.8"/>
    <n v="1.299999999999999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90800000000000014"/>
    <n v="3.7777777777777777"/>
    <s v="-"/>
    <n v="14.31"/>
    <n v="0.86"/>
    <m/>
    <m/>
    <m/>
    <m/>
    <s v="ATENDE"/>
    <s v="ATENDE"/>
    <s v="ATENDE"/>
    <s v="ATENDE"/>
    <s v="C5"/>
    <s v="-"/>
    <e v="#VALUE!"/>
    <n v="8.09"/>
    <n v="5.27"/>
    <s v="-"/>
    <s v="-"/>
    <s v="-"/>
    <s v="-"/>
    <s v="-"/>
    <s v="-"/>
    <e v="#VALUE!"/>
    <n v="9.1199999999999992"/>
    <n v="5.75"/>
    <s v="-"/>
    <s v="-"/>
    <s v="-"/>
    <s v="-"/>
    <s v="-"/>
    <x v="1"/>
    <s v="SX-INEVO020HF"/>
    <s v="SXINEVO020K40L12CZF7PHF"/>
    <m/>
    <e v="#N/A"/>
    <n v="1"/>
    <n v="22.5"/>
    <n v="0"/>
    <n v="3825"/>
    <n v="0"/>
    <n v="0"/>
    <m/>
    <s v="Longo I"/>
    <m/>
    <s v=""/>
    <s v=""/>
    <m/>
    <m/>
    <m/>
    <m/>
    <m/>
    <m/>
    <n v="30"/>
    <n v="70"/>
    <n v="100"/>
    <n v="0.5714285714285714"/>
    <m/>
    <m/>
    <s v="Sim"/>
    <m/>
  </r>
  <r>
    <n v="226"/>
    <s v="PVP"/>
    <s v="Rua Mario Totta, 483"/>
    <n v="-30.01082735"/>
    <n v="-50.1572496"/>
    <s v="C5"/>
    <x v="0"/>
    <s v="P6"/>
    <s v="LED"/>
    <n v="50"/>
    <n v="0"/>
    <n v="0"/>
    <n v="140"/>
    <n v="2"/>
    <n v="4"/>
    <n v="7"/>
    <m/>
    <m/>
    <n v="0"/>
    <n v="4"/>
    <n v="0"/>
    <n v="0"/>
    <n v="0"/>
    <n v="0"/>
    <n v="0"/>
    <s v="Unilateral"/>
    <s v="Braço"/>
    <n v="13.1"/>
    <n v="7.8"/>
    <n v="1"/>
    <n v="1.5"/>
    <n v="2.8"/>
    <n v="1.299999999999999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8280000000000003"/>
    <n v="3.3888888888888893"/>
    <s v="-"/>
    <n v="21.21"/>
    <n v="0.79"/>
    <m/>
    <m/>
    <m/>
    <m/>
    <s v="ATENDE"/>
    <s v="ATENDE"/>
    <s v="ATENDE"/>
    <s v="ATENDE"/>
    <s v="C5"/>
    <s v="-"/>
    <e v="#VALUE!"/>
    <n v="10.54"/>
    <n v="7.09"/>
    <s v="-"/>
    <s v="-"/>
    <s v="-"/>
    <s v="-"/>
    <s v="-"/>
    <s v="-"/>
    <e v="#VALUE!"/>
    <n v="13.39"/>
    <n v="9.09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Longo I"/>
    <m/>
    <s v=""/>
    <s v=""/>
    <m/>
    <m/>
    <m/>
    <m/>
    <m/>
    <m/>
    <n v="30"/>
    <n v="70"/>
    <n v="100"/>
    <n v="0.5714285714285714"/>
    <m/>
    <m/>
    <s v="Sim"/>
    <m/>
  </r>
  <r>
    <n v="227"/>
    <s v="PVP"/>
    <s v="Rua Santo Amaro, 329"/>
    <n v="-30.020608339999999"/>
    <n v="-50.150894780000002"/>
    <s v="C4"/>
    <x v="0"/>
    <s v="P6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37.4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000000000000087E-2"/>
    <n v="1"/>
    <s v="-"/>
    <n v="10.98"/>
    <n v="0.36"/>
    <m/>
    <m/>
    <m/>
    <m/>
    <s v="ATENDE"/>
    <s v="ATENDE"/>
    <s v="ATENDE"/>
    <s v="ATENDE"/>
    <s v="C4"/>
    <s v="P6"/>
    <n v="1.3000000000000003"/>
    <n v="6.9"/>
    <n v="3.09"/>
    <n v="3"/>
    <n v="0.6"/>
    <s v="ATENDE"/>
    <s v="ATENDE"/>
    <s v="ATENDE"/>
    <s v="P6"/>
    <n v="2.1466666666666665"/>
    <n v="9.44"/>
    <n v="3.13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27"/>
    <s v="PVP"/>
    <s v="Rua Santo Amaro, 329"/>
    <n v="-30.020608339999999"/>
    <n v="-50.150894780000002"/>
    <s v="C4"/>
    <x v="0"/>
    <s v="P6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37.4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200000000000005"/>
    <n v="1.3888888888888888"/>
    <s v="-"/>
    <n v="13.02"/>
    <n v="0.43"/>
    <m/>
    <m/>
    <m/>
    <m/>
    <s v="ATENDE"/>
    <s v="ATENDE"/>
    <s v="ATENDE"/>
    <s v="ATENDE"/>
    <s v="C4"/>
    <s v="P6"/>
    <n v="1.6600000000000001"/>
    <n v="7.98"/>
    <n v="5.39"/>
    <n v="3"/>
    <n v="0.6"/>
    <s v="ATENDE"/>
    <s v="ATENDE"/>
    <s v="ATENDE"/>
    <s v="P6"/>
    <n v="2.58"/>
    <n v="10.74"/>
    <n v="2.97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27"/>
    <s v="PVP"/>
    <s v="Rua Santo Amaro, 329"/>
    <n v="-30.020608339999999"/>
    <n v="-50.150894780000002"/>
    <s v="C4"/>
    <x v="0"/>
    <s v="P6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37.4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999999999999897E-3"/>
    <n v="1"/>
    <s v="-"/>
    <n v="10.09"/>
    <n v="0.36"/>
    <m/>
    <m/>
    <m/>
    <m/>
    <s v="ATENDE"/>
    <s v="ATENDE"/>
    <s v="ATENDE"/>
    <s v="ATENDE"/>
    <s v="C4"/>
    <s v="P6"/>
    <n v="0.46666666666666679"/>
    <n v="4.4000000000000004"/>
    <n v="2.04"/>
    <n v="3"/>
    <n v="0.6"/>
    <s v="ATENDE"/>
    <s v="ATENDE"/>
    <s v="ATENDE"/>
    <s v="P6"/>
    <n v="1.7266666666666666"/>
    <n v="8.18"/>
    <n v="2.6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m/>
    <m/>
    <m/>
    <m/>
    <m/>
    <m/>
    <m/>
    <m/>
    <n v="30"/>
    <n v="70"/>
    <n v="100"/>
    <n v="0.5714285714285714"/>
    <m/>
    <m/>
    <s v="Sim"/>
    <m/>
  </r>
  <r>
    <n v="228"/>
    <s v="VP"/>
    <s v="Rua Santa Fe, 4935"/>
    <n v="-30.01585824"/>
    <n v="-50.147064159999999"/>
    <s v="C4"/>
    <x v="0"/>
    <s v="P6"/>
    <s v="LED"/>
    <n v="50"/>
    <n v="0"/>
    <n v="0"/>
    <n v="140"/>
    <n v="2"/>
    <n v="0"/>
    <n v="7.5"/>
    <m/>
    <m/>
    <n v="0"/>
    <n v="3"/>
    <n v="8"/>
    <n v="0"/>
    <n v="0"/>
    <n v="0"/>
    <n v="0"/>
    <s v="Canteiro central"/>
    <s v="Braço"/>
    <n v="24.5"/>
    <n v="7.5"/>
    <n v="1"/>
    <n v="4"/>
    <n v="2.5"/>
    <n v="-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00000000000002"/>
    <n v="1.6111111111111112"/>
    <s v="-"/>
    <n v="11.51"/>
    <n v="0.47"/>
    <m/>
    <m/>
    <m/>
    <m/>
    <s v="ATENDE"/>
    <s v="ATENDE"/>
    <s v="ATENDE"/>
    <s v="ATENDE"/>
    <s v="C4"/>
    <s v="-"/>
    <e v="#VALUE!"/>
    <s v=" -"/>
    <s v=" -"/>
    <s v="-"/>
    <s v="-"/>
    <s v="-"/>
    <s v="-"/>
    <s v="-"/>
    <s v="-"/>
    <e v="#VALUE!"/>
    <n v="3.32"/>
    <n v="1.76"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Médio II"/>
    <m/>
    <s v=""/>
    <s v=""/>
    <m/>
    <m/>
    <m/>
    <m/>
    <m/>
    <m/>
    <n v="30"/>
    <n v="70"/>
    <n v="100"/>
    <n v="0.5714285714285714"/>
    <m/>
    <m/>
    <s v="Sim"/>
    <m/>
  </r>
  <r>
    <n v="228"/>
    <s v="VP"/>
    <s v="Rua Santa Fe, 4935"/>
    <n v="-30.01585824"/>
    <n v="-50.147064159999999"/>
    <s v="C4"/>
    <x v="0"/>
    <s v="P6"/>
    <s v="LED"/>
    <n v="50"/>
    <n v="0"/>
    <n v="0"/>
    <n v="140"/>
    <n v="2"/>
    <n v="0"/>
    <n v="7.5"/>
    <m/>
    <m/>
    <n v="0"/>
    <n v="3"/>
    <n v="8"/>
    <n v="0"/>
    <n v="0"/>
    <n v="0"/>
    <n v="0"/>
    <s v="Canteiro central"/>
    <s v="Braço"/>
    <n v="24.5"/>
    <n v="7.5"/>
    <n v="1"/>
    <n v="4"/>
    <n v="2.5"/>
    <n v="-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3"/>
    <n v="2.2222222222222223"/>
    <s v="-"/>
    <n v="10.06"/>
    <n v="0.57999999999999996"/>
    <m/>
    <m/>
    <m/>
    <m/>
    <s v="ATENDE"/>
    <s v="ATENDE"/>
    <s v="ATENDE"/>
    <s v="ATENDE"/>
    <s v="C4"/>
    <s v="-"/>
    <e v="#VALUE!"/>
    <s v=" -"/>
    <s v=" -"/>
    <s v="-"/>
    <s v="-"/>
    <s v="-"/>
    <s v="-"/>
    <s v="-"/>
    <s v="-"/>
    <e v="#VALUE!"/>
    <n v="3.79"/>
    <n v="2.2999999999999998"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n v="7"/>
    <s v="Médio II"/>
    <m/>
    <s v=""/>
    <s v=""/>
    <m/>
    <m/>
    <m/>
    <m/>
    <m/>
    <m/>
    <n v="30"/>
    <n v="70"/>
    <n v="100"/>
    <n v="0.5714285714285714"/>
    <m/>
    <m/>
    <s v="Sim"/>
    <m/>
  </r>
  <r>
    <n v="228"/>
    <s v="VP"/>
    <s v="Rua Santa Fe, 4935"/>
    <n v="-30.01585824"/>
    <n v="-50.147064159999999"/>
    <s v="C4"/>
    <x v="0"/>
    <s v="P6"/>
    <s v="LED"/>
    <n v="50"/>
    <n v="0"/>
    <n v="0"/>
    <n v="140"/>
    <n v="2"/>
    <n v="0"/>
    <n v="7.5"/>
    <m/>
    <m/>
    <n v="0"/>
    <n v="3"/>
    <n v="8"/>
    <n v="0"/>
    <n v="0"/>
    <n v="0"/>
    <n v="0"/>
    <s v="Canteiro central"/>
    <s v="Braço"/>
    <n v="24.5"/>
    <n v="7.5"/>
    <n v="1"/>
    <n v="4"/>
    <n v="2.5"/>
    <n v="-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000000000000016E-2"/>
    <n v="2.1666666666666665"/>
    <s v="-"/>
    <n v="10.18"/>
    <n v="0.56999999999999995"/>
    <m/>
    <m/>
    <m/>
    <m/>
    <s v="ATENDE"/>
    <s v="ATENDE"/>
    <s v="ATENDE"/>
    <s v="ATENDE"/>
    <s v="C4"/>
    <s v="-"/>
    <e v="#VALUE!"/>
    <s v=" -"/>
    <s v=" -"/>
    <s v="-"/>
    <s v="-"/>
    <s v="-"/>
    <s v="-"/>
    <s v="-"/>
    <s v="-"/>
    <e v="#VALUE!"/>
    <n v="3.97"/>
    <n v="3.06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n v="10"/>
    <s v="Médio II"/>
    <m/>
    <s v=""/>
    <s v=""/>
    <m/>
    <m/>
    <m/>
    <m/>
    <m/>
    <m/>
    <n v="30"/>
    <n v="70"/>
    <n v="100"/>
    <n v="0.5714285714285714"/>
    <m/>
    <m/>
    <s v="Sim"/>
    <m/>
  </r>
  <r>
    <n v="229"/>
    <s v="PVP"/>
    <s v="Rua Parma, 403"/>
    <n v="-30.02394688"/>
    <n v="-50.146596359999997"/>
    <s v="C4"/>
    <x v="0"/>
    <s v="P6"/>
    <s v="Vapor de sódio"/>
    <n v="150"/>
    <n v="22"/>
    <n v="0"/>
    <n v="140"/>
    <n v="2"/>
    <n v="2.5"/>
    <n v="7"/>
    <m/>
    <m/>
    <n v="0"/>
    <n v="2.5"/>
    <n v="0"/>
    <n v="0"/>
    <n v="0"/>
    <n v="0"/>
    <n v="0"/>
    <s v="Unilateral"/>
    <s v="Braço"/>
    <n v="35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099999999999998"/>
    <n v="1.4444444444444446"/>
    <s v="-"/>
    <n v="11.01"/>
    <n v="0.44"/>
    <m/>
    <m/>
    <m/>
    <m/>
    <s v="ATENDE"/>
    <s v="ATENDE"/>
    <s v="ATENDE"/>
    <s v="ATENDE"/>
    <s v="C4"/>
    <s v="-"/>
    <e v="#VALUE!"/>
    <n v="7.49"/>
    <n v="3.9"/>
    <s v="-"/>
    <s v="-"/>
    <s v="-"/>
    <s v="-"/>
    <s v="-"/>
    <s v="-"/>
    <e v="#VALUE!"/>
    <n v="9.3699999999999992"/>
    <n v="3.94"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29"/>
    <s v="PVP"/>
    <s v="Rua Parma, 403"/>
    <n v="-30.02394688"/>
    <n v="-50.146596359999997"/>
    <s v="C4"/>
    <x v="0"/>
    <s v="P6"/>
    <s v="Vapor de sódio"/>
    <n v="150"/>
    <n v="22"/>
    <n v="0"/>
    <n v="140"/>
    <n v="2"/>
    <n v="2.5"/>
    <n v="7"/>
    <m/>
    <m/>
    <n v="0"/>
    <n v="2.5"/>
    <n v="0"/>
    <n v="0"/>
    <n v="0"/>
    <n v="0"/>
    <n v="0"/>
    <s v="Unilateral"/>
    <s v="Braço"/>
    <n v="35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75"/>
    <n v="1.7222222222222223"/>
    <s v="-"/>
    <n v="13.75"/>
    <n v="0.49"/>
    <m/>
    <m/>
    <m/>
    <m/>
    <s v="ATENDE"/>
    <s v="ATENDE"/>
    <s v="ATENDE"/>
    <s v="ATENDE"/>
    <s v="C4"/>
    <s v="-"/>
    <e v="#VALUE!"/>
    <n v="8.59"/>
    <n v="6.25"/>
    <s v="-"/>
    <s v="-"/>
    <s v="-"/>
    <s v="-"/>
    <s v="-"/>
    <s v="-"/>
    <e v="#VALUE!"/>
    <n v="11.09"/>
    <n v="3.97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29"/>
    <s v="PVP"/>
    <s v="Rua Parma, 403"/>
    <n v="-30.02394688"/>
    <n v="-50.146596359999997"/>
    <s v="C4"/>
    <x v="0"/>
    <s v="P6"/>
    <s v="Vapor de sódio"/>
    <n v="150"/>
    <n v="22"/>
    <n v="0"/>
    <n v="140"/>
    <n v="2"/>
    <n v="2.5"/>
    <n v="7"/>
    <m/>
    <m/>
    <n v="0"/>
    <n v="2.5"/>
    <n v="0"/>
    <n v="0"/>
    <n v="0"/>
    <n v="0"/>
    <n v="0"/>
    <s v="Unilateral"/>
    <s v="Braço"/>
    <n v="35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800000000000006E-2"/>
    <n v="1.4444444444444446"/>
    <s v="-"/>
    <n v="10.68"/>
    <n v="0.44"/>
    <m/>
    <m/>
    <m/>
    <m/>
    <s v="ATENDE"/>
    <s v="ATENDE"/>
    <s v="ATENDE"/>
    <s v="ATENDE"/>
    <s v="C4"/>
    <s v="-"/>
    <e v="#VALUE!"/>
    <n v="4.78"/>
    <n v="2.56"/>
    <s v="-"/>
    <s v="-"/>
    <s v="-"/>
    <s v="-"/>
    <s v="-"/>
    <s v="-"/>
    <e v="#VALUE!"/>
    <n v="8.4499999999999993"/>
    <n v="3.5"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0"/>
    <s v="PVP"/>
    <s v="Rua Veneza, 1125"/>
    <n v="-30.024339479999998"/>
    <n v="-50.14940223"/>
    <s v="C4"/>
    <x v="0"/>
    <s v="P6"/>
    <s v="LED"/>
    <n v="50"/>
    <n v="0"/>
    <n v="0"/>
    <n v="140"/>
    <n v="2"/>
    <n v="3"/>
    <n v="7"/>
    <m/>
    <m/>
    <n v="0"/>
    <n v="4"/>
    <n v="0"/>
    <n v="0"/>
    <n v="0"/>
    <n v="0"/>
    <n v="0"/>
    <s v="Unilateral"/>
    <s v="Braço"/>
    <n v="39.15"/>
    <n v="6.8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200000000000012"/>
    <n v="0.5555555555555558"/>
    <s v="-"/>
    <n v="11.32"/>
    <n v="0.28000000000000003"/>
    <m/>
    <m/>
    <m/>
    <m/>
    <s v="ATENDE"/>
    <s v="ATENDE"/>
    <s v="ATENDE"/>
    <s v="ATENDE"/>
    <s v="C4"/>
    <s v="P6"/>
    <n v="0.7699999999999998"/>
    <n v="5.31"/>
    <n v="1.883"/>
    <n v="3"/>
    <n v="0.6"/>
    <s v="ATENDE"/>
    <s v="ATENDE"/>
    <s v="ATENDE"/>
    <s v="P6"/>
    <n v="2.0533333333333332"/>
    <n v="9.16"/>
    <n v="2.21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0"/>
    <s v="PVP"/>
    <s v="Rua Veneza, 1125"/>
    <n v="-30.024339479999998"/>
    <n v="-50.14940223"/>
    <s v="C4"/>
    <x v="0"/>
    <s v="P6"/>
    <s v="LED"/>
    <n v="50"/>
    <n v="0"/>
    <n v="0"/>
    <n v="140"/>
    <n v="2"/>
    <n v="3"/>
    <n v="7"/>
    <m/>
    <m/>
    <n v="0"/>
    <n v="4"/>
    <n v="0"/>
    <n v="0"/>
    <n v="0"/>
    <n v="0"/>
    <n v="0"/>
    <s v="Unilateral"/>
    <s v="Braço"/>
    <n v="39.15"/>
    <n v="6.8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299999999999997"/>
    <n v="0.44444444444444464"/>
    <s v="-"/>
    <n v="13.43"/>
    <n v="0.26"/>
    <m/>
    <m/>
    <m/>
    <m/>
    <s v="ATENDE"/>
    <s v="ATENDE"/>
    <s v="ATENDE"/>
    <s v="ATENDE"/>
    <s v="C4"/>
    <s v="P6"/>
    <n v="0.88333333333333353"/>
    <n v="5.65"/>
    <n v="2.39"/>
    <n v="3"/>
    <n v="0.6"/>
    <s v="ATENDE"/>
    <s v="ATENDE"/>
    <s v="ATENDE"/>
    <s v="P6"/>
    <n v="2.3966666666666665"/>
    <n v="10.19"/>
    <n v="1.24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0"/>
    <s v="PVP"/>
    <s v="Rua Veneza, 1125"/>
    <n v="-30.024339479999998"/>
    <n v="-50.14940223"/>
    <s v="C4"/>
    <x v="0"/>
    <s v="P6"/>
    <s v="LED"/>
    <n v="50"/>
    <n v="0"/>
    <n v="0"/>
    <n v="140"/>
    <n v="2"/>
    <n v="3"/>
    <n v="7"/>
    <m/>
    <m/>
    <n v="0"/>
    <n v="4"/>
    <n v="0"/>
    <n v="0"/>
    <n v="0"/>
    <n v="0"/>
    <n v="0"/>
    <s v="Unilateral"/>
    <s v="Braço"/>
    <n v="39.15"/>
    <n v="6.8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000000000000021E-2"/>
    <n v="0"/>
    <s v="-"/>
    <n v="10.24"/>
    <n v="0.18"/>
    <m/>
    <m/>
    <m/>
    <m/>
    <s v="ATENDE"/>
    <s v="ATENDE"/>
    <s v="ATENDE"/>
    <s v="ATENDE"/>
    <s v="C4"/>
    <s v="P6"/>
    <n v="0.13000000000000012"/>
    <n v="3.39"/>
    <n v="0.99"/>
    <n v="3"/>
    <n v="0.6"/>
    <s v="ATENDE"/>
    <s v="ATENDE"/>
    <s v="ATENDE"/>
    <s v="P6"/>
    <n v="1.4366666666666665"/>
    <n v="7.31"/>
    <n v="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n v="3"/>
    <s v="Curto II"/>
    <m/>
    <s v=""/>
    <s v=""/>
    <m/>
    <m/>
    <m/>
    <m/>
    <m/>
    <m/>
    <n v="21"/>
    <n v="70"/>
    <n v="91"/>
    <n v="0.7"/>
    <m/>
    <m/>
    <s v="Sim"/>
    <m/>
  </r>
  <r>
    <n v="231"/>
    <s v="PVP"/>
    <s v="Rua Reboucas, 2304"/>
    <n v="-30.014451449999999"/>
    <n v="-50.153023930000003"/>
    <s v="C4"/>
    <x v="0"/>
    <s v="P6"/>
    <s v="LED"/>
    <n v="50"/>
    <n v="0"/>
    <n v="0"/>
    <n v="140"/>
    <n v="2"/>
    <n v="2"/>
    <n v="7"/>
    <m/>
    <m/>
    <n v="0"/>
    <n v="3"/>
    <n v="0"/>
    <n v="0"/>
    <n v="0"/>
    <n v="0"/>
    <n v="0"/>
    <s v="Unilateral"/>
    <s v="Braço"/>
    <n v="33.6"/>
    <n v="6.8"/>
    <n v="1"/>
    <n v="0.8"/>
    <n v="1.3"/>
    <n v="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699999999999998"/>
    <n v="1.1111111111111112"/>
    <s v="-"/>
    <n v="11.07"/>
    <n v="0.38"/>
    <m/>
    <m/>
    <m/>
    <m/>
    <s v="ATENDE"/>
    <s v="ATENDE"/>
    <s v="ATENDE"/>
    <s v="ATENDE"/>
    <s v="C4"/>
    <s v="P6"/>
    <n v="0.84999999999999987"/>
    <n v="5.55"/>
    <n v="2.68"/>
    <n v="3"/>
    <n v="0.6"/>
    <s v="ATENDE"/>
    <s v="ATENDE"/>
    <s v="ATENDE"/>
    <s v="-"/>
    <e v="#VALUE!"/>
    <n v="10.51"/>
    <n v="3.6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1"/>
    <s v="PVP"/>
    <s v="Rua Reboucas, 2304"/>
    <n v="-30.014451449999999"/>
    <n v="-50.153023930000003"/>
    <s v="C4"/>
    <x v="0"/>
    <s v="P6"/>
    <s v="LED"/>
    <n v="50"/>
    <n v="0"/>
    <n v="0"/>
    <n v="140"/>
    <n v="2"/>
    <n v="2"/>
    <n v="7"/>
    <m/>
    <m/>
    <n v="0"/>
    <n v="3"/>
    <n v="0"/>
    <n v="0"/>
    <n v="0"/>
    <n v="0"/>
    <n v="0"/>
    <s v="Unilateral"/>
    <s v="Braço"/>
    <n v="33.6"/>
    <n v="6.8"/>
    <n v="1"/>
    <n v="0.8"/>
    <n v="1.3"/>
    <n v="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1.8888888888888893"/>
    <s v="-"/>
    <n v="10.51"/>
    <n v="0.52"/>
    <m/>
    <m/>
    <m/>
    <m/>
    <s v="ATENDE"/>
    <s v="ATENDE"/>
    <s v="ATENDE"/>
    <s v="ATENDE"/>
    <s v="C4"/>
    <s v="P6"/>
    <n v="0.38666666666666671"/>
    <n v="4.16"/>
    <n v="1.98"/>
    <n v="3"/>
    <n v="0.6"/>
    <s v="ATENDE"/>
    <s v="ATENDE"/>
    <s v="ATENDE"/>
    <s v="-"/>
    <e v="#VALUE!"/>
    <n v="10.08"/>
    <n v="3.73"/>
    <s v="-"/>
    <s v="-"/>
    <s v="-"/>
    <s v="-"/>
    <s v="-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21"/>
    <n v="70"/>
    <n v="91"/>
    <n v="0.7"/>
    <m/>
    <m/>
    <s v="Sim"/>
    <m/>
  </r>
  <r>
    <n v="231"/>
    <s v="PVP"/>
    <s v="Rua Reboucas, 2304"/>
    <n v="-30.014451449999999"/>
    <n v="-50.153023930000003"/>
    <s v="C4"/>
    <x v="0"/>
    <s v="P6"/>
    <s v="LED"/>
    <n v="50"/>
    <n v="0"/>
    <n v="0"/>
    <n v="140"/>
    <n v="2"/>
    <n v="2"/>
    <n v="7"/>
    <m/>
    <m/>
    <n v="0"/>
    <n v="3"/>
    <n v="0"/>
    <n v="0"/>
    <n v="0"/>
    <n v="0"/>
    <n v="0"/>
    <s v="Unilateral"/>
    <s v="Braço"/>
    <n v="33.6"/>
    <n v="6.8"/>
    <n v="1"/>
    <n v="0.8"/>
    <n v="1.3"/>
    <n v="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99999999999993"/>
    <n v="0.94444444444444442"/>
    <s v="-"/>
    <n v="11.68"/>
    <n v="0.35"/>
    <m/>
    <m/>
    <m/>
    <m/>
    <s v="ATENDE"/>
    <s v="ATENDE"/>
    <s v="ATENDE"/>
    <s v="ATENDE"/>
    <s v="C4"/>
    <s v="P6"/>
    <n v="0.14666666666666672"/>
    <n v="3.44"/>
    <n v="1.31"/>
    <n v="3"/>
    <n v="0.6"/>
    <s v="ATENDE"/>
    <s v="ATENDE"/>
    <s v="ATENDE"/>
    <s v="-"/>
    <e v="#VALUE!"/>
    <n v="10.86"/>
    <n v="3.87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21"/>
    <n v="70"/>
    <n v="91"/>
    <n v="0.7"/>
    <m/>
    <m/>
    <s v="Sim"/>
    <m/>
  </r>
  <r>
    <n v="232"/>
    <s v="PVP"/>
    <s v="Rua Milan, 483"/>
    <n v="-30.023196630000001"/>
    <n v="-50.144967289999997"/>
    <s v="C4"/>
    <x v="0"/>
    <s v="P6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42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299999999999988"/>
    <n v="0.44444444444444464"/>
    <s v="-"/>
    <n v="12.43"/>
    <n v="0.26"/>
    <m/>
    <m/>
    <m/>
    <m/>
    <s v="ATENDE"/>
    <s v="ATENDE"/>
    <s v="ATENDE"/>
    <s v="ATENDE"/>
    <s v="C4"/>
    <s v="-"/>
    <e v="#VALUE!"/>
    <n v="7.13"/>
    <n v="1.96"/>
    <s v="-"/>
    <s v="-"/>
    <s v="-"/>
    <s v="-"/>
    <s v="-"/>
    <s v="-"/>
    <e v="#VALUE!"/>
    <n v="10.65"/>
    <n v="3.63"/>
    <s v="-"/>
    <s v="-"/>
    <s v="-"/>
    <s v="-"/>
    <s v="-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2"/>
    <s v="PVP"/>
    <s v="Rua Milan, 483"/>
    <n v="-30.023196630000001"/>
    <n v="-50.144967289999997"/>
    <s v="C4"/>
    <x v="0"/>
    <s v="P6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42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50000000000000022"/>
    <s v="-"/>
    <n v="11.14"/>
    <n v="0.27"/>
    <m/>
    <m/>
    <m/>
    <m/>
    <s v="ATENDE"/>
    <s v="ATENDE"/>
    <s v="ATENDE"/>
    <s v="ATENDE"/>
    <s v="C4"/>
    <s v="-"/>
    <e v="#VALUE!"/>
    <n v="6.47"/>
    <n v="3.1"/>
    <s v="-"/>
    <s v="-"/>
    <s v="-"/>
    <s v="-"/>
    <s v="-"/>
    <s v="-"/>
    <e v="#VALUE!"/>
    <n v="9.84"/>
    <n v="1.36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2"/>
    <s v="PVP"/>
    <s v="Rua Milan, 483"/>
    <n v="-30.023196630000001"/>
    <n v="-50.144967289999997"/>
    <s v="C4"/>
    <x v="0"/>
    <s v="P6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42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4000000000000012E-2"/>
    <n v="0"/>
    <s v="-"/>
    <n v="10.14"/>
    <n v="0.18"/>
    <m/>
    <m/>
    <m/>
    <m/>
    <s v="ATENDE"/>
    <s v="ATENDE"/>
    <s v="ATENDE"/>
    <s v="ATENDE"/>
    <s v="C4"/>
    <s v="-"/>
    <e v="#VALUE!"/>
    <n v="4.68"/>
    <n v="1.64"/>
    <s v="-"/>
    <s v="-"/>
    <s v="-"/>
    <s v="-"/>
    <s v="-"/>
    <s v="-"/>
    <e v="#VALUE!"/>
    <n v="8.44"/>
    <n v="1.18"/>
    <s v="-"/>
    <s v="-"/>
    <s v="-"/>
    <s v="-"/>
    <s v="-"/>
    <x v="2"/>
    <s v="SIGSAGPTLRRSSNDL_50W_61IBBRS_x000a_"/>
    <s v="SIGSAGPTLRRSSNDL_50W_61IBBRS_x000a_1-10C1MUN6.5"/>
    <m/>
    <e v="#N/A"/>
    <n v="1"/>
    <n v="50"/>
    <n v="0"/>
    <n v="8163"/>
    <n v="0"/>
    <n v="0"/>
    <n v="5"/>
    <s v="Curto II"/>
    <m/>
    <s v=""/>
    <s v=""/>
    <m/>
    <m/>
    <m/>
    <m/>
    <m/>
    <m/>
    <n v="30"/>
    <n v="70"/>
    <n v="100"/>
    <n v="0.5714285714285714"/>
    <m/>
    <m/>
    <s v="Sim"/>
    <m/>
  </r>
  <r>
    <n v="233"/>
    <s v="VP"/>
    <s v="Rua Andrade Neves, 377"/>
    <n v="-30.019017819999998"/>
    <n v="-50.142108790000002"/>
    <s v="C4"/>
    <x v="0"/>
    <s v="P6"/>
    <s v="Vapor de sódio"/>
    <n v="150"/>
    <n v="22"/>
    <n v="0"/>
    <n v="140"/>
    <n v="2"/>
    <n v="0"/>
    <n v="7"/>
    <m/>
    <m/>
    <n v="0"/>
    <n v="4"/>
    <n v="0"/>
    <n v="0"/>
    <n v="0"/>
    <n v="0"/>
    <n v="0"/>
    <s v="Unilateral"/>
    <s v="Braço"/>
    <n v="36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999999999999975E-2"/>
    <n v="1.0555555555555558"/>
    <s v="-"/>
    <n v="10.97"/>
    <n v="0.37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83999999999999986"/>
    <n v="5.52"/>
    <n v="2.4700000000000002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3"/>
    <s v="VP"/>
    <s v="Rua Andrade Neves, 377"/>
    <n v="-30.019017819999998"/>
    <n v="-50.142108790000002"/>
    <s v="C4"/>
    <x v="0"/>
    <s v="P6"/>
    <s v="Vapor de sódio"/>
    <n v="150"/>
    <n v="22"/>
    <n v="0"/>
    <n v="140"/>
    <n v="2"/>
    <n v="0"/>
    <n v="7"/>
    <m/>
    <m/>
    <n v="0"/>
    <n v="4"/>
    <n v="0"/>
    <n v="0"/>
    <n v="0"/>
    <n v="0"/>
    <n v="0"/>
    <s v="Unilateral"/>
    <s v="Braço"/>
    <n v="36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099999999999993"/>
    <n v="1.5555555555555558"/>
    <s v="-"/>
    <n v="13.01"/>
    <n v="0.46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1"/>
    <n v="6"/>
    <n v="3.2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3"/>
    <s v="VP"/>
    <s v="Rua Andrade Neves, 377"/>
    <n v="-30.019017819999998"/>
    <n v="-50.142108790000002"/>
    <s v="C4"/>
    <x v="0"/>
    <s v="P6"/>
    <s v="Vapor de sódio"/>
    <n v="150"/>
    <n v="22"/>
    <n v="0"/>
    <n v="140"/>
    <n v="2"/>
    <n v="0"/>
    <n v="7"/>
    <m/>
    <m/>
    <n v="0"/>
    <n v="4"/>
    <n v="0"/>
    <n v="0"/>
    <n v="0"/>
    <n v="0"/>
    <n v="0"/>
    <s v="Unilateral"/>
    <s v="Braço"/>
    <n v="36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100000000000003"/>
    <n v="1.2777777777777777"/>
    <s v="-"/>
    <n v="11.61"/>
    <n v="0.41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72"/>
    <n v="5.16"/>
    <n v="3.11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/A"/>
    <n v="8163"/>
    <n v="0"/>
    <n v="0"/>
    <n v="10"/>
    <s v="Curto II"/>
    <m/>
    <s v=""/>
    <s v=""/>
    <m/>
    <m/>
    <m/>
    <m/>
    <m/>
    <m/>
    <n v="30"/>
    <n v="70"/>
    <n v="100"/>
    <n v="0.5714285714285714"/>
    <m/>
    <m/>
    <s v="Sim"/>
    <m/>
  </r>
  <r>
    <n v="234"/>
    <s v="V"/>
    <s v="Avenida Senador Alberto Pasqualini, 158"/>
    <n v="-30.00798498"/>
    <n v="-50.15511686"/>
    <s v="C1"/>
    <x v="0"/>
    <n v="0"/>
    <s v="LED"/>
    <n v="50"/>
    <n v="0"/>
    <n v="0"/>
    <n v="140"/>
    <n v="2"/>
    <n v="0"/>
    <n v="7"/>
    <m/>
    <m/>
    <n v="0"/>
    <n v="0"/>
    <n v="20"/>
    <n v="0"/>
    <n v="0"/>
    <n v="0"/>
    <n v="0"/>
    <s v="Unilateral"/>
    <s v="Braço"/>
    <n v="44.09"/>
    <n v="8.6999999999999993"/>
    <n v="1"/>
    <n v="1.5"/>
    <n v="1.3"/>
    <n v="-0.19999999999999996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9.2666666666666675E-2"/>
    <n v="2.6315789473684292E-2"/>
    <s v="-"/>
    <n v="32.78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s v=" -"/>
    <s v=" -"/>
    <s v="-"/>
    <s v="-"/>
    <s v="-"/>
    <s v="-"/>
    <s v="-"/>
    <x v="0"/>
    <s v=" SL VT 9.3 200W"/>
    <s v="LUM LED SL VT 9.3 200W"/>
    <m/>
    <e v="#N/A"/>
    <n v="1"/>
    <n v="200"/>
    <e v="#N/A"/>
    <n v="32740.2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4"/>
    <s v="V"/>
    <s v="Avenida Senador Alberto Pasqualini, 158"/>
    <n v="-30.00798498"/>
    <n v="-50.15511686"/>
    <s v="C1"/>
    <x v="0"/>
    <n v="0"/>
    <s v="LED"/>
    <n v="50"/>
    <n v="0"/>
    <n v="0"/>
    <n v="140"/>
    <n v="2"/>
    <n v="0"/>
    <n v="7"/>
    <m/>
    <m/>
    <n v="0"/>
    <n v="0"/>
    <n v="20"/>
    <n v="0"/>
    <n v="0"/>
    <n v="0"/>
    <n v="0"/>
    <s v="Unilateral"/>
    <s v="Braço"/>
    <n v="44.09"/>
    <n v="8.6999999999999993"/>
    <n v="1"/>
    <n v="1.5"/>
    <n v="1.3"/>
    <n v="-0.19999999999999996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3666666666666734E-2"/>
    <n v="-2.6315789473684181E-2"/>
    <s v="-"/>
    <n v="31.01"/>
    <n v="0.37"/>
    <m/>
    <m/>
    <m/>
    <m/>
    <s v="ATENDE"/>
    <s v="ATENDE"/>
    <s v="ATENDIMENTO LIMIAR"/>
    <s v="ATENDE"/>
    <s v="C1"/>
    <s v="-"/>
    <e v="#VALUE!"/>
    <s v=" -"/>
    <s v=" -"/>
    <s v="-"/>
    <s v="-"/>
    <s v="-"/>
    <s v="-"/>
    <s v="-"/>
    <s v="-"/>
    <e v="#VALUE!"/>
    <s v=" -"/>
    <s v=" -"/>
    <s v="-"/>
    <s v="-"/>
    <s v="-"/>
    <s v="-"/>
    <s v="-"/>
    <x v="1"/>
    <s v="SX-INLPP090HF"/>
    <s v="SXINLPP090K40L12CZF7PHF"/>
    <m/>
    <e v="#N/A"/>
    <n v="1"/>
    <n v="90"/>
    <e v="#N/A"/>
    <n v="15476"/>
    <n v="0"/>
    <n v="0"/>
    <n v="10"/>
    <s v="Curto II"/>
    <s v="Médio I"/>
    <n v="1.8"/>
    <n v="7"/>
    <s v="ABS-L2"/>
    <m/>
    <n v="2"/>
    <s v="Adição de braço segundo nível (Leve II) + 1 Luminária SX de 79W com ângulo de 10º"/>
    <m/>
    <m/>
    <n v="30"/>
    <n v="70"/>
    <n v="100"/>
    <n v="0.5714285714285714"/>
    <m/>
    <m/>
    <s v="Sim"/>
    <m/>
  </r>
  <r>
    <n v="234"/>
    <s v="V"/>
    <s v="Avenida Senador Alberto Pasqualini, 158"/>
    <n v="-30.00798498"/>
    <n v="-50.15511686"/>
    <s v="C1"/>
    <x v="0"/>
    <n v="0"/>
    <s v="LED"/>
    <n v="50"/>
    <n v="0"/>
    <n v="0"/>
    <n v="140"/>
    <n v="2"/>
    <n v="0"/>
    <n v="7"/>
    <m/>
    <m/>
    <n v="0"/>
    <n v="0"/>
    <n v="20"/>
    <n v="0"/>
    <n v="0"/>
    <n v="0"/>
    <n v="0"/>
    <s v="Unilateral"/>
    <s v="Braço"/>
    <n v="44.09"/>
    <n v="8.6999999999999993"/>
    <n v="1"/>
    <n v="1.5"/>
    <n v="1.3"/>
    <n v="-0.19999999999999996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5.4333333333333345E-2"/>
    <n v="0.8157894736842104"/>
    <s v="-"/>
    <n v="31.63"/>
    <n v="0.6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s v=" -"/>
    <s v=" -"/>
    <s v="-"/>
    <s v="-"/>
    <s v="-"/>
    <s v="-"/>
    <s v="-"/>
    <x v="2"/>
    <s v="SIGSAGPTLRRSSNDL100W125IBBRS_x000a_"/>
    <s v="SIGSAGPTLRRSSNDL100W125IBBRS_x000a_1-10C1MUN6.5"/>
    <m/>
    <e v="#N/A"/>
    <n v="1"/>
    <n v="100"/>
    <n v="0"/>
    <n v="15162"/>
    <n v="0"/>
    <n v="0"/>
    <m/>
    <s v="Curto II"/>
    <m/>
    <m/>
    <m/>
    <s v="APEA"/>
    <n v="1"/>
    <m/>
    <s v="Redução do distanciamento entre postes de 44.40 para 22.40"/>
    <m/>
    <m/>
    <n v="30"/>
    <n v="70"/>
    <n v="100"/>
    <n v="0.5714285714285714"/>
    <m/>
    <m/>
    <s v="Sim"/>
    <m/>
  </r>
  <r>
    <n v="235"/>
    <s v="PVP"/>
    <s v="Rua Mario Totta, 635"/>
    <n v="-30.012355840000001"/>
    <n v="-50.158128720000001"/>
    <s v="C5"/>
    <x v="0"/>
    <s v="P4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2.9"/>
    <n v="7.9"/>
    <n v="1"/>
    <n v="0.3"/>
    <n v="2.8"/>
    <n v="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1199999999999988"/>
    <n v="1.3888888888888888"/>
    <s v="-"/>
    <n v="12.09"/>
    <n v="0.43"/>
    <m/>
    <m/>
    <m/>
    <m/>
    <s v="ATENDE"/>
    <s v="ATENDE"/>
    <s v="ATENDE"/>
    <s v="ATENDE"/>
    <s v="C5"/>
    <s v="P4"/>
    <n v="9.3333333333334156E-3"/>
    <n v="7.57"/>
    <n v="4.26"/>
    <n v="7.5"/>
    <n v="1.5"/>
    <s v="ATENDE"/>
    <s v="ATENDE"/>
    <s v="ATENDE"/>
    <s v="P4"/>
    <n v="1.8666666666666609E-2"/>
    <n v="7.64"/>
    <n v="3.88"/>
    <n v="7.5"/>
    <n v="1.5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Longo I"/>
    <m/>
    <s v=""/>
    <s v=""/>
    <m/>
    <m/>
    <m/>
    <m/>
    <m/>
    <m/>
    <n v="52"/>
    <n v="50"/>
    <n v="102"/>
    <n v="-4.0000000000000036E-2"/>
    <m/>
    <m/>
    <s v="Sim"/>
    <m/>
  </r>
  <r>
    <n v="235"/>
    <s v="PVP"/>
    <s v="Rua Mario Totta, 635"/>
    <n v="-30.012355840000001"/>
    <n v="-50.158128720000001"/>
    <s v="C5"/>
    <x v="0"/>
    <s v="P4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2.9"/>
    <n v="7.9"/>
    <n v="1"/>
    <n v="0.3"/>
    <n v="2.8"/>
    <n v="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89466666666666672"/>
    <n v="1.8888888888888893"/>
    <s v="-"/>
    <n v="14.21"/>
    <n v="0.52"/>
    <m/>
    <m/>
    <m/>
    <m/>
    <s v="ATENDE"/>
    <s v="ATENDE"/>
    <s v="ATENDE"/>
    <s v="ATENDE"/>
    <s v="C5"/>
    <s v="P4"/>
    <n v="0.17199999999999993"/>
    <n v="8.7899999999999991"/>
    <n v="6.79"/>
    <n v="7.5"/>
    <n v="1.5"/>
    <s v="ATENDE"/>
    <s v="ATENDE"/>
    <s v="ATENDE"/>
    <s v="P4"/>
    <n v="6.800000000000006E-2"/>
    <n v="8.01"/>
    <n v="3.82"/>
    <n v="7.5"/>
    <n v="1.5"/>
    <s v="ATENDE"/>
    <s v="ATENDE"/>
    <s v="ATENDE"/>
    <x v="1"/>
    <s v="SX-INEVO050HF"/>
    <s v="SXINEVO050K40L12CZF7PHF"/>
    <m/>
    <e v="#N/A"/>
    <n v="1"/>
    <n v="50"/>
    <e v="#N/A"/>
    <n v="8650"/>
    <e v="#N/A"/>
    <n v="0"/>
    <n v="5"/>
    <s v="Longo I"/>
    <m/>
    <s v=""/>
    <s v=""/>
    <m/>
    <m/>
    <m/>
    <m/>
    <m/>
    <m/>
    <n v="50"/>
    <n v="50"/>
    <n v="100"/>
    <n v="0"/>
    <m/>
    <m/>
    <s v="Sim"/>
    <m/>
  </r>
  <r>
    <n v="235"/>
    <s v="PVP"/>
    <s v="Rua Mario Totta, 635"/>
    <n v="-30.012355840000001"/>
    <n v="-50.158128720000001"/>
    <s v="C5"/>
    <x v="0"/>
    <s v="P4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2.9"/>
    <n v="7.9"/>
    <n v="1"/>
    <n v="0.3"/>
    <n v="2.8"/>
    <n v="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0733333333333333"/>
    <n v="1.8333333333333335"/>
    <s v="-"/>
    <n v="15.55"/>
    <n v="0.51"/>
    <m/>
    <m/>
    <m/>
    <m/>
    <s v="ATENDE"/>
    <s v="ATENDE"/>
    <s v="ATENDE"/>
    <s v="ATENDE"/>
    <s v="C5"/>
    <s v="P4"/>
    <n v="0.13066666666666671"/>
    <n v="8.48"/>
    <n v="6.27"/>
    <n v="7.5"/>
    <n v="1.5"/>
    <s v="ATENDE"/>
    <s v="ATENDE"/>
    <s v="ATENDE"/>
    <s v="P4"/>
    <n v="5.8666666666666645E-2"/>
    <n v="7.94"/>
    <n v="4.07"/>
    <n v="7.5"/>
    <n v="1.5"/>
    <s v="ATENDE"/>
    <s v="ATENDE"/>
    <s v="ATENDE"/>
    <x v="2"/>
    <s v="SIGSAGPTLRRSSNDL_60W_73IBBRS_x000a_"/>
    <s v="SIGSAGPTLRRSSNDL_60W_73IBBRS_x000a_1-10C1MUN6.5"/>
    <m/>
    <e v="#N/A"/>
    <n v="1"/>
    <n v="60"/>
    <e v="#N/A"/>
    <n v="9453"/>
    <e v="#N/A"/>
    <n v="0"/>
    <m/>
    <s v="Longo I"/>
    <m/>
    <s v=""/>
    <s v=""/>
    <m/>
    <m/>
    <m/>
    <m/>
    <m/>
    <m/>
    <n v="60"/>
    <n v="50"/>
    <n v="110"/>
    <n v="-0.19999999999999996"/>
    <m/>
    <m/>
    <s v="Sim"/>
    <m/>
  </r>
  <r>
    <n v="236"/>
    <s v="PV"/>
    <s v="Rua Santa Fe, 2459"/>
    <n v="-30.01845363"/>
    <n v="-50.139948920000002"/>
    <s v="C4"/>
    <x v="0"/>
    <s v="P6"/>
    <s v="Vapor de sódio"/>
    <n v="100"/>
    <n v="17"/>
    <n v="0"/>
    <n v="200"/>
    <n v="2"/>
    <n v="1.5"/>
    <n v="7"/>
    <m/>
    <m/>
    <n v="0"/>
    <n v="0"/>
    <n v="0"/>
    <n v="0"/>
    <n v="0"/>
    <n v="0"/>
    <n v="0"/>
    <s v="Unilateral"/>
    <s v="Braço"/>
    <n v="35.6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1.2222222222222223"/>
    <s v="-"/>
    <n v="11.31"/>
    <n v="0.4"/>
    <m/>
    <m/>
    <m/>
    <m/>
    <s v="ATENDE"/>
    <s v="ATENDE"/>
    <s v="ATENDE"/>
    <s v="ATENDE"/>
    <s v="C4"/>
    <s v="P6"/>
    <n v="2.7766666666666668"/>
    <n v="11.33"/>
    <n v="4.190000000000000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36"/>
    <s v="PV"/>
    <s v="Rua Santa Fe, 2459"/>
    <n v="-30.01845363"/>
    <n v="-50.139948920000002"/>
    <s v="C4"/>
    <x v="0"/>
    <s v="P6"/>
    <s v="Vapor de sódio"/>
    <n v="100"/>
    <n v="17"/>
    <n v="0"/>
    <n v="200"/>
    <n v="2"/>
    <n v="1.5"/>
    <n v="7"/>
    <m/>
    <m/>
    <n v="0"/>
    <n v="0"/>
    <n v="0"/>
    <n v="0"/>
    <n v="0"/>
    <n v="0"/>
    <n v="0"/>
    <s v="Unilateral"/>
    <s v="Braço"/>
    <n v="35.6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5599999999999996"/>
    <n v="1.6111111111111112"/>
    <s v="-"/>
    <n v="14.56"/>
    <n v="0.47"/>
    <m/>
    <m/>
    <m/>
    <m/>
    <s v="ATENDE"/>
    <s v="ATENDE"/>
    <s v="ATENDE"/>
    <s v="ATENDE"/>
    <s v="C4"/>
    <s v="P6"/>
    <n v="3.746666666666667"/>
    <n v="14.24"/>
    <n v="5.27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60HF"/>
    <s v="SXINEVO060K40L12CZF7PHF"/>
    <m/>
    <e v="#N/A"/>
    <n v="1"/>
    <n v="60"/>
    <n v="0"/>
    <n v="9600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236"/>
    <s v="PV"/>
    <s v="Rua Santa Fe, 2459"/>
    <n v="-30.01845363"/>
    <n v="-50.139948920000002"/>
    <s v="C4"/>
    <x v="0"/>
    <s v="P6"/>
    <s v="Vapor de sódio"/>
    <n v="100"/>
    <n v="17"/>
    <n v="0"/>
    <n v="200"/>
    <n v="2"/>
    <n v="1.5"/>
    <n v="7"/>
    <m/>
    <m/>
    <n v="0"/>
    <n v="0"/>
    <n v="0"/>
    <n v="0"/>
    <n v="0"/>
    <n v="0"/>
    <n v="0"/>
    <s v="Unilateral"/>
    <s v="Braço"/>
    <n v="35.6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700000000000007"/>
    <n v="1.1111111111111112"/>
    <s v="-"/>
    <n v="12.07"/>
    <n v="0.38"/>
    <m/>
    <m/>
    <m/>
    <m/>
    <s v="ATENDE"/>
    <s v="ATENDE"/>
    <s v="ATENDE"/>
    <s v="ATENDE"/>
    <s v="C4"/>
    <s v="P6"/>
    <n v="3.2166666666666668"/>
    <n v="12.65"/>
    <n v="5.62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37"/>
    <s v="PVP"/>
    <s v="Rua Padre Reus, 2422"/>
    <n v="-30.015616390000002"/>
    <n v="-50.149521030000002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3.5"/>
    <n v="6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2666666666666613E-2"/>
    <n v="0.94444444444444442"/>
    <s v="-"/>
    <n v="7.67"/>
    <n v="0.35"/>
    <m/>
    <m/>
    <m/>
    <m/>
    <s v="ATENDE"/>
    <s v="ATENDE"/>
    <s v="ATENDE"/>
    <s v="ATENDE"/>
    <s v="C5"/>
    <s v="P6"/>
    <n v="0.36666666666666647"/>
    <n v="4.0999999999999996"/>
    <n v="1.8"/>
    <n v="3"/>
    <n v="0.6"/>
    <s v="ATENDE"/>
    <s v="ATENDE"/>
    <s v="ATENDE"/>
    <s v="P6"/>
    <n v="1.0466666666666664"/>
    <n v="6.14"/>
    <n v="1.97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50"/>
    <n v="78"/>
    <n v="0.43999999999999995"/>
    <m/>
    <m/>
    <s v="Sim"/>
    <m/>
  </r>
  <r>
    <n v="237"/>
    <s v="PVP"/>
    <s v="Rua Padre Reus, 2422"/>
    <n v="-30.015616390000002"/>
    <n v="-50.149521030000002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3.5"/>
    <n v="6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93333333333332"/>
    <n v="0.88888888888888906"/>
    <s v="-"/>
    <n v="9.52"/>
    <n v="0.34"/>
    <m/>
    <m/>
    <m/>
    <m/>
    <s v="ATENDE"/>
    <s v="ATENDE"/>
    <s v="ATENDE"/>
    <s v="ATENDE"/>
    <s v="C5"/>
    <s v="P6"/>
    <n v="0.31666666666666665"/>
    <n v="3.95"/>
    <n v="1.53"/>
    <n v="3"/>
    <n v="0.6"/>
    <s v="ATENDE"/>
    <s v="ATENDE"/>
    <s v="ATENDE"/>
    <s v="P6"/>
    <n v="1.3366666666666664"/>
    <n v="7.01"/>
    <n v="1.139999999999999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50"/>
    <n v="81"/>
    <n v="0.38"/>
    <m/>
    <m/>
    <s v="Sim"/>
    <m/>
  </r>
  <r>
    <n v="237"/>
    <s v="PVP"/>
    <s v="Rua Padre Reus, 2422"/>
    <n v="-30.015616390000002"/>
    <n v="-50.149521030000002"/>
    <s v="C5"/>
    <x v="0"/>
    <s v="P6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3.5"/>
    <n v="6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53333333333334"/>
    <n v="1.3888888888888888"/>
    <s v="-"/>
    <n v="9.34"/>
    <n v="0.43"/>
    <m/>
    <m/>
    <m/>
    <m/>
    <s v="ATENDE"/>
    <s v="ATENDE"/>
    <s v="ATENDE"/>
    <s v="ATENDE"/>
    <s v="C5"/>
    <s v="P6"/>
    <n v="0.26333333333333342"/>
    <n v="3.79"/>
    <n v="2.2799999999999998"/>
    <n v="3"/>
    <n v="0.6"/>
    <s v="ATENDE"/>
    <s v="ATENDE"/>
    <s v="ATENDE"/>
    <s v="P6"/>
    <n v="1.3666666666666667"/>
    <n v="7.1"/>
    <n v="2.5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Sim"/>
    <m/>
  </r>
  <r>
    <n v="238"/>
    <s v="PVP"/>
    <s v="Rua Santos Dumont, 92"/>
    <n v="-30.019588989999999"/>
    <n v="-50.14968002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99999999999994E-2"/>
    <n v="1.5"/>
    <s v="-"/>
    <n v="10.57"/>
    <n v="0.45"/>
    <m/>
    <m/>
    <m/>
    <m/>
    <s v="ATENDE"/>
    <s v="ATENDE"/>
    <s v="ATENDE"/>
    <s v="ATENDE"/>
    <s v="C4"/>
    <s v="P6"/>
    <n v="1.2200000000000002"/>
    <n v="6.66"/>
    <n v="3.59"/>
    <n v="3"/>
    <n v="0.6"/>
    <s v="ATENDE"/>
    <s v="ATENDE"/>
    <s v="ATENDE"/>
    <s v="P6"/>
    <n v="2.0399999999999996"/>
    <n v="9.1199999999999992"/>
    <n v="3.79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38"/>
    <s v="PVP"/>
    <s v="Rua Santos Dumont, 92"/>
    <n v="-30.019588989999999"/>
    <n v="-50.14968002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000000000001155E-3"/>
    <n v="2.2777777777777777"/>
    <s v="-"/>
    <n v="10.050000000000001"/>
    <n v="0.59"/>
    <m/>
    <m/>
    <m/>
    <m/>
    <s v="ATENDE"/>
    <s v="ATENDE"/>
    <s v="ATENDE"/>
    <s v="ATENDE"/>
    <s v="C4"/>
    <s v="P6"/>
    <n v="0.92666666666666675"/>
    <n v="5.78"/>
    <n v="4.12"/>
    <n v="3"/>
    <n v="0.6"/>
    <s v="ATENDE"/>
    <s v="ATENDE"/>
    <s v="ATENDE"/>
    <s v="P6"/>
    <n v="1.9"/>
    <n v="8.6999999999999993"/>
    <n v="4.3099999999999996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38"/>
    <s v="PVP"/>
    <s v="Rua Santos Dumont, 92"/>
    <n v="-30.019588989999999"/>
    <n v="-50.14968002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800000000000009"/>
    <n v="1.6666666666666665"/>
    <s v="-"/>
    <n v="13.48"/>
    <n v="0.48"/>
    <m/>
    <m/>
    <m/>
    <m/>
    <s v="ATENDE"/>
    <s v="ATENDE"/>
    <s v="ATENDE"/>
    <s v="ATENDE"/>
    <s v="C4"/>
    <s v="P6"/>
    <n v="0.81333333333333346"/>
    <n v="5.44"/>
    <n v="3.11"/>
    <n v="3"/>
    <n v="0.6"/>
    <s v="ATENDE"/>
    <s v="ATENDE"/>
    <s v="ATENDE"/>
    <s v="P6"/>
    <n v="2.8066666666666666"/>
    <n v="11.42"/>
    <n v="6.1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39"/>
    <s v="PVP"/>
    <s v="Avenida Joao Magalhaes, 2167"/>
    <n v="-30.01494825"/>
    <n v="-50.15944047"/>
    <s v="C2"/>
    <x v="0"/>
    <s v="P6"/>
    <s v="LED"/>
    <n v="99"/>
    <n v="0"/>
    <n v="0"/>
    <n v="198"/>
    <n v="2"/>
    <n v="4"/>
    <n v="6"/>
    <m/>
    <m/>
    <n v="0"/>
    <n v="4"/>
    <n v="0"/>
    <n v="0"/>
    <n v="0"/>
    <n v="4"/>
    <n v="0"/>
    <s v="Bilateral frontal"/>
    <s v="Braço"/>
    <n v="38.5"/>
    <n v="7.5"/>
    <n v="1"/>
    <n v="6.5"/>
    <n v="2.8"/>
    <n v="-3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7.6000000000000068E-2"/>
    <n v="1.5357142857142851"/>
    <s v="-"/>
    <n v="21.52"/>
    <n v="0.71"/>
    <m/>
    <m/>
    <m/>
    <m/>
    <s v="ATENDE"/>
    <s v="ATENDE"/>
    <s v="ATENDE"/>
    <s v="ATENDE"/>
    <s v="C2"/>
    <s v="P6"/>
    <n v="5.4966666666666661"/>
    <n v="19.489999999999998"/>
    <n v="8.64"/>
    <n v="3"/>
    <n v="0.6"/>
    <s v="ATENDE"/>
    <s v="ATENDE"/>
    <s v="ATENDE"/>
    <s v="P6"/>
    <n v="5.5"/>
    <n v="19.5"/>
    <n v="8.65"/>
    <n v="3"/>
    <n v="0.6"/>
    <s v="ATENDE"/>
    <s v="ATENDE"/>
    <s v="ATENDE"/>
    <x v="0"/>
    <s v=" SL VT 9.1 72W"/>
    <s v="LUM LED SL VT 9.1 72W"/>
    <m/>
    <e v="#N/A"/>
    <n v="1"/>
    <n v="72"/>
    <n v="0"/>
    <n v="12107"/>
    <n v="0"/>
    <n v="0"/>
    <m/>
    <s v="Longo I"/>
    <m/>
    <s v=""/>
    <s v=""/>
    <m/>
    <m/>
    <m/>
    <m/>
    <m/>
    <m/>
    <n v="72"/>
    <n v="99"/>
    <n v="171"/>
    <n v="0.27272727272727271"/>
    <m/>
    <m/>
    <s v="Sim"/>
    <m/>
  </r>
  <r>
    <n v="239"/>
    <s v="PVP"/>
    <s v="Avenida Joao Magalhaes, 2167"/>
    <n v="-30.01494825"/>
    <n v="-50.15944047"/>
    <s v="C2"/>
    <x v="0"/>
    <s v="P6"/>
    <s v="LED"/>
    <n v="99"/>
    <n v="0"/>
    <n v="0"/>
    <n v="198"/>
    <n v="2"/>
    <n v="4"/>
    <n v="6"/>
    <m/>
    <m/>
    <n v="0"/>
    <n v="4"/>
    <n v="0"/>
    <n v="0"/>
    <n v="0"/>
    <n v="4"/>
    <n v="0"/>
    <s v="Bilateral frontal"/>
    <s v="Braço"/>
    <n v="38.5"/>
    <n v="7.5"/>
    <n v="1"/>
    <n v="6.5"/>
    <n v="2.8"/>
    <n v="-3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4299999999999988"/>
    <n v="1.6785714285714284"/>
    <s v="-"/>
    <n v="24.86"/>
    <n v="0.75"/>
    <m/>
    <m/>
    <m/>
    <m/>
    <s v="ATENDE"/>
    <s v="ATENDE"/>
    <s v="ATENDE"/>
    <s v="ATENDE"/>
    <s v="C2"/>
    <s v="P6"/>
    <n v="6.1733333333333329"/>
    <n v="21.52"/>
    <n v="9.9600000000000009"/>
    <n v="3"/>
    <n v="0.6"/>
    <s v="ATENDE"/>
    <s v="ATENDE"/>
    <s v="ATENDE"/>
    <s v="P6"/>
    <n v="6.1733333333333329"/>
    <n v="21.52"/>
    <n v="8.92"/>
    <n v="3"/>
    <n v="0.6"/>
    <s v="ATENDE"/>
    <s v="ATENDE"/>
    <s v="ATENDE"/>
    <x v="1"/>
    <s v="SX-INLPP070HF"/>
    <s v="SXINLPP070K40L12CZF7PHF"/>
    <m/>
    <e v="#N/A"/>
    <n v="1"/>
    <n v="70"/>
    <e v="#N/A"/>
    <n v="11970"/>
    <e v="#N/A"/>
    <n v="0"/>
    <m/>
    <s v="Longo I"/>
    <m/>
    <s v=""/>
    <s v=""/>
    <m/>
    <m/>
    <m/>
    <m/>
    <m/>
    <m/>
    <n v="70"/>
    <n v="99"/>
    <n v="169"/>
    <n v="0.29292929292929293"/>
    <m/>
    <m/>
    <s v="Sim"/>
    <m/>
  </r>
  <r>
    <n v="239"/>
    <s v="PVP"/>
    <s v="Avenida Joao Magalhaes, 2167"/>
    <n v="-30.01494825"/>
    <n v="-50.15944047"/>
    <s v="C2"/>
    <x v="0"/>
    <s v="P6"/>
    <s v="LED"/>
    <n v="99"/>
    <n v="0"/>
    <n v="0"/>
    <n v="198"/>
    <n v="2"/>
    <n v="4"/>
    <n v="6"/>
    <m/>
    <m/>
    <n v="0"/>
    <n v="4"/>
    <n v="0"/>
    <n v="0"/>
    <n v="0"/>
    <n v="4"/>
    <n v="0"/>
    <s v="Bilateral frontal"/>
    <s v="Braço"/>
    <n v="38.5"/>
    <n v="7.5"/>
    <n v="1"/>
    <n v="6.5"/>
    <n v="2.8"/>
    <n v="-3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6.349999999999989E-2"/>
    <n v="1.0357142857142851"/>
    <s v="-"/>
    <s v="21,27"/>
    <n v="0.56999999999999995"/>
    <m/>
    <m/>
    <m/>
    <m/>
    <s v="ATENDE"/>
    <s v="ATENDE"/>
    <s v="ATENDE"/>
    <s v="ATENDE"/>
    <s v="C2"/>
    <s v="P6"/>
    <n v="7.3433333333333337"/>
    <n v="25.03"/>
    <n v="7.27"/>
    <n v="3"/>
    <n v="0.6"/>
    <s v="ATENDE"/>
    <s v="ATENDE"/>
    <s v="ATENDE"/>
    <s v="P6"/>
    <n v="7.3533333333333335"/>
    <n v="25.06"/>
    <n v="7.28"/>
    <n v="3"/>
    <n v="0.6"/>
    <s v="ATENDE"/>
    <s v="ATENDE"/>
    <s v="ATENDE"/>
    <x v="2"/>
    <s v="SIGSAGPTLRRSSNDL_90W112IBBRS_x000a_"/>
    <s v="SIGSAGPTLRRSSNDL_90W112IBBRS_x000a_1-10C1MUN6.5"/>
    <m/>
    <e v="#N/A"/>
    <n v="1"/>
    <n v="90"/>
    <e v="#N/A"/>
    <n v="13859"/>
    <e v="#N/A"/>
    <n v="0"/>
    <m/>
    <s v="Longo I"/>
    <m/>
    <s v=""/>
    <s v=""/>
    <m/>
    <m/>
    <m/>
    <m/>
    <m/>
    <m/>
    <n v="90"/>
    <n v="99"/>
    <n v="189"/>
    <n v="9.0909090909090939E-2"/>
    <m/>
    <m/>
    <s v="Sim"/>
    <m/>
  </r>
  <r>
    <n v="240"/>
    <s v="VP"/>
    <s v="Rua Dez de Novembro, 248"/>
    <n v="-30.018199119999998"/>
    <n v="-50.159052879999997"/>
    <s v="C5"/>
    <x v="0"/>
    <s v="P6"/>
    <s v="Vapor de sódio"/>
    <n v="100"/>
    <n v="17"/>
    <n v="0"/>
    <n v="400"/>
    <n v="2"/>
    <n v="0"/>
    <n v="7"/>
    <m/>
    <m/>
    <n v="0"/>
    <n v="2.5"/>
    <n v="4"/>
    <n v="0"/>
    <n v="0"/>
    <n v="0"/>
    <n v="0"/>
    <s v="Canteiro central"/>
    <s v="Braço"/>
    <n v="22.5"/>
    <n v="5.6"/>
    <n v="2"/>
    <n v="2"/>
    <n v="1.3"/>
    <n v="-0.7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60399999999999987"/>
    <n v="1.1111111111111112"/>
    <s v="-"/>
    <n v="12.03"/>
    <n v="0.38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32000000000000006"/>
    <n v="3.96"/>
    <n v="2.68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n v="10"/>
    <s v="Curto II"/>
    <m/>
    <s v=""/>
    <s v=""/>
    <m/>
    <m/>
    <m/>
    <m/>
    <m/>
    <m/>
    <n v="28"/>
    <n v="100"/>
    <n v="256"/>
    <n v="0.72"/>
    <m/>
    <m/>
    <s v="Sim"/>
    <m/>
  </r>
  <r>
    <n v="240"/>
    <s v="VP"/>
    <s v="Rua Dez de Novembro, 248"/>
    <n v="-30.018199119999998"/>
    <n v="-50.159052879999997"/>
    <s v="C5"/>
    <x v="0"/>
    <s v="P6"/>
    <s v="Vapor de sódio"/>
    <n v="100"/>
    <n v="17"/>
    <n v="0"/>
    <n v="400"/>
    <n v="2"/>
    <n v="0"/>
    <n v="7"/>
    <m/>
    <m/>
    <n v="0"/>
    <n v="2.5"/>
    <n v="4"/>
    <n v="0"/>
    <n v="0"/>
    <n v="0"/>
    <n v="0"/>
    <s v="Canteiro central"/>
    <s v="Braço"/>
    <n v="22.5"/>
    <n v="5.6"/>
    <n v="2"/>
    <n v="2"/>
    <n v="1.3"/>
    <n v="-0.7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0000000000000004"/>
    <s v="-"/>
    <n v="9.15"/>
    <n v="0.54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20999999999999996"/>
    <n v="3.63"/>
    <n v="2.87"/>
    <n v="3"/>
    <n v="0.6"/>
    <s v="ATENDE"/>
    <s v="ATENDE"/>
    <s v="ATENDE"/>
    <x v="1"/>
    <s v="SX-INEVO020HF"/>
    <s v="SXINEVO020K40L12CZF7PHF"/>
    <m/>
    <e v="#N/A"/>
    <n v="2"/>
    <n v="22.5"/>
    <n v="0"/>
    <n v="3825"/>
    <n v="0"/>
    <n v="0"/>
    <n v="10"/>
    <s v="Curto II"/>
    <s v="Longo II"/>
    <n v="3.5"/>
    <n v="8.5"/>
    <m/>
    <m/>
    <m/>
    <m/>
    <m/>
    <m/>
    <n v="22.5"/>
    <n v="100"/>
    <n v="245"/>
    <n v="0.77500000000000002"/>
    <m/>
    <m/>
    <s v="Sim"/>
    <m/>
  </r>
  <r>
    <n v="240"/>
    <s v="VP"/>
    <s v="Rua Dez de Novembro, 248"/>
    <n v="-30.018199119999998"/>
    <n v="-50.159052879999997"/>
    <s v="C5"/>
    <x v="0"/>
    <s v="P6"/>
    <s v="Vapor de sódio"/>
    <n v="100"/>
    <n v="17"/>
    <n v="0"/>
    <n v="400"/>
    <n v="2"/>
    <n v="0"/>
    <n v="7"/>
    <m/>
    <m/>
    <n v="0"/>
    <n v="2.5"/>
    <n v="4"/>
    <n v="0"/>
    <n v="0"/>
    <n v="0"/>
    <n v="0"/>
    <s v="Canteiro central"/>
    <s v="Braço"/>
    <n v="22.5"/>
    <n v="5.6"/>
    <n v="2"/>
    <n v="2"/>
    <n v="1.3"/>
    <n v="-0.7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86266666666666669"/>
    <n v="1.3888888888888888"/>
    <s v="-"/>
    <n v="13.97"/>
    <n v="0.43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34999999999999987"/>
    <n v="4.05"/>
    <n v="2.7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n v="10"/>
    <s v="Curto II"/>
    <s v="Médio I"/>
    <n v="1.8"/>
    <n v="7"/>
    <m/>
    <m/>
    <m/>
    <m/>
    <m/>
    <m/>
    <n v="30"/>
    <n v="100"/>
    <n v="260"/>
    <n v="0.7"/>
    <m/>
    <m/>
    <s v="Sim"/>
    <m/>
  </r>
  <r>
    <n v="241"/>
    <s v="PVP"/>
    <s v="Rua Assis Brasil, 342"/>
    <n v="-30.012181510000001"/>
    <n v="-50.15595965"/>
    <s v="C3"/>
    <x v="0"/>
    <s v="P6"/>
    <s v="LED"/>
    <n v="99"/>
    <n v="0"/>
    <n v="0"/>
    <n v="198"/>
    <n v="2"/>
    <n v="2"/>
    <n v="7"/>
    <m/>
    <m/>
    <n v="0"/>
    <n v="2"/>
    <n v="0"/>
    <n v="0"/>
    <n v="0"/>
    <n v="0"/>
    <n v="0"/>
    <s v="Unilateral"/>
    <s v="Braço"/>
    <n v="38.5"/>
    <n v="6.5"/>
    <n v="1"/>
    <n v="0.4"/>
    <n v="0.65"/>
    <n v="0.25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1.3333333333333197E-2"/>
    <n v="0.22222222222222232"/>
    <s v="-"/>
    <n v="15.2"/>
    <n v="0.22"/>
    <m/>
    <m/>
    <m/>
    <m/>
    <s v="ATENDE"/>
    <s v="ATENDE"/>
    <s v="ATENDE"/>
    <s v="ATENDE"/>
    <s v="C3"/>
    <s v="P6"/>
    <n v="1.3433333333333333"/>
    <n v="7.03"/>
    <n v="1.86"/>
    <n v="3"/>
    <n v="0.6"/>
    <s v="ATENDE"/>
    <s v="ATENDE"/>
    <s v="ATENDE"/>
    <s v="P6"/>
    <n v="3.7966666666666669"/>
    <n v="14.39"/>
    <n v="4.5599999999999996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"/>
    <m/>
    <s v=""/>
    <s v=""/>
    <m/>
    <m/>
    <m/>
    <m/>
    <m/>
    <m/>
    <n v="65"/>
    <n v="99"/>
    <n v="164"/>
    <n v="0.34343434343434343"/>
    <m/>
    <m/>
    <s v="Sim"/>
    <m/>
  </r>
  <r>
    <n v="241"/>
    <s v="PVP"/>
    <s v="Rua Assis Brasil, 342"/>
    <n v="-30.012181510000001"/>
    <n v="-50.15595965"/>
    <s v="C3"/>
    <x v="0"/>
    <s v="P6"/>
    <s v="LED"/>
    <n v="99"/>
    <n v="0"/>
    <n v="0"/>
    <n v="198"/>
    <n v="2"/>
    <n v="2"/>
    <n v="7"/>
    <m/>
    <m/>
    <n v="0"/>
    <n v="2"/>
    <n v="0"/>
    <n v="0"/>
    <n v="0"/>
    <n v="0"/>
    <n v="0"/>
    <s v="Unilateral"/>
    <s v="Braço"/>
    <n v="38.5"/>
    <n v="6.5"/>
    <n v="1"/>
    <n v="0.4"/>
    <n v="0.65"/>
    <n v="0.25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9066666666666663"/>
    <n v="0.33333333333333326"/>
    <s v="-"/>
    <n v="19.36"/>
    <n v="0.24"/>
    <m/>
    <m/>
    <m/>
    <m/>
    <s v="ATENDE"/>
    <s v="ATENDE"/>
    <s v="ATENDE"/>
    <s v="ATENDE"/>
    <s v="C3"/>
    <s v="P6"/>
    <n v="1.8399999999999999"/>
    <n v="8.52"/>
    <n v="2.61"/>
    <n v="3"/>
    <n v="0.6"/>
    <s v="ATENDE"/>
    <s v="ATENDE"/>
    <s v="ATENDE"/>
    <s v="P6"/>
    <n v="5.7433333333333332"/>
    <n v="20.23"/>
    <n v="5.5"/>
    <n v="3"/>
    <n v="0.6"/>
    <s v="ATENDE"/>
    <s v="ATENDE"/>
    <s v="ATENDE"/>
    <x v="1"/>
    <s v="SX-INLPP070HF"/>
    <s v="SXINLPP070K40L12CZF7PHF"/>
    <m/>
    <n v="0"/>
    <n v="1"/>
    <n v="70"/>
    <n v="0"/>
    <n v="11970"/>
    <n v="0"/>
    <n v="0"/>
    <m/>
    <s v="Curto I"/>
    <m/>
    <s v=""/>
    <s v=""/>
    <m/>
    <m/>
    <m/>
    <m/>
    <m/>
    <m/>
    <n v="70"/>
    <n v="99"/>
    <n v="169"/>
    <n v="0.29292929292929293"/>
    <m/>
    <m/>
    <s v="Sim"/>
    <m/>
  </r>
  <r>
    <n v="241"/>
    <s v="PVP"/>
    <s v="Rua Assis Brasil, 342"/>
    <n v="-30.012181510000001"/>
    <n v="-50.15595965"/>
    <s v="C3"/>
    <x v="0"/>
    <s v="P6"/>
    <s v="LED"/>
    <n v="99"/>
    <n v="0"/>
    <n v="0"/>
    <n v="198"/>
    <n v="2"/>
    <n v="2"/>
    <n v="7"/>
    <m/>
    <m/>
    <n v="0"/>
    <n v="2"/>
    <n v="0"/>
    <n v="0"/>
    <n v="0"/>
    <n v="0"/>
    <n v="0"/>
    <s v="Unilateral"/>
    <s v="Braço"/>
    <n v="38.5"/>
    <n v="6.5"/>
    <n v="1"/>
    <n v="0.4"/>
    <n v="0.65"/>
    <n v="0.25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9.6000000000000085E-2"/>
    <n v="-5.5555555555555469E-2"/>
    <s v="-"/>
    <n v="16.440000000000001"/>
    <n v="0.17"/>
    <m/>
    <m/>
    <m/>
    <m/>
    <s v="ATENDE"/>
    <s v="ATENDE"/>
    <s v="ATENDIMENTO LIMIAR"/>
    <s v="ATENDE"/>
    <s v="C3"/>
    <s v="P6"/>
    <n v="1.2066666666666666"/>
    <n v="6.62"/>
    <n v="2.75"/>
    <n v="3"/>
    <n v="0.6"/>
    <s v="ATENDE"/>
    <s v="ATENDE"/>
    <s v="ATENDE"/>
    <s v="P6"/>
    <n v="4.0466666666666669"/>
    <n v="15.14"/>
    <n v="1.7"/>
    <n v="3"/>
    <n v="0.6"/>
    <s v="ATENDE"/>
    <s v="ATENDE"/>
    <s v="ATENDE"/>
    <x v="2"/>
    <s v="SIGSAGPTLRRSSNDL_68W_83IBBRS_x000a_"/>
    <s v="SIGSAGPTLRRSSNDL_68W_83IBBRS_x000a_1-10C1MUN6.5"/>
    <m/>
    <n v="0"/>
    <n v="1"/>
    <n v="68"/>
    <n v="0"/>
    <n v="10884"/>
    <n v="0"/>
    <n v="0"/>
    <n v="5"/>
    <s v="Curto I"/>
    <m/>
    <s v=""/>
    <s v=""/>
    <m/>
    <m/>
    <m/>
    <m/>
    <m/>
    <m/>
    <n v="68"/>
    <n v="99"/>
    <n v="167"/>
    <n v="0.31313131313131315"/>
    <m/>
    <m/>
    <s v="Sim"/>
    <m/>
  </r>
  <r>
    <n v="242"/>
    <s v="PVP"/>
    <s v="Rua Vinte e Nove, 780"/>
    <n v="-30.02220544"/>
    <n v="-50.160941260000001"/>
    <s v="C4"/>
    <x v="0"/>
    <s v="P6"/>
    <s v="Vapor de sódio"/>
    <n v="150"/>
    <n v="22"/>
    <n v="0"/>
    <n v="300"/>
    <n v="2"/>
    <n v="2"/>
    <n v="7"/>
    <m/>
    <m/>
    <n v="0"/>
    <n v="2.5"/>
    <n v="0"/>
    <n v="0"/>
    <n v="0"/>
    <n v="0"/>
    <n v="0"/>
    <s v="Unilateral"/>
    <s v="Braço"/>
    <n v="33.9"/>
    <n v="7.3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500000000000001"/>
    <n v="1.2222222222222223"/>
    <s v="-"/>
    <n v="11.35"/>
    <n v="0.4"/>
    <m/>
    <m/>
    <m/>
    <m/>
    <s v="ATENDE"/>
    <s v="ATENDE"/>
    <s v="ATENDE"/>
    <s v="ATENDE"/>
    <s v="C4"/>
    <s v="P6"/>
    <n v="0.82666666666666688"/>
    <n v="5.48"/>
    <n v="2.98"/>
    <n v="3"/>
    <n v="0.6"/>
    <s v="ATENDE"/>
    <s v="ATENDE"/>
    <s v="ATENDE"/>
    <s v="P6"/>
    <n v="3.33"/>
    <n v="12.99"/>
    <n v="4.9000000000000004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242"/>
    <s v="PVP"/>
    <s v="Rua Vinte e Nove, 780"/>
    <n v="-30.02220544"/>
    <n v="-50.160941260000001"/>
    <s v="C4"/>
    <x v="0"/>
    <s v="P6"/>
    <s v="Vapor de sódio"/>
    <n v="150"/>
    <n v="22"/>
    <n v="0"/>
    <n v="300"/>
    <n v="2"/>
    <n v="2"/>
    <n v="7"/>
    <m/>
    <m/>
    <n v="0"/>
    <n v="2.5"/>
    <n v="0"/>
    <n v="0"/>
    <n v="0"/>
    <n v="0"/>
    <n v="0"/>
    <s v="Unilateral"/>
    <s v="Braço"/>
    <n v="33.9"/>
    <n v="7.3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399999999999986"/>
    <n v="2.2222222222222223"/>
    <s v="-"/>
    <n v="13.44"/>
    <n v="0.57999999999999996"/>
    <m/>
    <m/>
    <m/>
    <m/>
    <s v="ATENDE"/>
    <s v="ATENDE"/>
    <s v="ATENDE"/>
    <s v="ATENDE"/>
    <s v="C4"/>
    <s v="P6"/>
    <n v="0.91000000000000014"/>
    <n v="5.73"/>
    <n v="3.43"/>
    <n v="3"/>
    <n v="0.6"/>
    <s v="ATENDE"/>
    <s v="ATENDE"/>
    <s v="ATENDE"/>
    <s v="P6"/>
    <n v="4.5066666666666668"/>
    <n v="16.52"/>
    <n v="6.66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42"/>
    <s v="PVP"/>
    <s v="Rua Vinte e Nove, 780"/>
    <n v="-30.02220544"/>
    <n v="-50.160941260000001"/>
    <s v="C4"/>
    <x v="0"/>
    <s v="P6"/>
    <s v="Vapor de sódio"/>
    <n v="150"/>
    <n v="22"/>
    <n v="0"/>
    <n v="300"/>
    <n v="2"/>
    <n v="2"/>
    <n v="7"/>
    <m/>
    <m/>
    <n v="0"/>
    <n v="2.5"/>
    <n v="0"/>
    <n v="0"/>
    <n v="0"/>
    <n v="0"/>
    <n v="0"/>
    <s v="Unilateral"/>
    <s v="Braço"/>
    <n v="33.9"/>
    <n v="7.3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399999999999994"/>
    <n v="1.4444444444444446"/>
    <s v="-"/>
    <n v="11.84"/>
    <n v="0.44"/>
    <m/>
    <m/>
    <m/>
    <m/>
    <s v="ATENDE"/>
    <s v="ATENDE"/>
    <s v="ATENDE"/>
    <s v="ATENDE"/>
    <s v="C4"/>
    <s v="P6"/>
    <n v="0.37000000000000011"/>
    <n v="4.1100000000000003"/>
    <n v="2.52"/>
    <n v="3"/>
    <n v="0.6"/>
    <s v="ATENDE"/>
    <s v="ATENDE"/>
    <s v="ATENDE"/>
    <s v="P6"/>
    <n v="3.6566666666666672"/>
    <n v="13.97"/>
    <n v="6.3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n v="5"/>
    <s v="Curto II"/>
    <m/>
    <s v=""/>
    <s v=""/>
    <m/>
    <m/>
    <m/>
    <m/>
    <m/>
    <m/>
    <n v="50"/>
    <n v="150"/>
    <n v="200"/>
    <n v="0.66666666666666674"/>
    <m/>
    <m/>
    <s v="Sim"/>
    <m/>
  </r>
  <r>
    <n v="243"/>
    <s v="PVP"/>
    <s v="Rua Prudente de Morais, 696"/>
    <n v="-30.01394385"/>
    <n v="-50.15758234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3.7"/>
    <n v="7"/>
    <n v="1"/>
    <n v="0.6"/>
    <n v="1.5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000000000001155E-3"/>
    <n v="0.16666666666666674"/>
    <s v="-"/>
    <n v="10.050000000000001"/>
    <n v="0.21"/>
    <m/>
    <m/>
    <m/>
    <m/>
    <s v="ATENDE"/>
    <s v="ATENDE"/>
    <s v="ATENDE"/>
    <s v="ATENDE"/>
    <s v="C4"/>
    <s v="P6"/>
    <n v="1.0699999999999998"/>
    <n v="6.21"/>
    <n v="1.84"/>
    <n v="3"/>
    <n v="0.6"/>
    <s v="ATENDE"/>
    <s v="ATENDE"/>
    <s v="ATENDE"/>
    <s v="P6"/>
    <n v="1.6233333333333335"/>
    <n v="7.87"/>
    <n v="1.51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s v="Médio I"/>
    <n v="1.8"/>
    <n v="7"/>
    <m/>
    <m/>
    <m/>
    <m/>
    <m/>
    <m/>
    <n v="52"/>
    <n v="100"/>
    <n v="152"/>
    <n v="0.48"/>
    <m/>
    <m/>
    <s v="Sim"/>
    <m/>
  </r>
  <r>
    <n v="243"/>
    <s v="PVP"/>
    <s v="Rua Prudente de Morais, 696"/>
    <n v="-30.01394385"/>
    <n v="-50.15758234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3.7"/>
    <n v="7"/>
    <n v="1"/>
    <n v="0.6"/>
    <n v="1.5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999999999999947E-2"/>
    <n v="0.22222222222222232"/>
    <s v="-"/>
    <n v="10.65"/>
    <n v="0.22"/>
    <m/>
    <m/>
    <m/>
    <m/>
    <s v="ATENDE"/>
    <s v="ATENDE"/>
    <s v="ATENDE"/>
    <s v="ATENDE"/>
    <s v="C4"/>
    <s v="P6"/>
    <n v="1.8933333333333331"/>
    <n v="8.68"/>
    <n v="4.43"/>
    <n v="3"/>
    <n v="0.6"/>
    <s v="ATENDE"/>
    <s v="ATENDE"/>
    <s v="ATENDE"/>
    <s v="P6"/>
    <n v="1.1766666666666667"/>
    <n v="6.53"/>
    <n v="1.07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s v="Longo I"/>
    <n v="2.8"/>
    <n v="8"/>
    <m/>
    <m/>
    <m/>
    <m/>
    <m/>
    <m/>
    <n v="50"/>
    <n v="100"/>
    <n v="150"/>
    <n v="0.5"/>
    <m/>
    <m/>
    <s v="Sim"/>
    <m/>
  </r>
  <r>
    <n v="243"/>
    <s v="PVP"/>
    <s v="Rua Prudente de Morais, 696"/>
    <n v="-30.01394385"/>
    <n v="-50.15758234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3.7"/>
    <n v="7"/>
    <n v="1"/>
    <n v="0.6"/>
    <n v="1.5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999999999999904E-2"/>
    <n v="0.2777777777777779"/>
    <s v="-"/>
    <n v="10.17"/>
    <n v="0.23"/>
    <m/>
    <m/>
    <m/>
    <m/>
    <s v="ATENDE"/>
    <s v="ATENDE"/>
    <s v="ATENDE"/>
    <s v="ATENDE"/>
    <s v="C4"/>
    <s v="P6"/>
    <n v="1.1133333333333333"/>
    <n v="6.34"/>
    <n v="1.77"/>
    <n v="3"/>
    <n v="0.6"/>
    <s v="ATENDE"/>
    <s v="ATENDE"/>
    <s v="ATENDE"/>
    <s v="P6"/>
    <n v="1.0699999999999998"/>
    <n v="6.21"/>
    <n v="1.64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e v="#N/A"/>
    <n v="8163"/>
    <e v="#N/A"/>
    <n v="0"/>
    <m/>
    <s v="Curto II"/>
    <s v="Longo I"/>
    <n v="2.8"/>
    <n v="8"/>
    <m/>
    <m/>
    <m/>
    <m/>
    <m/>
    <m/>
    <n v="50"/>
    <n v="100"/>
    <n v="150"/>
    <n v="0.5"/>
    <m/>
    <m/>
    <s v="Sim"/>
    <m/>
  </r>
  <r>
    <n v="244"/>
    <s v="PVP"/>
    <s v="Rua Joao Goulart, 242"/>
    <n v="-30.02084013"/>
    <n v="-50.150235360000003"/>
    <s v="C4"/>
    <x v="0"/>
    <s v="P6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40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3000000000000131E-2"/>
    <n v="0.7777777777777779"/>
    <s v="-"/>
    <n v="10.23"/>
    <n v="0.32"/>
    <m/>
    <m/>
    <m/>
    <m/>
    <s v="ATENDE"/>
    <s v="ATENDE"/>
    <s v="ATENDE"/>
    <s v="ATENDE"/>
    <s v="C4"/>
    <s v="P6"/>
    <n v="1.1733333333333333"/>
    <n v="6.52"/>
    <n v="2.62"/>
    <n v="3"/>
    <n v="0.6"/>
    <s v="ATENDE"/>
    <s v="ATENDE"/>
    <s v="ATENDE"/>
    <s v="P6"/>
    <n v="1.8766666666666669"/>
    <n v="8.6300000000000008"/>
    <n v="2.5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4"/>
    <s v="PVP"/>
    <s v="Rua Joao Goulart, 242"/>
    <n v="-30.02084013"/>
    <n v="-50.150235360000003"/>
    <s v="C4"/>
    <x v="0"/>
    <s v="P6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40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199999999999997"/>
    <n v="0.88888888888888906"/>
    <s v="-"/>
    <n v="12.12"/>
    <n v="0.34"/>
    <m/>
    <m/>
    <m/>
    <m/>
    <s v="ATENDE"/>
    <s v="ATENDE"/>
    <s v="ATENDE"/>
    <s v="ATENDE"/>
    <s v="C4"/>
    <s v="P6"/>
    <n v="1.5233333333333334"/>
    <n v="7.57"/>
    <n v="4.37"/>
    <n v="3"/>
    <n v="0.6"/>
    <s v="ATENDE"/>
    <s v="ATENDE"/>
    <s v="ATENDE"/>
    <s v="P6"/>
    <n v="2.2566666666666664"/>
    <n v="9.77"/>
    <n v="2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4"/>
    <s v="PVP"/>
    <s v="Rua Joao Goulart, 242"/>
    <n v="-30.02084013"/>
    <n v="-50.150235360000003"/>
    <s v="C4"/>
    <x v="0"/>
    <s v="P6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40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44444444444444464"/>
    <s v="-"/>
    <n v="11.14"/>
    <n v="0.26"/>
    <m/>
    <m/>
    <m/>
    <m/>
    <s v="ATENDE"/>
    <s v="ATENDE"/>
    <s v="ATENDE"/>
    <s v="ATENDE"/>
    <s v="C4"/>
    <s v="P6"/>
    <n v="0.54"/>
    <n v="4.62"/>
    <n v="1.49"/>
    <n v="3"/>
    <n v="0.6"/>
    <s v="ATENDE"/>
    <s v="ATENDE"/>
    <s v="ATENDE"/>
    <s v="P6"/>
    <n v="2.0666666666666664"/>
    <n v="9.1999999999999993"/>
    <n v="2.52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5"/>
    <s v="PVP"/>
    <s v="Rua Belem, 594"/>
    <n v="-29.997101359999998"/>
    <n v="-50.148150659999999"/>
    <s v="C5"/>
    <x v="0"/>
    <s v="P6"/>
    <s v="LED"/>
    <n v="50"/>
    <n v="0"/>
    <n v="0"/>
    <n v="250"/>
    <n v="2"/>
    <n v="4"/>
    <n v="7.5"/>
    <m/>
    <m/>
    <n v="0"/>
    <n v="3.5"/>
    <n v="0"/>
    <n v="0"/>
    <n v="0"/>
    <n v="0"/>
    <n v="0"/>
    <s v="Canteiro central"/>
    <s v="Braço"/>
    <n v="24.5"/>
    <n v="7"/>
    <n v="1"/>
    <n v="0.4"/>
    <n v="2.5"/>
    <n v="2.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"/>
    <n v="2.0555555555555558"/>
    <s v="-"/>
    <n v="9.4499999999999993"/>
    <n v="0.55000000000000004"/>
    <m/>
    <m/>
    <m/>
    <m/>
    <s v="ATENDE"/>
    <s v="ATENDE"/>
    <s v="ATENDE"/>
    <s v="ATENDE"/>
    <s v="C5"/>
    <s v="P6"/>
    <n v="0.9933333333333334"/>
    <n v="5.98"/>
    <n v="3.55"/>
    <n v="3"/>
    <n v="0.6"/>
    <s v="ATENDE"/>
    <s v="ATENDE"/>
    <s v="ATENDE"/>
    <s v="P6"/>
    <n v="0.7699999999999998"/>
    <n v="5.31"/>
    <n v="2.8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Médio II"/>
    <m/>
    <s v=""/>
    <s v=""/>
    <m/>
    <m/>
    <m/>
    <m/>
    <m/>
    <m/>
    <n v="30"/>
    <n v="125"/>
    <n v="155"/>
    <n v="0.76"/>
    <m/>
    <m/>
    <s v="Sim"/>
    <m/>
  </r>
  <r>
    <n v="245"/>
    <s v="PVP"/>
    <s v="Rua Belem, 594"/>
    <n v="-29.997101359999998"/>
    <n v="-50.148150659999999"/>
    <s v="C5"/>
    <x v="0"/>
    <s v="P6"/>
    <s v="LED"/>
    <n v="50"/>
    <n v="0"/>
    <n v="0"/>
    <n v="250"/>
    <n v="2"/>
    <n v="4"/>
    <n v="7.5"/>
    <m/>
    <m/>
    <n v="0"/>
    <n v="3.5"/>
    <n v="0"/>
    <n v="0"/>
    <n v="0"/>
    <n v="0"/>
    <n v="0"/>
    <s v="Canteiro central"/>
    <s v="Braço"/>
    <n v="24.5"/>
    <n v="7"/>
    <n v="1"/>
    <n v="0.4"/>
    <n v="2.5"/>
    <n v="2.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066666666666669"/>
    <n v="2.7222222222222228"/>
    <s v="-"/>
    <n v="8.33"/>
    <n v="0.67"/>
    <m/>
    <m/>
    <m/>
    <m/>
    <s v="ATENDE"/>
    <s v="ATENDE"/>
    <s v="ATENDE"/>
    <s v="ATENDE"/>
    <s v="C5"/>
    <s v="P6"/>
    <n v="0.50333333333333319"/>
    <n v="4.51"/>
    <n v="2.27"/>
    <n v="3"/>
    <n v="0.6"/>
    <s v="ATENDE"/>
    <s v="ATENDE"/>
    <s v="ATENDE"/>
    <s v="P6"/>
    <n v="0.30000000000000004"/>
    <n v="3.9"/>
    <n v="1.78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Médio II"/>
    <m/>
    <s v=""/>
    <s v=""/>
    <m/>
    <m/>
    <m/>
    <m/>
    <m/>
    <m/>
    <n v="30"/>
    <n v="125"/>
    <n v="155"/>
    <n v="0.76"/>
    <m/>
    <m/>
    <s v="Sim"/>
    <m/>
  </r>
  <r>
    <n v="245"/>
    <s v="PVP"/>
    <s v="Rua Belem, 594"/>
    <n v="-29.997101359999998"/>
    <n v="-50.148150659999999"/>
    <s v="C5"/>
    <x v="0"/>
    <s v="P6"/>
    <s v="LED"/>
    <n v="50"/>
    <n v="0"/>
    <n v="0"/>
    <n v="250"/>
    <n v="2"/>
    <n v="4"/>
    <n v="7.5"/>
    <m/>
    <m/>
    <n v="0"/>
    <n v="3.5"/>
    <n v="0"/>
    <n v="0"/>
    <n v="0"/>
    <n v="0"/>
    <n v="0"/>
    <s v="Canteiro central"/>
    <s v="Braço"/>
    <n v="24.5"/>
    <n v="7"/>
    <n v="1"/>
    <n v="0.4"/>
    <n v="2.5"/>
    <n v="2.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3466666666666671"/>
    <n v="2.7777777777777781"/>
    <s v="-"/>
    <n v="12.26"/>
    <n v="0.68"/>
    <m/>
    <m/>
    <m/>
    <m/>
    <s v="ATENDE"/>
    <s v="ATENDE"/>
    <s v="ATENDE"/>
    <s v="ATENDE"/>
    <s v="C5"/>
    <s v="P6"/>
    <n v="0.96"/>
    <n v="5.88"/>
    <n v="3.36"/>
    <n v="3"/>
    <n v="0.6"/>
    <s v="ATENDE"/>
    <s v="ATENDE"/>
    <s v="ATENDE"/>
    <s v="P6"/>
    <n v="1.0066666666666664"/>
    <n v="6.02"/>
    <n v="3.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I"/>
    <m/>
    <s v=""/>
    <s v=""/>
    <m/>
    <m/>
    <m/>
    <m/>
    <m/>
    <m/>
    <n v="30"/>
    <n v="125"/>
    <n v="155"/>
    <n v="0.76"/>
    <m/>
    <m/>
    <s v="Sim"/>
    <m/>
  </r>
  <r>
    <n v="246"/>
    <s v="PVP"/>
    <s v="Rua Veneza, 79"/>
    <n v="-30.023193030000002"/>
    <n v="-50.153394839999997"/>
    <s v="C4"/>
    <x v="0"/>
    <s v="P6"/>
    <s v="Vapor de sódio"/>
    <n v="150"/>
    <n v="22"/>
    <n v="0"/>
    <n v="250"/>
    <n v="2"/>
    <n v="2.5"/>
    <n v="7"/>
    <m/>
    <m/>
    <n v="0"/>
    <n v="2.5"/>
    <n v="0"/>
    <n v="0"/>
    <n v="0"/>
    <n v="0"/>
    <n v="0"/>
    <s v="Unilateral"/>
    <s v="Braço"/>
    <n v="36.1"/>
    <n v="7.3"/>
    <n v="1"/>
    <n v="0.9"/>
    <n v="1.3"/>
    <n v="0.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899999999999999"/>
    <n v="1.166666666666667"/>
    <s v="-"/>
    <n v="11.09"/>
    <n v="0.39"/>
    <m/>
    <m/>
    <m/>
    <m/>
    <s v="ATENDE"/>
    <s v="ATENDE"/>
    <s v="ATENDE"/>
    <s v="ATENDE"/>
    <s v="C4"/>
    <s v="P6"/>
    <n v="1.23"/>
    <n v="6.69"/>
    <n v="3.26"/>
    <n v="3"/>
    <n v="0.6"/>
    <s v="ATENDE"/>
    <s v="ATENDE"/>
    <s v="ATENDE"/>
    <s v="P6"/>
    <n v="2.4166666666666665"/>
    <n v="10.25"/>
    <n v="3.68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6"/>
    <s v="PVP"/>
    <s v="Rua Veneza, 79"/>
    <n v="-30.023193030000002"/>
    <n v="-50.153394839999997"/>
    <s v="C4"/>
    <x v="0"/>
    <s v="P6"/>
    <s v="Vapor de sódio"/>
    <n v="150"/>
    <n v="22"/>
    <n v="0"/>
    <n v="250"/>
    <n v="2"/>
    <n v="2.5"/>
    <n v="7"/>
    <m/>
    <m/>
    <n v="0"/>
    <n v="2.5"/>
    <n v="0"/>
    <n v="0"/>
    <n v="0"/>
    <n v="0"/>
    <n v="0"/>
    <s v="Unilateral"/>
    <s v="Braço"/>
    <n v="36.1"/>
    <n v="7.3"/>
    <n v="1"/>
    <n v="0.9"/>
    <n v="1.3"/>
    <n v="0.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400000000000006"/>
    <n v="1.9444444444444446"/>
    <s v="-"/>
    <n v="13.14"/>
    <n v="0.53"/>
    <m/>
    <m/>
    <m/>
    <m/>
    <s v="ATENDE"/>
    <s v="ATENDE"/>
    <s v="ATENDE"/>
    <s v="ATENDE"/>
    <s v="C4"/>
    <s v="P6"/>
    <n v="1.5500000000000003"/>
    <n v="7.65"/>
    <n v="5.56"/>
    <n v="3"/>
    <n v="0.6"/>
    <s v="ATENDE"/>
    <s v="ATENDE"/>
    <s v="ATENDE"/>
    <s v="P6"/>
    <n v="2.9566666666666666"/>
    <n v="11.87"/>
    <n v="4.13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6"/>
    <s v="PVP"/>
    <s v="Rua Veneza, 79"/>
    <n v="-30.023193030000002"/>
    <n v="-50.153394839999997"/>
    <s v="C4"/>
    <x v="0"/>
    <s v="P6"/>
    <s v="Vapor de sódio"/>
    <n v="150"/>
    <n v="22"/>
    <n v="0"/>
    <n v="250"/>
    <n v="2"/>
    <n v="2.5"/>
    <n v="7"/>
    <m/>
    <m/>
    <n v="0"/>
    <n v="2.5"/>
    <n v="0"/>
    <n v="0"/>
    <n v="0"/>
    <n v="0"/>
    <n v="0"/>
    <s v="Unilateral"/>
    <s v="Braço"/>
    <n v="36.1"/>
    <n v="7.3"/>
    <n v="1"/>
    <n v="0.9"/>
    <n v="1.3"/>
    <n v="0.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100000000000006"/>
    <n v="1.1111111111111112"/>
    <s v="-"/>
    <n v="11.91"/>
    <n v="0.38"/>
    <m/>
    <m/>
    <m/>
    <m/>
    <s v="ATENDE"/>
    <s v="ATENDE"/>
    <s v="ATENDE"/>
    <s v="ATENDE"/>
    <s v="C4"/>
    <s v="P6"/>
    <n v="0.49"/>
    <n v="4.47"/>
    <n v="2.2200000000000002"/>
    <n v="3"/>
    <n v="0.6"/>
    <s v="ATENDE"/>
    <s v="ATENDE"/>
    <s v="ATENDE"/>
    <s v="P6"/>
    <n v="2.7233333333333332"/>
    <n v="11.17"/>
    <n v="4.76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7"/>
    <s v="PVP"/>
    <s v="Rua Quatro, 11"/>
    <n v="-30.008955319999998"/>
    <n v="-50.156438899999998"/>
    <s v="C4"/>
    <x v="0"/>
    <s v="P6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34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99999999999997E-2"/>
    <n v="1.166666666666667"/>
    <s v="-"/>
    <n v="10.91"/>
    <n v="0.39"/>
    <m/>
    <m/>
    <m/>
    <m/>
    <s v="ATENDE"/>
    <s v="ATENDE"/>
    <s v="ATENDE"/>
    <s v="ATENDE"/>
    <s v="C4"/>
    <s v="P6"/>
    <n v="1.1800000000000002"/>
    <n v="6.54"/>
    <n v="3.17"/>
    <n v="3"/>
    <n v="0.6"/>
    <s v="ATENDE"/>
    <s v="ATENDE"/>
    <s v="ATENDE"/>
    <s v="P6"/>
    <n v="2.313333333333333"/>
    <n v="9.94"/>
    <n v="3.2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7"/>
    <s v="PVP"/>
    <s v="Rua Quatro, 11"/>
    <n v="-30.008955319999998"/>
    <n v="-50.156438899999998"/>
    <s v="C4"/>
    <x v="0"/>
    <s v="P6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34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9000000000000146E-2"/>
    <n v="1.7222222222222223"/>
    <s v="-"/>
    <n v="10.39"/>
    <n v="0.49"/>
    <m/>
    <m/>
    <m/>
    <m/>
    <s v="ATENDE"/>
    <s v="ATENDE"/>
    <s v="ATENDE"/>
    <s v="ATENDE"/>
    <s v="C4"/>
    <s v="P6"/>
    <n v="0.84333333333333349"/>
    <n v="5.53"/>
    <n v="3.65"/>
    <n v="3"/>
    <n v="0.6"/>
    <s v="ATENDE"/>
    <s v="ATENDE"/>
    <s v="ATENDE"/>
    <s v="P6"/>
    <n v="1.8166666666666664"/>
    <n v="8.4499999999999993"/>
    <n v="3.1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7"/>
    <s v="PVP"/>
    <s v="Rua Quatro, 11"/>
    <n v="-30.008955319999998"/>
    <n v="-50.156438899999998"/>
    <s v="C4"/>
    <x v="0"/>
    <s v="P6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34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100000000000004"/>
    <n v="1.2222222222222223"/>
    <s v="-"/>
    <n v="11.71"/>
    <n v="0.4"/>
    <m/>
    <m/>
    <m/>
    <m/>
    <s v="ATENDE"/>
    <s v="ATENDE"/>
    <s v="ATENDE"/>
    <s v="ATENDE"/>
    <s v="C4"/>
    <s v="P6"/>
    <n v="0.55999999999999983"/>
    <n v="4.68"/>
    <n v="2.27"/>
    <n v="3"/>
    <n v="0.6"/>
    <s v="ATENDE"/>
    <s v="ATENDE"/>
    <s v="ATENDE"/>
    <s v="P6"/>
    <n v="1.9733333333333332"/>
    <n v="8.92"/>
    <n v="3.3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8"/>
    <s v="PV"/>
    <s v="Rua Fernando de Noronha, 480"/>
    <n v="-30.024498749999999"/>
    <n v="-50.148275409999997"/>
    <s v="C4"/>
    <x v="0"/>
    <s v="P6"/>
    <s v="Vapor de sódio"/>
    <n v="100"/>
    <n v="17"/>
    <n v="0"/>
    <n v="250"/>
    <n v="2"/>
    <n v="2.5"/>
    <n v="7"/>
    <m/>
    <m/>
    <n v="0"/>
    <n v="0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000000000000016E-2"/>
    <n v="1.3333333333333335"/>
    <s v="-"/>
    <n v="10.18"/>
    <n v="0.42"/>
    <m/>
    <m/>
    <m/>
    <m/>
    <s v="ATENDE"/>
    <s v="ATENDE"/>
    <s v="ATENDE"/>
    <s v="ATENDE"/>
    <s v="C4"/>
    <s v="P4"/>
    <n v="0.14933333333333332"/>
    <n v="8.6199999999999992"/>
    <n v="3.38"/>
    <n v="7.5"/>
    <n v="1.5"/>
    <s v="ATENDE"/>
    <s v="ATENDE"/>
    <s v="ATENDE"/>
    <s v="P4"/>
    <e v="#VALUE!"/>
    <s v=" -"/>
    <s v=" -"/>
    <n v="7.5"/>
    <n v="1.5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8"/>
    <s v="PV"/>
    <s v="Rua Fernando de Noronha, 480"/>
    <n v="-30.024498749999999"/>
    <n v="-50.148275409999997"/>
    <s v="C4"/>
    <x v="0"/>
    <s v="P6"/>
    <s v="Vapor de sódio"/>
    <n v="100"/>
    <n v="17"/>
    <n v="0"/>
    <n v="250"/>
    <n v="2"/>
    <n v="2.5"/>
    <n v="7"/>
    <m/>
    <m/>
    <n v="0"/>
    <n v="0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1500000000000004"/>
    <n v="1.8888888888888893"/>
    <s v="-"/>
    <n v="14.15"/>
    <n v="0.52"/>
    <m/>
    <m/>
    <m/>
    <m/>
    <s v="ATENDE"/>
    <s v="ATENDE"/>
    <s v="ATENDE"/>
    <s v="ATENDE"/>
    <s v="C4"/>
    <s v="P4"/>
    <n v="0.52133333333333343"/>
    <n v="11.41"/>
    <n v="4.49"/>
    <n v="7.5"/>
    <n v="1.5"/>
    <s v="ATENDE"/>
    <s v="ATENDE"/>
    <s v="ATENDE"/>
    <s v="P4"/>
    <e v="#VALUE!"/>
    <s v=" -"/>
    <s v=" -"/>
    <n v="7.5"/>
    <n v="1.5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8"/>
    <s v="PV"/>
    <s v="Rua Fernando de Noronha, 480"/>
    <n v="-30.024498749999999"/>
    <n v="-50.148275409999997"/>
    <s v="C4"/>
    <x v="0"/>
    <s v="P6"/>
    <s v="Vapor de sódio"/>
    <n v="100"/>
    <n v="17"/>
    <n v="0"/>
    <n v="250"/>
    <n v="2"/>
    <n v="2.5"/>
    <n v="7"/>
    <m/>
    <m/>
    <n v="0"/>
    <n v="0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999999999999977E-2"/>
    <n v="1.6666666666666665"/>
    <s v="-"/>
    <n v="10.99"/>
    <n v="0.48"/>
    <m/>
    <m/>
    <m/>
    <m/>
    <s v="ATENDE"/>
    <s v="ATENDE"/>
    <s v="ATENDE"/>
    <s v="ATENDE"/>
    <s v="C4"/>
    <s v="P4"/>
    <n v="0.15866666666666651"/>
    <n v="8.69"/>
    <n v="3.92"/>
    <n v="7.5"/>
    <n v="1.5"/>
    <s v="ATENDE"/>
    <s v="ATENDE"/>
    <s v="ATENDE"/>
    <s v="P4"/>
    <e v="#VALUE!"/>
    <s v=" -"/>
    <s v=" -"/>
    <n v="7.5"/>
    <n v="1.5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9"/>
    <s v="VP"/>
    <s v="Avenida Rubem Berta, 851"/>
    <n v="-29.989387440000002"/>
    <n v="-50.140951039999997"/>
    <s v="C2"/>
    <x v="0"/>
    <s v="P6"/>
    <s v="LED"/>
    <n v="50"/>
    <n v="0"/>
    <n v="0"/>
    <n v="250"/>
    <n v="2"/>
    <n v="0"/>
    <n v="7"/>
    <m/>
    <m/>
    <n v="0"/>
    <n v="4"/>
    <n v="5.5"/>
    <n v="0"/>
    <n v="0"/>
    <n v="0"/>
    <n v="0"/>
    <s v="Canteiro central"/>
    <s v="Braço"/>
    <n v="34.6"/>
    <n v="8"/>
    <n v="2"/>
    <n v="2.5"/>
    <n v="2.5"/>
    <n v="0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8650000000000011"/>
    <n v="0.3214285714285714"/>
    <s v="-"/>
    <n v="23.73"/>
    <n v="0.37"/>
    <m/>
    <m/>
    <m/>
    <m/>
    <s v="ATENDE"/>
    <s v="ATENDE"/>
    <s v="ATENDE"/>
    <s v="ATENDE"/>
    <s v="C2"/>
    <s v="P6"/>
    <s v="-"/>
    <s v="-"/>
    <s v="-"/>
    <n v="3"/>
    <n v="0.6"/>
    <s v="ATENDE"/>
    <s v="ATENDE"/>
    <s v="ATENDE"/>
    <s v="P6"/>
    <n v="2.3000000000000003"/>
    <n v="9.9"/>
    <n v="5.74"/>
    <n v="3"/>
    <n v="0.6"/>
    <s v="ATENDE"/>
    <s v="ATENDE"/>
    <s v="ATENDE"/>
    <x v="0"/>
    <s v=" SL VT 9.1 85W"/>
    <s v="LUM LED SL VT 9.1 85W"/>
    <m/>
    <n v="0"/>
    <n v="1"/>
    <n v="85"/>
    <n v="0"/>
    <n v="14489"/>
    <n v="0"/>
    <n v="0"/>
    <n v="10"/>
    <s v="Médio II"/>
    <m/>
    <s v=""/>
    <s v=""/>
    <m/>
    <m/>
    <m/>
    <m/>
    <m/>
    <m/>
    <n v="21"/>
    <n v="125"/>
    <n v="146"/>
    <n v="0.83199999999999996"/>
    <m/>
    <m/>
    <s v="Sim"/>
    <m/>
  </r>
  <r>
    <n v="249"/>
    <s v="VP"/>
    <s v="Avenida Rubem Berta, 851"/>
    <n v="-29.989387440000002"/>
    <n v="-50.140951039999997"/>
    <s v="C2"/>
    <x v="0"/>
    <s v="P6"/>
    <s v="LED"/>
    <n v="50"/>
    <n v="0"/>
    <n v="0"/>
    <n v="250"/>
    <n v="2"/>
    <n v="0"/>
    <n v="7"/>
    <m/>
    <m/>
    <n v="0"/>
    <n v="4"/>
    <n v="5.5"/>
    <n v="0"/>
    <n v="0"/>
    <n v="0"/>
    <n v="0"/>
    <s v="Canteiro central"/>
    <s v="Braço"/>
    <n v="34.6"/>
    <n v="8"/>
    <n v="2"/>
    <n v="2.5"/>
    <n v="2.5"/>
    <n v="0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8999999999999941E-2"/>
    <n v="1.214285714285714"/>
    <s v="-"/>
    <n v="21.18"/>
    <n v="0.62"/>
    <m/>
    <m/>
    <m/>
    <m/>
    <s v="ATENDE"/>
    <s v="ATENDE"/>
    <s v="ATENDE"/>
    <s v="ATENDE"/>
    <s v="C2"/>
    <s v="P6"/>
    <s v="-"/>
    <s v="-"/>
    <s v="-"/>
    <n v="3"/>
    <n v="0.6"/>
    <s v="ATENDE"/>
    <s v="ATENDE"/>
    <s v="ATENDE"/>
    <s v="P6"/>
    <n v="2.2333333333333329"/>
    <n v="9.6999999999999993"/>
    <n v="4.99"/>
    <n v="3"/>
    <n v="0.6"/>
    <s v="ATENDE"/>
    <s v="ATENDE"/>
    <s v="ATENDE"/>
    <x v="1"/>
    <s v="SX-INLPP080HF"/>
    <s v="SXINLPP080K40L12CZF7PHF"/>
    <m/>
    <e v="#N/A"/>
    <n v="1"/>
    <n v="79"/>
    <n v="0"/>
    <n v="13359"/>
    <n v="0"/>
    <n v="0"/>
    <n v="10"/>
    <s v="Médio II"/>
    <m/>
    <s v=""/>
    <s v=""/>
    <m/>
    <m/>
    <m/>
    <m/>
    <m/>
    <m/>
    <n v="21"/>
    <n v="125"/>
    <n v="146"/>
    <n v="0.83199999999999996"/>
    <m/>
    <m/>
    <s v="Sim"/>
    <m/>
  </r>
  <r>
    <n v="249"/>
    <s v="VP"/>
    <s v="Avenida Rubem Berta, 851"/>
    <n v="-29.989387440000002"/>
    <n v="-50.140951039999997"/>
    <s v="C2"/>
    <x v="0"/>
    <s v="P6"/>
    <s v="LED"/>
    <n v="50"/>
    <n v="0"/>
    <n v="0"/>
    <n v="250"/>
    <n v="2"/>
    <n v="0"/>
    <n v="7"/>
    <m/>
    <m/>
    <n v="0"/>
    <n v="4"/>
    <n v="5.5"/>
    <n v="0"/>
    <n v="0"/>
    <n v="0"/>
    <n v="0"/>
    <s v="Canteiro central"/>
    <s v="Braço"/>
    <n v="34.6"/>
    <n v="8"/>
    <n v="2"/>
    <n v="2.5"/>
    <n v="2.5"/>
    <n v="0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399999999999995"/>
    <n v="0.85714285714285698"/>
    <s v="-"/>
    <n v="23.88"/>
    <n v="0.52"/>
    <m/>
    <m/>
    <m/>
    <m/>
    <s v="ATENDE"/>
    <s v="ATENDE"/>
    <s v="ATENDE"/>
    <s v="ATENDE"/>
    <s v="C2"/>
    <s v="P6"/>
    <s v="-"/>
    <s v="-"/>
    <s v="-"/>
    <n v="3"/>
    <n v="0.6"/>
    <s v="ATENDE"/>
    <s v="ATENDE"/>
    <s v="ATENDE"/>
    <s v="P6"/>
    <n v="2.1133333333333333"/>
    <n v="9.34"/>
    <n v="5.77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n v="0"/>
    <n v="15162"/>
    <n v="0"/>
    <n v="0"/>
    <n v="10"/>
    <s v="Médio II"/>
    <m/>
    <s v=""/>
    <s v=""/>
    <m/>
    <m/>
    <m/>
    <m/>
    <m/>
    <m/>
    <n v="21"/>
    <n v="125"/>
    <n v="146"/>
    <n v="0.83199999999999996"/>
    <m/>
    <m/>
    <s v="Sim"/>
    <m/>
  </r>
  <r>
    <n v="250"/>
    <s v="PVP"/>
    <s v="Rua Joao Pessoa, 1484"/>
    <n v="-29.98909424"/>
    <n v="-50.137436999999998"/>
    <s v="C5"/>
    <x v="0"/>
    <s v="P6"/>
    <s v="Vapor de sódio"/>
    <n v="100"/>
    <n v="17"/>
    <n v="0"/>
    <n v="250"/>
    <n v="2"/>
    <n v="5"/>
    <n v="10"/>
    <m/>
    <m/>
    <n v="0"/>
    <n v="5"/>
    <n v="0"/>
    <n v="0"/>
    <n v="0"/>
    <n v="0"/>
    <n v="0"/>
    <s v="Unilateral"/>
    <s v="Braço"/>
    <n v="3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933333333333322"/>
    <n v="1.1111111111111112"/>
    <s v="-"/>
    <n v="9.67"/>
    <n v="0.38"/>
    <m/>
    <m/>
    <m/>
    <m/>
    <s v="ATENDE"/>
    <s v="ATENDE"/>
    <s v="ATENDE"/>
    <s v="ATENDE"/>
    <s v="C5"/>
    <s v="-"/>
    <e v="#VALUE!"/>
    <n v="6.59"/>
    <n v="1.99"/>
    <s v="-"/>
    <s v="-"/>
    <s v="-"/>
    <s v="-"/>
    <s v="-"/>
    <s v="-"/>
    <e v="#VALUE!"/>
    <n v="3"/>
    <n v="1.55"/>
    <s v="-"/>
    <s v="-"/>
    <s v="-"/>
    <s v="-"/>
    <s v="-"/>
    <x v="0"/>
    <s v=" SL VT 9.1 44W"/>
    <s v="LUM LED SL VT 9.1 44W"/>
    <m/>
    <e v="#N/A"/>
    <n v="1"/>
    <n v="44"/>
    <e v="#N/A"/>
    <n v="7657.99"/>
    <n v="0"/>
    <n v="0"/>
    <n v="5"/>
    <s v="Curto II"/>
    <m/>
    <s v=""/>
    <s v=""/>
    <m/>
    <m/>
    <m/>
    <m/>
    <m/>
    <m/>
    <n v="30"/>
    <n v="125"/>
    <n v="155"/>
    <n v="0.76"/>
    <m/>
    <m/>
    <s v="Sim"/>
    <m/>
  </r>
  <r>
    <n v="250"/>
    <s v="PVP"/>
    <s v="Rua Joao Pessoa, 1484"/>
    <n v="-29.98909424"/>
    <n v="-50.137436999999998"/>
    <s v="C5"/>
    <x v="0"/>
    <s v="P6"/>
    <s v="Vapor de sódio"/>
    <n v="100"/>
    <n v="17"/>
    <n v="0"/>
    <n v="250"/>
    <n v="2"/>
    <n v="5"/>
    <n v="10"/>
    <m/>
    <m/>
    <n v="0"/>
    <n v="5"/>
    <n v="0"/>
    <n v="0"/>
    <n v="0"/>
    <n v="0"/>
    <n v="0"/>
    <s v="Unilateral"/>
    <s v="Braço"/>
    <n v="3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8933333333333322"/>
    <n v="1.9444444444444446"/>
    <s v="-"/>
    <n v="13.42"/>
    <n v="0.53"/>
    <m/>
    <m/>
    <m/>
    <m/>
    <s v="ATENDE"/>
    <s v="ATENDE"/>
    <s v="ATENDE"/>
    <s v="ATENDE"/>
    <s v="C5"/>
    <s v="-"/>
    <e v="#VALUE!"/>
    <n v="7.94"/>
    <n v="0.97"/>
    <s v="-"/>
    <s v="-"/>
    <s v="-"/>
    <s v="-"/>
    <s v="-"/>
    <s v="-"/>
    <e v="#VALUE!"/>
    <n v="3.42"/>
    <n v="1.22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n v="5"/>
    <s v="Curto II"/>
    <m/>
    <s v=""/>
    <s v=""/>
    <m/>
    <m/>
    <m/>
    <m/>
    <m/>
    <m/>
    <n v="30"/>
    <n v="125"/>
    <n v="155"/>
    <n v="0.76"/>
    <m/>
    <m/>
    <s v="Sim"/>
    <m/>
  </r>
  <r>
    <n v="250"/>
    <s v="PVP"/>
    <s v="Rua Joao Pessoa, 1484"/>
    <n v="-29.98909424"/>
    <n v="-50.137436999999998"/>
    <s v="C5"/>
    <x v="0"/>
    <s v="P6"/>
    <s v="Vapor de sódio"/>
    <n v="100"/>
    <n v="17"/>
    <n v="0"/>
    <n v="250"/>
    <n v="2"/>
    <n v="5"/>
    <n v="10"/>
    <m/>
    <m/>
    <n v="0"/>
    <n v="5"/>
    <n v="0"/>
    <n v="0"/>
    <n v="0"/>
    <n v="0"/>
    <n v="0"/>
    <s v="Unilateral"/>
    <s v="Braço"/>
    <n v="3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92000000000000015"/>
    <n v="1.5555555555555558"/>
    <s v="-"/>
    <n v="14.4"/>
    <n v="0.46"/>
    <m/>
    <m/>
    <m/>
    <m/>
    <s v="ATENDE"/>
    <s v="ATENDE"/>
    <s v="ATENDE"/>
    <s v="ATENDE"/>
    <s v="C5"/>
    <s v="-"/>
    <e v="#VALUE!"/>
    <n v="8.17"/>
    <n v="1.1499999999999999"/>
    <s v="-"/>
    <s v="-"/>
    <s v="-"/>
    <s v="-"/>
    <s v="-"/>
    <s v="-"/>
    <e v="#VALUE!"/>
    <n v="3.56"/>
    <n v="1.87"/>
    <s v="-"/>
    <s v="-"/>
    <s v="-"/>
    <s v="-"/>
    <s v="-"/>
    <x v="2"/>
    <s v="SIGSAGPTLRRSSNDL_60W_73IBBRS_x000a_"/>
    <s v="SIGSAGPTLRRSSNDL_60W_73IBBRS_x000a_1-10C1MUN6.5"/>
    <m/>
    <e v="#N/A"/>
    <n v="1"/>
    <n v="60"/>
    <n v="0"/>
    <n v="9453"/>
    <n v="0"/>
    <n v="0"/>
    <n v="10"/>
    <s v="Curto II"/>
    <m/>
    <s v=""/>
    <s v=""/>
    <m/>
    <m/>
    <m/>
    <m/>
    <m/>
    <m/>
    <n v="30"/>
    <n v="125"/>
    <n v="155"/>
    <n v="0.76"/>
    <m/>
    <m/>
    <s v="Sim"/>
    <m/>
  </r>
  <r>
    <n v="251"/>
    <s v="PVP"/>
    <s v="Rua Sahydi Abrahao, 670"/>
    <n v="-29.98836296"/>
    <n v="-50.136006610000003"/>
    <s v="C5"/>
    <x v="0"/>
    <s v="P6"/>
    <s v="Vapor de sódio"/>
    <n v="150"/>
    <n v="22"/>
    <n v="0"/>
    <n v="250"/>
    <n v="2"/>
    <n v="4"/>
    <n v="7"/>
    <m/>
    <m/>
    <n v="0"/>
    <n v="4"/>
    <n v="0"/>
    <n v="0"/>
    <n v="0"/>
    <n v="0"/>
    <n v="0"/>
    <s v="Unilateral"/>
    <s v="Braço"/>
    <n v="40"/>
    <n v="7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6666666666666634E-2"/>
    <n v="0.38888888888888884"/>
    <s v="-"/>
    <n v="7.85"/>
    <n v="0.25"/>
    <m/>
    <m/>
    <m/>
    <m/>
    <s v="ATENDE"/>
    <s v="ATENDE"/>
    <s v="ATENDE"/>
    <s v="ATENDE"/>
    <s v="C5"/>
    <s v="P6"/>
    <n v="0.72333333333333338"/>
    <n v="5.17"/>
    <n v="0.91"/>
    <n v="3"/>
    <n v="0.6"/>
    <s v="ATENDE"/>
    <s v="ATENDE"/>
    <s v="ATENDE"/>
    <s v="P6"/>
    <n v="0.28333333333333344"/>
    <n v="3.85"/>
    <n v="1.07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51"/>
    <s v="PVP"/>
    <s v="Rua Sahydi Abrahao, 670"/>
    <n v="-29.98836296"/>
    <n v="-50.136006610000003"/>
    <s v="C5"/>
    <x v="0"/>
    <s v="P6"/>
    <s v="Vapor de sódio"/>
    <n v="150"/>
    <n v="22"/>
    <n v="0"/>
    <n v="250"/>
    <n v="2"/>
    <n v="4"/>
    <n v="7"/>
    <m/>
    <m/>
    <n v="0"/>
    <n v="4"/>
    <n v="0"/>
    <n v="0"/>
    <n v="0"/>
    <n v="0"/>
    <n v="0"/>
    <s v="Unilateral"/>
    <s v="Braço"/>
    <n v="40"/>
    <n v="7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533333333333335"/>
    <n v="0.61111111111111116"/>
    <s v="-"/>
    <n v="8.89"/>
    <n v="0.28999999999999998"/>
    <m/>
    <m/>
    <m/>
    <m/>
    <s v="ATENDE"/>
    <s v="ATENDE"/>
    <s v="ATENDE"/>
    <s v="ATENDE"/>
    <s v="C5"/>
    <s v="P6"/>
    <n v="0.96333333333333315"/>
    <n v="5.89"/>
    <n v="0.88"/>
    <n v="3"/>
    <n v="0.6"/>
    <s v="ATENDE"/>
    <s v="ATENDE"/>
    <s v="ATENDE"/>
    <s v="P6"/>
    <n v="0.28666666666666663"/>
    <n v="3.86"/>
    <n v="1.33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0"/>
    <n v="125"/>
    <n v="155"/>
    <n v="0.76"/>
    <m/>
    <m/>
    <s v="Sim"/>
    <m/>
  </r>
  <r>
    <n v="251"/>
    <s v="PVP"/>
    <s v="Rua Sahydi Abrahao, 670"/>
    <n v="-29.98836296"/>
    <n v="-50.136006610000003"/>
    <s v="C5"/>
    <x v="0"/>
    <s v="P6"/>
    <s v="Vapor de sódio"/>
    <n v="150"/>
    <n v="22"/>
    <n v="0"/>
    <n v="250"/>
    <n v="2"/>
    <n v="4"/>
    <n v="7"/>
    <m/>
    <m/>
    <n v="0"/>
    <n v="4"/>
    <n v="0"/>
    <n v="0"/>
    <n v="0"/>
    <n v="0"/>
    <n v="0"/>
    <s v="Unilateral"/>
    <s v="Braço"/>
    <n v="40"/>
    <n v="7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733333333333326"/>
    <n v="0"/>
    <s v="-"/>
    <n v="10.029999999999999"/>
    <n v="0.18"/>
    <m/>
    <m/>
    <m/>
    <m/>
    <s v="ATENDE"/>
    <s v="ATENDE"/>
    <s v="ATENDE"/>
    <s v="ATENDE"/>
    <s v="C5"/>
    <s v="P6"/>
    <n v="1.08"/>
    <n v="6.24"/>
    <n v="0.97"/>
    <n v="3"/>
    <n v="0.6"/>
    <s v="ATENDE"/>
    <s v="ATENDE"/>
    <s v="ATENDE"/>
    <s v="P6"/>
    <n v="8.666666666666667E-2"/>
    <n v="3.26"/>
    <n v="0.7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30"/>
    <n v="125"/>
    <n v="155"/>
    <n v="0.76"/>
    <m/>
    <m/>
    <s v="Sim"/>
    <m/>
  </r>
  <r>
    <n v="252"/>
    <s v="PVP"/>
    <s v="Rua Getulio Vargas, 502"/>
    <n v="-29.987439869999999"/>
    <n v="-50.132309990000003"/>
    <s v="C5"/>
    <x v="0"/>
    <s v="P6"/>
    <s v="Vapor de sódio"/>
    <n v="100"/>
    <n v="17"/>
    <n v="0"/>
    <n v="250"/>
    <n v="2"/>
    <n v="4"/>
    <n v="7"/>
    <m/>
    <m/>
    <n v="0"/>
    <n v="4"/>
    <n v="0"/>
    <n v="0"/>
    <n v="0"/>
    <n v="0"/>
    <n v="0"/>
    <s v="Unilateral"/>
    <s v="Braço"/>
    <n v="41.3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1333333333333222E-2"/>
    <n v="0.11111111111111116"/>
    <s v="-"/>
    <n v="7.81"/>
    <n v="0.2"/>
    <m/>
    <m/>
    <m/>
    <m/>
    <s v="ATENDE"/>
    <s v="ATENDE"/>
    <s v="ATENDE"/>
    <s v="ATENDE"/>
    <s v="C5"/>
    <s v="P6"/>
    <n v="0.77333333333333343"/>
    <n v="5.32"/>
    <n v="0.61"/>
    <n v="3"/>
    <n v="0.6"/>
    <s v="ATENDE"/>
    <s v="ATENDE"/>
    <s v="ATENDE"/>
    <s v="P6"/>
    <n v="0.10666666666666669"/>
    <n v="3.32"/>
    <n v="0.72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52"/>
    <s v="PVP"/>
    <s v="Rua Getulio Vargas, 502"/>
    <n v="-29.987439869999999"/>
    <n v="-50.132309990000003"/>
    <s v="C5"/>
    <x v="0"/>
    <s v="P6"/>
    <s v="Vapor de sódio"/>
    <n v="100"/>
    <n v="17"/>
    <n v="0"/>
    <n v="250"/>
    <n v="2"/>
    <n v="4"/>
    <n v="7"/>
    <m/>
    <m/>
    <n v="0"/>
    <n v="4"/>
    <n v="0"/>
    <n v="0"/>
    <n v="0"/>
    <n v="0"/>
    <n v="0"/>
    <s v="Unilateral"/>
    <s v="Braço"/>
    <n v="41.3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866666666666668E-2"/>
    <n v="0.5555555555555558"/>
    <s v="-"/>
    <n v="8.24"/>
    <n v="0.28000000000000003"/>
    <m/>
    <m/>
    <m/>
    <m/>
    <s v="ATENDE"/>
    <s v="ATENDE"/>
    <s v="ATENDE"/>
    <s v="ATENDE"/>
    <s v="C5"/>
    <s v="P6"/>
    <n v="0.49666666666666681"/>
    <n v="4.49"/>
    <n v="0.77"/>
    <n v="3"/>
    <n v="0.6"/>
    <s v="ATENDE"/>
    <s v="ATENDE"/>
    <s v="ATENDE"/>
    <s v="P6"/>
    <n v="0.71"/>
    <n v="5.13"/>
    <n v="2.2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Médio II"/>
    <n v="2.4"/>
    <n v="7.5"/>
    <m/>
    <m/>
    <m/>
    <m/>
    <m/>
    <m/>
    <n v="30"/>
    <n v="125"/>
    <n v="155"/>
    <n v="0.76"/>
    <m/>
    <m/>
    <s v="Sim"/>
    <m/>
  </r>
  <r>
    <n v="252"/>
    <s v="PVP"/>
    <s v="Rua Getulio Vargas, 502"/>
    <n v="-29.987439869999999"/>
    <n v="-50.132309990000003"/>
    <s v="C5"/>
    <x v="0"/>
    <s v="P6"/>
    <s v="Vapor de sódio"/>
    <n v="100"/>
    <n v="17"/>
    <n v="0"/>
    <n v="250"/>
    <n v="2"/>
    <n v="4"/>
    <n v="7"/>
    <m/>
    <m/>
    <n v="0"/>
    <n v="4"/>
    <n v="0"/>
    <n v="0"/>
    <n v="0"/>
    <n v="0"/>
    <n v="0"/>
    <s v="Unilateral"/>
    <s v="Braço"/>
    <n v="41.3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"/>
    <n v="0.16666666666666674"/>
    <s v="-"/>
    <n v="9.4499999999999993"/>
    <n v="0.21"/>
    <m/>
    <m/>
    <m/>
    <m/>
    <s v="ATENDE"/>
    <s v="ATENDE"/>
    <s v="ATENDE"/>
    <s v="ATENDE"/>
    <s v="C5"/>
    <s v="P6"/>
    <n v="0.58666666666666667"/>
    <n v="4.76"/>
    <n v="0.9"/>
    <n v="3"/>
    <n v="0.6"/>
    <s v="ATENDE"/>
    <s v="ATENDE"/>
    <s v="ATENDE"/>
    <s v="P6"/>
    <n v="0.53666666666666685"/>
    <n v="4.6100000000000003"/>
    <n v="1.2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Médio II"/>
    <n v="2.4"/>
    <n v="7.5"/>
    <m/>
    <m/>
    <m/>
    <m/>
    <m/>
    <m/>
    <n v="30"/>
    <n v="125"/>
    <n v="155"/>
    <n v="0.76"/>
    <m/>
    <m/>
    <s v="Sim"/>
    <m/>
  </r>
  <r>
    <n v="253"/>
    <s v="PVP"/>
    <s v="Avenida da Igreja, 308"/>
    <n v="-29.986386719999999"/>
    <n v="-50.131316669999997"/>
    <s v="C2"/>
    <x v="0"/>
    <s v="P6"/>
    <s v="LED"/>
    <n v="50"/>
    <n v="0"/>
    <n v="0"/>
    <n v="300"/>
    <n v="2"/>
    <n v="1.5"/>
    <n v="6"/>
    <m/>
    <m/>
    <n v="0"/>
    <n v="3"/>
    <n v="6"/>
    <n v="0"/>
    <n v="0"/>
    <n v="0"/>
    <n v="2"/>
    <s v="Canteiro central"/>
    <s v="Braço"/>
    <n v="36.200000000000003"/>
    <n v="7.9"/>
    <n v="3"/>
    <n v="3"/>
    <n v="0.4"/>
    <n v="-2.6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0.18650000000000011"/>
    <n v="0.3214285714285714"/>
    <s v="-"/>
    <n v="23.73"/>
    <n v="0.37"/>
    <m/>
    <m/>
    <m/>
    <m/>
    <s v="ATENDE"/>
    <s v="ATENDE"/>
    <s v="ATENDE"/>
    <s v="ATENDE"/>
    <s v="C2"/>
    <s v="P6"/>
    <n v="10.046666666666667"/>
    <n v="33.14"/>
    <n v="11.9"/>
    <n v="3"/>
    <n v="0.6"/>
    <s v="ATENDE"/>
    <s v="ATENDE"/>
    <s v="ATENDE"/>
    <s v="P6"/>
    <n v="2.3000000000000003"/>
    <n v="9.9"/>
    <n v="5.74"/>
    <n v="3"/>
    <n v="0.6"/>
    <s v="ATENDE"/>
    <s v="ATENDE"/>
    <s v="ATENDE"/>
    <x v="0"/>
    <s v=" SL VT 9.1 65W"/>
    <s v="LUM LED SL VT 9.1 65W"/>
    <m/>
    <e v="#N/A"/>
    <n v="3"/>
    <n v="65"/>
    <n v="0"/>
    <n v="10496"/>
    <n v="0"/>
    <n v="0"/>
    <n v="10"/>
    <s v="Curto I"/>
    <m/>
    <s v=""/>
    <s v=""/>
    <m/>
    <m/>
    <m/>
    <m/>
    <m/>
    <m/>
    <n v="65"/>
    <n v="50"/>
    <n v="345"/>
    <n v="-0.30000000000000004"/>
    <m/>
    <m/>
    <s v="Sim"/>
    <m/>
  </r>
  <r>
    <n v="253"/>
    <s v="PVP"/>
    <s v="Avenida da Igreja, 308"/>
    <n v="-29.986386719999999"/>
    <n v="-50.131316669999997"/>
    <s v="C2"/>
    <x v="0"/>
    <s v="P6"/>
    <s v="LED"/>
    <n v="50"/>
    <n v="0"/>
    <n v="0"/>
    <n v="300"/>
    <n v="2"/>
    <n v="1.5"/>
    <n v="6"/>
    <m/>
    <m/>
    <n v="0"/>
    <n v="3"/>
    <n v="6"/>
    <n v="0"/>
    <n v="0"/>
    <n v="0"/>
    <n v="2"/>
    <s v="Canteiro central"/>
    <s v="Braço"/>
    <n v="36.200000000000003"/>
    <n v="7.9"/>
    <n v="3"/>
    <n v="3"/>
    <n v="0.4"/>
    <n v="-2.6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5.8999999999999941E-2"/>
    <n v="1.214285714285714"/>
    <s v="-"/>
    <n v="21.18"/>
    <n v="0.62"/>
    <m/>
    <m/>
    <m/>
    <m/>
    <s v="ATENDE"/>
    <s v="ATENDE"/>
    <s v="ATENDE"/>
    <s v="ATENDE"/>
    <s v="C2"/>
    <s v="P6"/>
    <n v="8.39"/>
    <n v="28.17"/>
    <n v="9.2200000000000006"/>
    <n v="3"/>
    <n v="0.6"/>
    <s v="ATENDE"/>
    <s v="ATENDE"/>
    <s v="ATENDE"/>
    <s v="P6"/>
    <n v="2.2333333333333329"/>
    <n v="9.6999999999999993"/>
    <n v="4.99"/>
    <n v="3"/>
    <n v="0.6"/>
    <s v="ATENDE"/>
    <s v="ATENDE"/>
    <s v="ATENDE"/>
    <x v="1"/>
    <s v="SX-INEVO050HF"/>
    <s v="SXINEVO050K40L12CZF7PHF"/>
    <m/>
    <e v="#N/A"/>
    <n v="3"/>
    <n v="50"/>
    <n v="0"/>
    <n v="8650"/>
    <n v="0"/>
    <n v="0"/>
    <n v="10"/>
    <s v="Curto I"/>
    <m/>
    <s v=""/>
    <s v=""/>
    <m/>
    <m/>
    <m/>
    <m/>
    <m/>
    <m/>
    <n v="50"/>
    <n v="50"/>
    <n v="300"/>
    <n v="0"/>
    <m/>
    <m/>
    <s v="Sim"/>
    <m/>
  </r>
  <r>
    <n v="253"/>
    <s v="PVP"/>
    <s v="Avenida da Igreja, 308"/>
    <n v="-29.986386719999999"/>
    <n v="-50.131316669999997"/>
    <s v="C2"/>
    <x v="0"/>
    <s v="P6"/>
    <s v="LED"/>
    <n v="50"/>
    <n v="0"/>
    <n v="0"/>
    <n v="300"/>
    <n v="2"/>
    <n v="1.5"/>
    <n v="6"/>
    <m/>
    <m/>
    <n v="0"/>
    <n v="3"/>
    <n v="6"/>
    <n v="0"/>
    <n v="0"/>
    <n v="0"/>
    <n v="2"/>
    <s v="Canteiro central"/>
    <s v="Braço"/>
    <n v="36.200000000000003"/>
    <n v="7.9"/>
    <n v="3"/>
    <n v="3"/>
    <n v="0.4"/>
    <n v="-2.6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399999999999995"/>
    <n v="0.85714285714285698"/>
    <s v="-"/>
    <n v="23.88"/>
    <n v="0.52"/>
    <m/>
    <m/>
    <m/>
    <m/>
    <s v="ATENDE"/>
    <s v="ATENDE"/>
    <s v="ATENDE"/>
    <s v="ATENDE"/>
    <s v="C2"/>
    <s v="P6"/>
    <n v="9.6533333333333342"/>
    <n v="31.96"/>
    <n v="9.57"/>
    <n v="3"/>
    <n v="0.6"/>
    <s v="ATENDE"/>
    <s v="ATENDE"/>
    <s v="ATENDE"/>
    <s v="P6"/>
    <n v="2.1133333333333333"/>
    <n v="9.34"/>
    <n v="5.77"/>
    <n v="3"/>
    <n v="0.6"/>
    <s v="ATENDE"/>
    <s v="ATENDE"/>
    <s v="ATENDE"/>
    <x v="2"/>
    <s v="SIGSAGPTLRRSSNDL_60W_73IBBRS_x000a_"/>
    <s v="SIGSAGPTLRRSSNDL_60W_73IBBRS_x000a_1-10C1MUN6.5"/>
    <m/>
    <n v="0"/>
    <n v="3"/>
    <n v="60"/>
    <e v="#N/A"/>
    <n v="9453"/>
    <n v="0"/>
    <n v="0"/>
    <n v="10"/>
    <s v="Curto I"/>
    <m/>
    <s v=""/>
    <s v=""/>
    <m/>
    <m/>
    <m/>
    <m/>
    <m/>
    <m/>
    <n v="60"/>
    <n v="50"/>
    <n v="330"/>
    <n v="-0.19999999999999996"/>
    <m/>
    <m/>
    <s v="Sim"/>
    <m/>
  </r>
  <r>
    <n v="254"/>
    <s v="PVP"/>
    <s v="Rua Deodoro Ritter, 505"/>
    <n v="-29.98607007"/>
    <n v="-50.131163559999997"/>
    <s v="C5"/>
    <x v="0"/>
    <s v="P6"/>
    <s v="Vapor de sódio"/>
    <n v="250"/>
    <n v="30"/>
    <n v="0"/>
    <n v="500"/>
    <n v="2"/>
    <n v="4"/>
    <n v="6"/>
    <m/>
    <m/>
    <n v="0"/>
    <n v="2.5"/>
    <n v="0"/>
    <n v="0"/>
    <n v="0"/>
    <n v="2"/>
    <n v="3.5"/>
    <s v="Unilateral"/>
    <s v="Braço"/>
    <n v="17.100000000000001"/>
    <n v="5.6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2839999999999998"/>
    <n v="2.5555555555555558"/>
    <s v="-"/>
    <n v="17.13"/>
    <n v="0.64"/>
    <m/>
    <m/>
    <m/>
    <m/>
    <s v="ATENDE"/>
    <s v="ATENDE"/>
    <s v="ATENDE"/>
    <s v="ATENDE"/>
    <s v="C5"/>
    <s v="P6"/>
    <n v="0.49"/>
    <n v="4.47"/>
    <n v="1.81"/>
    <n v="3"/>
    <n v="0.6"/>
    <s v="ATENDE"/>
    <s v="ATENDE"/>
    <s v="ATENDE"/>
    <s v="P6"/>
    <n v="0.32333333333333347"/>
    <n v="3.97"/>
    <n v="2.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n v="5"/>
    <s v="Curto II"/>
    <m/>
    <s v=""/>
    <s v=""/>
    <m/>
    <m/>
    <m/>
    <m/>
    <m/>
    <m/>
    <n v="28"/>
    <n v="250"/>
    <n v="278"/>
    <n v="0.88800000000000001"/>
    <m/>
    <m/>
    <s v="Sim"/>
    <m/>
  </r>
  <r>
    <n v="254"/>
    <s v="PVP"/>
    <s v="Rua Deodoro Ritter, 505"/>
    <n v="-29.98607007"/>
    <n v="-50.131163559999997"/>
    <s v="C5"/>
    <x v="0"/>
    <s v="P6"/>
    <s v="Vapor de sódio"/>
    <n v="250"/>
    <n v="30"/>
    <n v="0"/>
    <n v="500"/>
    <n v="2"/>
    <n v="4"/>
    <n v="6"/>
    <m/>
    <m/>
    <n v="0"/>
    <n v="2.5"/>
    <n v="0"/>
    <n v="0"/>
    <n v="0"/>
    <n v="2"/>
    <n v="3.5"/>
    <s v="Unilateral"/>
    <s v="Braço"/>
    <n v="17.100000000000001"/>
    <n v="5.6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680000000000002"/>
    <n v="3.4444444444444446"/>
    <s v="-"/>
    <n v="20.76"/>
    <n v="0.8"/>
    <m/>
    <m/>
    <m/>
    <m/>
    <s v="ATENDE"/>
    <s v="ATENDE"/>
    <s v="ATENDE"/>
    <s v="ATENDE"/>
    <s v="C5"/>
    <s v="P6"/>
    <n v="4.3333333333333224E-2"/>
    <n v="3.13"/>
    <n v="0.86"/>
    <n v="3"/>
    <n v="0.6"/>
    <s v="ATENDE"/>
    <s v="ATENDE"/>
    <s v="ATENDE"/>
    <s v="P6"/>
    <n v="0.21666666666666656"/>
    <n v="3.65"/>
    <n v="2.13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n v="8"/>
    <s v="Curto II"/>
    <m/>
    <s v=""/>
    <s v=""/>
    <m/>
    <m/>
    <m/>
    <m/>
    <m/>
    <m/>
    <n v="31"/>
    <n v="250"/>
    <n v="281"/>
    <n v="0.876"/>
    <m/>
    <m/>
    <s v="Sim"/>
    <m/>
  </r>
  <r>
    <n v="254"/>
    <s v="PVP"/>
    <s v="Rua Deodoro Ritter, 505"/>
    <n v="-29.98607007"/>
    <n v="-50.131163559999997"/>
    <s v="C5"/>
    <x v="0"/>
    <s v="P6"/>
    <s v="Vapor de sódio"/>
    <n v="250"/>
    <n v="30"/>
    <n v="0"/>
    <n v="500"/>
    <n v="2"/>
    <n v="4"/>
    <n v="6"/>
    <m/>
    <m/>
    <n v="0"/>
    <n v="2.5"/>
    <n v="0"/>
    <n v="0"/>
    <n v="0"/>
    <n v="2"/>
    <n v="3.5"/>
    <s v="Unilateral"/>
    <s v="Braço"/>
    <n v="17.100000000000001"/>
    <n v="5.6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8213333333333335"/>
    <n v="3.0555555555555554"/>
    <s v="-"/>
    <n v="21.16"/>
    <n v="0.73"/>
    <m/>
    <m/>
    <m/>
    <m/>
    <s v="ATENDE"/>
    <s v="ATENDE"/>
    <s v="ATENDE"/>
    <s v="ATENDE"/>
    <s v="C5"/>
    <s v="P6"/>
    <n v="0.7699999999999998"/>
    <n v="5.31"/>
    <n v="2.74"/>
    <n v="3"/>
    <n v="0.6"/>
    <s v="ATENDE"/>
    <s v="ATENDE"/>
    <s v="ATENDE"/>
    <s v="P6"/>
    <n v="1.3333333333333419E-2"/>
    <n v="3.04"/>
    <n v="1.6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n v="5"/>
    <s v="Curto II"/>
    <m/>
    <s v=""/>
    <s v=""/>
    <m/>
    <m/>
    <m/>
    <m/>
    <m/>
    <m/>
    <n v="30"/>
    <n v="250"/>
    <n v="280"/>
    <n v="0.88"/>
    <m/>
    <m/>
    <s v="Sim"/>
    <m/>
  </r>
  <r>
    <n v="255"/>
    <s v="PV"/>
    <s v="Avenida Ubatuba de Farias, 123"/>
    <n v="-29.984153119999998"/>
    <n v="-50.129330920000001"/>
    <s v="C2"/>
    <x v="0"/>
    <s v="P5"/>
    <s v="LED"/>
    <n v="50"/>
    <n v="0"/>
    <n v="0"/>
    <n v="100"/>
    <n v="2"/>
    <n v="2"/>
    <n v="10"/>
    <m/>
    <m/>
    <n v="0"/>
    <n v="0"/>
    <n v="28"/>
    <n v="0"/>
    <n v="0"/>
    <n v="0"/>
    <n v="0"/>
    <s v="Bilateral frontal"/>
    <s v="Braço"/>
    <n v="19.5"/>
    <n v="7.5"/>
    <n v="1"/>
    <n v="0.5"/>
    <n v="1.3"/>
    <n v="0.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0499999999999972E-2"/>
    <n v="1.5714285714285712"/>
    <s v="-"/>
    <n v="20.61"/>
    <n v="0.72"/>
    <m/>
    <m/>
    <m/>
    <m/>
    <s v="ATENDE"/>
    <s v="ATENDE"/>
    <s v="ATENDE"/>
    <s v="ATENDE"/>
    <s v="C2"/>
    <s v="P5"/>
    <n v="1.8760000000000003"/>
    <n v="14.38"/>
    <n v="10.66"/>
    <n v="5"/>
    <n v="1"/>
    <s v="ATENDE"/>
    <s v="ATENDE"/>
    <s v="ATENDE"/>
    <s v="-"/>
    <e v="#VALUE!"/>
    <m/>
    <m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50"/>
    <n v="78"/>
    <n v="0.43999999999999995"/>
    <m/>
    <m/>
    <s v="Sim"/>
    <m/>
  </r>
  <r>
    <n v="255"/>
    <s v="PV"/>
    <s v="Avenida Ubatuba de Farias, 123"/>
    <n v="-29.984153119999998"/>
    <n v="-50.129330920000001"/>
    <s v="C2"/>
    <x v="0"/>
    <s v="P5"/>
    <s v="LED"/>
    <n v="50"/>
    <n v="0"/>
    <n v="0"/>
    <n v="100"/>
    <n v="2"/>
    <n v="2"/>
    <n v="10"/>
    <m/>
    <m/>
    <n v="0"/>
    <n v="0"/>
    <n v="28"/>
    <n v="0"/>
    <n v="0"/>
    <n v="0"/>
    <n v="0"/>
    <s v="Bilateral frontal"/>
    <s v="Braço"/>
    <n v="19.5"/>
    <n v="7.5"/>
    <n v="1"/>
    <n v="0.5"/>
    <n v="1.3"/>
    <n v="0.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46"/>
    <n v="1.8928571428571428"/>
    <s v="-"/>
    <n v="24.92"/>
    <n v="0.81"/>
    <m/>
    <m/>
    <m/>
    <m/>
    <s v="ATENDE"/>
    <s v="ATENDE"/>
    <s v="ATENDE"/>
    <s v="ATENDE"/>
    <s v="C2"/>
    <s v="P5"/>
    <n v="2.0179999999999998"/>
    <n v="15.09"/>
    <n v="11.75"/>
    <n v="5"/>
    <n v="1"/>
    <s v="ATENDE"/>
    <s v="ATENDE"/>
    <s v="ATENDE"/>
    <s v="-"/>
    <e v="#VALUE!"/>
    <m/>
    <m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50"/>
    <n v="81"/>
    <n v="0.38"/>
    <m/>
    <m/>
    <s v="Sim"/>
    <m/>
  </r>
  <r>
    <n v="255"/>
    <s v="PV"/>
    <s v="Avenida Ubatuba de Farias, 123"/>
    <n v="-29.984153119999998"/>
    <n v="-50.129330920000001"/>
    <s v="C2"/>
    <x v="0"/>
    <s v="P5"/>
    <s v="LED"/>
    <n v="50"/>
    <n v="0"/>
    <n v="0"/>
    <n v="100"/>
    <n v="2"/>
    <n v="2"/>
    <n v="10"/>
    <m/>
    <m/>
    <n v="0"/>
    <n v="0"/>
    <n v="28"/>
    <n v="0"/>
    <n v="0"/>
    <n v="0"/>
    <n v="0"/>
    <s v="Bilateral frontal"/>
    <s v="Braço"/>
    <n v="19.5"/>
    <n v="7.5"/>
    <n v="1"/>
    <n v="0.5"/>
    <n v="1.3"/>
    <n v="0.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1799999999999997"/>
    <n v="1.714285714285714"/>
    <s v="-"/>
    <n v="24.36"/>
    <n v="0.76"/>
    <m/>
    <m/>
    <m/>
    <m/>
    <s v="ATENDE"/>
    <s v="ATENDE"/>
    <s v="ATENDE"/>
    <s v="ATENDE"/>
    <s v="C2"/>
    <s v="P5"/>
    <n v="2.0960000000000001"/>
    <n v="15.48"/>
    <n v="11.5"/>
    <n v="5"/>
    <n v="1"/>
    <s v="ATENDE"/>
    <s v="ATENDE"/>
    <s v="ATENDE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50"/>
    <n v="80"/>
    <n v="0.4"/>
    <m/>
    <m/>
    <s v="Sim"/>
    <m/>
  </r>
  <r>
    <n v="256"/>
    <s v="PVP"/>
    <s v="Rua Pinheiro Veloso, 467"/>
    <n v="-29.9820353"/>
    <n v="-50.12310002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5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199999999999986E-2"/>
    <n v="0.22222222222222232"/>
    <s v="-"/>
    <n v="8.19"/>
    <n v="0.22"/>
    <m/>
    <m/>
    <m/>
    <m/>
    <s v="ATENDE"/>
    <s v="ATENDE"/>
    <s v="ATENDE"/>
    <s v="ATENDE"/>
    <s v="C5"/>
    <s v="P6"/>
    <n v="1.2833333333333332"/>
    <n v="6.85"/>
    <n v="1.27"/>
    <n v="3"/>
    <n v="0.6"/>
    <s v="ATENDE"/>
    <s v="ATENDE"/>
    <s v="ATENDE"/>
    <s v="P6"/>
    <n v="0.6100000000000001"/>
    <n v="4.83"/>
    <n v="1.4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56"/>
    <s v="PVP"/>
    <s v="Rua Pinheiro Veloso, 467"/>
    <n v="-29.9820353"/>
    <n v="-50.12310002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5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-5.5555555555555469E-2"/>
    <s v="-"/>
    <n v="7.79"/>
    <n v="0.17"/>
    <m/>
    <m/>
    <m/>
    <m/>
    <s v="ATENDE"/>
    <s v="ATENDE"/>
    <s v="ATENDIMENTO LIMIAR"/>
    <s v="ATENDE"/>
    <s v="C5"/>
    <s v="P6"/>
    <n v="1.1666666666666665"/>
    <n v="6.5"/>
    <n v="0.61"/>
    <n v="3"/>
    <n v="0.6"/>
    <s v="ATENDE"/>
    <s v="ATENDE"/>
    <s v="ATENDE"/>
    <s v="P6"/>
    <n v="0.34666666666666668"/>
    <n v="4.04"/>
    <n v="1.0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56"/>
    <s v="PVP"/>
    <s v="Rua Pinheiro Veloso, 467"/>
    <n v="-29.9820353"/>
    <n v="-50.12310002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5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5333333333333483E-2"/>
    <n v="-5.5555555555555469E-2"/>
    <s v="-"/>
    <n v="8.14"/>
    <n v="0.17"/>
    <m/>
    <m/>
    <m/>
    <m/>
    <s v="ATENDE"/>
    <s v="ATENDE"/>
    <s v="ATENDIMENTO LIMIAR"/>
    <s v="ATENDE"/>
    <s v="C5"/>
    <s v="P6"/>
    <n v="0.53666666666666685"/>
    <n v="4.6100000000000003"/>
    <n v="0.89"/>
    <n v="3"/>
    <n v="0.6"/>
    <s v="ATENDE"/>
    <s v="ATENDE"/>
    <s v="ATENDE"/>
    <s v="P6"/>
    <n v="0.89333333333333331"/>
    <n v="5.68"/>
    <n v="1.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100"/>
    <n v="140"/>
    <n v="0.6"/>
    <m/>
    <m/>
    <s v="Sim"/>
    <m/>
  </r>
  <r>
    <n v="257"/>
    <s v="PVP"/>
    <s v="Rua Julio de Castilhos, 144"/>
    <n v="-29.983908450000001"/>
    <n v="-50.125176340000003"/>
    <s v="C4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000000000000021E-2"/>
    <n v="1.0555555555555558"/>
    <s v="-"/>
    <n v="10.24"/>
    <n v="0.37"/>
    <m/>
    <m/>
    <m/>
    <m/>
    <s v="ATENDE"/>
    <s v="ATENDE"/>
    <s v="ATENDE"/>
    <s v="ATENDE"/>
    <s v="C4"/>
    <s v="P6"/>
    <n v="1.9166666666666665"/>
    <n v="8.75"/>
    <n v="2.91"/>
    <n v="3"/>
    <n v="0.6"/>
    <s v="ATENDE"/>
    <s v="ATENDE"/>
    <s v="ATENDE"/>
    <s v="P6"/>
    <n v="0.84999999999999987"/>
    <n v="5.55"/>
    <n v="2.6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57"/>
    <s v="PVP"/>
    <s v="Rua Julio de Castilhos, 144"/>
    <n v="-29.983908450000001"/>
    <n v="-50.125176340000003"/>
    <s v="C4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2700000000000005"/>
    <n v="1.3333333333333335"/>
    <s v="-"/>
    <n v="14.27"/>
    <n v="0.42"/>
    <m/>
    <m/>
    <m/>
    <m/>
    <s v="ATENDE"/>
    <s v="ATENDE"/>
    <s v="ATENDE"/>
    <s v="ATENDE"/>
    <s v="C4"/>
    <s v="P6"/>
    <n v="2.8366666666666664"/>
    <n v="11.51"/>
    <n v="3.05"/>
    <n v="3"/>
    <n v="0.6"/>
    <s v="ATENDE"/>
    <s v="ATENDE"/>
    <s v="ATENDE"/>
    <s v="P6"/>
    <n v="1.3833333333333333"/>
    <n v="7.15"/>
    <n v="4.8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57"/>
    <s v="PVP"/>
    <s v="Rua Julio de Castilhos, 144"/>
    <n v="-29.983908450000001"/>
    <n v="-50.125176340000003"/>
    <s v="C4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4999999999999964E-2"/>
    <n v="0.83333333333333348"/>
    <s v="-"/>
    <n v="10.85"/>
    <n v="0.33"/>
    <m/>
    <m/>
    <m/>
    <m/>
    <s v="ATENDE"/>
    <s v="ATENDE"/>
    <s v="ATENDE"/>
    <s v="ATENDE"/>
    <s v="C4"/>
    <s v="P6"/>
    <n v="1.9233333333333333"/>
    <n v="8.77"/>
    <n v="2.8"/>
    <n v="3"/>
    <n v="0.6"/>
    <s v="ATENDE"/>
    <s v="ATENDE"/>
    <s v="ATENDE"/>
    <s v="P6"/>
    <n v="0.20666666666666678"/>
    <n v="3.62"/>
    <n v="1.5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/A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58"/>
    <s v="PVP"/>
    <s v="Rua Doze de Abril, 721"/>
    <n v="-29.987793750000002"/>
    <n v="-50.127133739999998"/>
    <s v="C4"/>
    <x v="0"/>
    <s v="P6"/>
    <s v="Vapor de sódio"/>
    <n v="150"/>
    <n v="22"/>
    <n v="0"/>
    <n v="300"/>
    <n v="2"/>
    <n v="2.5"/>
    <n v="7.5"/>
    <m/>
    <m/>
    <n v="0"/>
    <n v="2.5"/>
    <n v="0"/>
    <n v="0"/>
    <n v="0"/>
    <n v="0"/>
    <n v="0"/>
    <s v="Unilateral"/>
    <s v="Braço"/>
    <n v="32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1.2222222222222223"/>
    <s v="-"/>
    <n v="11.1"/>
    <n v="0.4"/>
    <m/>
    <m/>
    <m/>
    <m/>
    <s v="ATENDE"/>
    <s v="ATENDE"/>
    <s v="ATENDE"/>
    <s v="ATENDE"/>
    <s v="C4"/>
    <s v="P6"/>
    <n v="2.09"/>
    <n v="9.27"/>
    <n v="3.47"/>
    <n v="3"/>
    <n v="0.6"/>
    <s v="ATENDE"/>
    <s v="ATENDE"/>
    <s v="ATENDE"/>
    <s v="P6"/>
    <n v="1.04"/>
    <n v="6.12"/>
    <n v="3.13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58"/>
    <s v="PVP"/>
    <s v="Rua Doze de Abril, 721"/>
    <n v="-29.987793750000002"/>
    <n v="-50.127133739999998"/>
    <s v="C4"/>
    <x v="0"/>
    <s v="P6"/>
    <s v="Vapor de sódio"/>
    <n v="150"/>
    <n v="22"/>
    <n v="0"/>
    <n v="300"/>
    <n v="2"/>
    <n v="2.5"/>
    <n v="7.5"/>
    <m/>
    <m/>
    <n v="0"/>
    <n v="2.5"/>
    <n v="0"/>
    <n v="0"/>
    <n v="0"/>
    <n v="0"/>
    <n v="0"/>
    <s v="Unilateral"/>
    <s v="Braço"/>
    <n v="32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500000000000016E-2"/>
    <n v="2.0000000000000004"/>
    <s v="-"/>
    <n v="10.55"/>
    <n v="0.54"/>
    <m/>
    <m/>
    <m/>
    <m/>
    <s v="ATENDE"/>
    <s v="ATENDE"/>
    <s v="ATENDE"/>
    <s v="ATENDE"/>
    <s v="C4"/>
    <s v="P6"/>
    <n v="1.92"/>
    <n v="8.76"/>
    <n v="3.47"/>
    <n v="3"/>
    <n v="0.6"/>
    <s v="ATENDE"/>
    <s v="ATENDE"/>
    <s v="ATENDE"/>
    <s v="P6"/>
    <n v="0.62999999999999989"/>
    <n v="4.8899999999999997"/>
    <n v="2.93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58"/>
    <s v="PVP"/>
    <s v="Rua Doze de Abril, 721"/>
    <n v="-29.987793750000002"/>
    <n v="-50.127133739999998"/>
    <s v="C4"/>
    <x v="0"/>
    <s v="P6"/>
    <s v="Vapor de sódio"/>
    <n v="150"/>
    <n v="22"/>
    <n v="0"/>
    <n v="300"/>
    <n v="2"/>
    <n v="2.5"/>
    <n v="7.5"/>
    <m/>
    <m/>
    <n v="0"/>
    <n v="2.5"/>
    <n v="0"/>
    <n v="0"/>
    <n v="0"/>
    <n v="0"/>
    <n v="0"/>
    <s v="Unilateral"/>
    <s v="Braço"/>
    <n v="32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799999999999994"/>
    <n v="1.3888888888888888"/>
    <s v="-"/>
    <n v="11.78"/>
    <n v="0.43"/>
    <m/>
    <m/>
    <m/>
    <m/>
    <s v="ATENDE"/>
    <s v="ATENDE"/>
    <s v="ATENDE"/>
    <s v="ATENDE"/>
    <s v="C4"/>
    <s v="P6"/>
    <n v="2.0833333333333335"/>
    <n v="9.25"/>
    <n v="3.75"/>
    <n v="3"/>
    <n v="0.6"/>
    <s v="ATENDE"/>
    <s v="ATENDE"/>
    <s v="ATENDE"/>
    <s v="P6"/>
    <n v="0.34999999999999987"/>
    <n v="4.05"/>
    <n v="2.00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59"/>
    <s v="PVP"/>
    <s v="Avenida da Igreja, 60"/>
    <n v="-29.984310050000001"/>
    <n v="-50.133688329999998"/>
    <s v="C2"/>
    <x v="0"/>
    <s v="P5"/>
    <s v="LED"/>
    <n v="50"/>
    <n v="0"/>
    <n v="0"/>
    <n v="300"/>
    <n v="2"/>
    <n v="1"/>
    <n v="7"/>
    <m/>
    <m/>
    <n v="0"/>
    <n v="3.5"/>
    <n v="6"/>
    <n v="0"/>
    <n v="0"/>
    <n v="0"/>
    <n v="2"/>
    <s v="Canteiro central"/>
    <s v="Braço"/>
    <n v="24.6"/>
    <n v="10"/>
    <n v="3"/>
    <n v="2.8"/>
    <n v="0.3"/>
    <n v="-2.5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6.7500000000000115E-2"/>
    <n v="1.4999999999999996"/>
    <s v="-"/>
    <n v="21.35"/>
    <n v="0.7"/>
    <m/>
    <m/>
    <m/>
    <m/>
    <s v="ATENDE"/>
    <s v="ATENDE"/>
    <s v="ATENDE"/>
    <s v="ATENDE"/>
    <s v="C2"/>
    <s v="P5"/>
    <n v="2.41"/>
    <n v="17.05"/>
    <n v="10.93"/>
    <n v="5"/>
    <n v="1"/>
    <s v="ATENDE"/>
    <s v="ATENDE"/>
    <s v="ATENDE"/>
    <s v="P5"/>
    <n v="1.242"/>
    <n v="11.21"/>
    <n v="10.47"/>
    <n v="5"/>
    <n v="1"/>
    <s v="ATENDE"/>
    <s v="ATENDE"/>
    <s v="ATENDE"/>
    <x v="0"/>
    <s v=" SL VT 9.1 44W"/>
    <s v="LUM LED SL VT 9.1 44W"/>
    <m/>
    <e v="#N/A"/>
    <n v="3"/>
    <n v="44"/>
    <n v="0"/>
    <n v="7657.99"/>
    <n v="0"/>
    <n v="0"/>
    <m/>
    <s v="Curto I"/>
    <m/>
    <s v=""/>
    <s v=""/>
    <m/>
    <m/>
    <m/>
    <m/>
    <m/>
    <m/>
    <n v="44"/>
    <n v="50"/>
    <n v="282"/>
    <n v="0.12"/>
    <m/>
    <m/>
    <s v="Sim"/>
    <m/>
  </r>
  <r>
    <n v="259"/>
    <s v="PVP"/>
    <s v="Avenida da Igreja, 60"/>
    <n v="-29.984310050000001"/>
    <n v="-50.133688329999998"/>
    <s v="C2"/>
    <x v="0"/>
    <s v="P5"/>
    <s v="LED"/>
    <n v="50"/>
    <n v="0"/>
    <n v="0"/>
    <n v="300"/>
    <n v="2"/>
    <n v="1"/>
    <n v="7"/>
    <m/>
    <m/>
    <n v="0"/>
    <n v="3.5"/>
    <n v="6"/>
    <n v="0"/>
    <n v="0"/>
    <n v="0"/>
    <n v="2"/>
    <s v="Canteiro central"/>
    <s v="Braço"/>
    <n v="24.6"/>
    <n v="10"/>
    <n v="3"/>
    <n v="2.8"/>
    <n v="0.3"/>
    <n v="-2.5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0.43000000000000016"/>
    <n v="1.714285714285714"/>
    <s v="-"/>
    <n v="28.6"/>
    <n v="0.76"/>
    <m/>
    <m/>
    <m/>
    <m/>
    <s v="ATENDE"/>
    <s v="ATENDE"/>
    <s v="ATENDE"/>
    <s v="ATENDE"/>
    <s v="C2"/>
    <s v="P5"/>
    <n v="2.9799999999999995"/>
    <n v="19.899999999999999"/>
    <n v="10.497999999999999"/>
    <n v="5"/>
    <n v="1"/>
    <s v="ATENDE"/>
    <s v="ATENDE"/>
    <s v="ATENDE"/>
    <s v="P5"/>
    <n v="2.1120000000000001"/>
    <n v="15.56"/>
    <n v="12.95"/>
    <n v="5"/>
    <n v="1"/>
    <s v="ATENDE"/>
    <s v="ATENDE"/>
    <s v="ATENDE"/>
    <x v="1"/>
    <s v="SX-INEVO050HF"/>
    <s v="SXINEVO050K40L12CZF7PHF"/>
    <m/>
    <e v="#N/A"/>
    <n v="3"/>
    <n v="50"/>
    <e v="#N/A"/>
    <n v="8650"/>
    <e v="#N/A"/>
    <n v="0"/>
    <m/>
    <s v="Curto I"/>
    <m/>
    <s v=""/>
    <s v=""/>
    <m/>
    <m/>
    <m/>
    <m/>
    <m/>
    <m/>
    <n v="50"/>
    <n v="50"/>
    <n v="300"/>
    <n v="0"/>
    <m/>
    <m/>
    <s v="Sim"/>
    <m/>
  </r>
  <r>
    <n v="259"/>
    <s v="PVP"/>
    <s v="Avenida da Igreja, 60"/>
    <n v="-29.984310050000001"/>
    <n v="-50.133688329999998"/>
    <s v="C2"/>
    <x v="0"/>
    <s v="P5"/>
    <s v="LED"/>
    <n v="50"/>
    <n v="0"/>
    <n v="0"/>
    <n v="300"/>
    <n v="2"/>
    <n v="1"/>
    <n v="7"/>
    <m/>
    <m/>
    <n v="0"/>
    <n v="3.5"/>
    <n v="6"/>
    <n v="0"/>
    <n v="0"/>
    <n v="0"/>
    <n v="2"/>
    <s v="Canteiro central"/>
    <s v="Braço"/>
    <n v="24.6"/>
    <n v="10"/>
    <n v="3"/>
    <n v="2.8"/>
    <n v="0.3"/>
    <n v="-2.5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7.1499999999999897E-2"/>
    <n v="1.3571428571428572"/>
    <s v="-"/>
    <n v="21.43"/>
    <n v="0.66"/>
    <m/>
    <m/>
    <m/>
    <m/>
    <s v="ATENDE"/>
    <s v="ATENDE"/>
    <s v="ATENDE"/>
    <s v="ATENDE"/>
    <s v="C2"/>
    <s v="P5"/>
    <n v="2.1859999999999999"/>
    <n v="15.93"/>
    <n v="9.4499999999999993"/>
    <n v="5"/>
    <n v="1"/>
    <s v="ATENDE"/>
    <s v="ATENDE"/>
    <s v="ATENDE"/>
    <s v="P5"/>
    <n v="1.0880000000000001"/>
    <n v="10.44"/>
    <n v="8"/>
    <n v="5"/>
    <n v="1"/>
    <s v="ATENDE"/>
    <s v="ATENDE"/>
    <s v="ATENDE"/>
    <x v="2"/>
    <s v="SIGSAGPTLRRSSNDL_40W_50IBBRS_x000a_"/>
    <s v="SIGSAGPTLRRSSNDL_40W_50IBBRS_x000a_1-10C1MUN6.5"/>
    <m/>
    <e v="#N/A"/>
    <n v="3"/>
    <n v="40"/>
    <e v="#N/A"/>
    <n v="6641"/>
    <e v="#N/A"/>
    <n v="0"/>
    <m/>
    <s v="Curto I"/>
    <m/>
    <s v=""/>
    <s v=""/>
    <m/>
    <m/>
    <m/>
    <m/>
    <m/>
    <m/>
    <n v="40"/>
    <n v="50"/>
    <n v="270"/>
    <n v="0.19999999999999996"/>
    <m/>
    <m/>
    <s v="Sim"/>
    <m/>
  </r>
  <r>
    <n v="260"/>
    <s v="PVP"/>
    <s v="Avenida Emancipacao, 30"/>
    <n v="-29.98304714"/>
    <n v="-50.133448280000003"/>
    <s v="C3"/>
    <x v="0"/>
    <s v="P5"/>
    <s v="LED"/>
    <n v="99"/>
    <n v="0"/>
    <n v="0"/>
    <n v="198"/>
    <n v="2"/>
    <n v="2"/>
    <n v="4"/>
    <m/>
    <m/>
    <n v="0"/>
    <n v="3"/>
    <n v="0"/>
    <n v="0"/>
    <n v="0"/>
    <n v="0"/>
    <n v="2"/>
    <s v="Bilateral alternada"/>
    <s v="Braço"/>
    <n v="48"/>
    <n v="6.8"/>
    <n v="1"/>
    <n v="0.4"/>
    <n v="1.3"/>
    <n v="0.9"/>
    <s v="-"/>
    <s v="-"/>
    <s v="Não"/>
    <n v="3"/>
    <n v="0"/>
    <n v="0"/>
    <n v="0"/>
    <n v="0"/>
    <n v="0"/>
    <s v="-"/>
    <n v="0"/>
    <m/>
    <n v="15"/>
    <n v="0.18"/>
    <s v="-"/>
    <n v="0.18"/>
    <s v="-"/>
    <n v="15"/>
    <s v="ATENDE"/>
    <n v="0.14066666666666672"/>
    <n v="2.1666666666666665"/>
    <s v="-"/>
    <n v="17.11"/>
    <n v="0.56999999999999995"/>
    <m/>
    <m/>
    <m/>
    <m/>
    <s v="ATENDE"/>
    <s v="ATENDE"/>
    <s v="ATENDE"/>
    <s v="ATENDE"/>
    <s v="C3"/>
    <s v="P5"/>
    <n v="1.8780000000000001"/>
    <n v="14.39"/>
    <n v="8.3699999999999992"/>
    <n v="5"/>
    <n v="1"/>
    <s v="ATENDE"/>
    <s v="ATENDE"/>
    <s v="ATENDE"/>
    <s v="P5"/>
    <n v="0.79800000000000004"/>
    <n v="8.99"/>
    <n v="5.22"/>
    <n v="5"/>
    <n v="1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99"/>
    <n v="143"/>
    <n v="0.55555555555555558"/>
    <m/>
    <m/>
    <s v="Sim"/>
    <m/>
  </r>
  <r>
    <n v="260"/>
    <s v="PVP"/>
    <s v="Avenida Emancipacao, 30"/>
    <n v="-29.98304714"/>
    <n v="-50.133448280000003"/>
    <s v="C3"/>
    <x v="0"/>
    <s v="P5"/>
    <s v="LED"/>
    <n v="99"/>
    <n v="0"/>
    <n v="0"/>
    <n v="198"/>
    <n v="2"/>
    <n v="2"/>
    <n v="4"/>
    <m/>
    <m/>
    <n v="0"/>
    <n v="3"/>
    <n v="0"/>
    <n v="0"/>
    <n v="0"/>
    <n v="0"/>
    <n v="2"/>
    <s v="Bilateral alternada"/>
    <s v="Braço"/>
    <n v="48"/>
    <n v="6.8"/>
    <n v="1"/>
    <n v="0.4"/>
    <n v="1.3"/>
    <n v="0.9"/>
    <s v="-"/>
    <s v="-"/>
    <s v="Não"/>
    <n v="3"/>
    <n v="0"/>
    <n v="0"/>
    <n v="0"/>
    <n v="0"/>
    <n v="0"/>
    <s v="-"/>
    <n v="0"/>
    <m/>
    <n v="15"/>
    <n v="0.18"/>
    <s v="-"/>
    <n v="0.18"/>
    <s v="-"/>
    <n v="15"/>
    <s v="ATENDE"/>
    <n v="8.2000000000000073E-2"/>
    <n v="2.9444444444444442"/>
    <s v="-"/>
    <n v="16.23"/>
    <n v="0.71"/>
    <m/>
    <m/>
    <m/>
    <m/>
    <s v="ATENDE"/>
    <s v="ATENDE"/>
    <s v="ATENDE"/>
    <s v="ATENDE"/>
    <s v="C3"/>
    <s v="P5"/>
    <n v="1.75"/>
    <n v="13.75"/>
    <n v="9.99"/>
    <n v="5"/>
    <n v="1"/>
    <s v="ATENDE"/>
    <s v="ATENDE"/>
    <s v="ATENDE"/>
    <s v="P5"/>
    <n v="0.57200000000000006"/>
    <n v="7.86"/>
    <n v="4.79"/>
    <n v="5"/>
    <n v="1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99"/>
    <n v="138"/>
    <n v="0.60606060606060608"/>
    <m/>
    <m/>
    <s v="Sim"/>
    <m/>
  </r>
  <r>
    <n v="260"/>
    <s v="PVP"/>
    <s v="Avenida Emancipacao, 30"/>
    <n v="-29.98304714"/>
    <n v="-50.133448280000003"/>
    <s v="C3"/>
    <x v="0"/>
    <s v="P5"/>
    <s v="LED"/>
    <n v="99"/>
    <n v="0"/>
    <n v="0"/>
    <n v="198"/>
    <n v="2"/>
    <n v="2"/>
    <n v="4"/>
    <m/>
    <m/>
    <n v="0"/>
    <n v="3"/>
    <n v="0"/>
    <n v="0"/>
    <n v="0"/>
    <n v="0"/>
    <n v="2"/>
    <s v="Bilateral alternada"/>
    <s v="Braço"/>
    <n v="48"/>
    <n v="6.8"/>
    <n v="1"/>
    <n v="0.4"/>
    <n v="1.3"/>
    <n v="0.9"/>
    <s v="-"/>
    <s v="-"/>
    <s v="Não"/>
    <n v="3"/>
    <n v="0"/>
    <n v="0"/>
    <n v="0"/>
    <n v="0"/>
    <n v="0"/>
    <s v="-"/>
    <n v="0"/>
    <m/>
    <n v="15"/>
    <n v="0.18"/>
    <s v="-"/>
    <n v="0.18"/>
    <s v="-"/>
    <n v="15"/>
    <s v="ATENDE"/>
    <n v="0.27533333333333321"/>
    <n v="3.2222222222222223"/>
    <s v="-"/>
    <n v="19.13"/>
    <n v="0.76"/>
    <m/>
    <m/>
    <m/>
    <m/>
    <s v="ATENDE"/>
    <s v="ATENDE"/>
    <s v="ATENDE"/>
    <s v="ATENDE"/>
    <s v="C3"/>
    <s v="P5"/>
    <n v="1.92"/>
    <n v="14.6"/>
    <n v="10.55"/>
    <n v="5"/>
    <n v="1"/>
    <s v="ATENDE"/>
    <s v="ATENDE"/>
    <s v="ATENDE"/>
    <s v="P5"/>
    <n v="0.51600000000000001"/>
    <n v="7.58"/>
    <n v="4.6900000000000004"/>
    <n v="5"/>
    <n v="1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99"/>
    <n v="139"/>
    <n v="0.59595959595959602"/>
    <m/>
    <m/>
    <s v="Sim"/>
    <m/>
  </r>
  <r>
    <n v="261"/>
    <s v="PVP"/>
    <s v="Rua Jorge Sperb, 226"/>
    <n v="-29.984980050000001"/>
    <n v="-50.135241669999999"/>
    <s v="C4"/>
    <x v="0"/>
    <s v="P6"/>
    <s v="Vapor de sódio"/>
    <n v="250"/>
    <n v="30"/>
    <n v="0"/>
    <n v="2000"/>
    <n v="2"/>
    <n v="5"/>
    <n v="7"/>
    <m/>
    <m/>
    <n v="0"/>
    <n v="5"/>
    <n v="0"/>
    <n v="0"/>
    <n v="0"/>
    <n v="2"/>
    <n v="2"/>
    <s v="Unilateral"/>
    <s v="Suporte"/>
    <n v="30.7"/>
    <n v="7"/>
    <n v="4"/>
    <n v="0.6"/>
    <n v="0"/>
    <n v="-0.6"/>
    <s v="-"/>
    <s v="-"/>
    <s v="Sim"/>
    <n v="8"/>
    <n v="0"/>
    <n v="0"/>
    <n v="0"/>
    <n v="0"/>
    <n v="0"/>
    <s v="-"/>
    <n v="0"/>
    <m/>
    <n v="10"/>
    <n v="0.18"/>
    <s v="-"/>
    <n v="0.18"/>
    <s v="-"/>
    <n v="16"/>
    <s v="ATENDE"/>
    <n v="0.54700000000000015"/>
    <n v="0.2777777777777779"/>
    <s v="-"/>
    <n v="15.47"/>
    <n v="0.23"/>
    <m/>
    <m/>
    <m/>
    <m/>
    <s v="ATENDE"/>
    <s v="ATENDE"/>
    <s v="ATENDE"/>
    <s v="ATENDE"/>
    <s v="C4"/>
    <s v="P6"/>
    <n v="7.48"/>
    <n v="25.44"/>
    <n v="6.76"/>
    <n v="3"/>
    <n v="0.6"/>
    <s v="ATENDE"/>
    <s v="ATENDE"/>
    <s v="ATENDE"/>
    <s v="P6"/>
    <n v="0.15999999999999992"/>
    <n v="3.48"/>
    <n v="1.05"/>
    <n v="3"/>
    <n v="0.6"/>
    <s v="ATENDE"/>
    <s v="ATENDE"/>
    <s v="ATENDE"/>
    <x v="0"/>
    <s v=" SL VT 9.1 28W"/>
    <s v="LUM LED SL VT 9.1 28W"/>
    <m/>
    <e v="#N/A"/>
    <n v="4"/>
    <n v="28"/>
    <n v="0"/>
    <n v="4927.3500000000004"/>
    <n v="0"/>
    <n v="0"/>
    <n v="5"/>
    <s v="Curto I"/>
    <m/>
    <s v=""/>
    <s v=""/>
    <m/>
    <m/>
    <m/>
    <m/>
    <m/>
    <m/>
    <n v="28"/>
    <n v="250"/>
    <n v="1112"/>
    <n v="0.88800000000000001"/>
    <m/>
    <m/>
    <s v="Sim"/>
    <m/>
  </r>
  <r>
    <n v="261"/>
    <s v="PVP"/>
    <s v="Rua Jorge Sperb, 226"/>
    <n v="-29.984980050000001"/>
    <n v="-50.135241669999999"/>
    <s v="C4"/>
    <x v="0"/>
    <s v="P6"/>
    <s v="Vapor de sódio"/>
    <n v="250"/>
    <n v="30"/>
    <n v="0"/>
    <n v="2000"/>
    <n v="2"/>
    <n v="5"/>
    <n v="7"/>
    <m/>
    <m/>
    <n v="0"/>
    <n v="5"/>
    <n v="0"/>
    <n v="0"/>
    <n v="0"/>
    <n v="2"/>
    <n v="2"/>
    <s v="Unilateral"/>
    <s v="Suporte"/>
    <n v="30.7"/>
    <n v="7"/>
    <n v="4"/>
    <n v="0.6"/>
    <n v="0"/>
    <n v="-0.6"/>
    <s v="-"/>
    <s v="-"/>
    <s v="Sim"/>
    <n v="8"/>
    <n v="0"/>
    <n v="0"/>
    <n v="0"/>
    <n v="0"/>
    <n v="0"/>
    <s v="-"/>
    <n v="0"/>
    <m/>
    <n v="10"/>
    <n v="0.18"/>
    <s v="-"/>
    <n v="0.18"/>
    <s v="-"/>
    <n v="16"/>
    <s v="ATENDE"/>
    <n v="0.13100000000000001"/>
    <n v="0.94444444444444442"/>
    <s v="-"/>
    <n v="11.31"/>
    <n v="0.35"/>
    <m/>
    <m/>
    <m/>
    <m/>
    <s v="ATENDE"/>
    <s v="ATENDE"/>
    <s v="ATENDE"/>
    <s v="ATENDE"/>
    <s v="C4"/>
    <s v="P6"/>
    <n v="5.0199999999999996"/>
    <n v="18.059999999999999"/>
    <n v="5.94"/>
    <n v="3"/>
    <n v="0.6"/>
    <s v="ATENDE"/>
    <s v="ATENDE"/>
    <s v="ATENDE"/>
    <s v="P6"/>
    <n v="8.3333333333333259E-2"/>
    <n v="3.25"/>
    <n v="1.36"/>
    <n v="3"/>
    <n v="0.6"/>
    <s v="ATENDE"/>
    <s v="ATENDE"/>
    <s v="ATENDE"/>
    <x v="1"/>
    <s v="SX-INEVO020HF"/>
    <s v="SXINEVO020K40L12CZF7PHF"/>
    <m/>
    <e v="#N/A"/>
    <n v="4"/>
    <n v="22.5"/>
    <n v="0"/>
    <n v="3825"/>
    <n v="0"/>
    <n v="0"/>
    <n v="10"/>
    <s v="Curto I"/>
    <m/>
    <s v=""/>
    <s v=""/>
    <m/>
    <m/>
    <m/>
    <m/>
    <m/>
    <m/>
    <n v="22.5"/>
    <n v="250"/>
    <n v="1090"/>
    <n v="0.91"/>
    <m/>
    <m/>
    <s v="Sim"/>
    <m/>
  </r>
  <r>
    <n v="261"/>
    <s v="PVP"/>
    <s v="Rua Jorge Sperb, 226"/>
    <n v="-29.984980050000001"/>
    <n v="-50.135241669999999"/>
    <s v="C4"/>
    <x v="0"/>
    <s v="P6"/>
    <s v="Vapor de sódio"/>
    <n v="250"/>
    <n v="30"/>
    <n v="0"/>
    <n v="2000"/>
    <n v="2"/>
    <n v="5"/>
    <n v="7"/>
    <m/>
    <m/>
    <n v="0"/>
    <n v="5"/>
    <n v="0"/>
    <n v="0"/>
    <n v="0"/>
    <n v="2"/>
    <n v="2"/>
    <s v="Unilateral"/>
    <s v="Suporte"/>
    <n v="30.7"/>
    <n v="7"/>
    <n v="4"/>
    <n v="0.6"/>
    <n v="0"/>
    <n v="-0.6"/>
    <s v="-"/>
    <s v="-"/>
    <s v="Sim"/>
    <n v="8"/>
    <n v="0"/>
    <n v="0"/>
    <n v="0"/>
    <n v="0"/>
    <n v="0"/>
    <s v="-"/>
    <n v="0"/>
    <m/>
    <n v="10"/>
    <n v="0.18"/>
    <s v="-"/>
    <n v="0.18"/>
    <s v="-"/>
    <n v="16"/>
    <s v="ATENDE"/>
    <n v="0.73"/>
    <n v="0.83333333333333348"/>
    <s v="-"/>
    <n v="17.3"/>
    <n v="0.33"/>
    <m/>
    <m/>
    <m/>
    <m/>
    <s v="ATENDE"/>
    <s v="ATENDE"/>
    <s v="ATENDE"/>
    <s v="ATENDE"/>
    <s v="C4"/>
    <s v="P6"/>
    <n v="8.2200000000000006"/>
    <n v="27.66"/>
    <n v="10.119999999999999"/>
    <n v="3"/>
    <n v="0.6"/>
    <s v="ATENDE"/>
    <s v="ATENDE"/>
    <s v="ATENDE"/>
    <s v="P6"/>
    <n v="0.59999999999999987"/>
    <n v="4.8"/>
    <n v="1.37"/>
    <n v="3"/>
    <n v="0.6"/>
    <s v="ATENDE"/>
    <s v="ATENDE"/>
    <s v="ATENDE"/>
    <x v="2"/>
    <s v="SIGSAGPTLRRSSNDL_30W_38IBBRS_x000a_"/>
    <s v="SIGSAGPTLRRSSNDL_30W_38IBBRS_x000a_1-10C1MUN6.5"/>
    <m/>
    <n v="0"/>
    <n v="4"/>
    <n v="30"/>
    <e v="#N/A"/>
    <n v="5266"/>
    <n v="0"/>
    <n v="0"/>
    <n v="10"/>
    <s v="Curto I"/>
    <m/>
    <s v=""/>
    <s v=""/>
    <m/>
    <m/>
    <m/>
    <m/>
    <m/>
    <m/>
    <n v="30"/>
    <n v="250"/>
    <n v="1120"/>
    <n v="0.88"/>
    <m/>
    <m/>
    <s v="Sim"/>
    <m/>
  </r>
  <r>
    <n v="262"/>
    <s v="PVP"/>
    <s v="Rua Jorge Sperb, 39"/>
    <n v="-29.98419621"/>
    <n v="-50.136571889999999"/>
    <s v="C5"/>
    <x v="0"/>
    <s v="P6"/>
    <s v="Vapor de sódio"/>
    <n v="150"/>
    <n v="22"/>
    <n v="0"/>
    <n v="300"/>
    <n v="2"/>
    <n v="3"/>
    <n v="7"/>
    <m/>
    <m/>
    <n v="0"/>
    <n v="3"/>
    <n v="0"/>
    <n v="0"/>
    <n v="0"/>
    <n v="2"/>
    <n v="2"/>
    <s v="Unilateral"/>
    <s v="Braço"/>
    <n v="25.7"/>
    <n v="6.6"/>
    <n v="1"/>
    <n v="0.2"/>
    <n v="2.8"/>
    <n v="2.599999999999999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266666666666683"/>
    <n v="1.8333333333333335"/>
    <s v="-"/>
    <n v="9.4700000000000006"/>
    <n v="0.51"/>
    <m/>
    <m/>
    <m/>
    <m/>
    <s v="ATENDE"/>
    <s v="ATENDE"/>
    <s v="ATENDE"/>
    <s v="ATENDE"/>
    <s v="C5"/>
    <s v="P6"/>
    <n v="0.44333333333333336"/>
    <n v="4.33"/>
    <n v="2.14"/>
    <n v="3"/>
    <n v="0.6"/>
    <s v="ATENDE"/>
    <s v="ATENDE"/>
    <s v="ATENDE"/>
    <s v="P6"/>
    <n v="0.1100000000000001"/>
    <n v="3.33"/>
    <n v="2.1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n v="5"/>
    <s v="Longo I"/>
    <m/>
    <s v=""/>
    <s v=""/>
    <m/>
    <m/>
    <m/>
    <m/>
    <m/>
    <m/>
    <n v="50"/>
    <n v="150"/>
    <n v="200"/>
    <n v="0.66666666666666674"/>
    <m/>
    <m/>
    <s v="Sim"/>
    <m/>
  </r>
  <r>
    <n v="262"/>
    <s v="PVP"/>
    <s v="Rua Jorge Sperb, 39"/>
    <n v="-29.98419621"/>
    <n v="-50.136571889999999"/>
    <s v="C5"/>
    <x v="0"/>
    <s v="P6"/>
    <s v="Vapor de sódio"/>
    <n v="150"/>
    <n v="22"/>
    <n v="0"/>
    <n v="300"/>
    <n v="2"/>
    <n v="3"/>
    <n v="7"/>
    <m/>
    <m/>
    <n v="0"/>
    <n v="3"/>
    <n v="0"/>
    <n v="0"/>
    <n v="0"/>
    <n v="2"/>
    <n v="2"/>
    <s v="Unilateral"/>
    <s v="Braço"/>
    <n v="25.7"/>
    <n v="6.6"/>
    <n v="1"/>
    <n v="0.2"/>
    <n v="2.8"/>
    <n v="2.599999999999999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1866666666666683"/>
    <n v="2.9444444444444442"/>
    <s v="-"/>
    <n v="11.39"/>
    <n v="0.71"/>
    <m/>
    <m/>
    <m/>
    <m/>
    <s v="ATENDE"/>
    <s v="ATENDE"/>
    <s v="ATENDE"/>
    <s v="ATENDE"/>
    <s v="C5"/>
    <s v="P6"/>
    <n v="0.11333333333333329"/>
    <n v="3.34"/>
    <n v="0.7"/>
    <n v="3"/>
    <n v="0.6"/>
    <s v="ATENDE"/>
    <s v="ATENDE"/>
    <s v="ATENDE"/>
    <s v="P6"/>
    <n v="0.28666666666666663"/>
    <n v="3.86"/>
    <n v="2.2999999999999998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10"/>
    <s v="Longo I"/>
    <m/>
    <s v=""/>
    <s v=""/>
    <m/>
    <m/>
    <m/>
    <m/>
    <m/>
    <m/>
    <n v="50"/>
    <n v="150"/>
    <n v="200"/>
    <n v="0.66666666666666674"/>
    <m/>
    <m/>
    <s v="Sim"/>
    <m/>
  </r>
  <r>
    <n v="262"/>
    <s v="PVP"/>
    <s v="Rua Jorge Sperb, 39"/>
    <n v="-29.98419621"/>
    <n v="-50.136571889999999"/>
    <s v="C5"/>
    <x v="0"/>
    <s v="P6"/>
    <s v="Vapor de sódio"/>
    <n v="150"/>
    <n v="22"/>
    <n v="0"/>
    <n v="300"/>
    <n v="2"/>
    <n v="3"/>
    <n v="7"/>
    <m/>
    <m/>
    <n v="0"/>
    <n v="3"/>
    <n v="0"/>
    <n v="0"/>
    <n v="0"/>
    <n v="2"/>
    <n v="2"/>
    <s v="Unilateral"/>
    <s v="Braço"/>
    <n v="25.7"/>
    <n v="6.6"/>
    <n v="1"/>
    <n v="0.2"/>
    <n v="2.8"/>
    <n v="2.599999999999999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1866666666666683"/>
    <n v="2.7222222222222228"/>
    <s v="-"/>
    <n v="11.39"/>
    <n v="0.67"/>
    <m/>
    <m/>
    <m/>
    <m/>
    <s v="ATENDE"/>
    <s v="ATENDE"/>
    <s v="ATENDE"/>
    <s v="ATENDE"/>
    <s v="C5"/>
    <s v="P6"/>
    <n v="0.4800000000000002"/>
    <n v="4.4400000000000004"/>
    <n v="1.86"/>
    <n v="3"/>
    <n v="0.6"/>
    <s v="ATENDE"/>
    <s v="ATENDE"/>
    <s v="ATENDE"/>
    <s v="P6"/>
    <n v="0.19999999999999996"/>
    <n v="3.6"/>
    <n v="2.4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n v="10"/>
    <s v="Longo I"/>
    <m/>
    <s v=""/>
    <s v=""/>
    <m/>
    <m/>
    <m/>
    <m/>
    <m/>
    <m/>
    <n v="50"/>
    <n v="150"/>
    <n v="200"/>
    <n v="0.66666666666666674"/>
    <m/>
    <m/>
    <s v="Sim"/>
    <m/>
  </r>
  <r>
    <n v="263"/>
    <s v="VP"/>
    <s v="Rua Fernandes Bastos, 422"/>
    <n v="-29.98560161"/>
    <n v="-50.137136779999999"/>
    <s v="C4"/>
    <x v="0"/>
    <s v="P6"/>
    <s v="LED"/>
    <n v="50"/>
    <n v="0"/>
    <n v="0"/>
    <n v="300"/>
    <n v="2"/>
    <n v="0"/>
    <n v="4"/>
    <m/>
    <m/>
    <n v="0"/>
    <n v="5"/>
    <n v="0.5"/>
    <n v="0"/>
    <n v="0"/>
    <n v="2"/>
    <n v="0"/>
    <s v="Unilateral"/>
    <s v="Braço"/>
    <n v="35.1"/>
    <n v="10"/>
    <n v="3"/>
    <n v="0.2"/>
    <n v="0.25"/>
    <n v="4.9999999999999989E-2"/>
    <s v="-"/>
    <s v="-"/>
    <s v="Sim"/>
    <n v="6"/>
    <n v="0"/>
    <n v="0"/>
    <n v="0"/>
    <n v="0"/>
    <n v="0"/>
    <s v="-"/>
    <n v="0"/>
    <m/>
    <n v="10"/>
    <n v="0.18"/>
    <s v="-"/>
    <n v="0.18"/>
    <s v="-"/>
    <n v="16"/>
    <s v="ATENDE"/>
    <n v="0.24299999999999988"/>
    <n v="1.6111111111111112"/>
    <s v="-"/>
    <n v="12.43"/>
    <n v="0.47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-7.9999999999998961E-3"/>
    <n v="7.44"/>
    <n v="4.5199999999999996"/>
    <n v="7.5"/>
    <n v="1.5"/>
    <s v="ATENDE"/>
    <s v="ATENDIMENTO LIMIAR"/>
    <s v="ATENDE"/>
    <x v="0"/>
    <s v=" SL VT 9.1 28W"/>
    <s v="LUM LED SL VT 9.1 28W"/>
    <m/>
    <e v="#N/A"/>
    <n v="1"/>
    <n v="28"/>
    <n v="0"/>
    <n v="4927.3500000000004"/>
    <n v="0"/>
    <n v="0"/>
    <m/>
    <s v="Curto I"/>
    <m/>
    <s v=""/>
    <s v=""/>
    <m/>
    <m/>
    <m/>
    <m/>
    <m/>
    <m/>
    <n v="50"/>
    <n v="150"/>
    <n v="200"/>
    <n v="0.66666666666666674"/>
    <m/>
    <m/>
    <s v="Sim"/>
    <m/>
  </r>
  <r>
    <n v="263"/>
    <s v="VP"/>
    <s v="Rua Fernandes Bastos, 422"/>
    <n v="-29.98560161"/>
    <n v="-50.137136779999999"/>
    <s v="C4"/>
    <x v="0"/>
    <s v="P6"/>
    <s v="LED"/>
    <n v="50"/>
    <n v="0"/>
    <n v="0"/>
    <n v="300"/>
    <n v="2"/>
    <n v="0"/>
    <n v="4"/>
    <m/>
    <m/>
    <n v="0"/>
    <n v="5"/>
    <n v="0.5"/>
    <n v="0"/>
    <n v="0"/>
    <n v="2"/>
    <n v="0"/>
    <s v="Unilateral"/>
    <s v="Braço"/>
    <n v="35.1"/>
    <n v="10"/>
    <n v="3"/>
    <n v="0.2"/>
    <n v="0.25"/>
    <n v="4.9999999999999989E-2"/>
    <s v="-"/>
    <s v="-"/>
    <s v="Sim"/>
    <n v="6"/>
    <n v="0"/>
    <n v="0"/>
    <n v="0"/>
    <n v="0"/>
    <n v="0"/>
    <s v="-"/>
    <n v="0"/>
    <m/>
    <n v="10"/>
    <n v="0.18"/>
    <s v="-"/>
    <n v="0.18"/>
    <s v="-"/>
    <n v="16"/>
    <s v="ATENDE"/>
    <n v="0.36499999999999999"/>
    <n v="1.8333333333333335"/>
    <s v="-"/>
    <n v="13.65"/>
    <n v="0.51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0.20266666666666655"/>
    <n v="9.02"/>
    <n v="6.5"/>
    <n v="7.5"/>
    <n v="1.5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"/>
    <m/>
    <s v=""/>
    <s v=""/>
    <m/>
    <m/>
    <m/>
    <m/>
    <m/>
    <m/>
    <n v="50"/>
    <n v="150"/>
    <n v="200"/>
    <n v="0.66666666666666674"/>
    <m/>
    <m/>
    <s v="Sim"/>
    <m/>
  </r>
  <r>
    <n v="263"/>
    <s v="VP"/>
    <s v="Rua Fernandes Bastos, 422"/>
    <n v="-29.98560161"/>
    <n v="-50.137136779999999"/>
    <s v="C4"/>
    <x v="0"/>
    <s v="P6"/>
    <s v="LED"/>
    <n v="50"/>
    <n v="0"/>
    <n v="0"/>
    <n v="300"/>
    <n v="2"/>
    <n v="0"/>
    <n v="4"/>
    <m/>
    <m/>
    <n v="0"/>
    <n v="5"/>
    <n v="0.5"/>
    <n v="0"/>
    <n v="0"/>
    <n v="2"/>
    <n v="0"/>
    <s v="Unilateral"/>
    <s v="Braço"/>
    <n v="35.1"/>
    <n v="10"/>
    <n v="3"/>
    <n v="0.2"/>
    <n v="0.25"/>
    <n v="4.9999999999999989E-2"/>
    <s v="-"/>
    <s v="-"/>
    <s v="Sim"/>
    <n v="6"/>
    <n v="0"/>
    <n v="0"/>
    <n v="0"/>
    <n v="0"/>
    <n v="0"/>
    <s v="-"/>
    <n v="0"/>
    <m/>
    <n v="10"/>
    <n v="0.18"/>
    <s v="-"/>
    <n v="0.18"/>
    <s v="-"/>
    <n v="16"/>
    <s v="ATENDE"/>
    <n v="0.43500000000000005"/>
    <n v="1.8333333333333335"/>
    <s v="-"/>
    <n v="14.35"/>
    <n v="0.51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0.14399999999999991"/>
    <n v="8.58"/>
    <n v="6.51"/>
    <n v="7.5"/>
    <n v="1.5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"/>
    <m/>
    <s v=""/>
    <s v=""/>
    <m/>
    <m/>
    <m/>
    <m/>
    <m/>
    <m/>
    <n v="50"/>
    <n v="150"/>
    <n v="200"/>
    <n v="0.66666666666666674"/>
    <m/>
    <m/>
    <s v="Sim"/>
    <m/>
  </r>
  <r>
    <n v="264"/>
    <s v="VP"/>
    <s v="Avenida Rubem Berta, 737"/>
    <n v="-29.986844949999998"/>
    <n v="-50.14504281"/>
    <s v="C4"/>
    <x v="0"/>
    <s v="P5"/>
    <s v="LED"/>
    <n v="50"/>
    <n v="0"/>
    <n v="0"/>
    <n v="300"/>
    <n v="2"/>
    <n v="0"/>
    <n v="7"/>
    <m/>
    <m/>
    <n v="0"/>
    <n v="5"/>
    <n v="6"/>
    <n v="0"/>
    <n v="0"/>
    <n v="0"/>
    <n v="0"/>
    <s v="Canteiro central"/>
    <s v="Braço"/>
    <n v="34.9"/>
    <n v="7.8"/>
    <n v="2"/>
    <n v="3"/>
    <n v="2.5"/>
    <n v="-0.5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74200000000000021"/>
    <n v="1"/>
    <s v="-"/>
    <n v="17.420000000000002"/>
    <n v="0.36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6.2666666666666648E-2"/>
    <n v="7.97"/>
    <n v="3.27"/>
    <n v="7.5"/>
    <n v="1.5"/>
    <s v="ATENDE"/>
    <s v="ATENDE"/>
    <s v="ATENDE"/>
    <x v="0"/>
    <s v=" SL VT 9.1 72W"/>
    <s v="LUM LED SL VT 9.1 72W"/>
    <m/>
    <n v="0"/>
    <n v="1"/>
    <n v="72"/>
    <n v="0"/>
    <n v="12107"/>
    <n v="0"/>
    <n v="0"/>
    <n v="10"/>
    <s v="Médio II"/>
    <m/>
    <s v=""/>
    <s v=""/>
    <m/>
    <m/>
    <m/>
    <m/>
    <m/>
    <m/>
    <n v="50"/>
    <n v="150"/>
    <n v="200"/>
    <n v="0.66666666666666674"/>
    <m/>
    <m/>
    <s v="Sim"/>
    <m/>
  </r>
  <r>
    <n v="264"/>
    <s v="VP"/>
    <s v="Avenida Rubem Berta, 737"/>
    <n v="-29.986844949999998"/>
    <n v="-50.14504281"/>
    <s v="C4"/>
    <x v="0"/>
    <s v="P5"/>
    <s v="LED"/>
    <n v="50"/>
    <n v="0"/>
    <n v="0"/>
    <n v="300"/>
    <n v="2"/>
    <n v="0"/>
    <n v="7"/>
    <m/>
    <m/>
    <n v="0"/>
    <n v="5"/>
    <n v="6"/>
    <n v="0"/>
    <n v="0"/>
    <n v="0"/>
    <n v="0"/>
    <s v="Canteiro central"/>
    <s v="Braço"/>
    <n v="34.9"/>
    <n v="7.8"/>
    <n v="2"/>
    <n v="3"/>
    <n v="2.5"/>
    <n v="-0.5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85899999999999999"/>
    <n v="1.5555555555555558"/>
    <s v="-"/>
    <n v="18.59"/>
    <n v="0.46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0.248"/>
    <n v="9.36"/>
    <n v="4.6100000000000003"/>
    <n v="7.5"/>
    <n v="1.5"/>
    <s v="ATENDE"/>
    <s v="ATENDE"/>
    <s v="ATENDE"/>
    <x v="1"/>
    <s v="SX-INLPP070HF"/>
    <s v="SXINLPP070K40L12CZF7PHF"/>
    <m/>
    <n v="0"/>
    <n v="1"/>
    <n v="70"/>
    <n v="0"/>
    <n v="11970"/>
    <n v="0"/>
    <n v="0"/>
    <n v="10"/>
    <s v="Médio II"/>
    <m/>
    <s v=""/>
    <s v=""/>
    <m/>
    <m/>
    <m/>
    <m/>
    <m/>
    <m/>
    <n v="50"/>
    <n v="150"/>
    <n v="200"/>
    <n v="0.66666666666666674"/>
    <m/>
    <m/>
    <s v="Sim"/>
    <m/>
  </r>
  <r>
    <n v="264"/>
    <s v="VP"/>
    <s v="Avenida Rubem Berta, 737"/>
    <n v="-29.986844949999998"/>
    <n v="-50.14504281"/>
    <s v="C4"/>
    <x v="0"/>
    <s v="P5"/>
    <s v="LED"/>
    <n v="50"/>
    <n v="0"/>
    <n v="0"/>
    <n v="300"/>
    <n v="2"/>
    <n v="0"/>
    <n v="7"/>
    <m/>
    <m/>
    <n v="0"/>
    <n v="5"/>
    <n v="6"/>
    <n v="0"/>
    <n v="0"/>
    <n v="0"/>
    <n v="0"/>
    <s v="Canteiro central"/>
    <s v="Braço"/>
    <n v="34.9"/>
    <n v="7.8"/>
    <n v="2"/>
    <n v="3"/>
    <n v="2.5"/>
    <n v="-0.5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1"/>
    <n v="1.8888888888888893"/>
    <s v="-"/>
    <n v="20"/>
    <n v="0.52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5.4666666666666641E-2"/>
    <n v="7.91"/>
    <n v="5.24"/>
    <n v="7.5"/>
    <n v="1.5"/>
    <s v="ATENDE"/>
    <s v="ATENDE"/>
    <s v="ATENDE"/>
    <x v="2"/>
    <s v="SIGMAGPTLRRSMNDL_80W_56IBBR_x000a_"/>
    <s v="SIGMAGPTLRRSMNDL_80W_56IBBR_x000a_S1-10C1MUN6.5"/>
    <m/>
    <n v="0"/>
    <n v="1"/>
    <n v="80"/>
    <n v="0"/>
    <n v="13209"/>
    <n v="0"/>
    <n v="0"/>
    <n v="10"/>
    <s v="Médio II"/>
    <m/>
    <s v=""/>
    <s v=""/>
    <m/>
    <m/>
    <m/>
    <m/>
    <m/>
    <m/>
    <n v="50"/>
    <n v="150"/>
    <n v="200"/>
    <n v="0.66666666666666674"/>
    <m/>
    <m/>
    <s v="Sim"/>
    <m/>
  </r>
  <r>
    <n v="265"/>
    <s v="PVP"/>
    <s v="Avenida Rubem Berta, 1640"/>
    <n v="-29.99147803"/>
    <n v="-50.137585510000001"/>
    <s v="C2"/>
    <x v="0"/>
    <s v="P6"/>
    <s v="LED"/>
    <n v="50"/>
    <n v="0"/>
    <n v="0"/>
    <n v="300"/>
    <n v="2"/>
    <n v="1.5"/>
    <n v="7.5"/>
    <m/>
    <m/>
    <n v="0"/>
    <n v="5"/>
    <n v="2.5"/>
    <n v="0"/>
    <n v="0"/>
    <n v="0"/>
    <n v="0"/>
    <s v="Canteiro central"/>
    <s v="Braço"/>
    <n v="28.7"/>
    <n v="7"/>
    <n v="2"/>
    <n v="3"/>
    <n v="2.5"/>
    <n v="-0.5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6.349999999999989E-2"/>
    <n v="0.10714285714285698"/>
    <s v="-"/>
    <n v="21.27"/>
    <n v="0.31"/>
    <m/>
    <m/>
    <m/>
    <m/>
    <s v="ATENDE"/>
    <s v="ATENDE"/>
    <s v="ATENDE"/>
    <s v="ATENDE"/>
    <s v="C2"/>
    <s v="P6"/>
    <n v="8.73"/>
    <n v="29.19"/>
    <n v="15.92"/>
    <n v="3"/>
    <n v="0.6"/>
    <s v="ATENDE"/>
    <s v="ATENDE"/>
    <s v="ATENDE"/>
    <s v="P6"/>
    <n v="1.9033333333333338"/>
    <n v="8.7100000000000009"/>
    <n v="3.93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Médio II"/>
    <m/>
    <s v=""/>
    <s v=""/>
    <m/>
    <m/>
    <m/>
    <m/>
    <m/>
    <m/>
    <n v="40"/>
    <n v="150"/>
    <n v="190"/>
    <n v="0.73333333333333339"/>
    <m/>
    <m/>
    <s v="Sim"/>
    <m/>
  </r>
  <r>
    <n v="265"/>
    <s v="PVP"/>
    <s v="Avenida Rubem Berta, 1640"/>
    <n v="-29.99147803"/>
    <n v="-50.137585510000001"/>
    <s v="C2"/>
    <x v="0"/>
    <s v="P6"/>
    <s v="LED"/>
    <n v="50"/>
    <n v="0"/>
    <n v="0"/>
    <n v="300"/>
    <n v="2"/>
    <n v="1.5"/>
    <n v="7.5"/>
    <m/>
    <m/>
    <n v="0"/>
    <n v="5"/>
    <n v="2.5"/>
    <n v="0"/>
    <n v="0"/>
    <n v="0"/>
    <n v="0"/>
    <s v="Canteiro central"/>
    <s v="Braço"/>
    <n v="28.7"/>
    <n v="7"/>
    <n v="2"/>
    <n v="3"/>
    <n v="2.5"/>
    <n v="-0.5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7049999999999996"/>
    <n v="0.3214285714285714"/>
    <s v="-"/>
    <n v="25.41"/>
    <n v="0.37"/>
    <m/>
    <m/>
    <m/>
    <m/>
    <s v="ATENDE"/>
    <s v="ATENDE"/>
    <s v="ATENDE"/>
    <s v="ATENDE"/>
    <s v="C2"/>
    <s v="P6"/>
    <n v="12.016666666666666"/>
    <n v="39.049999999999997"/>
    <n v="21.15"/>
    <n v="3"/>
    <n v="0.6"/>
    <s v="ATENDE"/>
    <s v="ATENDE"/>
    <s v="ATENDE"/>
    <s v="P6"/>
    <n v="2.1833333333333336"/>
    <n v="9.5500000000000007"/>
    <n v="4.76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m/>
    <s v="Médio II"/>
    <m/>
    <s v=""/>
    <s v=""/>
    <m/>
    <m/>
    <m/>
    <m/>
    <m/>
    <m/>
    <n v="40"/>
    <n v="150"/>
    <n v="190"/>
    <n v="0.73333333333333339"/>
    <m/>
    <m/>
    <s v="Sim"/>
    <m/>
  </r>
  <r>
    <n v="265"/>
    <s v="PVP"/>
    <s v="Avenida Rubem Berta, 1640"/>
    <n v="-29.99147803"/>
    <n v="-50.137585510000001"/>
    <s v="C2"/>
    <x v="0"/>
    <s v="P6"/>
    <s v="LED"/>
    <n v="50"/>
    <n v="0"/>
    <n v="0"/>
    <n v="300"/>
    <n v="2"/>
    <n v="1.5"/>
    <n v="7.5"/>
    <m/>
    <m/>
    <n v="0"/>
    <n v="5"/>
    <n v="2.5"/>
    <n v="0"/>
    <n v="0"/>
    <n v="0"/>
    <n v="0"/>
    <s v="Canteiro central"/>
    <s v="Braço"/>
    <n v="28.7"/>
    <n v="7"/>
    <n v="2"/>
    <n v="3"/>
    <n v="2.5"/>
    <n v="-0.5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9.4500000000000028E-2"/>
    <n v="0.5714285714285714"/>
    <s v="-"/>
    <n v="21.89"/>
    <n v="0.44"/>
    <m/>
    <m/>
    <m/>
    <m/>
    <s v="ATENDE"/>
    <s v="ATENDE"/>
    <s v="ATENDE"/>
    <s v="ATENDE"/>
    <s v="C2"/>
    <s v="P6"/>
    <n v="9.7866666666666671"/>
    <n v="32.36"/>
    <n v="21.61"/>
    <n v="3"/>
    <n v="0.6"/>
    <s v="ATENDE"/>
    <s v="ATENDE"/>
    <s v="ATENDE"/>
    <s v="P6"/>
    <n v="1"/>
    <n v="6"/>
    <n v="4"/>
    <n v="3"/>
    <n v="0.6"/>
    <s v="ATENDE"/>
    <s v="ATENDE"/>
    <s v="ATENDE"/>
    <x v="2"/>
    <s v="SIGSAGPTLRRSSNDL_68W_83IBBRS_x000a_"/>
    <s v="SIGSAGPTLRRSSNDL_68W_83IBBRS_x000a_1-10C1MUN6.5"/>
    <m/>
    <e v="#N/A"/>
    <n v="1"/>
    <n v="68"/>
    <n v="0"/>
    <n v="10884"/>
    <n v="0"/>
    <n v="0"/>
    <m/>
    <s v="Médio II"/>
    <m/>
    <s v=""/>
    <s v=""/>
    <m/>
    <m/>
    <m/>
    <m/>
    <m/>
    <m/>
    <n v="40"/>
    <n v="150"/>
    <n v="190"/>
    <n v="0.73333333333333339"/>
    <m/>
    <m/>
    <s v="Sim"/>
    <m/>
  </r>
  <r>
    <n v="266"/>
    <s v="PVP"/>
    <s v="Travessa Olavo Bilac, 1226"/>
    <n v="-29.992645639999999"/>
    <n v="-50.13648354"/>
    <s v="C5"/>
    <x v="0"/>
    <s v="P6"/>
    <s v="Vapor de sódio"/>
    <n v="100"/>
    <n v="17"/>
    <n v="0"/>
    <n v="300"/>
    <n v="2"/>
    <n v="2"/>
    <n v="8"/>
    <m/>
    <m/>
    <n v="0"/>
    <n v="2"/>
    <n v="0"/>
    <n v="0"/>
    <n v="0"/>
    <n v="0"/>
    <n v="0"/>
    <s v="Unilateral"/>
    <s v="Braço"/>
    <n v="42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26666666666667"/>
    <n v="0.44444444444444464"/>
    <s v="-"/>
    <n v="8.42"/>
    <n v="0.26"/>
    <m/>
    <m/>
    <m/>
    <m/>
    <s v="ATENDE"/>
    <s v="ATENDE"/>
    <s v="ATENDE"/>
    <s v="ATENDE"/>
    <s v="C5"/>
    <s v="P6"/>
    <n v="1.56"/>
    <n v="7.68"/>
    <n v="1.72"/>
    <n v="3"/>
    <n v="0.6"/>
    <s v="ATENDE"/>
    <s v="ATENDE"/>
    <s v="ATENDE"/>
    <s v="P6"/>
    <n v="0.47"/>
    <n v="4.41"/>
    <n v="1.6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6"/>
    <s v="PVP"/>
    <s v="Travessa Olavo Bilac, 1226"/>
    <n v="-29.992645639999999"/>
    <n v="-50.13648354"/>
    <s v="C5"/>
    <x v="0"/>
    <s v="P6"/>
    <s v="Vapor de sódio"/>
    <n v="100"/>
    <n v="17"/>
    <n v="0"/>
    <n v="300"/>
    <n v="2"/>
    <n v="2"/>
    <n v="8"/>
    <m/>
    <m/>
    <n v="0"/>
    <n v="2"/>
    <n v="0"/>
    <n v="0"/>
    <n v="0"/>
    <n v="0"/>
    <n v="0"/>
    <s v="Unilateral"/>
    <s v="Braço"/>
    <n v="42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0.33333333333333326"/>
    <s v="-"/>
    <n v="7.98"/>
    <n v="0.24"/>
    <m/>
    <m/>
    <m/>
    <m/>
    <s v="ATENDE"/>
    <s v="ATENDE"/>
    <s v="ATENDE"/>
    <s v="ATENDE"/>
    <s v="C5"/>
    <s v="P6"/>
    <n v="1.4433333333333334"/>
    <n v="7.33"/>
    <n v="1.03"/>
    <n v="3"/>
    <n v="0.6"/>
    <s v="ATENDE"/>
    <s v="ATENDE"/>
    <s v="ATENDE"/>
    <s v="P6"/>
    <n v="0.11333333333333329"/>
    <n v="3.34"/>
    <n v="1.1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6"/>
    <s v="PVP"/>
    <s v="Travessa Olavo Bilac, 1226"/>
    <n v="-29.992645639999999"/>
    <n v="-50.13648354"/>
    <s v="C5"/>
    <x v="0"/>
    <s v="P6"/>
    <s v="Vapor de sódio"/>
    <n v="100"/>
    <n v="17"/>
    <n v="0"/>
    <n v="300"/>
    <n v="2"/>
    <n v="2"/>
    <n v="8"/>
    <m/>
    <m/>
    <n v="0"/>
    <n v="2"/>
    <n v="0"/>
    <n v="0"/>
    <n v="0"/>
    <n v="0"/>
    <n v="0"/>
    <s v="Unilateral"/>
    <s v="Braço"/>
    <n v="42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400000000000016"/>
    <n v="0"/>
    <s v="-"/>
    <n v="8.8800000000000008"/>
    <n v="0.18"/>
    <m/>
    <m/>
    <m/>
    <m/>
    <s v="ATENDE"/>
    <s v="ATENDE"/>
    <s v="ATENDE"/>
    <s v="ATENDE"/>
    <s v="C5"/>
    <s v="P6"/>
    <n v="0.94666666666666655"/>
    <n v="5.84"/>
    <n v="1.1000000000000001"/>
    <n v="3"/>
    <n v="0.6"/>
    <s v="ATENDE"/>
    <s v="ATENDE"/>
    <s v="ATENDE"/>
    <s v="P6"/>
    <n v="0.47666666666666657"/>
    <n v="4.43"/>
    <n v="1.17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s v="Médio II"/>
    <n v="2.4"/>
    <n v="7.5"/>
    <m/>
    <m/>
    <m/>
    <m/>
    <m/>
    <m/>
    <n v="40"/>
    <n v="150"/>
    <n v="190"/>
    <n v="0.73333333333333339"/>
    <m/>
    <m/>
    <s v="Sim"/>
    <m/>
  </r>
  <r>
    <n v="267"/>
    <s v="PVP"/>
    <s v="Rua Jose de Freitas, 1454"/>
    <n v="-29.994063749999999"/>
    <n v="-50.137622620000002"/>
    <s v="C5"/>
    <x v="0"/>
    <s v="P6"/>
    <s v="Vapor de sódio"/>
    <n v="100"/>
    <n v="17"/>
    <n v="0"/>
    <n v="300"/>
    <n v="2"/>
    <n v="2.5"/>
    <n v="7"/>
    <m/>
    <m/>
    <n v="0"/>
    <n v="2.5"/>
    <n v="0"/>
    <n v="0"/>
    <n v="0"/>
    <n v="0"/>
    <n v="0"/>
    <s v="Unilateral"/>
    <s v="Braço"/>
    <n v="34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333333333333335"/>
    <n v="1.1111111111111112"/>
    <s v="-"/>
    <n v="10.75"/>
    <n v="0.38"/>
    <m/>
    <m/>
    <m/>
    <m/>
    <s v="ATENDE"/>
    <s v="ATENDE"/>
    <s v="ATENDE"/>
    <s v="ATENDE"/>
    <s v="C5"/>
    <s v="P4"/>
    <n v="0.19999999999999996"/>
    <n v="9"/>
    <n v="3.15"/>
    <n v="7.5"/>
    <n v="1.5"/>
    <s v="ATENDE"/>
    <s v="ATENDE"/>
    <s v="ATENDE"/>
    <s v="-"/>
    <e v="#VALUE!"/>
    <n v="6.34"/>
    <n v="3.04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7"/>
    <s v="PVP"/>
    <s v="Rua Jose de Freitas, 1454"/>
    <n v="-29.994063749999999"/>
    <n v="-50.137622620000002"/>
    <s v="C5"/>
    <x v="0"/>
    <s v="P6"/>
    <s v="Vapor de sódio"/>
    <n v="100"/>
    <n v="17"/>
    <n v="0"/>
    <n v="300"/>
    <n v="2"/>
    <n v="2.5"/>
    <n v="7"/>
    <m/>
    <m/>
    <n v="0"/>
    <n v="2.5"/>
    <n v="0"/>
    <n v="0"/>
    <n v="0"/>
    <n v="0"/>
    <n v="0"/>
    <s v="Unilateral"/>
    <s v="Braço"/>
    <n v="34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266666666666674"/>
    <n v="1.2222222222222223"/>
    <s v="-"/>
    <n v="8.7200000000000006"/>
    <n v="0.4"/>
    <m/>
    <m/>
    <m/>
    <m/>
    <s v="ATENDE"/>
    <s v="ATENDE"/>
    <s v="ATENDE"/>
    <s v="ATENDE"/>
    <s v="C5"/>
    <s v="P6"/>
    <n v="1.2600000000000002"/>
    <n v="6.78"/>
    <n v="1.54"/>
    <n v="3"/>
    <n v="0.6"/>
    <s v="ATENDE"/>
    <s v="ATENDE"/>
    <s v="ATENDE"/>
    <s v="P6"/>
    <n v="0.39666666666666672"/>
    <n v="4.1900000000000004"/>
    <n v="2.0099999999999998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7"/>
    <s v="PVP"/>
    <s v="Rua Jose de Freitas, 1454"/>
    <n v="-29.994063749999999"/>
    <n v="-50.137622620000002"/>
    <s v="C5"/>
    <x v="0"/>
    <s v="P6"/>
    <s v="Vapor de sódio"/>
    <n v="100"/>
    <n v="17"/>
    <n v="0"/>
    <n v="300"/>
    <n v="2"/>
    <n v="2.5"/>
    <n v="7"/>
    <m/>
    <m/>
    <n v="0"/>
    <n v="2.5"/>
    <n v="0"/>
    <n v="0"/>
    <n v="0"/>
    <n v="0"/>
    <n v="0"/>
    <s v="Unilateral"/>
    <s v="Braço"/>
    <n v="34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533333333333331"/>
    <n v="1.7222222222222223"/>
    <s v="-"/>
    <n v="8.59"/>
    <n v="0.49"/>
    <m/>
    <m/>
    <m/>
    <m/>
    <s v="ATENDE"/>
    <s v="ATENDE"/>
    <s v="ATENDE"/>
    <s v="ATENDE"/>
    <s v="C5"/>
    <s v="P6"/>
    <n v="1.2666666666666666"/>
    <n v="6.8"/>
    <n v="2.83"/>
    <n v="3"/>
    <n v="0.6"/>
    <s v="ATENDE"/>
    <s v="ATENDE"/>
    <s v="ATENDE"/>
    <s v="P6"/>
    <n v="0.30666666666666664"/>
    <n v="3.92"/>
    <n v="2.5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8"/>
    <s v="PVP"/>
    <s v="Rua Josephino Nunes dos Santos, 577"/>
    <n v="-29.992469570000001"/>
    <n v="-50.147011159999998"/>
    <s v="C4"/>
    <x v="0"/>
    <s v="P6"/>
    <s v="Vapor de sódio"/>
    <n v="100"/>
    <n v="17"/>
    <n v="0"/>
    <n v="300"/>
    <n v="2"/>
    <n v="2.5"/>
    <n v="8"/>
    <m/>
    <m/>
    <n v="0"/>
    <n v="2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99999999999991"/>
    <n v="1.3333333333333335"/>
    <s v="-"/>
    <n v="11.5"/>
    <n v="0.42"/>
    <m/>
    <m/>
    <m/>
    <m/>
    <s v="ATENDE"/>
    <s v="ATENDE"/>
    <s v="ATENDE"/>
    <s v="ATENDE"/>
    <s v="C4"/>
    <s v="P6"/>
    <n v="2.27"/>
    <n v="9.81"/>
    <n v="4.0199999999999996"/>
    <n v="3"/>
    <n v="0.6"/>
    <s v="ATENDE"/>
    <s v="ATENDE"/>
    <s v="ATENDE"/>
    <s v="P6"/>
    <n v="1.0433333333333334"/>
    <n v="6.13"/>
    <n v="3.49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8"/>
    <s v="PVP"/>
    <s v="Rua Josephino Nunes dos Santos, 577"/>
    <n v="-29.992469570000001"/>
    <n v="-50.147011159999998"/>
    <s v="C4"/>
    <x v="0"/>
    <s v="P6"/>
    <s v="Vapor de sódio"/>
    <n v="100"/>
    <n v="17"/>
    <n v="0"/>
    <n v="300"/>
    <n v="2"/>
    <n v="2.5"/>
    <n v="8"/>
    <m/>
    <m/>
    <n v="0"/>
    <n v="2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99999999999997E-2"/>
    <n v="2.2222222222222223"/>
    <s v="-"/>
    <n v="10.91"/>
    <n v="0.57999999999999996"/>
    <m/>
    <m/>
    <m/>
    <m/>
    <s v="ATENDE"/>
    <s v="ATENDE"/>
    <s v="ATENDE"/>
    <s v="ATENDE"/>
    <s v="C4"/>
    <s v="P6"/>
    <n v="2.09"/>
    <n v="9.27"/>
    <n v="4.3099999999999996"/>
    <n v="3"/>
    <n v="0.6"/>
    <s v="ATENDE"/>
    <s v="ATENDE"/>
    <s v="ATENDE"/>
    <s v="P6"/>
    <n v="0.57333333333333325"/>
    <n v="4.72"/>
    <n v="2.8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8"/>
    <s v="PVP"/>
    <s v="Rua Josephino Nunes dos Santos, 577"/>
    <n v="-29.992469570000001"/>
    <n v="-50.147011159999998"/>
    <s v="C4"/>
    <x v="0"/>
    <s v="P6"/>
    <s v="Vapor de sódio"/>
    <n v="100"/>
    <n v="17"/>
    <n v="0"/>
    <n v="300"/>
    <n v="2"/>
    <n v="2.5"/>
    <n v="8"/>
    <m/>
    <m/>
    <n v="0"/>
    <n v="2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599999999999996"/>
    <n v="1.5"/>
    <s v="-"/>
    <n v="12.06"/>
    <n v="0.45"/>
    <m/>
    <m/>
    <m/>
    <m/>
    <s v="ATENDE"/>
    <s v="ATENDE"/>
    <s v="ATENDE"/>
    <s v="ATENDE"/>
    <s v="C4"/>
    <s v="P6"/>
    <n v="2.2599999999999998"/>
    <n v="9.7799999999999994"/>
    <n v="4.66"/>
    <n v="3"/>
    <n v="0.6"/>
    <s v="ATENDE"/>
    <s v="ATENDE"/>
    <s v="ATENDE"/>
    <s v="P6"/>
    <n v="0.28666666666666663"/>
    <n v="3.86"/>
    <n v="2.1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9"/>
    <s v="PVP"/>
    <s v="Rua Heitor L. da Silva, 173"/>
    <n v="-29.995765850000002"/>
    <n v="-50.142065459999998"/>
    <s v="C5"/>
    <x v="0"/>
    <s v="P6"/>
    <s v="Vapor de sódio"/>
    <n v="100"/>
    <n v="17"/>
    <n v="0"/>
    <n v="300"/>
    <n v="2"/>
    <n v="4"/>
    <n v="8"/>
    <m/>
    <m/>
    <n v="0"/>
    <n v="3"/>
    <n v="0"/>
    <n v="0"/>
    <n v="0"/>
    <n v="0"/>
    <n v="0"/>
    <s v="Unilateral"/>
    <s v="Braço"/>
    <n v="29.9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3333333333334156E-3"/>
    <n v="1.5555555555555558"/>
    <s v="-"/>
    <n v="7.57"/>
    <n v="0.46"/>
    <m/>
    <m/>
    <m/>
    <m/>
    <s v="ATENDE"/>
    <s v="ATENDE"/>
    <s v="ATENDE"/>
    <s v="ATENDE"/>
    <s v="C5"/>
    <s v="P6"/>
    <n v="0.84999999999999987"/>
    <n v="5.55"/>
    <n v="2.56"/>
    <n v="3"/>
    <n v="0.6"/>
    <s v="ATENDE"/>
    <s v="ATENDE"/>
    <s v="ATENDE"/>
    <s v="P6"/>
    <n v="0.26333333333333342"/>
    <n v="3.79"/>
    <n v="2.13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9"/>
    <s v="PVP"/>
    <s v="Rua Heitor L. da Silva, 173"/>
    <n v="-29.995765850000002"/>
    <n v="-50.142065459999998"/>
    <s v="C5"/>
    <x v="0"/>
    <s v="P6"/>
    <s v="Vapor de sódio"/>
    <n v="100"/>
    <n v="17"/>
    <n v="0"/>
    <n v="300"/>
    <n v="2"/>
    <n v="4"/>
    <n v="8"/>
    <m/>
    <m/>
    <n v="0"/>
    <n v="3"/>
    <n v="0"/>
    <n v="0"/>
    <n v="0"/>
    <n v="0"/>
    <n v="0"/>
    <s v="Unilateral"/>
    <s v="Braço"/>
    <n v="29.9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5066666666666682"/>
    <n v="2.5555555555555558"/>
    <s v="-"/>
    <n v="9.3800000000000008"/>
    <n v="0.64"/>
    <m/>
    <m/>
    <m/>
    <m/>
    <s v="ATENDE"/>
    <s v="ATENDE"/>
    <s v="ATENDE"/>
    <s v="ATENDE"/>
    <s v="C5"/>
    <s v="P6"/>
    <n v="1.0633333333333335"/>
    <n v="6.19"/>
    <n v="2.2799999999999998"/>
    <n v="3"/>
    <n v="0.6"/>
    <s v="ATENDE"/>
    <s v="ATENDE"/>
    <s v="ATENDE"/>
    <s v="P6"/>
    <n v="0.13666666666666671"/>
    <n v="3.41"/>
    <n v="1.6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9"/>
    <s v="PVP"/>
    <s v="Rua Heitor L. da Silva, 173"/>
    <n v="-29.995765850000002"/>
    <n v="-50.142065459999998"/>
    <s v="C5"/>
    <x v="0"/>
    <s v="P6"/>
    <s v="Vapor de sódio"/>
    <n v="100"/>
    <n v="17"/>
    <n v="0"/>
    <n v="300"/>
    <n v="2"/>
    <n v="4"/>
    <n v="8"/>
    <m/>
    <m/>
    <n v="0"/>
    <n v="3"/>
    <n v="0"/>
    <n v="0"/>
    <n v="0"/>
    <n v="0"/>
    <n v="0"/>
    <s v="Unilateral"/>
    <s v="Braço"/>
    <n v="29.9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533333333333316"/>
    <n v="2.2777777777777777"/>
    <s v="-"/>
    <n v="9.19"/>
    <n v="0.59"/>
    <m/>
    <m/>
    <m/>
    <m/>
    <s v="ATENDE"/>
    <s v="ATENDE"/>
    <s v="ATENDE"/>
    <s v="ATENDE"/>
    <s v="C5"/>
    <s v="P6"/>
    <n v="1.1366666666666667"/>
    <n v="6.41"/>
    <n v="3.44"/>
    <n v="3"/>
    <n v="0.6"/>
    <s v="ATENDE"/>
    <s v="ATENDE"/>
    <s v="ATENDE"/>
    <s v="P6"/>
    <n v="0.13666666666666671"/>
    <n v="3.41"/>
    <n v="2.1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70"/>
    <s v="PVP"/>
    <s v="Rua Santos Dumont, 2075"/>
    <n v="-29.995983339999999"/>
    <n v="-50.140301950000001"/>
    <s v="C5"/>
    <x v="0"/>
    <s v="P6"/>
    <s v="Vapor de sódio"/>
    <n v="100"/>
    <n v="17"/>
    <n v="0"/>
    <n v="300"/>
    <n v="2"/>
    <n v="4"/>
    <n v="12"/>
    <m/>
    <m/>
    <n v="0"/>
    <n v="4"/>
    <n v="0"/>
    <n v="0"/>
    <n v="0"/>
    <n v="0"/>
    <n v="0"/>
    <s v="Unilateral"/>
    <s v="Braço"/>
    <n v="2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2.1666666666666665"/>
    <s v="-"/>
    <n v="8.32"/>
    <n v="0.56999999999999995"/>
    <m/>
    <m/>
    <m/>
    <m/>
    <s v="ATENDE"/>
    <s v="ATENDE"/>
    <s v="ATENDE"/>
    <s v="ATENDE"/>
    <s v="C5"/>
    <s v="P6"/>
    <n v="0.43666666666666654"/>
    <n v="4.3099999999999996"/>
    <n v="2.52"/>
    <n v="3"/>
    <n v="0.6"/>
    <s v="ATENDE"/>
    <s v="ATENDE"/>
    <s v="ATENDE"/>
    <s v="P6"/>
    <n v="8.0000000000000071E-2"/>
    <n v="3.24"/>
    <n v="1.97"/>
    <n v="3"/>
    <n v="0.6"/>
    <s v="ATENDE"/>
    <s v="ATENDE"/>
    <s v="ATENDE"/>
    <x v="0"/>
    <s v=" SL VT 9.1 35W"/>
    <s v="LUM LED SL VT 9.1 35W"/>
    <m/>
    <n v="0"/>
    <n v="1"/>
    <n v="35"/>
    <e v="#N/A"/>
    <n v="5955.62"/>
    <n v="0"/>
    <n v="0"/>
    <m/>
    <s v="Curto II"/>
    <s v="Longo II"/>
    <n v="3.5"/>
    <n v="8.5"/>
    <m/>
    <m/>
    <m/>
    <m/>
    <m/>
    <m/>
    <n v="46.5"/>
    <n v="150"/>
    <n v="196.5"/>
    <n v="0.69"/>
    <m/>
    <m/>
    <s v="Sim"/>
    <m/>
  </r>
  <r>
    <n v="270"/>
    <s v="PVP"/>
    <s v="Rua Santos Dumont, 2075"/>
    <n v="-29.995983339999999"/>
    <n v="-50.140301950000001"/>
    <s v="C5"/>
    <x v="0"/>
    <s v="P6"/>
    <s v="Vapor de sódio"/>
    <n v="100"/>
    <n v="17"/>
    <n v="0"/>
    <n v="300"/>
    <n v="2"/>
    <n v="4"/>
    <n v="12"/>
    <m/>
    <m/>
    <n v="0"/>
    <n v="4"/>
    <n v="0"/>
    <n v="0"/>
    <n v="0"/>
    <n v="0"/>
    <n v="0"/>
    <s v="Unilateral"/>
    <s v="Braço"/>
    <n v="2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2.8888888888888888"/>
    <s v="-"/>
    <n v="7.79"/>
    <n v="0.7"/>
    <m/>
    <m/>
    <m/>
    <m/>
    <s v="ATENDE"/>
    <s v="ATENDE"/>
    <s v="ATENDE"/>
    <s v="ATENDE"/>
    <s v="C5"/>
    <s v="P6"/>
    <n v="6.6666666666665986E-3"/>
    <n v="3.02"/>
    <n v="1.3"/>
    <n v="3"/>
    <n v="0.6"/>
    <s v="ATENDE"/>
    <s v="ATENDE"/>
    <s v="ATENDE"/>
    <s v="P6"/>
    <n v="0"/>
    <n v="3"/>
    <n v="1.5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3.5"/>
    <s v="Curto II"/>
    <s v="Longo II"/>
    <n v="3.5"/>
    <n v="8.5"/>
    <m/>
    <m/>
    <m/>
    <m/>
    <m/>
    <m/>
    <n v="46.5"/>
    <n v="150"/>
    <n v="196.5"/>
    <n v="0.69"/>
    <m/>
    <m/>
    <s v="Sim"/>
    <m/>
  </r>
  <r>
    <n v="270"/>
    <s v="PVP"/>
    <s v="Rua Santos Dumont, 2075"/>
    <n v="-29.995983339999999"/>
    <n v="-50.140301950000001"/>
    <s v="C5"/>
    <x v="0"/>
    <s v="P6"/>
    <s v="Vapor de sódio"/>
    <n v="100"/>
    <n v="17"/>
    <n v="0"/>
    <n v="300"/>
    <n v="2"/>
    <n v="4"/>
    <n v="12"/>
    <m/>
    <m/>
    <n v="0"/>
    <n v="4"/>
    <n v="0"/>
    <n v="0"/>
    <n v="0"/>
    <n v="0"/>
    <n v="0"/>
    <s v="Unilateral"/>
    <s v="Braço"/>
    <n v="2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4666666666666606E-2"/>
    <n v="2.7222222222222228"/>
    <s v="-"/>
    <n v="7.61"/>
    <n v="0.67"/>
    <m/>
    <m/>
    <m/>
    <m/>
    <s v="ATENDE"/>
    <s v="ATENDE"/>
    <s v="ATENDE"/>
    <s v="ATENDE"/>
    <s v="C5"/>
    <s v="P6"/>
    <n v="0.16333333333333333"/>
    <n v="3.49"/>
    <n v="2.12"/>
    <n v="3"/>
    <n v="0.6"/>
    <s v="ATENDE"/>
    <s v="ATENDE"/>
    <s v="ATENDE"/>
    <s v="P6"/>
    <n v="2.3333333333333206E-2"/>
    <n v="3.07"/>
    <n v="1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n v="5"/>
    <s v="Curto II"/>
    <s v="Longo II"/>
    <n v="3.5"/>
    <n v="8.5"/>
    <m/>
    <m/>
    <m/>
    <m/>
    <m/>
    <m/>
    <n v="46.5"/>
    <n v="150"/>
    <n v="196.5"/>
    <n v="0.69"/>
    <m/>
    <m/>
    <s v="Sim"/>
    <m/>
  </r>
  <r>
    <n v="271"/>
    <s v="PVP"/>
    <s v="Rua Jose de Freitas, 256"/>
    <n v="-29.997481000000001"/>
    <n v="-50.141148039999997"/>
    <s v="C4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"/>
    <n v="6.6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2.0000000000000004"/>
    <s v="-"/>
    <n v="10.48"/>
    <n v="0.54"/>
    <m/>
    <m/>
    <m/>
    <m/>
    <s v="ATENDE"/>
    <s v="ATENDE"/>
    <s v="ATENDE"/>
    <s v="ATENDE"/>
    <s v="C4"/>
    <s v="P6"/>
    <n v="1.9666666666666668"/>
    <n v="8.9"/>
    <n v="4.93"/>
    <n v="3"/>
    <n v="0.6"/>
    <s v="ATENDE"/>
    <s v="ATENDE"/>
    <s v="ATENDE"/>
    <s v="-"/>
    <e v="#VALUE!"/>
    <n v="6.16"/>
    <n v="3.92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271"/>
    <s v="PVP"/>
    <s v="Rua Jose de Freitas, 256"/>
    <n v="-29.997481000000001"/>
    <n v="-50.141148039999997"/>
    <s v="C4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"/>
    <n v="6.6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099999999999993"/>
    <n v="2.9444444444444442"/>
    <s v="-"/>
    <n v="13.01"/>
    <n v="0.71"/>
    <m/>
    <m/>
    <m/>
    <m/>
    <s v="ATENDE"/>
    <s v="ATENDE"/>
    <s v="ATENDE"/>
    <s v="ATENDE"/>
    <s v="C4"/>
    <s v="P6"/>
    <n v="2.4433333333333334"/>
    <n v="10.33"/>
    <n v="7.05"/>
    <n v="3"/>
    <n v="0.6"/>
    <s v="ATENDE"/>
    <s v="ATENDE"/>
    <s v="ATENDE"/>
    <s v="-"/>
    <e v="#VALUE!"/>
    <n v="6.32"/>
    <n v="3.99"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71"/>
    <s v="PVP"/>
    <s v="Rua Jose de Freitas, 256"/>
    <n v="-29.997481000000001"/>
    <n v="-50.141148039999997"/>
    <s v="C4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"/>
    <n v="6.6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100000000000014"/>
    <n v="2.6111111111111112"/>
    <s v="-"/>
    <n v="12.81"/>
    <n v="0.65"/>
    <m/>
    <m/>
    <m/>
    <m/>
    <s v="ATENDE"/>
    <s v="ATENDE"/>
    <s v="ATENDE"/>
    <s v="ATENDE"/>
    <s v="C4"/>
    <s v="P6"/>
    <n v="2.4566666666666666"/>
    <n v="10.37"/>
    <n v="7.04"/>
    <n v="3"/>
    <n v="0.6"/>
    <s v="ATENDE"/>
    <s v="ATENDE"/>
    <s v="ATENDE"/>
    <s v="-"/>
    <e v="#VALUE!"/>
    <n v="5.9"/>
    <n v="4.01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72"/>
    <s v="PVP"/>
    <s v="Rua Guarda Marinho Grenwals, 2734"/>
    <n v="-29.998551089999999"/>
    <n v="-50.137877500000002"/>
    <s v="C4"/>
    <x v="0"/>
    <s v="P6"/>
    <s v="Vapor de sódio"/>
    <n v="150"/>
    <n v="22"/>
    <n v="0"/>
    <n v="300"/>
    <n v="2"/>
    <n v="2"/>
    <n v="7"/>
    <m/>
    <m/>
    <n v="0"/>
    <n v="2"/>
    <n v="0"/>
    <n v="0"/>
    <n v="0"/>
    <n v="0"/>
    <n v="0"/>
    <s v="Unilateral"/>
    <s v="Braço"/>
    <n v="44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3199999999999998"/>
    <n v="0.44444444444444464"/>
    <s v="-"/>
    <n v="12.32"/>
    <n v="0.26"/>
    <m/>
    <m/>
    <m/>
    <m/>
    <s v="ATENDE"/>
    <s v="ATENDE"/>
    <s v="ATENDE"/>
    <s v="ATENDE"/>
    <s v="C4"/>
    <s v="P6"/>
    <n v="2.2966666666666669"/>
    <n v="9.89"/>
    <n v="3.22"/>
    <n v="3"/>
    <n v="0.6"/>
    <s v="ATENDE"/>
    <s v="ATENDE"/>
    <s v="ATENDE"/>
    <s v="P6"/>
    <n v="1.7266666666666666"/>
    <n v="8.18"/>
    <n v="2.2200000000000002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65"/>
    <n v="150"/>
    <n v="215"/>
    <n v="0.56666666666666665"/>
    <m/>
    <m/>
    <s v="Sim"/>
    <m/>
  </r>
  <r>
    <n v="272"/>
    <s v="PVP"/>
    <s v="Rua Guarda Marinho Grenwals, 2734"/>
    <n v="-29.998551089999999"/>
    <n v="-50.137877500000002"/>
    <s v="C4"/>
    <x v="0"/>
    <s v="P6"/>
    <s v="Vapor de sódio"/>
    <n v="150"/>
    <n v="22"/>
    <n v="0"/>
    <n v="300"/>
    <n v="2"/>
    <n v="2"/>
    <n v="7"/>
    <m/>
    <m/>
    <n v="0"/>
    <n v="2"/>
    <n v="0"/>
    <n v="0"/>
    <n v="0"/>
    <n v="0"/>
    <n v="0"/>
    <s v="Unilateral"/>
    <s v="Braço"/>
    <n v="44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199999999999987"/>
    <n v="0.16666666666666674"/>
    <s v="-"/>
    <n v="11.02"/>
    <n v="0.21"/>
    <m/>
    <m/>
    <m/>
    <m/>
    <s v="ATENDE"/>
    <s v="ATENDE"/>
    <s v="ATENDE"/>
    <s v="ATENDE"/>
    <s v="C4"/>
    <s v="P6"/>
    <n v="2.0033333333333334"/>
    <n v="9.01"/>
    <n v="1.08"/>
    <n v="3"/>
    <n v="0.6"/>
    <s v="ATENDE"/>
    <s v="ATENDE"/>
    <s v="ATENDE"/>
    <s v="P6"/>
    <n v="1.5133333333333332"/>
    <n v="7.54"/>
    <n v="3.2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72"/>
    <s v="PVP"/>
    <s v="Rua Guarda Marinho Grenwals, 2734"/>
    <n v="-29.998551089999999"/>
    <n v="-50.137877500000002"/>
    <s v="C4"/>
    <x v="0"/>
    <s v="P6"/>
    <s v="Vapor de sódio"/>
    <n v="150"/>
    <n v="22"/>
    <n v="0"/>
    <n v="300"/>
    <n v="2"/>
    <n v="2"/>
    <n v="7"/>
    <m/>
    <m/>
    <n v="0"/>
    <n v="2"/>
    <n v="0"/>
    <n v="0"/>
    <n v="0"/>
    <n v="0"/>
    <n v="0"/>
    <s v="Unilateral"/>
    <s v="Braço"/>
    <n v="44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"/>
    <n v="0.16666666666666674"/>
    <s v="-"/>
    <n v="10"/>
    <n v="0.21"/>
    <m/>
    <m/>
    <m/>
    <m/>
    <s v="ATENDE"/>
    <s v="ATENDE"/>
    <s v="ATENDE"/>
    <s v="ATENDE"/>
    <s v="C4"/>
    <s v="P6"/>
    <n v="0.96333333333333315"/>
    <n v="5.89"/>
    <n v="1.5"/>
    <n v="3"/>
    <n v="0.6"/>
    <s v="ATENDE"/>
    <s v="ATENDE"/>
    <s v="ATENDE"/>
    <s v="P6"/>
    <n v="1.3933333333333331"/>
    <n v="7.18"/>
    <n v="1.87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s v="Longo I"/>
    <n v="2.8"/>
    <n v="8"/>
    <m/>
    <m/>
    <m/>
    <m/>
    <m/>
    <m/>
    <n v="50"/>
    <n v="150"/>
    <n v="200"/>
    <n v="0.66666666666666674"/>
    <m/>
    <m/>
    <s v="Sim"/>
    <m/>
  </r>
  <r>
    <n v="273"/>
    <s v="PVP"/>
    <s v="Rua Vinte e Um de Abril, 1679"/>
    <n v="-29.99844118"/>
    <n v="-50.1361621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6.9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2000000000000028E-2"/>
    <n v="0.72222222222222232"/>
    <s v="-"/>
    <n v="10.32"/>
    <n v="0.31"/>
    <m/>
    <m/>
    <m/>
    <m/>
    <s v="ATENDE"/>
    <s v="ATENDE"/>
    <s v="ATENDE"/>
    <s v="ATENDE"/>
    <s v="C4"/>
    <s v="P6"/>
    <n v="1.8000000000000003"/>
    <n v="8.4"/>
    <n v="2.4"/>
    <n v="3"/>
    <n v="0.6"/>
    <s v="ATENDE"/>
    <s v="ATENDE"/>
    <s v="ATENDE"/>
    <s v="P6"/>
    <n v="0.98666666666666658"/>
    <n v="5.96"/>
    <n v="2.46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73"/>
    <s v="PVP"/>
    <s v="Rua Vinte e Um de Abril, 1679"/>
    <n v="-29.99844118"/>
    <n v="-50.1361621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6.9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3500000000000005"/>
    <n v="0.72222222222222232"/>
    <s v="-"/>
    <n v="14.35"/>
    <n v="0.31"/>
    <m/>
    <m/>
    <m/>
    <m/>
    <s v="ATENDE"/>
    <s v="ATENDE"/>
    <s v="ATENDE"/>
    <s v="ATENDE"/>
    <s v="C4"/>
    <s v="P6"/>
    <n v="2.6533333333333338"/>
    <n v="10.96"/>
    <n v="1.88"/>
    <n v="3"/>
    <n v="0.6"/>
    <s v="ATENDE"/>
    <s v="ATENDE"/>
    <s v="ATENDE"/>
    <s v="P6"/>
    <n v="1.6233333333333335"/>
    <n v="7.87"/>
    <n v="4.4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73"/>
    <s v="PVP"/>
    <s v="Rua Vinte e Um de Abril, 1679"/>
    <n v="-29.99844118"/>
    <n v="-50.1361621"/>
    <s v="C4"/>
    <x v="0"/>
    <s v="P6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6.9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299999999999998"/>
    <n v="0.2777777777777779"/>
    <s v="-"/>
    <n v="11.03"/>
    <n v="0.23"/>
    <m/>
    <m/>
    <m/>
    <m/>
    <s v="ATENDE"/>
    <s v="ATENDE"/>
    <s v="ATENDE"/>
    <s v="ATENDE"/>
    <s v="C4"/>
    <s v="P6"/>
    <n v="1.7866666666666666"/>
    <n v="8.36"/>
    <n v="1.81"/>
    <n v="3"/>
    <n v="0.6"/>
    <s v="ATENDE"/>
    <s v="ATENDE"/>
    <s v="ATENDE"/>
    <s v="P6"/>
    <n v="0.37666666666666671"/>
    <n v="4.13"/>
    <n v="1.3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74"/>
    <s v="PVP"/>
    <s v="Rua Sete de Setembro, 1526"/>
    <n v="-29.99663937"/>
    <n v="-50.13580687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3"/>
    <n v="1.5555555555555558"/>
    <s v="-"/>
    <n v="10.06"/>
    <n v="0.46"/>
    <m/>
    <m/>
    <m/>
    <m/>
    <s v="ATENDE"/>
    <s v="ATENDE"/>
    <s v="ATENDE"/>
    <s v="ATENDE"/>
    <s v="C4"/>
    <s v="P6"/>
    <n v="1.67"/>
    <n v="8.01"/>
    <n v="3.26"/>
    <n v="3"/>
    <n v="0.6"/>
    <s v="ATENDE"/>
    <s v="ATENDE"/>
    <s v="ATENDE"/>
    <s v="P6"/>
    <n v="0.93666666666666654"/>
    <n v="5.81"/>
    <n v="3"/>
    <n v="3"/>
    <n v="0.6"/>
    <s v="ATENDE"/>
    <s v="ATENDE"/>
    <s v="ATENDE"/>
    <x v="0"/>
    <s v=" SL VT 9.1 35W"/>
    <s v="LUM LED SL VT 9.1 35W"/>
    <m/>
    <n v="0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74"/>
    <s v="PVP"/>
    <s v="Rua Sete de Setembro, 1526"/>
    <n v="-29.99663937"/>
    <n v="-50.13580687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900000000000001"/>
    <n v="2.3333333333333335"/>
    <s v="-"/>
    <n v="11.39"/>
    <n v="0.6"/>
    <m/>
    <m/>
    <m/>
    <m/>
    <s v="ATENDE"/>
    <s v="ATENDE"/>
    <s v="ATENDE"/>
    <s v="ATENDE"/>
    <s v="C4"/>
    <s v="P6"/>
    <n v="2.09"/>
    <n v="9.27"/>
    <n v="4.3099999999999996"/>
    <n v="3"/>
    <n v="0.6"/>
    <s v="ATENDE"/>
    <s v="ATENDE"/>
    <s v="ATENDE"/>
    <s v="P6"/>
    <n v="1.02"/>
    <n v="6.06"/>
    <n v="3.94"/>
    <n v="3"/>
    <n v="0.6"/>
    <s v="ATENDE"/>
    <s v="ATENDE"/>
    <s v="ATENDE"/>
    <x v="1"/>
    <s v="SX-INEVO040HF"/>
    <s v="SXINEVO040K40L12CZF7PHF"/>
    <m/>
    <n v="0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74"/>
    <s v="PVP"/>
    <s v="Rua Sete de Setembro, 1526"/>
    <n v="-29.99663937"/>
    <n v="-50.13580687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400000000000003"/>
    <n v="1.8333333333333335"/>
    <s v="-"/>
    <n v="12.84"/>
    <n v="0.51"/>
    <m/>
    <m/>
    <m/>
    <m/>
    <s v="ATENDE"/>
    <s v="ATENDE"/>
    <s v="ATENDE"/>
    <s v="ATENDE"/>
    <s v="C4"/>
    <s v="P6"/>
    <n v="2.2599999999999998"/>
    <n v="9.7799999999999994"/>
    <n v="4.66"/>
    <n v="3"/>
    <n v="0.6"/>
    <s v="ATENDE"/>
    <s v="ATENDE"/>
    <s v="ATENDE"/>
    <s v="P6"/>
    <n v="0.71"/>
    <n v="5.13"/>
    <n v="2.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75"/>
    <s v="VP"/>
    <s v="Avenida Caldas Junior, 2440"/>
    <n v="-29.996957089999999"/>
    <n v="-50.136636500000002"/>
    <s v="C2"/>
    <x v="0"/>
    <s v="P6"/>
    <s v="Vapor de sódio"/>
    <n v="150"/>
    <n v="22"/>
    <n v="0"/>
    <n v="600"/>
    <n v="2"/>
    <n v="0"/>
    <n v="7"/>
    <m/>
    <m/>
    <n v="0"/>
    <n v="2.5"/>
    <n v="4.7"/>
    <n v="0"/>
    <n v="0"/>
    <n v="0"/>
    <n v="0"/>
    <s v="Canteiro central"/>
    <s v="Braço"/>
    <n v="22.3"/>
    <n v="6.2"/>
    <n v="2"/>
    <n v="2.35"/>
    <n v="2.5"/>
    <n v="0.14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9.5000000000000639E-3"/>
    <n v="0.67857142857142838"/>
    <s v="-"/>
    <n v="20.190000000000001"/>
    <n v="0.47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6466666666666669"/>
    <n v="7.94"/>
    <n v="5.12"/>
    <n v="3"/>
    <n v="0.6"/>
    <s v="ATENDE"/>
    <s v="ATENDE"/>
    <s v="ATENDE"/>
    <x v="0"/>
    <s v=" SL VT 9.1 17W"/>
    <s v=" SL VT 9.1 44W"/>
    <m/>
    <e v="#N/A"/>
    <n v="2"/>
    <n v="17"/>
    <n v="0"/>
    <n v="2929.66"/>
    <n v="0"/>
    <n v="0"/>
    <m/>
    <s v="Médio II"/>
    <m/>
    <s v=""/>
    <s v=""/>
    <m/>
    <m/>
    <m/>
    <m/>
    <m/>
    <m/>
    <n v="17"/>
    <n v="150"/>
    <n v="334"/>
    <n v="0.88666666666666671"/>
    <m/>
    <m/>
    <s v="Sim"/>
    <m/>
  </r>
  <r>
    <n v="275"/>
    <s v="VP"/>
    <s v="Avenida Caldas Junior, 2440"/>
    <n v="-29.996957089999999"/>
    <n v="-50.136636500000002"/>
    <s v="C2"/>
    <x v="0"/>
    <s v="P6"/>
    <s v="Vapor de sódio"/>
    <n v="150"/>
    <n v="22"/>
    <n v="0"/>
    <n v="600"/>
    <n v="2"/>
    <n v="0"/>
    <n v="7"/>
    <m/>
    <m/>
    <n v="0"/>
    <n v="2.5"/>
    <n v="4.7"/>
    <n v="0"/>
    <n v="0"/>
    <n v="0"/>
    <n v="0"/>
    <s v="Canteiro central"/>
    <s v="Braço"/>
    <n v="22.3"/>
    <n v="6.2"/>
    <n v="2"/>
    <n v="2.35"/>
    <n v="2.5"/>
    <n v="0.14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32799999999999985"/>
    <n v="1.0714285714285712"/>
    <s v="-"/>
    <n v="26.56"/>
    <n v="0.57999999999999996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8833333333333333"/>
    <n v="8.65"/>
    <n v="4.21"/>
    <n v="3"/>
    <n v="0.6"/>
    <s v="ATENDE"/>
    <s v="ATENDE"/>
    <s v="ATENDE"/>
    <x v="1"/>
    <s v="SX-INEVO020HF"/>
    <s v="SX-INEVO050HF"/>
    <m/>
    <e v="#N/A"/>
    <n v="2"/>
    <n v="22.5"/>
    <e v="#N/A"/>
    <n v="3825"/>
    <e v="#N/A"/>
    <n v="0"/>
    <m/>
    <s v="Médio II"/>
    <m/>
    <s v=""/>
    <s v=""/>
    <m/>
    <m/>
    <m/>
    <m/>
    <m/>
    <m/>
    <n v="22.5"/>
    <n v="150"/>
    <n v="345"/>
    <n v="0.85"/>
    <m/>
    <m/>
    <s v="Sim"/>
    <m/>
  </r>
  <r>
    <n v="275"/>
    <s v="VP"/>
    <s v="Avenida Caldas Junior, 2440"/>
    <n v="-29.996957089999999"/>
    <n v="-50.136636500000002"/>
    <s v="C2"/>
    <x v="0"/>
    <s v="P6"/>
    <s v="Vapor de sódio"/>
    <n v="150"/>
    <n v="22"/>
    <n v="0"/>
    <n v="600"/>
    <n v="2"/>
    <n v="0"/>
    <n v="7"/>
    <m/>
    <m/>
    <n v="0"/>
    <n v="2.5"/>
    <n v="4.7"/>
    <n v="0"/>
    <n v="0"/>
    <n v="0"/>
    <n v="0"/>
    <s v="Canteiro central"/>
    <s v="Braço"/>
    <n v="22.3"/>
    <n v="6.2"/>
    <n v="2"/>
    <n v="2.35"/>
    <n v="2.5"/>
    <n v="0.14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2.4499999999999966E-2"/>
    <n v="0.60714285714285698"/>
    <s v="-"/>
    <n v="20.49"/>
    <n v="0.4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0.45333333333333337"/>
    <n v="4.3600000000000003"/>
    <n v="2.06"/>
    <n v="3"/>
    <n v="0.6"/>
    <s v="ATENDE"/>
    <s v="ATENDE"/>
    <s v="ATENDE"/>
    <x v="2"/>
    <s v="SIGSAGPTLRRSSNDL_30W_38IBBRS_x000a_"/>
    <s v="SIGSAGPTLRRSSNDL_40W_50IBBRS_x000a_"/>
    <m/>
    <e v="#N/A"/>
    <n v="2"/>
    <n v="30"/>
    <e v="#N/A"/>
    <n v="5266"/>
    <e v="#N/A"/>
    <n v="0"/>
    <m/>
    <s v="Médio II"/>
    <m/>
    <s v=""/>
    <s v=""/>
    <m/>
    <m/>
    <m/>
    <m/>
    <m/>
    <m/>
    <n v="30"/>
    <n v="150"/>
    <n v="360"/>
    <n v="0.8"/>
    <m/>
    <m/>
    <s v="Sim"/>
    <m/>
  </r>
  <r>
    <n v="276"/>
    <s v="PVP"/>
    <s v="Rua Andrade Neves, 883"/>
    <n v="-29.99864809"/>
    <n v="-50.1322306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99999999999997"/>
    <n v="7.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1.5555555555555558"/>
    <s v="-"/>
    <n v="10.51"/>
    <n v="0.46"/>
    <m/>
    <m/>
    <m/>
    <m/>
    <s v="ATENDE"/>
    <s v="ATENDE"/>
    <s v="ATENDE"/>
    <s v="ATENDE"/>
    <s v="C4"/>
    <s v="P6"/>
    <n v="1.9233333333333333"/>
    <n v="8.77"/>
    <n v="3.82"/>
    <n v="3"/>
    <n v="0.6"/>
    <s v="ATENDE"/>
    <s v="ATENDE"/>
    <s v="ATENDE"/>
    <s v="P6"/>
    <n v="1.3266666666666667"/>
    <n v="6.98"/>
    <n v="3.8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76"/>
    <s v="PVP"/>
    <s v="Rua Andrade Neves, 883"/>
    <n v="-29.99864809"/>
    <n v="-50.1322306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99999999999997"/>
    <n v="7.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"/>
    <n v="2.4444444444444446"/>
    <s v="-"/>
    <n v="10"/>
    <n v="0.62"/>
    <m/>
    <m/>
    <m/>
    <m/>
    <s v="ATENDE"/>
    <s v="ATENDE"/>
    <s v="ATENDE"/>
    <s v="ATENDE"/>
    <s v="C4"/>
    <s v="P6"/>
    <n v="1.7799999999999998"/>
    <n v="8.34"/>
    <n v="4.4000000000000004"/>
    <n v="3"/>
    <n v="0.6"/>
    <s v="ATENDE"/>
    <s v="ATENDE"/>
    <s v="ATENDE"/>
    <s v="P6"/>
    <n v="1.08"/>
    <n v="6.24"/>
    <n v="4.5999999999999996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76"/>
    <s v="PVP"/>
    <s v="Rua Andrade Neves, 883"/>
    <n v="-29.99864809"/>
    <n v="-50.13223066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99999999999997"/>
    <n v="7.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000000000000012"/>
    <n v="2.2222222222222223"/>
    <s v="-"/>
    <n v="11.4"/>
    <n v="0.57999999999999996"/>
    <m/>
    <m/>
    <m/>
    <m/>
    <s v="ATENDE"/>
    <s v="ATENDE"/>
    <s v="ATENDE"/>
    <s v="ATENDE"/>
    <s v="C4"/>
    <s v="P6"/>
    <n v="1.9433333333333334"/>
    <n v="8.83"/>
    <n v="4.76"/>
    <n v="3"/>
    <n v="0.6"/>
    <s v="ATENDE"/>
    <s v="ATENDE"/>
    <s v="ATENDE"/>
    <s v="P6"/>
    <n v="0.82666666666666688"/>
    <n v="5.48"/>
    <n v="3.55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77"/>
    <s v="PVP"/>
    <s v="Rua Tres de Outubro, 1924"/>
    <n v="-29.994925179999999"/>
    <n v="-50.128910789999999"/>
    <s v="C5"/>
    <x v="0"/>
    <s v="P6"/>
    <s v="Vapor de sódio"/>
    <n v="100"/>
    <n v="17"/>
    <n v="0"/>
    <n v="200"/>
    <n v="2"/>
    <n v="3.5"/>
    <n v="5"/>
    <m/>
    <m/>
    <n v="0"/>
    <n v="4"/>
    <n v="0"/>
    <n v="0"/>
    <n v="0"/>
    <n v="2"/>
    <n v="0"/>
    <s v="Unilateral"/>
    <s v="Braço"/>
    <n v="34.7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799999999999993"/>
    <n v="1.166666666666667"/>
    <s v="-"/>
    <n v="8.76"/>
    <n v="0.39"/>
    <m/>
    <m/>
    <m/>
    <m/>
    <s v="ATENDE"/>
    <s v="ATENDE"/>
    <s v="ATENDE"/>
    <s v="ATENDE"/>
    <s v="C5"/>
    <s v="P6"/>
    <n v="1.19"/>
    <n v="6.57"/>
    <n v="2.0299999999999998"/>
    <n v="3"/>
    <n v="0.6"/>
    <s v="ATENDE"/>
    <s v="ATENDE"/>
    <s v="ATENDE"/>
    <s v="P6"/>
    <n v="0.39666666666666672"/>
    <n v="4.1900000000000004"/>
    <n v="1.6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77"/>
    <s v="PVP"/>
    <s v="Rua Tres de Outubro, 1924"/>
    <n v="-29.994925179999999"/>
    <n v="-50.128910789999999"/>
    <s v="C5"/>
    <x v="0"/>
    <s v="P6"/>
    <s v="Vapor de sódio"/>
    <n v="100"/>
    <n v="17"/>
    <n v="0"/>
    <n v="200"/>
    <n v="2"/>
    <n v="3.5"/>
    <n v="5"/>
    <m/>
    <m/>
    <n v="0"/>
    <n v="4"/>
    <n v="0"/>
    <n v="0"/>
    <n v="0"/>
    <n v="2"/>
    <n v="0"/>
    <s v="Unilateral"/>
    <s v="Braço"/>
    <n v="34.7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333333333333335"/>
    <n v="1.4444444444444446"/>
    <s v="-"/>
    <n v="10.75"/>
    <n v="0.44"/>
    <m/>
    <m/>
    <m/>
    <m/>
    <s v="ATENDE"/>
    <s v="ATENDE"/>
    <s v="ATENDE"/>
    <s v="ATENDE"/>
    <s v="C5"/>
    <s v="P6"/>
    <n v="0.42666666666666675"/>
    <n v="4.28"/>
    <n v="1.08"/>
    <n v="3"/>
    <n v="0.6"/>
    <s v="ATENDE"/>
    <s v="ATENDE"/>
    <s v="ATENDE"/>
    <s v="P6"/>
    <n v="1.3833333333333333"/>
    <n v="7.15"/>
    <n v="4.110000000000000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77"/>
    <s v="PVP"/>
    <s v="Rua Tres de Outubro, 1924"/>
    <n v="-29.994925179999999"/>
    <n v="-50.128910789999999"/>
    <s v="C5"/>
    <x v="0"/>
    <s v="P6"/>
    <s v="Vapor de sódio"/>
    <n v="100"/>
    <n v="17"/>
    <n v="0"/>
    <n v="200"/>
    <n v="2"/>
    <n v="3.5"/>
    <n v="5"/>
    <m/>
    <m/>
    <n v="0"/>
    <n v="4"/>
    <n v="0"/>
    <n v="0"/>
    <n v="0"/>
    <n v="2"/>
    <n v="0"/>
    <s v="Unilateral"/>
    <s v="Braço"/>
    <n v="34.7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333333333333339"/>
    <n v="1.3888888888888888"/>
    <s v="-"/>
    <n v="9.25"/>
    <n v="0.43"/>
    <m/>
    <m/>
    <m/>
    <m/>
    <s v="ATENDE"/>
    <s v="ATENDE"/>
    <s v="ATENDE"/>
    <s v="ATENDE"/>
    <s v="C5"/>
    <s v="P6"/>
    <n v="0.20666666666666678"/>
    <n v="3.62"/>
    <n v="1.3"/>
    <n v="3"/>
    <n v="0.6"/>
    <s v="ATENDE"/>
    <s v="ATENDE"/>
    <s v="ATENDE"/>
    <s v="P6"/>
    <n v="0.8"/>
    <n v="5.4"/>
    <n v="3.0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78"/>
    <s v="PVP"/>
    <s v="Travessa Parana, 270"/>
    <n v="-29.993483650000002"/>
    <n v="-50.128321759999999"/>
    <s v="C4"/>
    <x v="0"/>
    <s v="P6"/>
    <s v="Vapor de sódio"/>
    <n v="150"/>
    <n v="22"/>
    <n v="0"/>
    <n v="300"/>
    <n v="2"/>
    <n v="2"/>
    <n v="8"/>
    <m/>
    <m/>
    <n v="0"/>
    <n v="2"/>
    <n v="0"/>
    <n v="0"/>
    <n v="0"/>
    <n v="0"/>
    <n v="0"/>
    <s v="Unilateral"/>
    <s v="Braço"/>
    <n v="29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00000000000003E-2"/>
    <n v="1.6666666666666665"/>
    <s v="-"/>
    <n v="10.34"/>
    <n v="0.48"/>
    <m/>
    <m/>
    <m/>
    <m/>
    <s v="ATENDE"/>
    <s v="ATENDE"/>
    <s v="ATENDE"/>
    <s v="ATENDE"/>
    <s v="C4"/>
    <s v="P6"/>
    <n v="1.9966666666666666"/>
    <n v="8.99"/>
    <n v="4.29"/>
    <n v="3"/>
    <n v="0.6"/>
    <s v="ATENDE"/>
    <s v="ATENDE"/>
    <s v="ATENDE"/>
    <s v="P6"/>
    <n v="0.70666666666666678"/>
    <n v="5.12"/>
    <n v="3.08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278"/>
    <s v="PVP"/>
    <s v="Travessa Parana, 270"/>
    <n v="-29.993483650000002"/>
    <n v="-50.128321759999999"/>
    <s v="C4"/>
    <x v="0"/>
    <s v="P6"/>
    <s v="Vapor de sódio"/>
    <n v="150"/>
    <n v="22"/>
    <n v="0"/>
    <n v="300"/>
    <n v="2"/>
    <n v="2"/>
    <n v="8"/>
    <m/>
    <m/>
    <n v="0"/>
    <n v="2"/>
    <n v="0"/>
    <n v="0"/>
    <n v="0"/>
    <n v="0"/>
    <n v="0"/>
    <s v="Unilateral"/>
    <s v="Braço"/>
    <n v="29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599999999999993"/>
    <n v="2.3888888888888888"/>
    <s v="-"/>
    <n v="11.66"/>
    <n v="0.61"/>
    <m/>
    <m/>
    <m/>
    <m/>
    <s v="ATENDE"/>
    <s v="ATENDE"/>
    <s v="ATENDE"/>
    <s v="ATENDE"/>
    <s v="C4"/>
    <s v="P6"/>
    <n v="2.4833333333333329"/>
    <n v="10.45"/>
    <n v="5.79"/>
    <n v="3"/>
    <n v="0.6"/>
    <s v="ATENDE"/>
    <s v="ATENDE"/>
    <s v="ATENDE"/>
    <s v="P6"/>
    <n v="0.68333333333333335"/>
    <n v="5.05"/>
    <n v="2.92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78"/>
    <s v="PVP"/>
    <s v="Travessa Parana, 270"/>
    <n v="-29.993483650000002"/>
    <n v="-50.128321759999999"/>
    <s v="C4"/>
    <x v="0"/>
    <s v="P6"/>
    <s v="Vapor de sódio"/>
    <n v="150"/>
    <n v="22"/>
    <n v="0"/>
    <n v="300"/>
    <n v="2"/>
    <n v="2"/>
    <n v="8"/>
    <m/>
    <m/>
    <n v="0"/>
    <n v="2"/>
    <n v="0"/>
    <n v="0"/>
    <n v="0"/>
    <n v="0"/>
    <n v="0"/>
    <s v="Unilateral"/>
    <s v="Braço"/>
    <n v="29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900000000000015"/>
    <n v="1.6666666666666665"/>
    <s v="-"/>
    <n v="12.89"/>
    <n v="0.48"/>
    <m/>
    <m/>
    <m/>
    <m/>
    <s v="ATENDE"/>
    <s v="ATENDE"/>
    <s v="ATENDE"/>
    <s v="ATENDE"/>
    <s v="C4"/>
    <s v="P6"/>
    <n v="2.6933333333333334"/>
    <n v="11.08"/>
    <n v="6.4"/>
    <n v="3"/>
    <n v="0.6"/>
    <s v="ATENDE"/>
    <s v="ATENDE"/>
    <s v="ATENDE"/>
    <s v="P6"/>
    <n v="0.37666666666666671"/>
    <n v="4.13"/>
    <n v="2.3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79"/>
    <s v="VP"/>
    <s v="Avenida Rubem Berta, 2296"/>
    <n v="-29.994944019999998"/>
    <n v="-50.131980810000002"/>
    <s v="C2"/>
    <x v="0"/>
    <s v="P5"/>
    <s v="LED"/>
    <n v="50"/>
    <n v="0"/>
    <n v="0"/>
    <n v="200"/>
    <n v="2"/>
    <n v="0"/>
    <n v="7"/>
    <m/>
    <m/>
    <n v="0"/>
    <n v="5"/>
    <n v="5.5"/>
    <n v="0"/>
    <n v="0"/>
    <n v="0"/>
    <n v="0"/>
    <s v="Canteiro central"/>
    <s v="Braço"/>
    <n v="20.2"/>
    <n v="6.7"/>
    <n v="2"/>
    <n v="3.3"/>
    <n v="2.7"/>
    <n v="-0.5999999999999996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7499999999999885E-2"/>
    <n v="1.0357142857142851"/>
    <s v="-"/>
    <n v="21.15"/>
    <n v="0.56999999999999995"/>
    <m/>
    <m/>
    <m/>
    <m/>
    <s v="ATENDE"/>
    <s v="ATENDE"/>
    <s v="ATENDE"/>
    <s v="ATENDE"/>
    <s v="C2"/>
    <s v="-"/>
    <e v="#VALUE!"/>
    <m/>
    <m/>
    <s v="-"/>
    <s v="-"/>
    <s v="-"/>
    <s v="-"/>
    <s v="-"/>
    <s v="P5"/>
    <n v="0.74400000000000022"/>
    <n v="8.7200000000000006"/>
    <n v="5.73"/>
    <n v="5"/>
    <n v="1"/>
    <s v="ATENDE"/>
    <s v="ATENDE"/>
    <s v="ATENDE"/>
    <x v="0"/>
    <s v=" SL VT 9.1 52W"/>
    <s v="LUM LED SL VT 9.1 52W"/>
    <m/>
    <e v="#N/A"/>
    <n v="2"/>
    <n v="52"/>
    <n v="0"/>
    <n v="8960.18"/>
    <n v="0"/>
    <n v="0"/>
    <n v="10"/>
    <s v="Longo I"/>
    <m/>
    <s v=""/>
    <s v=""/>
    <m/>
    <m/>
    <m/>
    <m/>
    <m/>
    <m/>
    <n v="52"/>
    <n v="50"/>
    <n v="204"/>
    <n v="-4.0000000000000036E-2"/>
    <m/>
    <m/>
    <s v="Sim"/>
    <m/>
  </r>
  <r>
    <n v="279"/>
    <s v="VP"/>
    <s v="Avenida Rubem Berta, 2296"/>
    <n v="-29.994944019999998"/>
    <n v="-50.131980810000002"/>
    <s v="C2"/>
    <x v="0"/>
    <s v="P5"/>
    <s v="LED"/>
    <n v="50"/>
    <n v="0"/>
    <n v="0"/>
    <n v="200"/>
    <n v="2"/>
    <n v="0"/>
    <n v="7"/>
    <m/>
    <m/>
    <n v="0"/>
    <n v="5"/>
    <n v="5.5"/>
    <n v="0"/>
    <n v="0"/>
    <n v="0"/>
    <n v="0"/>
    <s v="Canteiro central"/>
    <s v="Braço"/>
    <n v="20.2"/>
    <n v="6.7"/>
    <n v="2"/>
    <n v="3.3"/>
    <n v="2.7"/>
    <n v="-0.5999999999999996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15"/>
    <n v="1.3571428571428572"/>
    <s v="-"/>
    <n v="23.83"/>
    <n v="0.66"/>
    <m/>
    <m/>
    <m/>
    <m/>
    <s v="ATENDE"/>
    <s v="ATENDE"/>
    <s v="ATENDE"/>
    <s v="ATENDE"/>
    <s v="C2"/>
    <s v="-"/>
    <e v="#VALUE!"/>
    <m/>
    <m/>
    <s v="-"/>
    <s v="-"/>
    <s v="-"/>
    <s v="-"/>
    <s v="-"/>
    <s v="P5"/>
    <n v="0.98399999999999999"/>
    <n v="9.92"/>
    <n v="6.02"/>
    <n v="5"/>
    <n v="1"/>
    <s v="ATENDE"/>
    <s v="ATENDE"/>
    <s v="ATENDE"/>
    <x v="1"/>
    <s v="SX-INEVO050HF"/>
    <s v="SXINEVO050K40L12CZF7PHF"/>
    <m/>
    <e v="#N/A"/>
    <n v="2"/>
    <n v="50"/>
    <e v="#N/A"/>
    <n v="8650"/>
    <e v="#N/A"/>
    <n v="0"/>
    <n v="10"/>
    <s v="Longo I"/>
    <m/>
    <s v=""/>
    <s v=""/>
    <m/>
    <m/>
    <m/>
    <m/>
    <m/>
    <m/>
    <n v="50"/>
    <n v="50"/>
    <n v="200"/>
    <n v="0"/>
    <m/>
    <m/>
    <s v="Sim"/>
    <m/>
  </r>
  <r>
    <n v="279"/>
    <s v="VP"/>
    <s v="Avenida Rubem Berta, 2296"/>
    <n v="-29.994944019999998"/>
    <n v="-50.131980810000002"/>
    <s v="C2"/>
    <x v="0"/>
    <s v="P5"/>
    <s v="LED"/>
    <n v="50"/>
    <n v="0"/>
    <n v="0"/>
    <n v="200"/>
    <n v="2"/>
    <n v="0"/>
    <n v="7"/>
    <m/>
    <m/>
    <n v="0"/>
    <n v="5"/>
    <n v="5.5"/>
    <n v="0"/>
    <n v="0"/>
    <n v="0"/>
    <n v="0"/>
    <s v="Canteiro central"/>
    <s v="Braço"/>
    <n v="20.2"/>
    <n v="6.7"/>
    <n v="2"/>
    <n v="3.3"/>
    <n v="2.7"/>
    <n v="-0.5999999999999996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37949999999999995"/>
    <n v="1.0714285714285712"/>
    <s v="-"/>
    <n v="27.59"/>
    <n v="0.57999999999999996"/>
    <m/>
    <m/>
    <m/>
    <m/>
    <s v="ATENDE"/>
    <s v="ATENDE"/>
    <s v="ATENDE"/>
    <s v="ATENDE"/>
    <s v="C2"/>
    <s v="-"/>
    <e v="#VALUE!"/>
    <m/>
    <m/>
    <s v="-"/>
    <s v="-"/>
    <s v="-"/>
    <s v="-"/>
    <s v="-"/>
    <s v="P5"/>
    <n v="0.6100000000000001"/>
    <n v="8.0500000000000007"/>
    <n v="4.28"/>
    <n v="5"/>
    <n v="1"/>
    <s v="ATENDE"/>
    <s v="ATENDE"/>
    <s v="ATENDE"/>
    <x v="2"/>
    <s v="SIGSAGPTLRRSSNDL_60W_73IBBRS_x000a_"/>
    <s v="SIGSAGPTLRRSSNDL_60W_73IBBRS_x000a_1-10C1MUN6.5"/>
    <m/>
    <n v="0"/>
    <n v="2"/>
    <n v="60"/>
    <e v="#N/A"/>
    <n v="9453"/>
    <e v="#N/A"/>
    <n v="0"/>
    <n v="10"/>
    <s v="Longo I"/>
    <m/>
    <s v=""/>
    <s v=""/>
    <m/>
    <m/>
    <m/>
    <m/>
    <m/>
    <m/>
    <n v="60"/>
    <n v="50"/>
    <n v="220"/>
    <n v="-0.19999999999999996"/>
    <m/>
    <m/>
    <s v="Sim"/>
    <m/>
  </r>
  <r>
    <n v="280"/>
    <s v="PVP"/>
    <s v="Rua Humaita, 1074"/>
    <n v="-29.993810459999999"/>
    <n v="-50.132718590000003"/>
    <s v="C4"/>
    <x v="0"/>
    <s v="P6"/>
    <s v="Vapor de sódio"/>
    <n v="100"/>
    <n v="17"/>
    <n v="0"/>
    <n v="200"/>
    <n v="2"/>
    <n v="2.5"/>
    <n v="6"/>
    <m/>
    <m/>
    <n v="0"/>
    <n v="2.5"/>
    <n v="0"/>
    <n v="0"/>
    <n v="0"/>
    <n v="0"/>
    <n v="0"/>
    <s v="Unilateral"/>
    <s v="Braço"/>
    <n v="22.8"/>
    <n v="6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399999999999999"/>
    <n v="1.8888888888888893"/>
    <s v="-"/>
    <n v="12.44"/>
    <n v="0.52"/>
    <m/>
    <m/>
    <m/>
    <m/>
    <s v="ATENDE"/>
    <s v="ATENDE"/>
    <s v="ATENDE"/>
    <s v="ATENDE"/>
    <s v="C4"/>
    <s v="P6"/>
    <n v="2.2033333333333331"/>
    <n v="9.61"/>
    <n v="4.95"/>
    <n v="3"/>
    <n v="0.6"/>
    <s v="ATENDE"/>
    <s v="ATENDE"/>
    <s v="ATENDE"/>
    <s v="P6"/>
    <n v="1.37"/>
    <n v="7.11"/>
    <n v="4.150000000000000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280"/>
    <s v="PVP"/>
    <s v="Rua Humaita, 1074"/>
    <n v="-29.993810459999999"/>
    <n v="-50.132718590000003"/>
    <s v="C4"/>
    <x v="0"/>
    <s v="P6"/>
    <s v="Vapor de sódio"/>
    <n v="100"/>
    <n v="17"/>
    <n v="0"/>
    <n v="200"/>
    <n v="2"/>
    <n v="2.5"/>
    <n v="6"/>
    <m/>
    <m/>
    <n v="0"/>
    <n v="2.5"/>
    <n v="0"/>
    <n v="0"/>
    <n v="0"/>
    <n v="0"/>
    <n v="0"/>
    <s v="Unilateral"/>
    <s v="Braço"/>
    <n v="22.8"/>
    <n v="6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2000000000000037E-2"/>
    <n v="2.833333333333333"/>
    <s v="-"/>
    <n v="10.42"/>
    <n v="0.69"/>
    <m/>
    <m/>
    <m/>
    <m/>
    <s v="ATENDE"/>
    <s v="ATENDE"/>
    <s v="ATENDE"/>
    <s v="ATENDE"/>
    <s v="C4"/>
    <s v="P6"/>
    <n v="1.5533333333333332"/>
    <n v="7.66"/>
    <n v="4.28"/>
    <n v="3"/>
    <n v="0.6"/>
    <s v="ATENDE"/>
    <s v="ATENDE"/>
    <s v="ATENDE"/>
    <s v="P6"/>
    <n v="0.73666666666666658"/>
    <n v="5.21"/>
    <n v="2.76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280"/>
    <s v="PVP"/>
    <s v="Rua Humaita, 1074"/>
    <n v="-29.993810459999999"/>
    <n v="-50.132718590000003"/>
    <s v="C4"/>
    <x v="0"/>
    <s v="P6"/>
    <s v="Vapor de sódio"/>
    <n v="100"/>
    <n v="17"/>
    <n v="0"/>
    <n v="200"/>
    <n v="2"/>
    <n v="2.5"/>
    <n v="6"/>
    <m/>
    <m/>
    <n v="0"/>
    <n v="2.5"/>
    <n v="0"/>
    <n v="0"/>
    <n v="0"/>
    <n v="0"/>
    <n v="0"/>
    <s v="Unilateral"/>
    <s v="Braço"/>
    <n v="22.8"/>
    <n v="6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52699999999999991"/>
    <n v="2.666666666666667"/>
    <s v="-"/>
    <n v="15.27"/>
    <n v="0.66"/>
    <m/>
    <m/>
    <m/>
    <m/>
    <s v="ATENDE"/>
    <s v="ATENDE"/>
    <s v="ATENDE"/>
    <s v="ATENDE"/>
    <s v="C4"/>
    <s v="P6"/>
    <n v="2.6999999999999997"/>
    <n v="11.1"/>
    <n v="6.87"/>
    <n v="3"/>
    <n v="0.6"/>
    <s v="ATENDE"/>
    <s v="ATENDE"/>
    <s v="ATENDE"/>
    <s v="P6"/>
    <n v="1.2666666666666666"/>
    <n v="6.8"/>
    <n v="4.2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81"/>
    <s v="PVP"/>
    <s v="Travessa Borges de Medeiros, 2133"/>
    <n v="-29.99367582"/>
    <n v="-50.134468159999997"/>
    <s v="C4"/>
    <x v="0"/>
    <s v="P6"/>
    <s v="Vapor de sódio"/>
    <n v="150"/>
    <n v="22"/>
    <n v="0"/>
    <n v="300"/>
    <n v="2"/>
    <n v="2.5"/>
    <n v="8"/>
    <m/>
    <m/>
    <n v="0"/>
    <n v="2.5"/>
    <n v="0"/>
    <n v="0"/>
    <n v="0"/>
    <n v="0"/>
    <n v="0"/>
    <s v="Unilateral"/>
    <s v="Braço"/>
    <n v="30.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99999999999992"/>
    <n v="1.3333333333333335"/>
    <s v="-"/>
    <n v="11.6"/>
    <n v="0.42"/>
    <m/>
    <m/>
    <m/>
    <m/>
    <s v="ATENDE"/>
    <s v="ATENDE"/>
    <s v="ATENDE"/>
    <s v="ATENDE"/>
    <s v="C4"/>
    <s v="P6"/>
    <n v="2.3733333333333331"/>
    <n v="10.119999999999999"/>
    <n v="4.21"/>
    <n v="3"/>
    <n v="0.6"/>
    <s v="ATENDE"/>
    <s v="ATENDE"/>
    <s v="ATENDE"/>
    <s v="P6"/>
    <n v="0.91000000000000014"/>
    <n v="5.73"/>
    <n v="3.26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81"/>
    <s v="PVP"/>
    <s v="Travessa Borges de Medeiros, 2133"/>
    <n v="-29.99367582"/>
    <n v="-50.134468159999997"/>
    <s v="C4"/>
    <x v="0"/>
    <s v="P6"/>
    <s v="Vapor de sódio"/>
    <n v="150"/>
    <n v="22"/>
    <n v="0"/>
    <n v="300"/>
    <n v="2"/>
    <n v="2.5"/>
    <n v="8"/>
    <m/>
    <m/>
    <n v="0"/>
    <n v="2.5"/>
    <n v="0"/>
    <n v="0"/>
    <n v="0"/>
    <n v="0"/>
    <n v="0"/>
    <s v="Unilateral"/>
    <s v="Braço"/>
    <n v="30.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999999999999977E-2"/>
    <n v="2.2222222222222223"/>
    <s v="-"/>
    <n v="10.99"/>
    <n v="0.57999999999999996"/>
    <m/>
    <m/>
    <m/>
    <m/>
    <s v="ATENDE"/>
    <s v="ATENDE"/>
    <s v="ATENDE"/>
    <s v="ATENDE"/>
    <s v="C4"/>
    <s v="P6"/>
    <n v="2.1966666666666668"/>
    <n v="9.59"/>
    <n v="4.63"/>
    <n v="3"/>
    <n v="0.6"/>
    <s v="ATENDE"/>
    <s v="ATENDE"/>
    <s v="ATENDE"/>
    <s v="P6"/>
    <n v="0.40000000000000013"/>
    <n v="4.2"/>
    <n v="2.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81"/>
    <s v="PVP"/>
    <s v="Travessa Borges de Medeiros, 2133"/>
    <n v="-29.99367582"/>
    <n v="-50.134468159999997"/>
    <s v="C4"/>
    <x v="0"/>
    <s v="P6"/>
    <s v="Vapor de sódio"/>
    <n v="150"/>
    <n v="22"/>
    <n v="0"/>
    <n v="300"/>
    <n v="2"/>
    <n v="2.5"/>
    <n v="8"/>
    <m/>
    <m/>
    <n v="0"/>
    <n v="2.5"/>
    <n v="0"/>
    <n v="0"/>
    <n v="0"/>
    <n v="0"/>
    <n v="0"/>
    <s v="Unilateral"/>
    <s v="Braço"/>
    <n v="30.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300000000000008"/>
    <n v="1.5"/>
    <s v="-"/>
    <n v="12.13"/>
    <n v="0.45"/>
    <m/>
    <m/>
    <m/>
    <m/>
    <s v="ATENDE"/>
    <s v="ATENDE"/>
    <s v="ATENDE"/>
    <s v="ATENDE"/>
    <s v="C4"/>
    <s v="P6"/>
    <n v="2.3800000000000003"/>
    <n v="10.14"/>
    <n v="5"/>
    <n v="3"/>
    <n v="0.6"/>
    <s v="ATENDE"/>
    <s v="ATENDE"/>
    <s v="ATENDE"/>
    <s v="P6"/>
    <n v="0.14666666666666672"/>
    <n v="3.44"/>
    <n v="1.6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82"/>
    <s v="PVP"/>
    <s v="Rua Getulio Vargas, 908"/>
    <n v="-29.990345420000001"/>
    <n v="-50.13449224"/>
    <s v="C3"/>
    <x v="0"/>
    <s v="P6"/>
    <s v="Vapor de sódio"/>
    <n v="100"/>
    <n v="17"/>
    <n v="0"/>
    <n v="200"/>
    <n v="2"/>
    <n v="4"/>
    <n v="7"/>
    <m/>
    <m/>
    <n v="0"/>
    <n v="4"/>
    <n v="0"/>
    <n v="0"/>
    <n v="0"/>
    <n v="0"/>
    <n v="0"/>
    <s v="Unilateral"/>
    <s v="Braço"/>
    <n v="32.200000000000003"/>
    <n v="6.8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666666666666656"/>
    <n v="0.88888888888888906"/>
    <s v="-"/>
    <n v="18.25"/>
    <n v="0.34"/>
    <m/>
    <m/>
    <m/>
    <m/>
    <s v="ATENDE"/>
    <s v="ATENDE"/>
    <s v="ATENDE"/>
    <s v="ATENDE"/>
    <s v="C3"/>
    <s v="P6"/>
    <n v="3.0700000000000003"/>
    <n v="12.21"/>
    <n v="5.71"/>
    <n v="3"/>
    <n v="0.6"/>
    <s v="ATENDE"/>
    <s v="ATENDE"/>
    <s v="ATENDE"/>
    <s v="P6"/>
    <n v="1.7833333333333332"/>
    <n v="8.35"/>
    <n v="2.4300000000000002"/>
    <n v="3"/>
    <n v="0.6"/>
    <s v="ATENDE"/>
    <s v="ATENDE"/>
    <s v="ATENDE"/>
    <x v="0"/>
    <s v=" SL VT 9.1 65W"/>
    <s v="LUM LED SL VT 9.1 65W"/>
    <m/>
    <e v="#N/A"/>
    <n v="1"/>
    <n v="65"/>
    <e v="#N/A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282"/>
    <s v="PVP"/>
    <s v="Rua Getulio Vargas, 908"/>
    <n v="-29.990345420000001"/>
    <n v="-50.13449224"/>
    <s v="C3"/>
    <x v="0"/>
    <s v="P6"/>
    <s v="Vapor de sódio"/>
    <n v="100"/>
    <n v="17"/>
    <n v="0"/>
    <n v="200"/>
    <n v="2"/>
    <n v="4"/>
    <n v="7"/>
    <m/>
    <m/>
    <n v="0"/>
    <n v="4"/>
    <n v="0"/>
    <n v="0"/>
    <n v="0"/>
    <n v="0"/>
    <n v="0"/>
    <s v="Unilateral"/>
    <s v="Braço"/>
    <n v="32.200000000000003"/>
    <n v="6.8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9.6666666666666679E-2"/>
    <n v="1.6666666666666665"/>
    <s v="-"/>
    <n v="16.45"/>
    <n v="0.48"/>
    <m/>
    <m/>
    <m/>
    <m/>
    <s v="ATENDE"/>
    <s v="ATENDE"/>
    <s v="ATENDE"/>
    <s v="ATENDE"/>
    <s v="C3"/>
    <s v="P6"/>
    <n v="2.44"/>
    <n v="10.32"/>
    <n v="2.39"/>
    <n v="3"/>
    <n v="0.6"/>
    <s v="ATENDE"/>
    <s v="ATENDE"/>
    <s v="ATENDE"/>
    <s v="P6"/>
    <n v="1.4366666666666665"/>
    <n v="7.31"/>
    <n v="3.4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82"/>
    <s v="PVP"/>
    <s v="Rua Getulio Vargas, 908"/>
    <n v="-29.990345420000001"/>
    <n v="-50.13449224"/>
    <s v="C3"/>
    <x v="0"/>
    <s v="P6"/>
    <s v="Vapor de sódio"/>
    <n v="100"/>
    <n v="17"/>
    <n v="0"/>
    <n v="200"/>
    <n v="2"/>
    <n v="4"/>
    <n v="7"/>
    <m/>
    <m/>
    <n v="0"/>
    <n v="4"/>
    <n v="0"/>
    <n v="0"/>
    <n v="0"/>
    <n v="0"/>
    <n v="0"/>
    <s v="Unilateral"/>
    <s v="Braço"/>
    <n v="32.200000000000003"/>
    <n v="6.8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133333333333337"/>
    <n v="1.5555555555555558"/>
    <s v="-"/>
    <n v="18.170000000000002"/>
    <n v="0.46"/>
    <m/>
    <m/>
    <m/>
    <m/>
    <s v="ATENDE"/>
    <s v="ATENDE"/>
    <s v="ATENDE"/>
    <s v="ATENDE"/>
    <s v="C3"/>
    <s v="P6"/>
    <n v="2.8633333333333333"/>
    <n v="11.59"/>
    <n v="4"/>
    <n v="3"/>
    <n v="0.6"/>
    <s v="ATENDE"/>
    <s v="ATENDE"/>
    <s v="ATENDE"/>
    <s v="P6"/>
    <n v="0.87000000000000011"/>
    <n v="5.61"/>
    <n v="1.87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283"/>
    <s v="PVP"/>
    <s v="Rua Santo Amaro, 296"/>
    <n v="-29.999972039999999"/>
    <n v="-50.141374489999997"/>
    <s v="C4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5.9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400000000000015"/>
    <n v="0.44444444444444464"/>
    <s v="-"/>
    <n v="11.64"/>
    <n v="0.26"/>
    <m/>
    <m/>
    <m/>
    <m/>
    <s v="ATENDE"/>
    <s v="ATENDE"/>
    <s v="ATENDE"/>
    <s v="ATENDE"/>
    <s v="C4"/>
    <s v="P6"/>
    <n v="2.1333333333333333"/>
    <n v="9.4"/>
    <n v="2.2000000000000002"/>
    <n v="3"/>
    <n v="0.6"/>
    <s v="ATENDE"/>
    <s v="ATENDE"/>
    <s v="ATENDE"/>
    <s v="P6"/>
    <n v="0.58000000000000007"/>
    <n v="4.74"/>
    <n v="1.83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83"/>
    <s v="PVP"/>
    <s v="Rua Santo Amaro, 296"/>
    <n v="-29.999972039999999"/>
    <n v="-50.141374489999997"/>
    <s v="C4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5.9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999999999999975E-2"/>
    <n v="0.44444444444444464"/>
    <s v="-"/>
    <n v="10.97"/>
    <n v="0.26"/>
    <m/>
    <m/>
    <m/>
    <m/>
    <s v="ATENDE"/>
    <s v="ATENDE"/>
    <s v="ATENDE"/>
    <s v="ATENDE"/>
    <s v="C4"/>
    <s v="P6"/>
    <n v="1.9299999999999997"/>
    <n v="8.7899999999999991"/>
    <n v="1.22"/>
    <n v="3"/>
    <n v="0.6"/>
    <s v="ATENDE"/>
    <s v="ATENDE"/>
    <s v="ATENDE"/>
    <s v="P6"/>
    <n v="3.3333333333331883E-3"/>
    <n v="3.01"/>
    <n v="1.06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283"/>
    <s v="PVP"/>
    <s v="Rua Santo Amaro, 296"/>
    <n v="-29.999972039999999"/>
    <n v="-50.141374489999997"/>
    <s v="C4"/>
    <x v="0"/>
    <s v="P6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5.9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00000000000002"/>
    <n v="0.33333333333333326"/>
    <s v="-"/>
    <n v="11.49"/>
    <n v="0.24"/>
    <m/>
    <m/>
    <m/>
    <m/>
    <s v="ATENDE"/>
    <s v="ATENDE"/>
    <s v="ATENDE"/>
    <s v="ATENDE"/>
    <s v="C4"/>
    <s v="P6"/>
    <n v="1.8866666666666667"/>
    <n v="8.66"/>
    <n v="1.98"/>
    <n v="3"/>
    <n v="0.6"/>
    <s v="ATENDE"/>
    <s v="ATENDE"/>
    <s v="ATENDE"/>
    <s v="P6"/>
    <n v="0.12333333333333329"/>
    <n v="3.37"/>
    <n v="1.100000000000000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s v="Curto II"/>
    <n v="1.4"/>
    <n v="6.5"/>
    <m/>
    <m/>
    <m/>
    <m/>
    <m/>
    <m/>
    <n v="40"/>
    <n v="100"/>
    <n v="140"/>
    <n v="0.6"/>
    <m/>
    <m/>
    <s v="Sim"/>
    <m/>
  </r>
  <r>
    <n v="284"/>
    <s v="VP"/>
    <s v="Avenida Flores da Cunha, 3244"/>
    <n v="-30.00140897"/>
    <n v="-50.140292100000003"/>
    <s v="C1"/>
    <x v="0"/>
    <s v="P5"/>
    <s v="LED"/>
    <n v="50"/>
    <n v="0"/>
    <n v="0"/>
    <n v="200"/>
    <n v="2"/>
    <n v="0"/>
    <n v="7"/>
    <m/>
    <m/>
    <n v="0"/>
    <n v="2.5"/>
    <n v="15"/>
    <n v="0"/>
    <n v="0"/>
    <n v="0"/>
    <n v="0"/>
    <s v="Canteiro central"/>
    <s v="Braço"/>
    <n v="31.5"/>
    <n v="6.3"/>
    <n v="2"/>
    <n v="7.5"/>
    <n v="2.5"/>
    <n v="-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0999999999999925E-2"/>
    <n v="0.36842105263157898"/>
    <s v="-"/>
    <n v="31.23"/>
    <n v="0.52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5"/>
    <n v="2.0659999999999998"/>
    <n v="15.33"/>
    <n v="10.77"/>
    <n v="5"/>
    <n v="1"/>
    <s v="ATENDE"/>
    <s v="ATENDE"/>
    <s v="ATENDE"/>
    <x v="0"/>
    <s v=" SL VT 9.6 190W"/>
    <s v="LUM LED SL VT 9.6 190W"/>
    <m/>
    <e v="#N/A"/>
    <n v="2"/>
    <n v="190"/>
    <n v="0"/>
    <n v="28644.799999999999"/>
    <n v="0"/>
    <n v="0"/>
    <n v="10"/>
    <s v="Médio II"/>
    <s v="Longo II"/>
    <m/>
    <m/>
    <m/>
    <m/>
    <m/>
    <m/>
    <m/>
    <m/>
    <n v="190"/>
    <n v="50"/>
    <n v="480"/>
    <n v="-2.8"/>
    <m/>
    <m/>
    <s v="Sim"/>
    <m/>
  </r>
  <r>
    <n v="284"/>
    <s v="VP"/>
    <s v="Avenida Flores da Cunha, 3244"/>
    <n v="-30.00140897"/>
    <n v="-50.140292100000003"/>
    <s v="C1"/>
    <x v="0"/>
    <s v="P5"/>
    <s v="LED"/>
    <n v="50"/>
    <n v="0"/>
    <n v="0"/>
    <n v="200"/>
    <n v="2"/>
    <n v="0"/>
    <n v="7"/>
    <m/>
    <m/>
    <n v="0"/>
    <n v="2.5"/>
    <n v="15"/>
    <n v="0"/>
    <n v="0"/>
    <n v="0"/>
    <n v="0"/>
    <s v="Canteiro central"/>
    <s v="Braço"/>
    <n v="31.5"/>
    <n v="6.3"/>
    <n v="2"/>
    <n v="7.5"/>
    <n v="2.5"/>
    <n v="-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7.4666666666666659E-2"/>
    <n v="0.63157894736842102"/>
    <s v="-"/>
    <n v="32.24"/>
    <n v="0.62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5"/>
    <n v="1.7320000000000002"/>
    <n v="13.66"/>
    <n v="10.8"/>
    <n v="5"/>
    <n v="1"/>
    <s v="ATENDE"/>
    <s v="ATENDE"/>
    <s v="ATENDE"/>
    <x v="1"/>
    <s v="SX-INLPP090HF"/>
    <s v="SXINLPP090K40L12CZF7PHF"/>
    <m/>
    <e v="#N/A"/>
    <n v="2"/>
    <n v="90"/>
    <n v="0"/>
    <n v="15476"/>
    <n v="0"/>
    <n v="0"/>
    <n v="10"/>
    <s v="Médio II"/>
    <m/>
    <m/>
    <m/>
    <s v="APES-2"/>
    <n v="1"/>
    <m/>
    <s v="Redução do distanciamento entre postes de 31.5para 15,75."/>
    <m/>
    <m/>
    <n v="90"/>
    <n v="50"/>
    <n v="280"/>
    <n v="-0.8"/>
    <m/>
    <m/>
    <s v="Sim"/>
    <m/>
  </r>
  <r>
    <n v="284"/>
    <s v="VP"/>
    <s v="Avenida Flores da Cunha, 3244"/>
    <n v="-30.00140897"/>
    <n v="-50.140292100000003"/>
    <s v="C1"/>
    <x v="0"/>
    <s v="P5"/>
    <s v="LED"/>
    <n v="50"/>
    <n v="0"/>
    <n v="0"/>
    <n v="200"/>
    <n v="2"/>
    <n v="0"/>
    <n v="7"/>
    <m/>
    <m/>
    <n v="0"/>
    <n v="2.5"/>
    <n v="15"/>
    <n v="0"/>
    <n v="0"/>
    <n v="0"/>
    <n v="0"/>
    <s v="Canteiro central"/>
    <s v="Braço"/>
    <n v="31.5"/>
    <n v="6.3"/>
    <n v="2"/>
    <n v="7.5"/>
    <n v="2.5"/>
    <n v="-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18599999999999994"/>
    <n v="0.26315789473684204"/>
    <s v="-"/>
    <n v="35.58"/>
    <n v="0.48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5"/>
    <n v="1.3359999999999999"/>
    <n v="11.68"/>
    <n v="8.76"/>
    <n v="5"/>
    <n v="1"/>
    <s v="ATENDE"/>
    <s v="ATENDE"/>
    <s v="ATENDE"/>
    <x v="2"/>
    <s v="TAUMAGPTLRRTMNDL183W_95IBB"/>
    <s v="TAUMAGPTLRRTMNDL183W_95IBB_x000a_RS1-10C1MUN6.5"/>
    <m/>
    <e v="#N/A"/>
    <n v="2"/>
    <n v="183"/>
    <n v="0"/>
    <n v="30866"/>
    <n v="0"/>
    <n v="0"/>
    <n v="10"/>
    <s v="Médio II"/>
    <m/>
    <m/>
    <m/>
    <m/>
    <m/>
    <m/>
    <m/>
    <m/>
    <m/>
    <n v="183"/>
    <n v="50"/>
    <n v="466"/>
    <n v="-2.66"/>
    <m/>
    <m/>
    <s v="Sim"/>
    <m/>
  </r>
  <r>
    <n v="285"/>
    <s v="VP"/>
    <s v="Avenida Deputado Osvaldo Bastos, 990"/>
    <n v="-30.005063490000001"/>
    <n v="-50.137536220000001"/>
    <s v="C2"/>
    <x v="0"/>
    <s v="P6"/>
    <s v="Vapor de sódio"/>
    <n v="250"/>
    <n v="30"/>
    <n v="0"/>
    <n v="500"/>
    <n v="2"/>
    <n v="0"/>
    <n v="7"/>
    <m/>
    <m/>
    <n v="0"/>
    <n v="2.5"/>
    <n v="10.5"/>
    <n v="0"/>
    <n v="0"/>
    <n v="0"/>
    <n v="0"/>
    <s v="Canteiro central"/>
    <s v="Braço"/>
    <n v="38.200000000000003"/>
    <n v="7"/>
    <n v="1"/>
    <n v="5.25"/>
    <n v="1.3"/>
    <n v="-3.95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1649999999999983"/>
    <n v="0.4285714285714286"/>
    <s v="-"/>
    <n v="22.33"/>
    <n v="0.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9499999999999997"/>
    <n v="8.85"/>
    <n v="5.49"/>
    <n v="3"/>
    <n v="0.6"/>
    <s v="ATENDE"/>
    <s v="ATENDE"/>
    <s v="ATENDE"/>
    <x v="0"/>
    <s v=" SL VT 9.1 140W"/>
    <s v="LUM LED SL VT 9.1 140W"/>
    <m/>
    <n v="0"/>
    <n v="1"/>
    <n v="140"/>
    <n v="0"/>
    <n v="22440"/>
    <n v="0"/>
    <n v="0"/>
    <n v="10"/>
    <s v="Curto II"/>
    <m/>
    <s v=""/>
    <s v=""/>
    <m/>
    <m/>
    <m/>
    <m/>
    <m/>
    <m/>
    <n v="140"/>
    <n v="250"/>
    <n v="390"/>
    <n v="0.43999999999999995"/>
    <m/>
    <m/>
    <s v="Sim"/>
    <m/>
  </r>
  <r>
    <n v="285"/>
    <s v="VP"/>
    <s v="Avenida Deputado Osvaldo Bastos, 990"/>
    <n v="-30.005063490000001"/>
    <n v="-50.137536220000001"/>
    <s v="C2"/>
    <x v="0"/>
    <s v="P6"/>
    <s v="Vapor de sódio"/>
    <n v="250"/>
    <n v="30"/>
    <n v="0"/>
    <n v="500"/>
    <n v="2"/>
    <n v="0"/>
    <n v="7"/>
    <m/>
    <m/>
    <n v="0"/>
    <n v="2.5"/>
    <n v="10.5"/>
    <n v="0"/>
    <n v="0"/>
    <n v="0"/>
    <n v="0"/>
    <s v="Canteiro central"/>
    <s v="Braço"/>
    <n v="38.200000000000003"/>
    <n v="7"/>
    <n v="1"/>
    <n v="5.25"/>
    <n v="1.3"/>
    <n v="-3.95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8.4999999999999964E-2"/>
    <n v="0.21428571428571419"/>
    <s v="-"/>
    <n v="21.7"/>
    <n v="0.3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3900000000000001"/>
    <n v="7.17"/>
    <n v="4.2699999999999996"/>
    <n v="3"/>
    <n v="0.6"/>
    <s v="ATENDE"/>
    <s v="ATENDE"/>
    <s v="ATENDE"/>
    <x v="1"/>
    <s v="SX-INLPP150HF"/>
    <s v="SXINLPP150K40L12CZF7PHF"/>
    <m/>
    <n v="0"/>
    <n v="1"/>
    <n v="137"/>
    <n v="0"/>
    <n v="23817"/>
    <n v="0"/>
    <n v="0"/>
    <n v="10"/>
    <s v="Curto II"/>
    <m/>
    <s v=""/>
    <s v=""/>
    <m/>
    <m/>
    <m/>
    <m/>
    <m/>
    <m/>
    <n v="137"/>
    <n v="250"/>
    <n v="387"/>
    <n v="0.45199999999999996"/>
    <m/>
    <m/>
    <s v="Sim"/>
    <m/>
  </r>
  <r>
    <n v="285"/>
    <s v="VP"/>
    <s v="Avenida Deputado Osvaldo Bastos, 990"/>
    <n v="-30.005063490000001"/>
    <n v="-50.137536220000001"/>
    <s v="C2"/>
    <x v="0"/>
    <s v="P6"/>
    <s v="Vapor de sódio"/>
    <n v="250"/>
    <n v="30"/>
    <n v="0"/>
    <n v="500"/>
    <n v="2"/>
    <n v="0"/>
    <n v="7"/>
    <m/>
    <m/>
    <n v="0"/>
    <n v="2.5"/>
    <n v="10.5"/>
    <n v="0"/>
    <n v="0"/>
    <n v="0"/>
    <n v="0"/>
    <s v="Canteiro central"/>
    <s v="Braço"/>
    <n v="38.200000000000003"/>
    <n v="7"/>
    <n v="1"/>
    <n v="5.25"/>
    <n v="1.3"/>
    <n v="-3.95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5.600000000000005E-2"/>
    <n v="0.4285714285714286"/>
    <s v="-"/>
    <n v="21.12"/>
    <n v="0.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0.73333333333333339"/>
    <n v="5.2"/>
    <n v="3.34"/>
    <n v="3"/>
    <n v="0.6"/>
    <s v="ATENDE"/>
    <s v="ATENDE"/>
    <s v="ATENDE"/>
    <x v="2"/>
    <s v="SIGMAGPTLRRSMNDL150W102IBBR_x000a_"/>
    <s v="SIGMAGPTLRRSMNDL150W102IBBR_x000a_S1-10C1MUN6.5"/>
    <m/>
    <n v="0"/>
    <n v="1"/>
    <n v="150"/>
    <e v="#N/A"/>
    <n v="23000"/>
    <n v="0"/>
    <n v="0"/>
    <m/>
    <s v="Curto II"/>
    <m/>
    <s v=""/>
    <s v=""/>
    <m/>
    <m/>
    <m/>
    <m/>
    <m/>
    <m/>
    <n v="150"/>
    <n v="250"/>
    <n v="400"/>
    <n v="0.4"/>
    <m/>
    <m/>
    <s v="Sim"/>
    <m/>
  </r>
  <r>
    <n v="286"/>
    <s v="PVP"/>
    <s v="Rua Andrade Neves, 1379"/>
    <n v="-30.002843160000001"/>
    <n v="-50.13449392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299999999999998"/>
    <n v="0.5555555555555558"/>
    <s v="-"/>
    <n v="11.03"/>
    <n v="0.28000000000000003"/>
    <m/>
    <m/>
    <m/>
    <m/>
    <s v="ATENDE"/>
    <s v="ATENDE"/>
    <s v="ATENDE"/>
    <s v="ATENDE"/>
    <s v="C4"/>
    <s v="P6"/>
    <n v="2.0066666666666664"/>
    <n v="9.02"/>
    <n v="2.3199999999999998"/>
    <n v="3"/>
    <n v="0.6"/>
    <s v="ATENDE"/>
    <s v="ATENDE"/>
    <s v="ATENDE"/>
    <s v="P6"/>
    <n v="1.1966666666666668"/>
    <n v="6.59"/>
    <n v="2.46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86"/>
    <s v="PVP"/>
    <s v="Rua Andrade Neves, 1379"/>
    <n v="-30.002843160000001"/>
    <n v="-50.13449392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699999999999994"/>
    <n v="0.50000000000000022"/>
    <s v="-"/>
    <n v="13.07"/>
    <n v="0.27"/>
    <m/>
    <m/>
    <m/>
    <m/>
    <s v="ATENDE"/>
    <s v="ATENDE"/>
    <s v="ATENDE"/>
    <s v="ATENDE"/>
    <s v="C4"/>
    <s v="P6"/>
    <n v="2.36"/>
    <n v="10.08"/>
    <n v="1.49"/>
    <n v="3"/>
    <n v="0.6"/>
    <s v="ATENDE"/>
    <s v="ATENDE"/>
    <s v="ATENDE"/>
    <s v="P6"/>
    <n v="1.5100000000000002"/>
    <n v="7.53"/>
    <n v="3.84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86"/>
    <s v="PVP"/>
    <s v="Rua Andrade Neves, 1379"/>
    <n v="-30.002843160000001"/>
    <n v="-50.134493929999998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0000000000000071E-3"/>
    <n v="0.11111111111111116"/>
    <s v="-"/>
    <n v="10.08"/>
    <n v="0.2"/>
    <m/>
    <m/>
    <m/>
    <m/>
    <s v="ATENDE"/>
    <s v="ATENDE"/>
    <s v="ATENDE"/>
    <s v="ATENDE"/>
    <s v="C4"/>
    <s v="P6"/>
    <n v="1.56"/>
    <n v="7.68"/>
    <n v="1.4"/>
    <n v="3"/>
    <n v="0.6"/>
    <s v="ATENDE"/>
    <s v="ATENDE"/>
    <s v="ATENDE"/>
    <s v="P6"/>
    <n v="0.34333333333333349"/>
    <n v="4.03"/>
    <n v="1.110000000000000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87"/>
    <s v="PVP"/>
    <s v="Rua Pinheiro Machado, 556"/>
    <n v="-30.00260437"/>
    <n v="-50.13295166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1111111111111112"/>
    <s v="-"/>
    <n v="9.0500000000000007"/>
    <n v="0.38"/>
    <m/>
    <m/>
    <m/>
    <m/>
    <s v="ATENDE"/>
    <s v="ATENDE"/>
    <s v="ATENDE"/>
    <s v="ATENDE"/>
    <s v="C5"/>
    <s v="P6"/>
    <n v="1.4"/>
    <n v="7.2"/>
    <n v="2.38"/>
    <n v="3"/>
    <n v="0.6"/>
    <s v="ATENDE"/>
    <s v="ATENDE"/>
    <s v="ATENDE"/>
    <s v="P6"/>
    <n v="0.7433333333333334"/>
    <n v="5.23"/>
    <n v="2.2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87"/>
    <s v="PVP"/>
    <s v="Rua Pinheiro Machado, 556"/>
    <n v="-30.00260437"/>
    <n v="-50.13295166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400000000000015"/>
    <n v="1.166666666666667"/>
    <s v="-"/>
    <n v="8.73"/>
    <n v="0.39"/>
    <m/>
    <m/>
    <m/>
    <m/>
    <s v="ATENDE"/>
    <s v="ATENDE"/>
    <s v="ATENDE"/>
    <s v="ATENDE"/>
    <s v="C5"/>
    <s v="P6"/>
    <n v="1.1966666666666668"/>
    <n v="6.59"/>
    <n v="1.45"/>
    <n v="3"/>
    <n v="0.6"/>
    <s v="ATENDE"/>
    <s v="ATENDE"/>
    <s v="ATENDE"/>
    <s v="P6"/>
    <n v="0.44000000000000017"/>
    <n v="4.32"/>
    <n v="2.06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87"/>
    <s v="PVP"/>
    <s v="Rua Pinheiro Machado, 556"/>
    <n v="-30.00260437"/>
    <n v="-50.132951660000003"/>
    <s v="C5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666666666666672"/>
    <n v="1.6666666666666665"/>
    <s v="-"/>
    <n v="8.6"/>
    <n v="0.48"/>
    <m/>
    <m/>
    <m/>
    <m/>
    <s v="ATENDE"/>
    <s v="ATENDE"/>
    <s v="ATENDE"/>
    <s v="ATENDE"/>
    <s v="C5"/>
    <s v="P6"/>
    <n v="1.2133333333333334"/>
    <n v="6.64"/>
    <n v="2.75"/>
    <n v="3"/>
    <n v="0.6"/>
    <s v="ATENDE"/>
    <s v="ATENDE"/>
    <s v="ATENDE"/>
    <s v="P6"/>
    <n v="0.33999999999999986"/>
    <n v="4.0199999999999996"/>
    <n v="2.6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88"/>
    <s v="V"/>
    <s v="Rua Tres de Outubro, 3423"/>
    <n v="-30.008303389999998"/>
    <n v="-50.134921669999997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8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8666666666666663E-2"/>
    <n v="0.5555555555555558"/>
    <s v="-"/>
    <n v="8.09"/>
    <n v="0.2800000000000000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88"/>
    <s v="V"/>
    <s v="Rua Tres de Outubro, 3423"/>
    <n v="-30.008303389999998"/>
    <n v="-50.134921669999997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8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1333333333333222E-2"/>
    <n v="0.16666666666666674"/>
    <s v="-"/>
    <n v="7.81"/>
    <n v="0.2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288"/>
    <s v="V"/>
    <s v="Rua Tres de Outubro, 3423"/>
    <n v="-30.008303389999998"/>
    <n v="-50.134921669999997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8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533333333333343E-2"/>
    <n v="0.72222222222222232"/>
    <s v="-"/>
    <n v="7.69"/>
    <n v="0.3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89"/>
    <s v="PVP"/>
    <s v="Rua Pinheiro Machado, 1192"/>
    <n v="-30.00782757"/>
    <n v="-50.13544181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6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999999999999897E-3"/>
    <n v="0.88888888888888906"/>
    <s v="-"/>
    <n v="10.09"/>
    <n v="0.34"/>
    <m/>
    <m/>
    <m/>
    <m/>
    <s v="ATENDE"/>
    <s v="ATENDE"/>
    <s v="ATENDE"/>
    <s v="ATENDE"/>
    <s v="C4"/>
    <s v="P6"/>
    <n v="1.8766666666666669"/>
    <n v="8.6300000000000008"/>
    <n v="2.63"/>
    <n v="3"/>
    <n v="0.6"/>
    <s v="ATENDE"/>
    <s v="ATENDE"/>
    <s v="ATENDE"/>
    <s v="P6"/>
    <n v="0.95333333333333337"/>
    <n v="5.86"/>
    <n v="2.58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89"/>
    <s v="PVP"/>
    <s v="Rua Pinheiro Machado, 1192"/>
    <n v="-30.00782757"/>
    <n v="-50.13544181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6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500000000000003"/>
    <n v="1.0555555555555558"/>
    <s v="-"/>
    <n v="14.05"/>
    <n v="0.37"/>
    <m/>
    <m/>
    <m/>
    <m/>
    <s v="ATENDE"/>
    <s v="ATENDE"/>
    <s v="ATENDE"/>
    <s v="ATENDE"/>
    <s v="C4"/>
    <s v="P6"/>
    <n v="2.8033333333333332"/>
    <n v="11.41"/>
    <n v="2.4700000000000002"/>
    <n v="3"/>
    <n v="0.6"/>
    <s v="ATENDE"/>
    <s v="ATENDE"/>
    <s v="ATENDE"/>
    <s v="P6"/>
    <n v="1.58"/>
    <n v="7.74"/>
    <n v="4.8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89"/>
    <s v="PVP"/>
    <s v="Rua Pinheiro Machado, 1192"/>
    <n v="-30.00782757"/>
    <n v="-50.135441810000003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6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7999999999999847E-2"/>
    <n v="0.5555555555555558"/>
    <s v="-"/>
    <n v="10.78"/>
    <n v="0.28000000000000003"/>
    <m/>
    <m/>
    <m/>
    <m/>
    <s v="ATENDE"/>
    <s v="ATENDE"/>
    <s v="ATENDE"/>
    <s v="ATENDE"/>
    <s v="C4"/>
    <s v="P6"/>
    <n v="1.9"/>
    <n v="8.6999999999999993"/>
    <n v="2.27"/>
    <n v="3"/>
    <n v="0.6"/>
    <s v="ATENDE"/>
    <s v="ATENDE"/>
    <s v="ATENDE"/>
    <s v="P6"/>
    <n v="0.35333333333333328"/>
    <n v="4.0599999999999996"/>
    <n v="1.5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0"/>
    <s v="PV"/>
    <s v="Rua Brochado da Rocha, 276"/>
    <n v="-30.008699880000002"/>
    <n v="-50.136656449999997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9999999999999"/>
    <n v="1.2777777777777777"/>
    <s v="-"/>
    <n v="11.42"/>
    <n v="0.41"/>
    <m/>
    <m/>
    <m/>
    <m/>
    <s v="ATENDE"/>
    <s v="ATENDE"/>
    <s v="ATENDE"/>
    <s v="ATENDE"/>
    <s v="C4"/>
    <s v="P6"/>
    <n v="2.1166666666666667"/>
    <n v="9.35"/>
    <n v="3.56"/>
    <n v="3"/>
    <n v="0.6"/>
    <s v="ATENDE"/>
    <s v="ATENDE"/>
    <s v="ATENDE"/>
    <s v="-"/>
    <e v="#VALUE!"/>
    <m/>
    <m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0"/>
    <s v="PV"/>
    <s v="Rua Brochado da Rocha, 276"/>
    <n v="-30.008699880000002"/>
    <n v="-50.136656449999997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5999999999999854E-2"/>
    <n v="2.0000000000000004"/>
    <s v="-"/>
    <n v="10.86"/>
    <n v="0.54"/>
    <m/>
    <m/>
    <m/>
    <m/>
    <s v="ATENDE"/>
    <s v="ATENDE"/>
    <s v="ATENDE"/>
    <s v="ATENDE"/>
    <s v="C4"/>
    <s v="P6"/>
    <n v="1.9466666666666668"/>
    <n v="8.84"/>
    <n v="3.6"/>
    <n v="3"/>
    <n v="0.6"/>
    <s v="ATENDE"/>
    <s v="ATENDE"/>
    <s v="ATENDE"/>
    <s v="-"/>
    <e v="#VALUE!"/>
    <m/>
    <m/>
    <s v="-"/>
    <s v="-"/>
    <s v="-"/>
    <s v="-"/>
    <s v="-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90"/>
    <s v="PV"/>
    <s v="Rua Brochado da Rocha, 276"/>
    <n v="-30.008699880000002"/>
    <n v="-50.136656449999997"/>
    <s v="C4"/>
    <x v="0"/>
    <s v="P6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500000000000009"/>
    <n v="1.5"/>
    <s v="-"/>
    <n v="12.25"/>
    <n v="0.45"/>
    <m/>
    <m/>
    <m/>
    <m/>
    <s v="ATENDE"/>
    <s v="ATENDE"/>
    <s v="ATENDE"/>
    <s v="ATENDE"/>
    <s v="C4"/>
    <s v="P6"/>
    <n v="2.1133333333333333"/>
    <n v="9.34"/>
    <n v="3.89"/>
    <n v="3"/>
    <n v="0.6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1"/>
    <s v="PVP"/>
    <s v="Rua Manoel Jose Luiz, 291"/>
    <n v="-30.008224479999999"/>
    <n v="-50.137980349999999"/>
    <s v="C4"/>
    <x v="0"/>
    <s v="P6"/>
    <s v="Vapor de sódio"/>
    <n v="250"/>
    <n v="30"/>
    <n v="0"/>
    <n v="500"/>
    <n v="2"/>
    <n v="2.5"/>
    <n v="7"/>
    <m/>
    <m/>
    <n v="0"/>
    <n v="2.5"/>
    <n v="0"/>
    <n v="0"/>
    <n v="0"/>
    <n v="0"/>
    <n v="0"/>
    <s v="Unilateral"/>
    <s v="Braço"/>
    <n v="22.1"/>
    <n v="7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99999999999999"/>
    <n v="2.3333333333333335"/>
    <s v="-"/>
    <n v="11.15"/>
    <n v="0.6"/>
    <m/>
    <m/>
    <m/>
    <m/>
    <s v="ATENDE"/>
    <s v="ATENDE"/>
    <s v="ATENDE"/>
    <s v="ATENDE"/>
    <s v="C4"/>
    <s v="P6"/>
    <n v="1.2833333333333332"/>
    <n v="6.85"/>
    <n v="4.55"/>
    <n v="3"/>
    <n v="0.6"/>
    <s v="ATENDE"/>
    <s v="ATENDE"/>
    <s v="ATENDE"/>
    <s v="-"/>
    <e v="#VALUE!"/>
    <n v="8.07"/>
    <n v="5.41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Médio II"/>
    <m/>
    <s v=""/>
    <s v=""/>
    <m/>
    <m/>
    <m/>
    <m/>
    <m/>
    <m/>
    <n v="28"/>
    <n v="250"/>
    <n v="278"/>
    <n v="0.88800000000000001"/>
    <m/>
    <m/>
    <s v="Sim"/>
    <m/>
  </r>
  <r>
    <n v="291"/>
    <s v="PVP"/>
    <s v="Rua Manoel Jose Luiz, 291"/>
    <n v="-30.008224479999999"/>
    <n v="-50.137980349999999"/>
    <s v="C4"/>
    <x v="0"/>
    <s v="P6"/>
    <s v="Vapor de sódio"/>
    <n v="250"/>
    <n v="30"/>
    <n v="0"/>
    <n v="500"/>
    <n v="2"/>
    <n v="2.5"/>
    <n v="7"/>
    <m/>
    <m/>
    <n v="0"/>
    <n v="2.5"/>
    <n v="0"/>
    <n v="0"/>
    <n v="0"/>
    <n v="0"/>
    <n v="0"/>
    <s v="Unilateral"/>
    <s v="Braço"/>
    <n v="22.1"/>
    <n v="7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200000000000012"/>
    <n v="3"/>
    <s v="-"/>
    <n v="13.82"/>
    <n v="0.72"/>
    <m/>
    <m/>
    <m/>
    <m/>
    <s v="ATENDE"/>
    <s v="ATENDE"/>
    <s v="ATENDE"/>
    <s v="ATENDE"/>
    <s v="C4"/>
    <s v="P6"/>
    <n v="1.4166666666666665"/>
    <n v="7.25"/>
    <n v="4.63"/>
    <n v="3"/>
    <n v="0.6"/>
    <s v="ATENDE"/>
    <s v="ATENDE"/>
    <s v="ATENDE"/>
    <s v="-"/>
    <e v="#VALUE!"/>
    <n v="9.4600000000000009"/>
    <n v="6.59"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Médio II"/>
    <m/>
    <s v=""/>
    <s v=""/>
    <m/>
    <m/>
    <m/>
    <m/>
    <m/>
    <m/>
    <n v="31"/>
    <n v="250"/>
    <n v="281"/>
    <n v="0.876"/>
    <m/>
    <m/>
    <s v="Sim"/>
    <m/>
  </r>
  <r>
    <n v="291"/>
    <s v="PVP"/>
    <s v="Rua Manoel Jose Luiz, 291"/>
    <n v="-30.008224479999999"/>
    <n v="-50.137980349999999"/>
    <s v="C4"/>
    <x v="0"/>
    <s v="P6"/>
    <s v="Vapor de sódio"/>
    <n v="250"/>
    <n v="30"/>
    <n v="0"/>
    <n v="500"/>
    <n v="2"/>
    <n v="2.5"/>
    <n v="7"/>
    <m/>
    <m/>
    <n v="0"/>
    <n v="2.5"/>
    <n v="0"/>
    <n v="0"/>
    <n v="0"/>
    <n v="0"/>
    <n v="0"/>
    <s v="Unilateral"/>
    <s v="Braço"/>
    <n v="22.1"/>
    <n v="7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100000000000001"/>
    <n v="2.833333333333333"/>
    <s v="-"/>
    <n v="13.81"/>
    <n v="0.69"/>
    <m/>
    <m/>
    <m/>
    <m/>
    <s v="ATENDE"/>
    <s v="ATENDE"/>
    <s v="ATENDE"/>
    <s v="ATENDE"/>
    <s v="C4"/>
    <s v="P6"/>
    <n v="1.58"/>
    <n v="7.74"/>
    <n v="5.51"/>
    <n v="3"/>
    <n v="0.6"/>
    <s v="ATENDE"/>
    <s v="ATENDE"/>
    <s v="ATENDE"/>
    <s v="-"/>
    <e v="#VALUE!"/>
    <n v="8.5500000000000007"/>
    <n v="6.2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Médio II"/>
    <m/>
    <s v=""/>
    <s v=""/>
    <m/>
    <m/>
    <m/>
    <m/>
    <m/>
    <m/>
    <n v="30"/>
    <n v="250"/>
    <n v="280"/>
    <n v="0.88"/>
    <m/>
    <m/>
    <s v="Sim"/>
    <m/>
  </r>
  <r>
    <n v="292"/>
    <s v="VP"/>
    <s v="Avenida Flores da Cunha, 3677"/>
    <n v="-30.005087509999999"/>
    <n v="-50.142101680000003"/>
    <s v="C1"/>
    <x v="0"/>
    <s v="P6"/>
    <s v="LED"/>
    <n v="50"/>
    <n v="0"/>
    <n v="0"/>
    <n v="200"/>
    <n v="2"/>
    <n v="0"/>
    <n v="7"/>
    <m/>
    <m/>
    <n v="0"/>
    <n v="5"/>
    <n v="10"/>
    <n v="0"/>
    <n v="0"/>
    <n v="0"/>
    <n v="0"/>
    <s v="Canteiro central"/>
    <s v="Braço"/>
    <n v="30.8"/>
    <n v="6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7.9333333333333478E-2"/>
    <n v="0.18421052631578938"/>
    <s v="-"/>
    <n v="32.380000000000003"/>
    <n v="0.45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2.3533333333333335"/>
    <n v="10.06"/>
    <n v="4.41"/>
    <n v="3"/>
    <n v="0.6"/>
    <s v="ATENDE"/>
    <s v="ATENDE"/>
    <s v="ATENDE"/>
    <x v="0"/>
    <s v=" SL VT 9.1 140W"/>
    <s v="LUM LED SL VT 9.1 140W"/>
    <m/>
    <n v="0"/>
    <n v="2"/>
    <n v="140"/>
    <n v="0"/>
    <n v="22440"/>
    <n v="0"/>
    <n v="0"/>
    <n v="10"/>
    <s v="Médio II"/>
    <m/>
    <s v=""/>
    <s v=""/>
    <m/>
    <m/>
    <m/>
    <m/>
    <m/>
    <m/>
    <n v="140"/>
    <n v="50"/>
    <n v="380"/>
    <n v="-1.7999999999999998"/>
    <m/>
    <m/>
    <s v="Sim"/>
    <m/>
  </r>
  <r>
    <n v="292"/>
    <s v="VP"/>
    <s v="Avenida Flores da Cunha, 3677"/>
    <n v="-30.005087509999999"/>
    <n v="-50.142101680000003"/>
    <s v="C1"/>
    <x v="0"/>
    <s v="P6"/>
    <s v="LED"/>
    <n v="50"/>
    <n v="0"/>
    <n v="0"/>
    <n v="200"/>
    <n v="2"/>
    <n v="0"/>
    <n v="7"/>
    <m/>
    <m/>
    <n v="0"/>
    <n v="5"/>
    <n v="10"/>
    <n v="0"/>
    <n v="0"/>
    <n v="0"/>
    <n v="0"/>
    <s v="Canteiro central"/>
    <s v="Braço"/>
    <n v="30.8"/>
    <n v="6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8999999999999932E-2"/>
    <n v="0"/>
    <s v="-"/>
    <n v="31.47"/>
    <n v="0.38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.7466666666666666"/>
    <n v="8.24"/>
    <n v="3.9"/>
    <n v="3"/>
    <n v="0.6"/>
    <s v="ATENDE"/>
    <s v="ATENDE"/>
    <s v="ATENDE"/>
    <x v="1"/>
    <s v="SX-INLPP150HF"/>
    <s v="SXINLPP150K40L12CZF7PHF"/>
    <m/>
    <e v="#N/A"/>
    <n v="2"/>
    <n v="137"/>
    <n v="0"/>
    <n v="23817"/>
    <n v="0"/>
    <n v="0"/>
    <n v="10"/>
    <s v="Médio II"/>
    <m/>
    <s v=""/>
    <s v=""/>
    <m/>
    <m/>
    <m/>
    <m/>
    <m/>
    <m/>
    <n v="137"/>
    <n v="50"/>
    <n v="374"/>
    <n v="-1.7400000000000002"/>
    <m/>
    <m/>
    <s v="Sim"/>
    <m/>
  </r>
  <r>
    <n v="292"/>
    <s v="VP"/>
    <s v="Avenida Flores da Cunha, 3677"/>
    <n v="-30.005087509999999"/>
    <n v="-50.142101680000003"/>
    <s v="C1"/>
    <x v="0"/>
    <s v="P6"/>
    <s v="LED"/>
    <n v="50"/>
    <n v="0"/>
    <n v="0"/>
    <n v="200"/>
    <n v="2"/>
    <n v="0"/>
    <n v="7"/>
    <m/>
    <m/>
    <n v="0"/>
    <n v="5"/>
    <n v="10"/>
    <n v="0"/>
    <n v="0"/>
    <n v="0"/>
    <n v="0"/>
    <s v="Canteiro central"/>
    <s v="Braço"/>
    <n v="30.8"/>
    <n v="6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3333333333333446E-2"/>
    <n v="0.34210526315789469"/>
    <s v="-"/>
    <n v="31.3"/>
    <n v="0.51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.7566666666666664"/>
    <n v="8.27"/>
    <n v="4.1500000000000004"/>
    <n v="3"/>
    <n v="0.6"/>
    <s v="ATENDE"/>
    <s v="ATENDE"/>
    <s v="ATENDE"/>
    <x v="2"/>
    <s v="SIGMAGPTLRRSMNDL150W102IBBR_x000a_"/>
    <s v="SIGMAGPTLRRSMNDL150W102IBBR_x000a_S1-10C1MUN6.5"/>
    <m/>
    <e v="#N/A"/>
    <n v="2"/>
    <n v="150"/>
    <n v="0"/>
    <n v="23000"/>
    <n v="0"/>
    <n v="0"/>
    <n v="10"/>
    <s v="Médio II"/>
    <m/>
    <s v=""/>
    <s v=""/>
    <m/>
    <m/>
    <m/>
    <m/>
    <m/>
    <m/>
    <n v="150"/>
    <n v="50"/>
    <n v="400"/>
    <n v="-2"/>
    <m/>
    <m/>
    <s v="Sim"/>
    <m/>
  </r>
  <r>
    <n v="293"/>
    <s v="PVP"/>
    <s v="Rua Padre Reus, 1555"/>
    <n v="-30.007552409999999"/>
    <n v="-50.14582124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2999999999999918E-2"/>
    <n v="1.6666666666666665"/>
    <s v="-"/>
    <n v="10.33"/>
    <n v="0.48"/>
    <m/>
    <m/>
    <m/>
    <m/>
    <s v="ATENDE"/>
    <s v="ATENDE"/>
    <s v="ATENDE"/>
    <s v="ATENDE"/>
    <s v="C4"/>
    <s v="-"/>
    <e v="#VALUE!"/>
    <n v="8.2200000000000006"/>
    <n v="3.52"/>
    <s v="-"/>
    <s v="-"/>
    <s v="-"/>
    <s v="-"/>
    <s v="-"/>
    <s v="P6"/>
    <n v="0.99"/>
    <n v="5.97"/>
    <n v="3.1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93"/>
    <s v="PVP"/>
    <s v="Rua Padre Reus, 1555"/>
    <n v="-30.007552409999999"/>
    <n v="-50.14582124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900000000000004"/>
    <n v="2.4444444444444446"/>
    <s v="-"/>
    <n v="11.69"/>
    <n v="0.62"/>
    <m/>
    <m/>
    <m/>
    <m/>
    <s v="ATENDE"/>
    <s v="ATENDE"/>
    <s v="ATENDE"/>
    <s v="ATENDE"/>
    <s v="C4"/>
    <s v="-"/>
    <e v="#VALUE!"/>
    <n v="9.52"/>
    <n v="4.7300000000000004"/>
    <s v="-"/>
    <s v="-"/>
    <s v="-"/>
    <s v="-"/>
    <s v="-"/>
    <s v="P6"/>
    <n v="1.0733333333333333"/>
    <n v="6.22"/>
    <n v="3.97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93"/>
    <s v="PVP"/>
    <s v="Rua Padre Reus, 1555"/>
    <n v="-30.007552409999999"/>
    <n v="-50.145821249999997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800000000000006"/>
    <n v="1.9444444444444446"/>
    <s v="-"/>
    <n v="13.18"/>
    <n v="0.53"/>
    <m/>
    <m/>
    <m/>
    <m/>
    <s v="ATENDE"/>
    <s v="ATENDE"/>
    <s v="ATENDE"/>
    <s v="ATENDE"/>
    <s v="C4"/>
    <s v="-"/>
    <e v="#VALUE!"/>
    <n v="10.039999999999999"/>
    <n v="5.12"/>
    <s v="-"/>
    <s v="-"/>
    <s v="-"/>
    <s v="-"/>
    <s v="-"/>
    <s v="P6"/>
    <n v="0.75333333333333319"/>
    <n v="5.26"/>
    <n v="3.0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4"/>
    <s v="PVP"/>
    <s v="Rua Eleodoro Franzen, 848"/>
    <n v="-30.007494260000001"/>
    <n v="-50.15165234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6"/>
    <n v="7"/>
    <n v="1"/>
    <n v="2.5"/>
    <n v="1.3"/>
    <n v="-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4000000000000039E-2"/>
    <n v="1.2777777777777777"/>
    <s v="-"/>
    <n v="10.44"/>
    <n v="0.41"/>
    <m/>
    <m/>
    <m/>
    <m/>
    <s v="ATENDE"/>
    <s v="ATENDE"/>
    <s v="ATENDE"/>
    <s v="ATENDE"/>
    <s v="C4"/>
    <s v="-"/>
    <e v="#VALUE!"/>
    <n v="13.02"/>
    <n v="5.22"/>
    <s v="-"/>
    <s v="-"/>
    <s v="-"/>
    <s v="-"/>
    <s v="-"/>
    <s v="-"/>
    <e v="#VALUE!"/>
    <n v="4.3099999999999996"/>
    <n v="2.61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4"/>
    <s v="PVP"/>
    <s v="Rua Eleodoro Franzen, 848"/>
    <n v="-30.007494260000001"/>
    <n v="-50.15165234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6"/>
    <n v="7"/>
    <n v="1"/>
    <n v="2.5"/>
    <n v="1.3"/>
    <n v="-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4999999999999996"/>
    <n v="2.1111111111111116"/>
    <s v="-"/>
    <n v="14.5"/>
    <n v="0.56000000000000005"/>
    <m/>
    <m/>
    <m/>
    <m/>
    <s v="ATENDE"/>
    <s v="ATENDE"/>
    <s v="ATENDE"/>
    <s v="ATENDE"/>
    <s v="C4"/>
    <s v="-"/>
    <e v="#VALUE!"/>
    <n v="17.920000000000002"/>
    <n v="9.0500000000000007"/>
    <s v="-"/>
    <s v="-"/>
    <s v="-"/>
    <s v="-"/>
    <s v="-"/>
    <s v="-"/>
    <e v="#VALUE!"/>
    <n v="4.82"/>
    <n v="2.44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94"/>
    <s v="PVP"/>
    <s v="Rua Eleodoro Franzen, 848"/>
    <n v="-30.007494260000001"/>
    <n v="-50.151652349999999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6"/>
    <n v="7"/>
    <n v="1"/>
    <n v="2.5"/>
    <n v="1.3"/>
    <n v="-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2999999999999954E-2"/>
    <n v="1.6111111111111112"/>
    <s v="-"/>
    <n v="10.73"/>
    <n v="0.47"/>
    <m/>
    <m/>
    <m/>
    <m/>
    <s v="ATENDE"/>
    <s v="ATENDE"/>
    <s v="ATENDE"/>
    <s v="ATENDE"/>
    <s v="C4"/>
    <s v="-"/>
    <e v="#VALUE!"/>
    <n v="13.45"/>
    <n v="6.59"/>
    <s v="-"/>
    <s v="-"/>
    <s v="-"/>
    <s v="-"/>
    <s v="-"/>
    <s v="-"/>
    <e v="#VALUE!"/>
    <n v="3.3"/>
    <n v="2.1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5"/>
    <s v="Curto II"/>
    <m/>
    <s v=""/>
    <s v=""/>
    <m/>
    <m/>
    <m/>
    <m/>
    <m/>
    <m/>
    <n v="40"/>
    <n v="100"/>
    <n v="140"/>
    <n v="0.6"/>
    <m/>
    <m/>
    <s v="Sim"/>
    <m/>
  </r>
  <r>
    <n v="295"/>
    <s v="PVP"/>
    <s v="Rua Eleodoro Franzen, 624"/>
    <n v="-30.005127040000001"/>
    <n v="-50.150485959999997"/>
    <s v="C4"/>
    <x v="0"/>
    <s v="P6"/>
    <s v="Vapor metálic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5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3"/>
    <n v="1"/>
    <s v="-"/>
    <n v="10.02"/>
    <n v="0.36"/>
    <m/>
    <m/>
    <m/>
    <m/>
    <s v="ATENDE"/>
    <s v="ATENDE"/>
    <s v="ATENDE"/>
    <s v="ATENDE"/>
    <s v="C4"/>
    <s v="P6"/>
    <n v="1.8466666666666662"/>
    <n v="8.5399999999999991"/>
    <n v="2.83"/>
    <n v="3"/>
    <n v="0.6"/>
    <s v="ATENDE"/>
    <s v="ATENDE"/>
    <s v="ATENDE"/>
    <s v="P6"/>
    <n v="0.68333333333333335"/>
    <n v="5.05"/>
    <n v="2.430000000000000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5"/>
    <s v="PVP"/>
    <s v="Rua Eleodoro Franzen, 624"/>
    <n v="-30.005127040000001"/>
    <n v="-50.150485959999997"/>
    <s v="C4"/>
    <x v="0"/>
    <s v="P6"/>
    <s v="Vapor metálic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5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500000000000002"/>
    <n v="1.3333333333333335"/>
    <s v="-"/>
    <n v="13.95"/>
    <n v="0.42"/>
    <m/>
    <m/>
    <m/>
    <m/>
    <s v="ATENDE"/>
    <s v="ATENDE"/>
    <s v="ATENDE"/>
    <s v="ATENDE"/>
    <s v="C4"/>
    <s v="P6"/>
    <n v="2.7266666666666666"/>
    <n v="11.18"/>
    <n v="2.86"/>
    <n v="3"/>
    <n v="0.6"/>
    <s v="ATENDE"/>
    <s v="ATENDE"/>
    <s v="ATENDE"/>
    <s v="P6"/>
    <n v="1.1033333333333331"/>
    <n v="6.31"/>
    <n v="4.24"/>
    <n v="3"/>
    <n v="0.6"/>
    <s v="ATENDE"/>
    <s v="ATENDE"/>
    <s v="ATENDE"/>
    <x v="1"/>
    <s v="SX-INEVO050HF"/>
    <s v="SXINEVO050K40L12CZF7PHF"/>
    <m/>
    <n v="0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295"/>
    <s v="PVP"/>
    <s v="Rua Eleodoro Franzen, 624"/>
    <n v="-30.005127040000001"/>
    <n v="-50.150485959999997"/>
    <s v="C4"/>
    <x v="0"/>
    <s v="P6"/>
    <s v="Vapor metálic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5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0.72222222222222232"/>
    <s v="-"/>
    <n v="10.51"/>
    <n v="0.31"/>
    <m/>
    <m/>
    <m/>
    <m/>
    <s v="ATENDE"/>
    <s v="ATENDE"/>
    <s v="ATENDE"/>
    <s v="ATENDE"/>
    <s v="C4"/>
    <s v="P6"/>
    <n v="1.8399999999999999"/>
    <n v="8.52"/>
    <n v="2.66"/>
    <n v="3"/>
    <n v="0.6"/>
    <s v="ATENDE"/>
    <s v="ATENDE"/>
    <s v="ATENDE"/>
    <s v="P6"/>
    <n v="2.6666666666666616E-2"/>
    <n v="3.08"/>
    <n v="1.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296"/>
    <s v="PVP"/>
    <s v="Rua Franca, 102"/>
    <n v="-30.000870500000001"/>
    <n v="-50.154624740000003"/>
    <s v="C4"/>
    <x v="0"/>
    <s v="P6"/>
    <s v="LED"/>
    <n v="50"/>
    <n v="0"/>
    <n v="0"/>
    <n v="100"/>
    <n v="2"/>
    <n v="2"/>
    <n v="7.5"/>
    <m/>
    <m/>
    <n v="0"/>
    <n v="2"/>
    <n v="0"/>
    <n v="0"/>
    <n v="0"/>
    <n v="0"/>
    <n v="0"/>
    <s v="Unilateral"/>
    <s v="Braço"/>
    <n v="33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4999999999999964E-2"/>
    <n v="1.2222222222222223"/>
    <s v="-"/>
    <n v="10.85"/>
    <n v="0.4"/>
    <m/>
    <m/>
    <m/>
    <m/>
    <s v="ATENDE"/>
    <s v="ATENDE"/>
    <s v="ATENDE"/>
    <s v="ATENDE"/>
    <s v="C4"/>
    <s v="P6"/>
    <n v="2.2333333333333329"/>
    <n v="9.6999999999999993"/>
    <n v="3.58"/>
    <n v="3"/>
    <n v="0.6"/>
    <s v="ATENDE"/>
    <s v="ATENDE"/>
    <s v="ATENDE"/>
    <s v="P6"/>
    <n v="1.0666666666666669"/>
    <n v="6.2"/>
    <n v="3.21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296"/>
    <s v="PVP"/>
    <s v="Rua Franca, 102"/>
    <n v="-30.000870500000001"/>
    <n v="-50.154624740000003"/>
    <s v="C4"/>
    <x v="0"/>
    <s v="P6"/>
    <s v="LED"/>
    <n v="50"/>
    <n v="0"/>
    <n v="0"/>
    <n v="100"/>
    <n v="2"/>
    <n v="2"/>
    <n v="7.5"/>
    <m/>
    <m/>
    <n v="0"/>
    <n v="2"/>
    <n v="0"/>
    <n v="0"/>
    <n v="0"/>
    <n v="0"/>
    <n v="0"/>
    <s v="Unilateral"/>
    <s v="Braço"/>
    <n v="33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1000000000000139E-2"/>
    <n v="2.0000000000000004"/>
    <s v="-"/>
    <n v="10.31"/>
    <n v="0.54"/>
    <m/>
    <m/>
    <m/>
    <m/>
    <s v="ATENDE"/>
    <s v="ATENDE"/>
    <s v="ATENDE"/>
    <s v="ATENDE"/>
    <s v="C4"/>
    <s v="P6"/>
    <n v="2.0866666666666664"/>
    <n v="9.26"/>
    <n v="3.76"/>
    <n v="3"/>
    <n v="0.6"/>
    <s v="ATENDE"/>
    <s v="ATENDE"/>
    <s v="ATENDE"/>
    <s v="P6"/>
    <n v="0.67999999999999994"/>
    <n v="5.04"/>
    <n v="3.5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296"/>
    <s v="PVP"/>
    <s v="Rua Franca, 102"/>
    <n v="-30.000870500000001"/>
    <n v="-50.154624740000003"/>
    <s v="C4"/>
    <x v="0"/>
    <s v="P6"/>
    <s v="LED"/>
    <n v="50"/>
    <n v="0"/>
    <n v="0"/>
    <n v="100"/>
    <n v="2"/>
    <n v="2"/>
    <n v="7.5"/>
    <m/>
    <m/>
    <n v="0"/>
    <n v="2"/>
    <n v="0"/>
    <n v="0"/>
    <n v="0"/>
    <n v="0"/>
    <n v="0"/>
    <s v="Unilateral"/>
    <s v="Braço"/>
    <n v="33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00000000000002"/>
    <n v="1.2222222222222223"/>
    <s v="-"/>
    <n v="11.49"/>
    <n v="0.4"/>
    <m/>
    <m/>
    <m/>
    <m/>
    <s v="ATENDE"/>
    <s v="ATENDE"/>
    <s v="ATENDE"/>
    <s v="ATENDE"/>
    <s v="C4"/>
    <s v="P6"/>
    <n v="2.2766666666666668"/>
    <n v="9.83"/>
    <n v="3.99"/>
    <n v="3"/>
    <n v="0.6"/>
    <s v="ATENDE"/>
    <s v="ATENDE"/>
    <s v="ATENDE"/>
    <s v="P6"/>
    <n v="0.3899999999999999"/>
    <n v="4.17"/>
    <n v="2.25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50"/>
    <n v="90"/>
    <n v="0.19999999999999996"/>
    <m/>
    <m/>
    <s v="Sim"/>
    <m/>
  </r>
  <r>
    <n v="297"/>
    <s v="PVP"/>
    <s v="Rua Bolivia, 356"/>
    <n v="-30.00137295"/>
    <n v="-50.15723751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2000000000000011E-2"/>
    <n v="0.66666666666666674"/>
    <s v="-"/>
    <n v="10.119999999999999"/>
    <n v="0.3"/>
    <m/>
    <m/>
    <m/>
    <m/>
    <s v="ATENDE"/>
    <s v="ATENDE"/>
    <s v="ATENDE"/>
    <s v="ATENDE"/>
    <s v="C4"/>
    <s v="P6"/>
    <n v="1.75"/>
    <n v="8.25"/>
    <n v="2.27"/>
    <n v="3"/>
    <n v="0.6"/>
    <s v="ATENDE"/>
    <s v="ATENDE"/>
    <s v="ATENDE"/>
    <s v="P6"/>
    <n v="0.95"/>
    <n v="5.85"/>
    <n v="2.3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7"/>
    <s v="PVP"/>
    <s v="Rua Bolivia, 356"/>
    <n v="-30.00137295"/>
    <n v="-50.15723751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900000000000003"/>
    <n v="0.5555555555555558"/>
    <s v="-"/>
    <n v="14.09"/>
    <n v="0.28000000000000003"/>
    <m/>
    <m/>
    <m/>
    <m/>
    <s v="ATENDE"/>
    <s v="ATENDE"/>
    <s v="ATENDE"/>
    <s v="ATENDE"/>
    <s v="C4"/>
    <s v="P6"/>
    <n v="2.5866666666666664"/>
    <n v="10.76"/>
    <n v="1.66"/>
    <n v="3"/>
    <n v="0.6"/>
    <s v="ATENDE"/>
    <s v="ATENDE"/>
    <s v="ATENDE"/>
    <s v="P6"/>
    <n v="1.5766666666666667"/>
    <n v="7.73"/>
    <n v="4.139999999999999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97"/>
    <s v="PVP"/>
    <s v="Rua Bolivia, 356"/>
    <n v="-30.00137295"/>
    <n v="-50.157237510000002"/>
    <s v="C4"/>
    <x v="0"/>
    <s v="P6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2000000000000073E-2"/>
    <n v="0.16666666666666674"/>
    <s v="-"/>
    <n v="10.82"/>
    <n v="0.21"/>
    <m/>
    <m/>
    <m/>
    <m/>
    <s v="ATENDE"/>
    <s v="ATENDE"/>
    <s v="ATENDE"/>
    <s v="ATENDE"/>
    <s v="C4"/>
    <s v="P6"/>
    <n v="1.7333333333333329"/>
    <n v="8.1999999999999993"/>
    <n v="1.59"/>
    <n v="3"/>
    <n v="0.6"/>
    <s v="ATENDE"/>
    <s v="ATENDE"/>
    <s v="ATENDE"/>
    <s v="P6"/>
    <n v="0.34999999999999987"/>
    <n v="4.05"/>
    <n v="1.1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8"/>
    <s v="PVP"/>
    <s v="Rua Pernambuco, 1657"/>
    <n v="-30.001259449999999"/>
    <n v="-50.151004389999997"/>
    <s v="C5"/>
    <x v="0"/>
    <s v="P6"/>
    <s v="Vapor de sódio"/>
    <n v="150"/>
    <n v="22"/>
    <n v="0"/>
    <n v="300"/>
    <n v="2"/>
    <n v="3"/>
    <n v="8"/>
    <m/>
    <m/>
    <n v="0"/>
    <n v="3"/>
    <n v="0"/>
    <n v="0"/>
    <n v="0"/>
    <n v="0"/>
    <n v="0"/>
    <s v="Unilateral"/>
    <s v="Braço"/>
    <n v="31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93333333333332"/>
    <n v="1.3333333333333335"/>
    <s v="-"/>
    <n v="9.52"/>
    <n v="0.42"/>
    <m/>
    <m/>
    <m/>
    <m/>
    <s v="ATENDE"/>
    <s v="ATENDE"/>
    <s v="ATENDE"/>
    <s v="ATENDE"/>
    <s v="C5"/>
    <s v="P6"/>
    <n v="1.4933333333333336"/>
    <n v="7.48"/>
    <n v="2.92"/>
    <n v="3"/>
    <n v="0.6"/>
    <s v="ATENDE"/>
    <s v="ATENDE"/>
    <s v="ATENDE"/>
    <s v="P6"/>
    <n v="0.3600000000000001"/>
    <n v="4.08"/>
    <n v="2.0699999999999998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298"/>
    <s v="PVP"/>
    <s v="Rua Pernambuco, 1657"/>
    <n v="-30.001259449999999"/>
    <n v="-50.151004389999997"/>
    <s v="C5"/>
    <x v="0"/>
    <s v="P6"/>
    <s v="Vapor de sódio"/>
    <n v="150"/>
    <n v="22"/>
    <n v="0"/>
    <n v="300"/>
    <n v="2"/>
    <n v="3"/>
    <n v="8"/>
    <m/>
    <m/>
    <n v="0"/>
    <n v="3"/>
    <n v="0"/>
    <n v="0"/>
    <n v="0"/>
    <n v="0"/>
    <n v="0"/>
    <s v="Unilateral"/>
    <s v="Braço"/>
    <n v="31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199999999999995"/>
    <n v="1.7222222222222223"/>
    <s v="-"/>
    <n v="8.94"/>
    <n v="0.49"/>
    <m/>
    <m/>
    <m/>
    <m/>
    <s v="ATENDE"/>
    <s v="ATENDE"/>
    <s v="ATENDE"/>
    <s v="ATENDE"/>
    <s v="C5"/>
    <s v="P6"/>
    <n v="0.96333333333333315"/>
    <n v="5.89"/>
    <n v="1.1399999999999999"/>
    <n v="3"/>
    <n v="0.6"/>
    <s v="ATENDE"/>
    <s v="ATENDE"/>
    <s v="ATENDE"/>
    <s v="P6"/>
    <n v="0.35333333333333328"/>
    <n v="4.0599999999999996"/>
    <n v="2.56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5"/>
    <s v="Curto II"/>
    <m/>
    <s v=""/>
    <s v=""/>
    <m/>
    <m/>
    <m/>
    <m/>
    <m/>
    <m/>
    <n v="31"/>
    <n v="150"/>
    <n v="181"/>
    <n v="0.79333333333333333"/>
    <m/>
    <m/>
    <s v="Sim"/>
    <m/>
  </r>
  <r>
    <n v="298"/>
    <s v="PVP"/>
    <s v="Rua Pernambuco, 1657"/>
    <n v="-30.001259449999999"/>
    <n v="-50.151004389999997"/>
    <s v="C5"/>
    <x v="0"/>
    <s v="P6"/>
    <s v="Vapor de sódio"/>
    <n v="150"/>
    <n v="22"/>
    <n v="0"/>
    <n v="300"/>
    <n v="2"/>
    <n v="3"/>
    <n v="8"/>
    <m/>
    <m/>
    <n v="0"/>
    <n v="3"/>
    <n v="0"/>
    <n v="0"/>
    <n v="0"/>
    <n v="0"/>
    <n v="0"/>
    <s v="Unilateral"/>
    <s v="Braço"/>
    <n v="31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933333333333335"/>
    <n v="2.0000000000000004"/>
    <s v="-"/>
    <n v="8.92"/>
    <n v="0.54"/>
    <m/>
    <m/>
    <m/>
    <m/>
    <s v="ATENDE"/>
    <s v="ATENDE"/>
    <s v="ATENDE"/>
    <s v="ATENDE"/>
    <s v="C5"/>
    <s v="P6"/>
    <n v="1.29"/>
    <n v="6.87"/>
    <n v="3.37"/>
    <n v="3"/>
    <n v="0.6"/>
    <s v="ATENDE"/>
    <s v="ATENDE"/>
    <s v="ATENDE"/>
    <s v="P6"/>
    <n v="0"/>
    <n v="3"/>
    <n v="1.7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99"/>
    <s v="PVP"/>
    <s v="Rua Xavantes, 263"/>
    <n v="-29.997439400000001"/>
    <n v="-50.145535219999999"/>
    <s v="C4"/>
    <x v="0"/>
    <s v="P6"/>
    <s v="LED"/>
    <n v="50"/>
    <n v="0"/>
    <n v="0"/>
    <n v="100"/>
    <n v="2"/>
    <n v="2.5"/>
    <n v="8"/>
    <m/>
    <m/>
    <n v="0"/>
    <n v="2.5"/>
    <n v="0"/>
    <n v="0"/>
    <n v="0"/>
    <n v="0"/>
    <n v="0"/>
    <s v="Unilateral"/>
    <s v="Braço"/>
    <n v="34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500000000000016E-2"/>
    <n v="0.94444444444444442"/>
    <s v="-"/>
    <n v="10.55"/>
    <n v="0.35"/>
    <m/>
    <m/>
    <m/>
    <m/>
    <s v="ATENDE"/>
    <s v="ATENDE"/>
    <s v="ATENDE"/>
    <s v="ATENDE"/>
    <s v="C4"/>
    <s v="P6"/>
    <n v="1.9866666666666668"/>
    <n v="8.9600000000000009"/>
    <n v="2.98"/>
    <n v="3"/>
    <n v="0.6"/>
    <s v="ATENDE"/>
    <s v="ATENDE"/>
    <s v="ATENDE"/>
    <s v="P6"/>
    <n v="0.68666666666666654"/>
    <n v="5.0599999999999996"/>
    <n v="2.4700000000000002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299"/>
    <s v="PVP"/>
    <s v="Rua Xavantes, 263"/>
    <n v="-29.997439400000001"/>
    <n v="-50.145535219999999"/>
    <s v="C4"/>
    <x v="0"/>
    <s v="P6"/>
    <s v="LED"/>
    <n v="50"/>
    <n v="0"/>
    <n v="0"/>
    <n v="100"/>
    <n v="2"/>
    <n v="2.5"/>
    <n v="8"/>
    <m/>
    <m/>
    <n v="0"/>
    <n v="2.5"/>
    <n v="0"/>
    <n v="0"/>
    <n v="0"/>
    <n v="0"/>
    <n v="0"/>
    <s v="Unilateral"/>
    <s v="Braço"/>
    <n v="34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"/>
    <n v="1.6111111111111112"/>
    <s v="-"/>
    <n v="10"/>
    <n v="0.47"/>
    <m/>
    <m/>
    <m/>
    <m/>
    <s v="ATENDE"/>
    <s v="ATENDE"/>
    <s v="ATENDE"/>
    <s v="ATENDE"/>
    <s v="C4"/>
    <s v="P6"/>
    <n v="1.8166666666666664"/>
    <n v="8.4499999999999993"/>
    <n v="2.64"/>
    <n v="3"/>
    <n v="0.6"/>
    <s v="ATENDE"/>
    <s v="ATENDE"/>
    <s v="ATENDE"/>
    <s v="P6"/>
    <n v="0.20999999999999996"/>
    <n v="3.63"/>
    <n v="1.88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299"/>
    <s v="PVP"/>
    <s v="Rua Xavantes, 263"/>
    <n v="-29.997439400000001"/>
    <n v="-50.145535219999999"/>
    <s v="C4"/>
    <x v="0"/>
    <s v="P6"/>
    <s v="LED"/>
    <n v="50"/>
    <n v="0"/>
    <n v="0"/>
    <n v="100"/>
    <n v="2"/>
    <n v="2.5"/>
    <n v="8"/>
    <m/>
    <m/>
    <n v="0"/>
    <n v="2.5"/>
    <n v="0"/>
    <n v="0"/>
    <n v="0"/>
    <n v="0"/>
    <n v="0"/>
    <s v="Unilateral"/>
    <s v="Braço"/>
    <n v="34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199999999999987"/>
    <n v="1.0555555555555558"/>
    <s v="-"/>
    <n v="11.02"/>
    <n v="0.37"/>
    <m/>
    <m/>
    <m/>
    <m/>
    <s v="ATENDE"/>
    <s v="ATENDE"/>
    <s v="ATENDE"/>
    <s v="ATENDE"/>
    <s v="C4"/>
    <s v="P6"/>
    <n v="1.6633333333333336"/>
    <n v="7.99"/>
    <n v="2.09"/>
    <n v="3"/>
    <n v="0.6"/>
    <s v="ATENDE"/>
    <s v="ATENDE"/>
    <s v="ATENDE"/>
    <s v="P6"/>
    <n v="0.35666666666666669"/>
    <n v="4.07"/>
    <n v="2.3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n v="5"/>
    <s v="Curto II"/>
    <m/>
    <s v=""/>
    <s v=""/>
    <m/>
    <m/>
    <m/>
    <m/>
    <m/>
    <m/>
    <n v="40"/>
    <n v="50"/>
    <n v="90"/>
    <n v="0.19999999999999996"/>
    <m/>
    <m/>
    <s v="Sim"/>
    <m/>
  </r>
  <r>
    <n v="300"/>
    <s v="PVP"/>
    <s v="Rua Santa Catarina, 939"/>
    <n v="-30.009370929999999"/>
    <n v="-50.174031720000002"/>
    <s v="C4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5.6"/>
    <n v="6.8"/>
    <n v="1"/>
    <n v="0.6"/>
    <n v="0.6"/>
    <n v="0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999999999999996"/>
    <n v="0.16666666666666674"/>
    <s v="-"/>
    <n v="12"/>
    <n v="0.21"/>
    <m/>
    <m/>
    <m/>
    <m/>
    <s v="ATENDE"/>
    <s v="ATENDE"/>
    <s v="ATENDE"/>
    <s v="ATENDE"/>
    <s v="C4"/>
    <s v="P6"/>
    <n v="2.686666666666667"/>
    <n v="11.06"/>
    <n v="1.88"/>
    <n v="3"/>
    <n v="0.6"/>
    <s v="ATENDE"/>
    <s v="ATENDE"/>
    <s v="ATENDE"/>
    <s v="P6"/>
    <n v="0.9933333333333334"/>
    <n v="5.98"/>
    <n v="1.46"/>
    <n v="3"/>
    <n v="0.6"/>
    <s v="ATENDE"/>
    <s v="ATENDE"/>
    <s v="ATENDE"/>
    <x v="0"/>
    <s v=" SL VT 9.1 65W"/>
    <s v="LUM LED SL VT 9.1 65W"/>
    <m/>
    <n v="0"/>
    <n v="1"/>
    <n v="65"/>
    <n v="0"/>
    <n v="10496"/>
    <n v="0"/>
    <n v="0"/>
    <n v="5"/>
    <s v="Curto I"/>
    <m/>
    <s v=""/>
    <s v=""/>
    <m/>
    <m/>
    <m/>
    <m/>
    <m/>
    <m/>
    <n v="65"/>
    <n v="100"/>
    <n v="165"/>
    <n v="0.35"/>
    <m/>
    <m/>
    <s v="Sim"/>
    <m/>
  </r>
  <r>
    <n v="300"/>
    <s v="PVP"/>
    <s v="Rua Santa Catarina, 939"/>
    <n v="-30.009370929999999"/>
    <n v="-50.174031720000002"/>
    <s v="C4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5.6"/>
    <n v="6.8"/>
    <n v="1"/>
    <n v="0.6"/>
    <n v="0.6"/>
    <n v="0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2"/>
    <n v="5.555555555555558E-2"/>
    <s v="-"/>
    <n v="10.199999999999999"/>
    <n v="0.19"/>
    <m/>
    <m/>
    <m/>
    <m/>
    <s v="ATENDE"/>
    <s v="ATENDE"/>
    <s v="ATENDE"/>
    <s v="ATENDE"/>
    <s v="C4"/>
    <s v="P6"/>
    <n v="1.0833333333333335"/>
    <n v="6.25"/>
    <n v="0.83"/>
    <n v="3"/>
    <n v="0.6"/>
    <s v="ATENDE"/>
    <s v="ATENDE"/>
    <s v="ATENDE"/>
    <s v="P6"/>
    <n v="1.6799999999999997"/>
    <n v="8.0399999999999991"/>
    <n v="3.61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"/>
    <s v="Longo I"/>
    <n v="2.8"/>
    <n v="8"/>
    <m/>
    <m/>
    <m/>
    <m/>
    <m/>
    <m/>
    <n v="50"/>
    <n v="100"/>
    <n v="150"/>
    <n v="0.5"/>
    <m/>
    <m/>
    <s v="Sim"/>
    <m/>
  </r>
  <r>
    <n v="300"/>
    <s v="PVP"/>
    <s v="Rua Santa Catarina, 939"/>
    <n v="-30.009370929999999"/>
    <n v="-50.174031720000002"/>
    <s v="C4"/>
    <x v="0"/>
    <s v="P6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5.6"/>
    <n v="6.8"/>
    <n v="1"/>
    <n v="0.6"/>
    <n v="0.6"/>
    <n v="0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400000000000015"/>
    <n v="0"/>
    <s v="-"/>
    <n v="11.64"/>
    <n v="0.18"/>
    <m/>
    <m/>
    <m/>
    <m/>
    <s v="ATENDE"/>
    <s v="ATENDE"/>
    <s v="ATENDE"/>
    <s v="ATENDE"/>
    <s v="C4"/>
    <s v="P6"/>
    <n v="1.3166666666666669"/>
    <n v="6.95"/>
    <n v="1.38"/>
    <n v="3"/>
    <n v="0.6"/>
    <s v="ATENDE"/>
    <s v="ATENDE"/>
    <s v="ATENDE"/>
    <s v="P6"/>
    <n v="1.5033333333333334"/>
    <n v="7.51"/>
    <n v="1.99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m/>
    <s v="Curto I"/>
    <s v="Longo I"/>
    <n v="2.8"/>
    <n v="8"/>
    <m/>
    <m/>
    <m/>
    <m/>
    <m/>
    <m/>
    <n v="60"/>
    <n v="100"/>
    <n v="160"/>
    <n v="0.4"/>
    <m/>
    <m/>
    <s v="Sim"/>
    <m/>
  </r>
  <r>
    <n v="301"/>
    <s v="PVP"/>
    <s v="Rua Quarenta, 150"/>
    <n v="-29.99655332"/>
    <n v="-50.184397930000003"/>
    <s v="C5"/>
    <x v="0"/>
    <s v="P6"/>
    <s v="Vapor de sódio"/>
    <n v="150"/>
    <n v="22"/>
    <n v="0"/>
    <n v="300"/>
    <n v="2"/>
    <n v="1.5"/>
    <n v="6"/>
    <m/>
    <m/>
    <n v="0"/>
    <n v="1.5"/>
    <n v="0"/>
    <n v="0"/>
    <n v="0"/>
    <n v="0"/>
    <n v="0"/>
    <s v="Unilateral"/>
    <s v="Braço"/>
    <n v="33.4"/>
    <n v="6.7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2666666666666631E-2"/>
    <n v="0.94444444444444442"/>
    <s v="-"/>
    <n v="7.82"/>
    <n v="0.35"/>
    <m/>
    <m/>
    <m/>
    <m/>
    <s v="ATENDE"/>
    <s v="ATENDE"/>
    <s v="ATENDE"/>
    <s v="ATENDE"/>
    <s v="C5"/>
    <s v="P6"/>
    <n v="1.1466666666666669"/>
    <n v="6.44"/>
    <n v="2.25"/>
    <n v="3"/>
    <n v="0.6"/>
    <s v="ATENDE"/>
    <s v="ATENDE"/>
    <s v="ATENDE"/>
    <s v="P6"/>
    <n v="0.93666666666666654"/>
    <n v="5.81"/>
    <n v="2.5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301"/>
    <s v="PVP"/>
    <s v="Rua Quarenta, 150"/>
    <n v="-29.99655332"/>
    <n v="-50.184397930000003"/>
    <s v="C5"/>
    <x v="0"/>
    <s v="P6"/>
    <s v="Vapor de sódio"/>
    <n v="150"/>
    <n v="22"/>
    <n v="0"/>
    <n v="300"/>
    <n v="2"/>
    <n v="1.5"/>
    <n v="6"/>
    <m/>
    <m/>
    <n v="0"/>
    <n v="1.5"/>
    <n v="0"/>
    <n v="0"/>
    <n v="0"/>
    <n v="0"/>
    <n v="0"/>
    <s v="Unilateral"/>
    <s v="Braço"/>
    <n v="33.4"/>
    <n v="6.7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000000000000004"/>
    <n v="0.88888888888888906"/>
    <s v="-"/>
    <n v="9.75"/>
    <n v="0.34"/>
    <m/>
    <m/>
    <m/>
    <m/>
    <s v="ATENDE"/>
    <s v="ATENDE"/>
    <s v="ATENDE"/>
    <s v="ATENDE"/>
    <s v="C5"/>
    <s v="P6"/>
    <n v="1.5166666666666666"/>
    <n v="7.55"/>
    <n v="1.83"/>
    <n v="3"/>
    <n v="0.6"/>
    <s v="ATENDE"/>
    <s v="ATENDE"/>
    <s v="ATENDE"/>
    <s v="P6"/>
    <n v="1.3166666666666669"/>
    <n v="6.95"/>
    <n v="3.56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301"/>
    <s v="PVP"/>
    <s v="Rua Quarenta, 150"/>
    <n v="-29.99655332"/>
    <n v="-50.184397930000003"/>
    <s v="C5"/>
    <x v="0"/>
    <s v="P6"/>
    <s v="Vapor de sódio"/>
    <n v="150"/>
    <n v="22"/>
    <n v="0"/>
    <n v="300"/>
    <n v="2"/>
    <n v="1.5"/>
    <n v="6"/>
    <m/>
    <m/>
    <n v="0"/>
    <n v="1.5"/>
    <n v="0"/>
    <n v="0"/>
    <n v="0"/>
    <n v="0"/>
    <n v="0"/>
    <s v="Unilateral"/>
    <s v="Braço"/>
    <n v="33.4"/>
    <n v="6.7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466666666666685"/>
    <n v="1.3888888888888888"/>
    <s v="-"/>
    <n v="9.7100000000000009"/>
    <n v="0.43"/>
    <m/>
    <m/>
    <m/>
    <m/>
    <s v="ATENDE"/>
    <s v="ATENDE"/>
    <s v="ATENDE"/>
    <s v="ATENDE"/>
    <s v="C5"/>
    <s v="P6"/>
    <n v="1.5100000000000002"/>
    <n v="7.53"/>
    <n v="3.2"/>
    <n v="3"/>
    <n v="0.6"/>
    <s v="ATENDE"/>
    <s v="ATENDE"/>
    <s v="ATENDE"/>
    <s v="P6"/>
    <n v="1.0833333333333335"/>
    <n v="6.25"/>
    <n v="3.98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302"/>
    <s v="PVP"/>
    <s v="Rua Parque Janio, 682"/>
    <n v="-30.01173412"/>
    <n v="-50.16835854"/>
    <s v="C4"/>
    <x v="0"/>
    <s v="P6"/>
    <s v="Vapor de sódio"/>
    <n v="100"/>
    <n v="17"/>
    <n v="0"/>
    <n v="200"/>
    <n v="2"/>
    <n v="4"/>
    <n v="7"/>
    <m/>
    <m/>
    <n v="0"/>
    <n v="6"/>
    <n v="0"/>
    <n v="0"/>
    <n v="0"/>
    <n v="0"/>
    <n v="0"/>
    <s v="Unilateral"/>
    <s v="Braço"/>
    <n v="36.200000000000003"/>
    <n v="6"/>
    <n v="1"/>
    <n v="0.5"/>
    <n v="0.7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999999999999956E-2"/>
    <n v="0.5555555555555558"/>
    <s v="-"/>
    <n v="10.75"/>
    <n v="0.28000000000000003"/>
    <m/>
    <m/>
    <m/>
    <m/>
    <s v="ATENDE"/>
    <s v="ATENDE"/>
    <s v="ATENDE"/>
    <s v="ATENDE"/>
    <s v="C4"/>
    <s v="P6"/>
    <n v="1.8066666666666666"/>
    <n v="8.42"/>
    <n v="1.51"/>
    <n v="3"/>
    <n v="0.6"/>
    <s v="ATENDE"/>
    <s v="ATENDE"/>
    <s v="ATENDE"/>
    <s v="-"/>
    <e v="#VALUE!"/>
    <n v="3.39"/>
    <n v="1.21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n v="5"/>
    <s v="Curto I"/>
    <m/>
    <s v=""/>
    <s v=""/>
    <m/>
    <m/>
    <m/>
    <m/>
    <m/>
    <m/>
    <n v="44"/>
    <n v="100"/>
    <n v="144"/>
    <n v="0.56000000000000005"/>
    <m/>
    <m/>
    <s v="Sim"/>
    <m/>
  </r>
  <r>
    <n v="302"/>
    <s v="PVP"/>
    <s v="Rua Parque Janio, 682"/>
    <n v="-30.01173412"/>
    <n v="-50.16835854"/>
    <s v="C4"/>
    <x v="0"/>
    <s v="P6"/>
    <s v="Vapor de sódio"/>
    <n v="100"/>
    <n v="17"/>
    <n v="0"/>
    <n v="200"/>
    <n v="2"/>
    <n v="4"/>
    <n v="7"/>
    <m/>
    <m/>
    <n v="0"/>
    <n v="6"/>
    <n v="0"/>
    <n v="0"/>
    <n v="0"/>
    <n v="0"/>
    <n v="0"/>
    <s v="Unilateral"/>
    <s v="Braço"/>
    <n v="36.200000000000003"/>
    <n v="6"/>
    <n v="1"/>
    <n v="0.5"/>
    <n v="0.7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5109999999999999"/>
    <n v="0.38888888888888884"/>
    <s v="-"/>
    <n v="15.11"/>
    <n v="0.25"/>
    <m/>
    <m/>
    <m/>
    <m/>
    <s v="ATENDE"/>
    <s v="ATENDE"/>
    <s v="ATENDE"/>
    <s v="ATENDE"/>
    <s v="C4"/>
    <s v="P6"/>
    <n v="2.7899999999999996"/>
    <n v="11.37"/>
    <n v="0.64"/>
    <n v="3"/>
    <n v="0.6"/>
    <s v="ATENDE"/>
    <s v="ATENDE"/>
    <s v="ATENDE"/>
    <s v="-"/>
    <e v="#VALUE!"/>
    <n v="3.2"/>
    <n v="0.61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n v="2"/>
    <s v="Curto I"/>
    <m/>
    <s v=""/>
    <s v=""/>
    <m/>
    <m/>
    <m/>
    <m/>
    <m/>
    <m/>
    <n v="50"/>
    <n v="100"/>
    <n v="150"/>
    <n v="0.5"/>
    <m/>
    <m/>
    <s v="Sim"/>
    <m/>
  </r>
  <r>
    <n v="302"/>
    <s v="PVP"/>
    <s v="Rua Parque Janio, 682"/>
    <n v="-30.01173412"/>
    <n v="-50.16835854"/>
    <s v="C4"/>
    <x v="0"/>
    <s v="P6"/>
    <s v="Vapor de sódio"/>
    <n v="100"/>
    <n v="17"/>
    <n v="0"/>
    <n v="200"/>
    <n v="2"/>
    <n v="4"/>
    <n v="7"/>
    <m/>
    <m/>
    <n v="0"/>
    <n v="6"/>
    <n v="0"/>
    <n v="0"/>
    <n v="0"/>
    <n v="0"/>
    <n v="0"/>
    <s v="Unilateral"/>
    <s v="Braço"/>
    <n v="36.200000000000003"/>
    <n v="6"/>
    <n v="1"/>
    <n v="0.5"/>
    <n v="0.7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800000000000012"/>
    <n v="5.555555555555558E-2"/>
    <s v="-"/>
    <n v="11.38"/>
    <n v="0.19"/>
    <m/>
    <m/>
    <m/>
    <m/>
    <s v="ATENDE"/>
    <s v="ATENDE"/>
    <s v="ATENDE"/>
    <s v="ATENDE"/>
    <s v="C4"/>
    <s v="P6"/>
    <n v="1.1533333333333333"/>
    <n v="6.46"/>
    <n v="0.68"/>
    <n v="3"/>
    <n v="0.6"/>
    <s v="ATENDE"/>
    <s v="ATENDE"/>
    <s v="ATENDE"/>
    <s v="-"/>
    <e v="#VALUE!"/>
    <n v="3.17"/>
    <n v="0.65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6"/>
    <s v="Curto I"/>
    <s v="Curto II"/>
    <n v="1.4"/>
    <n v="6.5"/>
    <m/>
    <m/>
    <m/>
    <m/>
    <m/>
    <m/>
    <n v="40"/>
    <n v="100"/>
    <n v="140"/>
    <n v="0.6"/>
    <m/>
    <m/>
    <s v="Sim"/>
    <m/>
  </r>
  <r>
    <n v="303"/>
    <s v="PVP"/>
    <s v="Rua Parque Janio, 730"/>
    <n v="-30.012711199999998"/>
    <n v="-50.168695939999999"/>
    <s v="C5"/>
    <x v="0"/>
    <s v="P6"/>
    <s v="Vapor de sódio"/>
    <n v="150"/>
    <n v="22"/>
    <n v="0"/>
    <n v="300"/>
    <n v="2"/>
    <n v="4"/>
    <n v="7"/>
    <m/>
    <m/>
    <n v="0"/>
    <n v="4"/>
    <n v="0"/>
    <n v="0"/>
    <n v="0"/>
    <n v="0"/>
    <n v="0"/>
    <s v="Unilateral"/>
    <s v="Braço"/>
    <n v="32.700000000000003"/>
    <n v="7"/>
    <n v="1"/>
    <n v="1.5"/>
    <n v="2.2999999999999998"/>
    <n v="0.7999999999999998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666666666666661"/>
    <n v="1.3333333333333335"/>
    <s v="-"/>
    <n v="9.5"/>
    <n v="0.42"/>
    <m/>
    <m/>
    <m/>
    <m/>
    <s v="ATENDE"/>
    <s v="ATENDE"/>
    <s v="ATENDE"/>
    <s v="ATENDE"/>
    <s v="C5"/>
    <s v="P6"/>
    <n v="1.2533333333333334"/>
    <n v="6.76"/>
    <n v="2.33"/>
    <n v="3"/>
    <n v="0.6"/>
    <s v="ATENDE"/>
    <s v="ATENDE"/>
    <s v="ATENDE"/>
    <s v="P6"/>
    <n v="0.44666666666666655"/>
    <n v="4.34"/>
    <n v="1.8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Médio II"/>
    <m/>
    <s v=""/>
    <s v=""/>
    <m/>
    <m/>
    <m/>
    <m/>
    <m/>
    <m/>
    <n v="35"/>
    <n v="150"/>
    <n v="185"/>
    <n v="0.76666666666666661"/>
    <m/>
    <m/>
    <s v="Sim"/>
    <m/>
  </r>
  <r>
    <n v="303"/>
    <s v="PVP"/>
    <s v="Rua Parque Janio, 730"/>
    <n v="-30.012711199999998"/>
    <n v="-50.168695939999999"/>
    <s v="C5"/>
    <x v="0"/>
    <s v="P6"/>
    <s v="Vapor de sódio"/>
    <n v="150"/>
    <n v="22"/>
    <n v="0"/>
    <n v="300"/>
    <n v="2"/>
    <n v="4"/>
    <n v="7"/>
    <m/>
    <m/>
    <n v="0"/>
    <n v="4"/>
    <n v="0"/>
    <n v="0"/>
    <n v="0"/>
    <n v="0"/>
    <n v="0"/>
    <s v="Unilateral"/>
    <s v="Braço"/>
    <n v="32.700000000000003"/>
    <n v="7"/>
    <n v="1"/>
    <n v="1.5"/>
    <n v="2.2999999999999998"/>
    <n v="0.7999999999999998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266666666666657"/>
    <n v="1.6666666666666665"/>
    <s v="-"/>
    <n v="9.17"/>
    <n v="0.48"/>
    <m/>
    <m/>
    <m/>
    <m/>
    <s v="ATENDE"/>
    <s v="ATENDE"/>
    <s v="ATENDE"/>
    <s v="ATENDE"/>
    <s v="C5"/>
    <s v="P6"/>
    <n v="1.0100000000000002"/>
    <n v="6.03"/>
    <n v="1.17"/>
    <n v="3"/>
    <n v="0.6"/>
    <s v="ATENDE"/>
    <s v="ATENDE"/>
    <s v="ATENDE"/>
    <s v="P6"/>
    <n v="0.10333333333333328"/>
    <n v="3.31"/>
    <n v="1.2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Médio II"/>
    <m/>
    <s v=""/>
    <s v=""/>
    <m/>
    <m/>
    <m/>
    <m/>
    <m/>
    <m/>
    <n v="31"/>
    <n v="150"/>
    <n v="181"/>
    <n v="0.79333333333333333"/>
    <m/>
    <m/>
    <s v="Sim"/>
    <m/>
  </r>
  <r>
    <n v="303"/>
    <s v="PVP"/>
    <s v="Rua Parque Janio, 730"/>
    <n v="-30.012711199999998"/>
    <n v="-50.168695939999999"/>
    <s v="C5"/>
    <x v="0"/>
    <s v="P6"/>
    <s v="Vapor de sódio"/>
    <n v="150"/>
    <n v="22"/>
    <n v="0"/>
    <n v="300"/>
    <n v="2"/>
    <n v="4"/>
    <n v="7"/>
    <m/>
    <m/>
    <n v="0"/>
    <n v="4"/>
    <n v="0"/>
    <n v="0"/>
    <n v="0"/>
    <n v="0"/>
    <n v="0"/>
    <s v="Unilateral"/>
    <s v="Braço"/>
    <n v="32.700000000000003"/>
    <n v="7"/>
    <n v="1"/>
    <n v="1.5"/>
    <n v="2.2999999999999998"/>
    <n v="0.7999999999999998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133333333333336"/>
    <n v="2.0555555555555558"/>
    <s v="-"/>
    <n v="9.01"/>
    <n v="0.55000000000000004"/>
    <m/>
    <m/>
    <m/>
    <m/>
    <s v="ATENDE"/>
    <s v="ATENDE"/>
    <s v="ATENDE"/>
    <s v="ATENDE"/>
    <s v="C5"/>
    <s v="P6"/>
    <n v="1.0766666666666667"/>
    <n v="6.23"/>
    <n v="2.59"/>
    <n v="3"/>
    <n v="0.6"/>
    <s v="ATENDE"/>
    <s v="ATENDE"/>
    <s v="ATENDE"/>
    <s v="P6"/>
    <n v="8.3333333333333259E-2"/>
    <n v="3.25"/>
    <n v="1.6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/A"/>
    <n v="5266"/>
    <e v="#N/A"/>
    <n v="0"/>
    <m/>
    <s v="Médio II"/>
    <m/>
    <s v=""/>
    <s v=""/>
    <m/>
    <m/>
    <m/>
    <m/>
    <m/>
    <m/>
    <n v="30"/>
    <n v="150"/>
    <n v="180"/>
    <n v="0.8"/>
    <m/>
    <m/>
    <s v="Sim"/>
    <m/>
  </r>
  <r>
    <n v="304"/>
    <s v="PVP"/>
    <s v="Rua Octavio Rodolfo dos Santos, 1988"/>
    <n v="-30.01668394"/>
    <n v="-50.175423430000002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42.2"/>
    <n v="6.8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333333333333423E-2"/>
    <n v="0"/>
    <s v="-"/>
    <n v="7.63"/>
    <n v="0.18"/>
    <m/>
    <m/>
    <m/>
    <m/>
    <s v="ATENDE"/>
    <s v="ATENDE"/>
    <s v="ATENDE"/>
    <s v="ATENDE"/>
    <s v="C5"/>
    <s v="P6"/>
    <n v="1.0233333333333334"/>
    <n v="6.07"/>
    <n v="0.81"/>
    <n v="3"/>
    <n v="0.6"/>
    <s v="ATENDE"/>
    <s v="ATENDE"/>
    <s v="ATENDE"/>
    <s v="P6"/>
    <n v="0.55666666666666664"/>
    <n v="4.67"/>
    <n v="1.0900000000000001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4"/>
    <s v="PVP"/>
    <s v="Rua Octavio Rodolfo dos Santos, 1988"/>
    <n v="-30.01668394"/>
    <n v="-50.175423430000002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42.2"/>
    <n v="6.8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333333333333332"/>
    <n v="5.555555555555558E-2"/>
    <s v="-"/>
    <n v="8.65"/>
    <n v="0.19"/>
    <m/>
    <m/>
    <m/>
    <m/>
    <s v="ATENDE"/>
    <s v="ATENDE"/>
    <s v="ATENDE"/>
    <s v="ATENDE"/>
    <s v="C5"/>
    <s v="P6"/>
    <n v="1.3433333333333333"/>
    <n v="7.03"/>
    <n v="0.82"/>
    <n v="3"/>
    <n v="0.6"/>
    <s v="ATENDE"/>
    <s v="ATENDE"/>
    <s v="ATENDE"/>
    <s v="P6"/>
    <n v="0.64666666666666672"/>
    <n v="4.9400000000000004"/>
    <n v="1.4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304"/>
    <s v="PVP"/>
    <s v="Rua Octavio Rodolfo dos Santos, 1988"/>
    <n v="-30.01668394"/>
    <n v="-50.175423430000002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42.2"/>
    <n v="6.8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199999999999998"/>
    <n v="-5.5555555555555469E-2"/>
    <s v="-"/>
    <n v="9.24"/>
    <n v="0.17"/>
    <m/>
    <m/>
    <m/>
    <m/>
    <s v="ATENDE"/>
    <s v="ATENDE"/>
    <s v="ATENDIMENTO LIMIAR"/>
    <s v="ATENDE"/>
    <s v="C5"/>
    <s v="P6"/>
    <n v="0.90333333333333332"/>
    <n v="5.71"/>
    <n v="1.1000000000000001"/>
    <n v="3"/>
    <n v="0.6"/>
    <s v="ATENDE"/>
    <s v="ATENDE"/>
    <s v="ATENDE"/>
    <s v="P6"/>
    <n v="0.97333333333333338"/>
    <n v="5.92"/>
    <n v="1.3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Médio II"/>
    <n v="2.4"/>
    <n v="7.5"/>
    <m/>
    <m/>
    <m/>
    <m/>
    <m/>
    <m/>
    <n v="40"/>
    <n v="100"/>
    <n v="140"/>
    <n v="0.6"/>
    <m/>
    <m/>
    <s v="Sim"/>
    <m/>
  </r>
  <r>
    <n v="305"/>
    <s v="PVP"/>
    <s v="Rua Onze, 57"/>
    <n v="-29.981011720000001"/>
    <n v="-50.210250930000001"/>
    <s v="C4"/>
    <x v="0"/>
    <s v="P6"/>
    <s v="Vapor de sódio"/>
    <n v="100"/>
    <n v="17"/>
    <n v="0"/>
    <n v="200"/>
    <n v="2"/>
    <n v="1.5"/>
    <n v="7"/>
    <m/>
    <m/>
    <n v="0"/>
    <n v="1.5"/>
    <n v="0"/>
    <n v="0"/>
    <n v="0"/>
    <n v="0"/>
    <n v="0"/>
    <s v="Unilateral"/>
    <s v="Braço"/>
    <n v="28.1"/>
    <n v="6.8"/>
    <n v="1"/>
    <n v="1.3"/>
    <n v="1.5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000000000000085E-2"/>
    <n v="1.6666666666666665"/>
    <s v="-"/>
    <n v="10.96"/>
    <n v="0.48"/>
    <m/>
    <m/>
    <m/>
    <m/>
    <s v="ATENDE"/>
    <s v="ATENDE"/>
    <s v="ATENDE"/>
    <s v="ATENDE"/>
    <s v="C4"/>
    <s v="P6"/>
    <n v="2.7100000000000004"/>
    <n v="11.13"/>
    <n v="5.34"/>
    <n v="3"/>
    <n v="0.6"/>
    <s v="ATENDE"/>
    <s v="ATENDE"/>
    <s v="ATENDE"/>
    <s v="P6"/>
    <n v="0.93333333333333335"/>
    <n v="5.8"/>
    <n v="3.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5"/>
    <s v="PVP"/>
    <s v="Rua Onze, 57"/>
    <n v="-29.981011720000001"/>
    <n v="-50.210250930000001"/>
    <s v="C4"/>
    <x v="0"/>
    <s v="P6"/>
    <s v="Vapor de sódio"/>
    <n v="100"/>
    <n v="17"/>
    <n v="0"/>
    <n v="200"/>
    <n v="2"/>
    <n v="1.5"/>
    <n v="7"/>
    <m/>
    <m/>
    <n v="0"/>
    <n v="1.5"/>
    <n v="0"/>
    <n v="0"/>
    <n v="0"/>
    <n v="0"/>
    <n v="0"/>
    <s v="Unilateral"/>
    <s v="Braço"/>
    <n v="28.1"/>
    <n v="6.8"/>
    <n v="1"/>
    <n v="1.3"/>
    <n v="1.5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7000000000000153E-2"/>
    <n v="2.3333333333333335"/>
    <s v="-"/>
    <n v="10.47"/>
    <n v="0.6"/>
    <m/>
    <m/>
    <m/>
    <m/>
    <s v="ATENDE"/>
    <s v="ATENDE"/>
    <s v="ATENDE"/>
    <s v="ATENDE"/>
    <s v="C4"/>
    <s v="P6"/>
    <n v="2.5866666666666664"/>
    <n v="10.76"/>
    <n v="5.76"/>
    <n v="3"/>
    <n v="0.6"/>
    <s v="ATENDE"/>
    <s v="ATENDE"/>
    <s v="ATENDE"/>
    <s v="P6"/>
    <n v="0.51"/>
    <n v="4.53"/>
    <n v="3.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05"/>
    <s v="PVP"/>
    <s v="Rua Onze, 57"/>
    <n v="-29.981011720000001"/>
    <n v="-50.210250930000001"/>
    <s v="C4"/>
    <x v="0"/>
    <s v="P6"/>
    <s v="Vapor de sódio"/>
    <n v="100"/>
    <n v="17"/>
    <n v="0"/>
    <n v="200"/>
    <n v="2"/>
    <n v="1.5"/>
    <n v="7"/>
    <m/>
    <m/>
    <n v="0"/>
    <n v="1.5"/>
    <n v="0"/>
    <n v="0"/>
    <n v="0"/>
    <n v="0"/>
    <n v="0"/>
    <s v="Unilateral"/>
    <s v="Braço"/>
    <n v="28.1"/>
    <n v="6.8"/>
    <n v="1"/>
    <n v="1.3"/>
    <n v="1.5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200000000000002E-2"/>
    <n v="2.1666666666666665"/>
    <s v="-"/>
    <n v="10.220000000000001"/>
    <n v="0.56999999999999995"/>
    <m/>
    <m/>
    <m/>
    <m/>
    <s v="ATENDE"/>
    <s v="ATENDE"/>
    <s v="ATENDE"/>
    <s v="ATENDE"/>
    <s v="C4"/>
    <s v="P6"/>
    <n v="2.5733333333333337"/>
    <n v="10.72"/>
    <n v="6.32"/>
    <n v="3"/>
    <n v="0.6"/>
    <s v="ATENDE"/>
    <s v="ATENDE"/>
    <s v="ATENDE"/>
    <s v="P6"/>
    <n v="0.44333333333333336"/>
    <n v="4.33"/>
    <n v="3.3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06"/>
    <s v="PVP"/>
    <s v="Rua Bruno Oscar Koetz, 1102"/>
    <n v="-30.009985369999999"/>
    <n v="-50.1703641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6"/>
    <n v="7.3"/>
    <n v="1"/>
    <n v="0.2"/>
    <n v="1.7"/>
    <n v="1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733333333333334"/>
    <n v="1.166666666666667"/>
    <s v="-"/>
    <n v="8.83"/>
    <n v="0.39"/>
    <m/>
    <m/>
    <m/>
    <m/>
    <s v="ATENDE"/>
    <s v="ATENDE"/>
    <s v="ATENDE"/>
    <s v="ATENDE"/>
    <s v="C5"/>
    <s v="P6"/>
    <n v="1.2399999999999998"/>
    <n v="6.72"/>
    <n v="2.54"/>
    <n v="3"/>
    <n v="0.6"/>
    <s v="ATENDE"/>
    <s v="ATENDE"/>
    <s v="ATENDE"/>
    <s v="P6"/>
    <n v="1.0733333333333333"/>
    <n v="6.22"/>
    <n v="2.99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Médio I"/>
    <m/>
    <s v=""/>
    <s v=""/>
    <m/>
    <m/>
    <m/>
    <m/>
    <m/>
    <m/>
    <n v="35"/>
    <n v="100"/>
    <n v="135"/>
    <n v="0.65"/>
    <m/>
    <m/>
    <s v="Sim"/>
    <m/>
  </r>
  <r>
    <n v="306"/>
    <s v="PVP"/>
    <s v="Rua Bruno Oscar Koetz, 1102"/>
    <n v="-30.009985369999999"/>
    <n v="-50.1703641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6"/>
    <n v="7.3"/>
    <n v="1"/>
    <n v="0.2"/>
    <n v="1.7"/>
    <n v="1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733333333333331"/>
    <n v="1.2222222222222223"/>
    <s v="-"/>
    <n v="8.5299999999999994"/>
    <n v="0.4"/>
    <m/>
    <m/>
    <m/>
    <m/>
    <s v="ATENDE"/>
    <s v="ATENDE"/>
    <s v="ATENDE"/>
    <s v="ATENDE"/>
    <s v="C5"/>
    <s v="P6"/>
    <n v="1.0333333333333332"/>
    <n v="6.1"/>
    <n v="1.77"/>
    <n v="3"/>
    <n v="0.6"/>
    <s v="ATENDE"/>
    <s v="ATENDE"/>
    <s v="ATENDE"/>
    <s v="P6"/>
    <n v="0.84999999999999987"/>
    <n v="5.55"/>
    <n v="3.21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Médio I"/>
    <m/>
    <s v=""/>
    <s v=""/>
    <m/>
    <m/>
    <m/>
    <m/>
    <m/>
    <m/>
    <n v="31"/>
    <n v="100"/>
    <n v="131"/>
    <n v="0.69"/>
    <m/>
    <m/>
    <s v="Sim"/>
    <m/>
  </r>
  <r>
    <n v="306"/>
    <s v="PVP"/>
    <s v="Rua Bruno Oscar Koetz, 1102"/>
    <n v="-30.009985369999999"/>
    <n v="-50.1703641"/>
    <s v="C5"/>
    <x v="0"/>
    <s v="P6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6"/>
    <n v="7.3"/>
    <n v="1"/>
    <n v="0.2"/>
    <n v="1.7"/>
    <n v="1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200000000000012"/>
    <n v="1.7222222222222223"/>
    <s v="-"/>
    <n v="8.49"/>
    <n v="0.49"/>
    <m/>
    <m/>
    <m/>
    <m/>
    <s v="ATENDE"/>
    <s v="ATENDE"/>
    <s v="ATENDE"/>
    <s v="ATENDE"/>
    <s v="C5"/>
    <s v="P6"/>
    <n v="1.0500000000000003"/>
    <n v="6.15"/>
    <n v="2.95"/>
    <n v="3"/>
    <n v="0.6"/>
    <s v="ATENDE"/>
    <s v="ATENDE"/>
    <s v="ATENDE"/>
    <s v="P6"/>
    <n v="0.66999999999999993"/>
    <n v="5.01"/>
    <n v="3.5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"/>
    <m/>
    <s v=""/>
    <s v=""/>
    <m/>
    <m/>
    <m/>
    <m/>
    <m/>
    <m/>
    <n v="30"/>
    <n v="100"/>
    <n v="130"/>
    <n v="0.7"/>
    <m/>
    <m/>
    <s v="Sim"/>
    <m/>
  </r>
  <r>
    <n v="307"/>
    <s v="PVP"/>
    <s v="Rua Uruguai, 15"/>
    <n v="-30.003022059999999"/>
    <n v="-50.159882799999998"/>
    <s v="C5"/>
    <x v="0"/>
    <s v="P6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.4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599999999999988"/>
    <n v="0.72222222222222232"/>
    <s v="-"/>
    <n v="8.3699999999999992"/>
    <n v="0.31"/>
    <m/>
    <m/>
    <m/>
    <m/>
    <s v="ATENDE"/>
    <s v="ATENDE"/>
    <s v="ATENDE"/>
    <s v="ATENDE"/>
    <s v="C5"/>
    <s v="P6"/>
    <n v="1.1066666666666669"/>
    <n v="6.32"/>
    <n v="1.57"/>
    <n v="3"/>
    <n v="0.6"/>
    <s v="ATENDE"/>
    <s v="ATENDE"/>
    <s v="ATENDE"/>
    <s v="P6"/>
    <n v="0.70666666666666678"/>
    <n v="5.12"/>
    <n v="1.9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7"/>
    <s v="PVP"/>
    <s v="Rua Uruguai, 15"/>
    <n v="-30.003022059999999"/>
    <n v="-50.159882799999998"/>
    <s v="C5"/>
    <x v="0"/>
    <s v="P6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.4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0.44444444444444464"/>
    <s v="-"/>
    <n v="8.07"/>
    <n v="0.26"/>
    <m/>
    <m/>
    <m/>
    <m/>
    <s v="ATENDE"/>
    <s v="ATENDE"/>
    <s v="ATENDE"/>
    <s v="ATENDE"/>
    <s v="C5"/>
    <s v="P6"/>
    <n v="0.90333333333333332"/>
    <n v="5.71"/>
    <n v="0.65"/>
    <n v="3"/>
    <n v="0.6"/>
    <s v="ATENDE"/>
    <s v="ATENDE"/>
    <s v="ATENDE"/>
    <s v="P6"/>
    <n v="0.44000000000000017"/>
    <n v="4.32"/>
    <n v="1.68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307"/>
    <s v="PVP"/>
    <s v="Rua Uruguai, 15"/>
    <n v="-30.003022059999999"/>
    <n v="-50.159882799999998"/>
    <s v="C5"/>
    <x v="0"/>
    <s v="P6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.4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133333333333324E-2"/>
    <n v="1"/>
    <s v="-"/>
    <n v="7.96"/>
    <n v="0.36"/>
    <m/>
    <m/>
    <m/>
    <m/>
    <s v="ATENDE"/>
    <s v="ATENDE"/>
    <s v="ATENDE"/>
    <s v="ATENDE"/>
    <s v="C5"/>
    <s v="P6"/>
    <n v="0.93666666666666654"/>
    <n v="5.81"/>
    <n v="1.76"/>
    <n v="3"/>
    <n v="0.6"/>
    <s v="ATENDE"/>
    <s v="ATENDE"/>
    <s v="ATENDE"/>
    <s v="P6"/>
    <n v="0.32333333333333347"/>
    <n v="3.97"/>
    <n v="2.22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308"/>
    <s v="PVP"/>
    <s v="Avenida A-Treze, 826"/>
    <n v="-30.057473389999998"/>
    <n v="-50.164351670000002"/>
    <s v="C4"/>
    <x v="0"/>
    <s v="P6"/>
    <s v="Vapor de sódio"/>
    <n v="250"/>
    <n v="30"/>
    <n v="0"/>
    <n v="500"/>
    <n v="2"/>
    <n v="3.5"/>
    <n v="7"/>
    <m/>
    <m/>
    <n v="0"/>
    <n v="3.5"/>
    <n v="0"/>
    <n v="0"/>
    <n v="0"/>
    <n v="0"/>
    <n v="0"/>
    <s v="Bilateral alternada"/>
    <s v="Braço"/>
    <n v="36.5"/>
    <n v="8"/>
    <n v="1"/>
    <n v="5.5"/>
    <n v="1.3"/>
    <n v="-4.2"/>
    <s v="-"/>
    <s v="-"/>
    <s v="Não"/>
    <n v="3"/>
    <n v="0"/>
    <n v="0"/>
    <n v="0"/>
    <n v="0"/>
    <n v="0"/>
    <s v="-"/>
    <n v="0"/>
    <m/>
    <n v="10"/>
    <n v="0.18"/>
    <s v="-"/>
    <n v="0.18"/>
    <s v="-"/>
    <n v="16"/>
    <s v="ATENDE"/>
    <n v="0.17599999999999993"/>
    <n v="3.1111111111111116"/>
    <s v="-"/>
    <n v="11.76"/>
    <n v="0.74"/>
    <m/>
    <m/>
    <m/>
    <m/>
    <s v="ATENDE"/>
    <s v="ATENDE"/>
    <s v="ATENDE"/>
    <s v="ATENDE"/>
    <s v="C4"/>
    <s v="P6"/>
    <n v="2.73"/>
    <n v="11.19"/>
    <n v="4.6100000000000003"/>
    <n v="3"/>
    <n v="0.6"/>
    <s v="ATENDE"/>
    <s v="ATENDE"/>
    <s v="ATENDE"/>
    <s v="P6"/>
    <n v="2.7333333333333329"/>
    <n v="11.2"/>
    <n v="4.5599999999999996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250"/>
    <n v="294"/>
    <n v="0.82400000000000007"/>
    <m/>
    <m/>
    <s v="Sim"/>
    <m/>
  </r>
  <r>
    <n v="308"/>
    <s v="PVP"/>
    <s v="Avenida A-Treze, 826"/>
    <n v="-30.057473389999998"/>
    <n v="-50.164351670000002"/>
    <s v="C4"/>
    <x v="0"/>
    <s v="P6"/>
    <s v="Vapor de sódio"/>
    <n v="250"/>
    <n v="30"/>
    <n v="0"/>
    <n v="500"/>
    <n v="2"/>
    <n v="3.5"/>
    <n v="7"/>
    <m/>
    <m/>
    <n v="0"/>
    <n v="3.5"/>
    <n v="0"/>
    <n v="0"/>
    <n v="0"/>
    <n v="0"/>
    <n v="0"/>
    <s v="Bilateral alternada"/>
    <s v="Braço"/>
    <n v="36.5"/>
    <n v="8"/>
    <n v="1"/>
    <n v="5.5"/>
    <n v="1.3"/>
    <n v="-4.2"/>
    <s v="-"/>
    <s v="-"/>
    <s v="Não"/>
    <n v="3"/>
    <n v="0"/>
    <n v="0"/>
    <n v="0"/>
    <n v="0"/>
    <n v="0"/>
    <s v="-"/>
    <n v="0"/>
    <m/>
    <n v="10"/>
    <n v="0.18"/>
    <s v="-"/>
    <n v="0.18"/>
    <s v="-"/>
    <n v="16"/>
    <s v="ATENDE"/>
    <n v="3.2000000000000028E-2"/>
    <n v="2.9444444444444442"/>
    <s v="-"/>
    <n v="10.32"/>
    <n v="0.71"/>
    <m/>
    <m/>
    <m/>
    <m/>
    <s v="ATENDE"/>
    <s v="ATENDE"/>
    <s v="ATENDE"/>
    <s v="ATENDE"/>
    <s v="C4"/>
    <s v="P6"/>
    <n v="2.2833333333333332"/>
    <n v="9.85"/>
    <n v="5.89"/>
    <n v="3"/>
    <n v="0.6"/>
    <s v="ATENDE"/>
    <s v="ATENDE"/>
    <s v="ATENDE"/>
    <s v="P6"/>
    <n v="2.2833333333333332"/>
    <n v="9.85"/>
    <n v="5.76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250"/>
    <n v="289"/>
    <n v="0.84399999999999997"/>
    <m/>
    <m/>
    <s v="Sim"/>
    <m/>
  </r>
  <r>
    <n v="308"/>
    <s v="PVP"/>
    <s v="Avenida A-Treze, 826"/>
    <n v="-30.057473389999998"/>
    <n v="-50.164351670000002"/>
    <s v="C4"/>
    <x v="0"/>
    <s v="P6"/>
    <s v="Vapor de sódio"/>
    <n v="250"/>
    <n v="30"/>
    <n v="0"/>
    <n v="500"/>
    <n v="2"/>
    <n v="3.5"/>
    <n v="7"/>
    <m/>
    <m/>
    <n v="0"/>
    <n v="3.5"/>
    <n v="0"/>
    <n v="0"/>
    <n v="0"/>
    <n v="0"/>
    <n v="0"/>
    <s v="Bilateral alternada"/>
    <s v="Braço"/>
    <n v="36.5"/>
    <n v="8"/>
    <n v="1"/>
    <n v="5.5"/>
    <n v="1.3"/>
    <n v="-4.2"/>
    <s v="-"/>
    <s v="-"/>
    <s v="Não"/>
    <n v="3"/>
    <n v="0"/>
    <n v="0"/>
    <n v="0"/>
    <n v="0"/>
    <n v="0"/>
    <s v="-"/>
    <n v="0"/>
    <m/>
    <n v="10"/>
    <n v="0.18"/>
    <s v="-"/>
    <n v="0.18"/>
    <s v="-"/>
    <n v="16"/>
    <s v="ATENDE"/>
    <n v="7.8999999999999959E-2"/>
    <n v="3.5000000000000009"/>
    <s v="-"/>
    <n v="10.79"/>
    <n v="0.81"/>
    <m/>
    <m/>
    <m/>
    <m/>
    <s v="ATENDE"/>
    <s v="ATENDE"/>
    <s v="ATENDE"/>
    <s v="ATENDE"/>
    <s v="C4"/>
    <s v="P6"/>
    <n v="3.5866666666666669"/>
    <n v="13.76"/>
    <n v="8.02"/>
    <n v="3"/>
    <n v="0.6"/>
    <s v="ATENDE"/>
    <s v="ATENDE"/>
    <s v="ATENDE"/>
    <s v="P6"/>
    <n v="3.58"/>
    <n v="13.74"/>
    <n v="7.88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250"/>
    <n v="300"/>
    <n v="0.8"/>
    <m/>
    <m/>
    <s v="Sim"/>
    <m/>
  </r>
  <r>
    <n v="309"/>
    <s v="V"/>
    <s v="Estrada -Osorio, 7790"/>
    <n v="-29.985152719999999"/>
    <n v="-50.213820630000001"/>
    <s v="C5"/>
    <x v="0"/>
    <n v="0"/>
    <s v="Vapor de sódio"/>
    <n v="70"/>
    <n v="14"/>
    <n v="0"/>
    <n v="140"/>
    <n v="2"/>
    <n v="0"/>
    <n v="6.7"/>
    <m/>
    <m/>
    <n v="0"/>
    <n v="0"/>
    <n v="0"/>
    <n v="0"/>
    <n v="0"/>
    <n v="0"/>
    <n v="0"/>
    <s v="Unilateral"/>
    <s v="Braço"/>
    <n v="38.5"/>
    <n v="5.5"/>
    <n v="1"/>
    <n v="0.3"/>
    <n v="0.7"/>
    <n v="0.3999999999999999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533333333333333"/>
    <n v="0.22222222222222232"/>
    <s v="-"/>
    <n v="8.74"/>
    <n v="0.22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"/>
    <s v="Curto II"/>
    <n v="1.4"/>
    <n v="6.5"/>
    <m/>
    <m/>
    <m/>
    <m/>
    <m/>
    <m/>
    <n v="35"/>
    <n v="70"/>
    <n v="105"/>
    <n v="0.5"/>
    <m/>
    <m/>
    <s v="Sim"/>
    <m/>
  </r>
  <r>
    <n v="309"/>
    <s v="V"/>
    <s v="Estrada -Osorio, 7790"/>
    <n v="-29.985152719999999"/>
    <n v="-50.213820630000001"/>
    <s v="C5"/>
    <x v="0"/>
    <n v="0"/>
    <s v="Vapor de sódio"/>
    <n v="70"/>
    <n v="14"/>
    <n v="0"/>
    <n v="140"/>
    <n v="2"/>
    <n v="0"/>
    <n v="6.7"/>
    <m/>
    <m/>
    <n v="0"/>
    <n v="0"/>
    <n v="0"/>
    <n v="0"/>
    <n v="0"/>
    <n v="0"/>
    <n v="0"/>
    <s v="Unilateral"/>
    <s v="Braço"/>
    <n v="38.5"/>
    <n v="5.5"/>
    <n v="1"/>
    <n v="0.3"/>
    <n v="0.7"/>
    <n v="0.3999999999999999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0666666666666655E-2"/>
    <n v="0"/>
    <s v="-"/>
    <n v="8.0299999999999994"/>
    <n v="0.18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"/>
    <s v="Médio I"/>
    <n v="1.8"/>
    <n v="7"/>
    <m/>
    <m/>
    <m/>
    <m/>
    <m/>
    <m/>
    <n v="31"/>
    <n v="70"/>
    <n v="101"/>
    <n v="0.55714285714285716"/>
    <m/>
    <m/>
    <s v="Sim"/>
    <m/>
  </r>
  <r>
    <n v="309"/>
    <s v="V"/>
    <s v="Estrada -Osorio, 7790"/>
    <n v="-29.985152719999999"/>
    <n v="-50.213820630000001"/>
    <s v="C5"/>
    <x v="0"/>
    <n v="0"/>
    <s v="Vapor de sódio"/>
    <n v="70"/>
    <n v="14"/>
    <n v="0"/>
    <n v="140"/>
    <n v="2"/>
    <n v="0"/>
    <n v="6.7"/>
    <m/>
    <m/>
    <n v="0"/>
    <n v="0"/>
    <n v="0"/>
    <n v="0"/>
    <n v="0"/>
    <n v="0"/>
    <n v="0"/>
    <s v="Unilateral"/>
    <s v="Braço"/>
    <n v="38.5"/>
    <n v="5.5"/>
    <n v="1"/>
    <n v="0.3"/>
    <n v="0.7"/>
    <n v="0.3999999999999999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80000000000001"/>
    <n v="0.16666666666666674"/>
    <s v="-"/>
    <n v="8.31"/>
    <n v="0.2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"/>
    <s v="Curto II"/>
    <n v="1.4"/>
    <n v="6.5"/>
    <m/>
    <m/>
    <m/>
    <m/>
    <m/>
    <m/>
    <n v="30"/>
    <n v="70"/>
    <n v="100"/>
    <n v="0.5714285714285714"/>
    <m/>
    <m/>
    <s v="Sim"/>
    <m/>
  </r>
  <r>
    <n v="310"/>
    <s v="PVP"/>
    <s v="Rua Vinte e Dois, 430"/>
    <n v="-29.98265576"/>
    <n v="-50.21513392"/>
    <s v="C4"/>
    <x v="0"/>
    <s v="P6"/>
    <s v="Vapor de sódio"/>
    <n v="70"/>
    <n v="14"/>
    <n v="0"/>
    <n v="140"/>
    <n v="2"/>
    <n v="2"/>
    <n v="7"/>
    <m/>
    <m/>
    <n v="0"/>
    <n v="2.5"/>
    <n v="0"/>
    <n v="0"/>
    <n v="0"/>
    <n v="0"/>
    <n v="0"/>
    <s v="Unilateral"/>
    <s v="Braço"/>
    <n v="24.7"/>
    <n v="6.6"/>
    <n v="1"/>
    <n v="0.7"/>
    <n v="0.9"/>
    <n v="0.2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100000000000013"/>
    <n v="1.8888888888888893"/>
    <s v="-"/>
    <n v="12.71"/>
    <n v="0.52"/>
    <m/>
    <m/>
    <m/>
    <m/>
    <s v="ATENDE"/>
    <s v="ATENDE"/>
    <s v="ATENDE"/>
    <s v="ATENDE"/>
    <s v="C4"/>
    <s v="P6"/>
    <n v="3.1833333333333336"/>
    <n v="12.55"/>
    <n v="6.82"/>
    <n v="3"/>
    <n v="0.6"/>
    <s v="ATENDE"/>
    <s v="ATENDE"/>
    <s v="ATENDE"/>
    <s v="P6"/>
    <n v="0.82000000000000006"/>
    <n v="5.46"/>
    <n v="3.45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"/>
    <m/>
    <s v=""/>
    <s v=""/>
    <m/>
    <m/>
    <m/>
    <m/>
    <m/>
    <m/>
    <n v="35"/>
    <n v="70"/>
    <n v="105"/>
    <n v="0.5"/>
    <m/>
    <m/>
    <s v="Sim"/>
    <m/>
  </r>
  <r>
    <n v="310"/>
    <s v="PVP"/>
    <s v="Rua Vinte e Dois, 430"/>
    <n v="-29.98265576"/>
    <n v="-50.21513392"/>
    <s v="C4"/>
    <x v="0"/>
    <s v="P6"/>
    <s v="Vapor de sódio"/>
    <n v="70"/>
    <n v="14"/>
    <n v="0"/>
    <n v="140"/>
    <n v="2"/>
    <n v="2"/>
    <n v="7"/>
    <m/>
    <m/>
    <n v="0"/>
    <n v="2.5"/>
    <n v="0"/>
    <n v="0"/>
    <n v="0"/>
    <n v="0"/>
    <n v="0"/>
    <s v="Unilateral"/>
    <s v="Braço"/>
    <n v="24.7"/>
    <n v="6.6"/>
    <n v="1"/>
    <n v="0.7"/>
    <n v="0.9"/>
    <n v="0.2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999999999999996"/>
    <n v="2.4444444444444446"/>
    <s v="-"/>
    <n v="12.1"/>
    <n v="0.62"/>
    <m/>
    <m/>
    <m/>
    <m/>
    <s v="ATENDE"/>
    <s v="ATENDE"/>
    <s v="ATENDE"/>
    <s v="ATENDE"/>
    <s v="C4"/>
    <s v="P6"/>
    <n v="2.9966666666666666"/>
    <n v="11.99"/>
    <n v="7.78"/>
    <n v="3"/>
    <n v="0.6"/>
    <s v="ATENDE"/>
    <s v="ATENDE"/>
    <s v="ATENDE"/>
    <s v="P6"/>
    <n v="0.30333333333333345"/>
    <n v="3.91"/>
    <n v="1.9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"/>
    <m/>
    <s v=""/>
    <s v=""/>
    <m/>
    <m/>
    <m/>
    <m/>
    <m/>
    <m/>
    <n v="31"/>
    <n v="70"/>
    <n v="101"/>
    <n v="0.55714285714285716"/>
    <m/>
    <m/>
    <s v="Sim"/>
    <m/>
  </r>
  <r>
    <n v="310"/>
    <s v="PVP"/>
    <s v="Rua Vinte e Dois, 430"/>
    <n v="-29.98265576"/>
    <n v="-50.21513392"/>
    <s v="C4"/>
    <x v="0"/>
    <s v="P6"/>
    <s v="Vapor de sódio"/>
    <n v="70"/>
    <n v="14"/>
    <n v="0"/>
    <n v="140"/>
    <n v="2"/>
    <n v="2"/>
    <n v="7"/>
    <m/>
    <m/>
    <n v="0"/>
    <n v="2.5"/>
    <n v="0"/>
    <n v="0"/>
    <n v="0"/>
    <n v="0"/>
    <n v="0"/>
    <s v="Unilateral"/>
    <s v="Braço"/>
    <n v="24.7"/>
    <n v="6.6"/>
    <n v="1"/>
    <n v="0.7"/>
    <n v="0.9"/>
    <n v="0.2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300000000000005"/>
    <n v="2.1666666666666665"/>
    <s v="-"/>
    <n v="11.83"/>
    <n v="0.56999999999999995"/>
    <m/>
    <m/>
    <m/>
    <m/>
    <s v="ATENDE"/>
    <s v="ATENDE"/>
    <s v="ATENDE"/>
    <s v="ATENDE"/>
    <s v="C4"/>
    <s v="P6"/>
    <n v="2.9833333333333329"/>
    <n v="11.95"/>
    <n v="7.78"/>
    <n v="3"/>
    <n v="0.6"/>
    <s v="ATENDE"/>
    <s v="ATENDE"/>
    <s v="ATENDE"/>
    <s v="P6"/>
    <n v="0.33333333333333326"/>
    <n v="4"/>
    <n v="2.47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"/>
    <m/>
    <s v=""/>
    <s v=""/>
    <m/>
    <m/>
    <m/>
    <m/>
    <m/>
    <m/>
    <n v="30"/>
    <n v="70"/>
    <n v="100"/>
    <n v="0.5714285714285714"/>
    <m/>
    <m/>
    <s v="Sim"/>
    <m/>
  </r>
  <r>
    <n v="311"/>
    <s v="PVP"/>
    <s v="Rua Manoel da Silva Mendes, 1418"/>
    <n v="-29.998562570000001"/>
    <n v="-50.183093710000001"/>
    <s v="C3"/>
    <x v="0"/>
    <s v="P6"/>
    <s v="LED"/>
    <n v="99"/>
    <n v="0"/>
    <n v="0"/>
    <n v="198"/>
    <n v="2"/>
    <n v="4.5"/>
    <n v="8"/>
    <m/>
    <m/>
    <n v="0"/>
    <n v="3"/>
    <n v="0"/>
    <n v="0"/>
    <n v="0"/>
    <n v="0"/>
    <n v="0"/>
    <s v="Unilateral"/>
    <s v="Braço"/>
    <n v="25.8"/>
    <n v="4.8"/>
    <n v="1"/>
    <n v="0.5"/>
    <n v="1.5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4799999999999991"/>
    <n v="0.72222222222222232"/>
    <s v="-"/>
    <n v="17.22"/>
    <n v="0.31"/>
    <m/>
    <m/>
    <m/>
    <m/>
    <s v="ATENDE"/>
    <s v="ATENDE"/>
    <s v="ATENDE"/>
    <s v="ATENDE"/>
    <s v="C3"/>
    <s v="P6"/>
    <n v="2.02"/>
    <n v="9.06"/>
    <n v="1.29"/>
    <n v="3"/>
    <n v="0.6"/>
    <s v="ATENDE"/>
    <s v="ATENDE"/>
    <s v="ATENDE"/>
    <s v="P6"/>
    <n v="0.46666666666666679"/>
    <n v="4.4000000000000004"/>
    <n v="2.4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n v="5"/>
    <s v="Curto II"/>
    <m/>
    <s v=""/>
    <s v=""/>
    <m/>
    <m/>
    <m/>
    <m/>
    <m/>
    <m/>
    <n v="44"/>
    <n v="99"/>
    <n v="143"/>
    <n v="0.55555555555555558"/>
    <m/>
    <m/>
    <s v="Sim"/>
    <m/>
  </r>
  <r>
    <n v="311"/>
    <s v="PVP"/>
    <s v="Rua Manoel da Silva Mendes, 1418"/>
    <n v="-29.998562570000001"/>
    <n v="-50.183093710000001"/>
    <s v="C3"/>
    <x v="0"/>
    <s v="P6"/>
    <s v="LED"/>
    <n v="99"/>
    <n v="0"/>
    <n v="0"/>
    <n v="198"/>
    <n v="2"/>
    <n v="4.5"/>
    <n v="8"/>
    <m/>
    <m/>
    <n v="0"/>
    <n v="3"/>
    <n v="0"/>
    <n v="0"/>
    <n v="0"/>
    <n v="0"/>
    <n v="0"/>
    <s v="Unilateral"/>
    <s v="Braço"/>
    <n v="25.8"/>
    <n v="4.8"/>
    <n v="1"/>
    <n v="0.5"/>
    <n v="1.5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58266666666666667"/>
    <n v="1"/>
    <s v="-"/>
    <n v="23.74"/>
    <n v="0.36"/>
    <m/>
    <m/>
    <m/>
    <m/>
    <s v="ATENDE"/>
    <s v="ATENDE"/>
    <s v="ATENDE"/>
    <s v="ATENDE"/>
    <s v="C3"/>
    <s v="P6"/>
    <n v="2.39"/>
    <n v="10.17"/>
    <n v="0.66"/>
    <n v="3"/>
    <n v="0.6"/>
    <s v="ATENDE"/>
    <s v="ATENDE"/>
    <s v="ATENDE"/>
    <s v="P6"/>
    <n v="0.56666666666666665"/>
    <n v="4.7"/>
    <n v="1.96"/>
    <n v="3"/>
    <n v="0.6"/>
    <s v="ATENDE"/>
    <s v="ATENDE"/>
    <s v="ATENDE"/>
    <x v="1"/>
    <s v="SX-INEVO050HF"/>
    <s v="SXINEVO050K40L12CZF7PHF"/>
    <m/>
    <n v="0"/>
    <n v="1"/>
    <n v="50"/>
    <e v="#N/A"/>
    <n v="8650"/>
    <e v="#N/A"/>
    <n v="0"/>
    <n v="5"/>
    <s v="Curto II"/>
    <m/>
    <s v=""/>
    <s v=""/>
    <m/>
    <m/>
    <m/>
    <m/>
    <m/>
    <m/>
    <n v="50"/>
    <n v="99"/>
    <n v="149"/>
    <n v="0.49494949494949492"/>
    <m/>
    <m/>
    <s v="Sim"/>
    <m/>
  </r>
  <r>
    <n v="311"/>
    <s v="PVP"/>
    <s v="Rua Manoel da Silva Mendes, 1418"/>
    <n v="-29.998562570000001"/>
    <n v="-50.183093710000001"/>
    <s v="C3"/>
    <x v="0"/>
    <s v="P6"/>
    <s v="LED"/>
    <n v="99"/>
    <n v="0"/>
    <n v="0"/>
    <n v="198"/>
    <n v="2"/>
    <n v="4.5"/>
    <n v="8"/>
    <m/>
    <m/>
    <n v="0"/>
    <n v="3"/>
    <n v="0"/>
    <n v="0"/>
    <n v="0"/>
    <n v="0"/>
    <n v="0"/>
    <s v="Unilateral"/>
    <s v="Braço"/>
    <n v="25.8"/>
    <n v="4.8"/>
    <n v="1"/>
    <n v="0.5"/>
    <n v="1.5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3833333333333333"/>
    <n v="0.5555555555555558"/>
    <s v="-"/>
    <n v="20.75"/>
    <n v="0.28000000000000003"/>
    <m/>
    <m/>
    <m/>
    <m/>
    <s v="ATENDE"/>
    <s v="ATENDE"/>
    <s v="ATENDE"/>
    <s v="ATENDE"/>
    <s v="C3"/>
    <s v="P6"/>
    <n v="2.2066666666666666"/>
    <n v="9.6199999999999992"/>
    <n v="0.89"/>
    <n v="3"/>
    <n v="0.6"/>
    <s v="ATENDE"/>
    <s v="ATENDE"/>
    <s v="ATENDE"/>
    <s v="P6"/>
    <n v="4.0000000000000036E-2"/>
    <n v="3.12"/>
    <n v="1.1100000000000001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e v="#N/A"/>
    <n v="8163"/>
    <e v="#N/A"/>
    <n v="0"/>
    <n v="8"/>
    <s v="Curto II"/>
    <m/>
    <s v=""/>
    <s v=""/>
    <m/>
    <m/>
    <m/>
    <m/>
    <m/>
    <m/>
    <n v="50"/>
    <n v="99"/>
    <n v="149"/>
    <n v="0.49494949494949492"/>
    <m/>
    <m/>
    <s v="Sim"/>
    <m/>
  </r>
  <r>
    <n v="312"/>
    <s v="PV"/>
    <s v="Rua Dezesseis"/>
    <n v="-29.98156328"/>
    <n v="-50.211571540000001"/>
    <s v="C3"/>
    <x v="0"/>
    <s v="P6"/>
    <s v="Vapor de sódio"/>
    <n v="100"/>
    <n v="17"/>
    <n v="0"/>
    <n v="200"/>
    <n v="2"/>
    <n v="3.5"/>
    <n v="7"/>
    <m/>
    <m/>
    <n v="0"/>
    <n v="0"/>
    <n v="0"/>
    <n v="0"/>
    <n v="0"/>
    <n v="0"/>
    <n v="0"/>
    <s v="Unilateral"/>
    <s v="Braço"/>
    <n v="31.5"/>
    <n v="7.2"/>
    <n v="1"/>
    <n v="1.2"/>
    <n v="1.3"/>
    <n v="0.1000000000000000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4866666666666672"/>
    <n v="0.94444444444444442"/>
    <s v="-"/>
    <n v="17.23"/>
    <n v="0.35"/>
    <m/>
    <m/>
    <m/>
    <m/>
    <s v="ATENDE"/>
    <s v="ATENDE"/>
    <s v="ATENDE"/>
    <s v="ATENDE"/>
    <s v="C3"/>
    <s v="P6"/>
    <n v="3.9266666666666667"/>
    <n v="14.78"/>
    <n v="7.86"/>
    <n v="3"/>
    <n v="0.6"/>
    <s v="ATENDE"/>
    <s v="ATENDE"/>
    <s v="ATENDE"/>
    <s v="-"/>
    <e v="#VALUE!"/>
    <m/>
    <m/>
    <s v="-"/>
    <s v="-"/>
    <s v="-"/>
    <s v="-"/>
    <s v="-"/>
    <x v="0"/>
    <s v=" SL VT 9.1 65W"/>
    <s v="LUM LED SL VT 9.1 65W"/>
    <m/>
    <n v="0"/>
    <n v="1"/>
    <n v="65"/>
    <n v="0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312"/>
    <s v="PV"/>
    <s v="Rua Dezesseis"/>
    <n v="-29.98156328"/>
    <n v="-50.211571540000001"/>
    <s v="C3"/>
    <x v="0"/>
    <s v="P6"/>
    <s v="Vapor de sódio"/>
    <n v="100"/>
    <n v="17"/>
    <n v="0"/>
    <n v="200"/>
    <n v="2"/>
    <n v="3.5"/>
    <n v="7"/>
    <m/>
    <m/>
    <n v="0"/>
    <n v="0"/>
    <n v="0"/>
    <n v="0"/>
    <n v="0"/>
    <n v="0"/>
    <n v="0"/>
    <s v="Unilateral"/>
    <s v="Braço"/>
    <n v="31.5"/>
    <n v="7.2"/>
    <n v="1"/>
    <n v="1.2"/>
    <n v="1.3"/>
    <n v="0.1000000000000000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2.8666666666666618E-2"/>
    <n v="2.5"/>
    <s v="-"/>
    <n v="15.43"/>
    <n v="0.63"/>
    <m/>
    <m/>
    <m/>
    <m/>
    <s v="ATENDE"/>
    <s v="ATENDE"/>
    <s v="ATENDE"/>
    <s v="ATENDE"/>
    <s v="C3"/>
    <s v="P6"/>
    <n v="3.49"/>
    <n v="13.47"/>
    <n v="5.51"/>
    <n v="3"/>
    <n v="0.6"/>
    <s v="ATENDE"/>
    <s v="ATENDE"/>
    <s v="ATENDE"/>
    <s v="-"/>
    <e v="#VALUE!"/>
    <m/>
    <m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312"/>
    <s v="PV"/>
    <s v="Rua Dezesseis"/>
    <n v="-29.98156328"/>
    <n v="-50.211571540000001"/>
    <s v="C3"/>
    <x v="0"/>
    <s v="P6"/>
    <s v="Vapor de sódio"/>
    <n v="100"/>
    <n v="17"/>
    <n v="0"/>
    <n v="200"/>
    <n v="2"/>
    <n v="3.5"/>
    <n v="7"/>
    <m/>
    <m/>
    <n v="0"/>
    <n v="0"/>
    <n v="0"/>
    <n v="0"/>
    <n v="0"/>
    <n v="0"/>
    <n v="0"/>
    <s v="Unilateral"/>
    <s v="Braço"/>
    <n v="31.5"/>
    <n v="7.2"/>
    <n v="1"/>
    <n v="1.2"/>
    <n v="1.3"/>
    <n v="0.1000000000000000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186666666666667"/>
    <n v="1.7777777777777777"/>
    <s v="-"/>
    <n v="16.78"/>
    <n v="0.5"/>
    <m/>
    <m/>
    <m/>
    <m/>
    <s v="ATENDE"/>
    <s v="ATENDE"/>
    <s v="ATENDE"/>
    <s v="ATENDE"/>
    <s v="C3"/>
    <s v="P6"/>
    <n v="3.9733333333333336"/>
    <n v="14.92"/>
    <n v="7.17"/>
    <n v="3"/>
    <n v="0.6"/>
    <s v="ATENDE"/>
    <s v="ATENDE"/>
    <s v="ATENDE"/>
    <s v="-"/>
    <e v="#VALUE!"/>
    <m/>
    <m/>
    <s v="-"/>
    <s v="-"/>
    <s v="-"/>
    <s v="-"/>
    <s v="-"/>
    <x v="2"/>
    <s v="SIGSAGPTLRRSSNDL_60W_73IBBRS_x000a_"/>
    <s v="SIGSAGPTLRRSSNDL_60W_73IBBRS_x000a_1-10C1MUN6.5"/>
    <m/>
    <e v="#N/A"/>
    <n v="1"/>
    <n v="60"/>
    <n v="0"/>
    <n v="9453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313"/>
    <s v="PVP"/>
    <s v="Rua Lurdes de Lima Manito, 191"/>
    <n v="-29.994019059999999"/>
    <n v="-50.182366569999999"/>
    <s v="C4"/>
    <x v="0"/>
    <s v="P6"/>
    <s v="Vapor de sódio"/>
    <n v="70"/>
    <n v="14"/>
    <n v="0"/>
    <n v="140"/>
    <n v="2"/>
    <n v="3"/>
    <n v="7"/>
    <m/>
    <m/>
    <n v="0"/>
    <n v="2"/>
    <n v="0"/>
    <n v="0"/>
    <n v="0"/>
    <n v="0"/>
    <n v="0"/>
    <s v="Unilateral"/>
    <s v="Braço"/>
    <n v="33.1"/>
    <n v="7.5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0000000000001172E-3"/>
    <n v="1.4444444444444446"/>
    <s v="-"/>
    <n v="10.07"/>
    <n v="0.44"/>
    <m/>
    <m/>
    <m/>
    <m/>
    <s v="ATENDE"/>
    <s v="ATENDE"/>
    <s v="ATENDE"/>
    <s v="ATENDE"/>
    <s v="C4"/>
    <s v="P6"/>
    <n v="2.35"/>
    <n v="10.050000000000001"/>
    <n v="4.0199999999999996"/>
    <n v="3"/>
    <n v="0.6"/>
    <s v="ATENDE"/>
    <s v="ATENDE"/>
    <s v="ATENDE"/>
    <s v="P6"/>
    <n v="0.93333333333333335"/>
    <n v="5.8"/>
    <n v="3.3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70"/>
    <n v="114"/>
    <n v="0.37142857142857144"/>
    <m/>
    <m/>
    <s v="Sim"/>
    <m/>
  </r>
  <r>
    <n v="313"/>
    <s v="PVP"/>
    <s v="Rua Lurdes de Lima Manito, 191"/>
    <n v="-29.994019059999999"/>
    <n v="-50.182366569999999"/>
    <s v="C4"/>
    <x v="0"/>
    <s v="P6"/>
    <s v="Vapor de sódio"/>
    <n v="70"/>
    <n v="14"/>
    <n v="0"/>
    <n v="140"/>
    <n v="2"/>
    <n v="3"/>
    <n v="7"/>
    <m/>
    <m/>
    <n v="0"/>
    <n v="2"/>
    <n v="0"/>
    <n v="0"/>
    <n v="0"/>
    <n v="0"/>
    <n v="0"/>
    <s v="Unilateral"/>
    <s v="Braço"/>
    <n v="33.1"/>
    <n v="7.5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199999999999991"/>
    <n v="2.4444444444444446"/>
    <s v="-"/>
    <n v="14.02"/>
    <n v="0.62"/>
    <m/>
    <m/>
    <m/>
    <m/>
    <s v="ATENDE"/>
    <s v="ATENDE"/>
    <s v="ATENDE"/>
    <s v="ATENDE"/>
    <s v="C4"/>
    <s v="P6"/>
    <n v="3.5633333333333335"/>
    <n v="13.69"/>
    <n v="6.15"/>
    <n v="3"/>
    <n v="0.6"/>
    <s v="ATENDE"/>
    <s v="ATENDE"/>
    <s v="ATENDE"/>
    <s v="P6"/>
    <n v="1.5233333333333334"/>
    <n v="7.57"/>
    <n v="5.79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70"/>
    <n v="120"/>
    <n v="0.2857142857142857"/>
    <m/>
    <m/>
    <s v="Sim"/>
    <m/>
  </r>
  <r>
    <n v="313"/>
    <s v="PVP"/>
    <s v="Rua Lurdes de Lima Manito, 191"/>
    <n v="-29.994019059999999"/>
    <n v="-50.182366569999999"/>
    <s v="C4"/>
    <x v="0"/>
    <s v="P6"/>
    <s v="Vapor de sódio"/>
    <n v="70"/>
    <n v="14"/>
    <n v="0"/>
    <n v="140"/>
    <n v="2"/>
    <n v="3"/>
    <n v="7"/>
    <m/>
    <m/>
    <n v="0"/>
    <n v="2"/>
    <n v="0"/>
    <n v="0"/>
    <n v="0"/>
    <n v="0"/>
    <n v="0"/>
    <s v="Unilateral"/>
    <s v="Braço"/>
    <n v="33.1"/>
    <n v="7.5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00000000000005E-2"/>
    <n v="1.6111111111111112"/>
    <s v="-"/>
    <n v="10.56"/>
    <n v="0.47"/>
    <m/>
    <m/>
    <m/>
    <m/>
    <s v="ATENDE"/>
    <s v="ATENDE"/>
    <s v="ATENDE"/>
    <s v="ATENDE"/>
    <s v="C4"/>
    <s v="P6"/>
    <n v="2.5166666666666671"/>
    <n v="10.55"/>
    <n v="5.12"/>
    <n v="3"/>
    <n v="0.6"/>
    <s v="ATENDE"/>
    <s v="ATENDE"/>
    <s v="ATENDE"/>
    <s v="P6"/>
    <n v="0.29000000000000004"/>
    <n v="3.87"/>
    <n v="2.2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70"/>
    <n v="110"/>
    <n v="0.4285714285714286"/>
    <m/>
    <m/>
    <s v="Sim"/>
    <m/>
  </r>
  <r>
    <n v="314"/>
    <s v="PVP"/>
    <s v="Rua Angelica Diehl, 721"/>
    <n v="-30.011972310000001"/>
    <n v="-50.167095580000002"/>
    <s v="C5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3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866666666666658"/>
    <n v="1.2222222222222223"/>
    <s v="-"/>
    <n v="9.2899999999999991"/>
    <n v="0.4"/>
    <m/>
    <m/>
    <m/>
    <m/>
    <s v="ATENDE"/>
    <s v="ATENDE"/>
    <s v="ATENDE"/>
    <s v="ATENDE"/>
    <s v="C5"/>
    <s v="P6"/>
    <n v="1.3366666666666664"/>
    <n v="7.01"/>
    <n v="2.42"/>
    <n v="3"/>
    <n v="0.6"/>
    <s v="ATENDE"/>
    <s v="ATENDE"/>
    <s v="ATENDE"/>
    <s v="P6"/>
    <n v="0.68333333333333335"/>
    <n v="5.05"/>
    <n v="2.25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14"/>
    <s v="PVP"/>
    <s v="Rua Angelica Diehl, 721"/>
    <n v="-30.011972310000001"/>
    <n v="-50.167095580000002"/>
    <s v="C5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3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333333333333313"/>
    <n v="1.3888888888888888"/>
    <s v="-"/>
    <n v="8.9499999999999993"/>
    <n v="0.43"/>
    <m/>
    <m/>
    <m/>
    <m/>
    <s v="ATENDE"/>
    <s v="ATENDE"/>
    <s v="ATENDE"/>
    <s v="ATENDE"/>
    <s v="C5"/>
    <s v="P6"/>
    <n v="1.1133333333333333"/>
    <n v="6.34"/>
    <n v="1.44"/>
    <n v="3"/>
    <n v="0.6"/>
    <s v="ATENDE"/>
    <s v="ATENDE"/>
    <s v="ATENDE"/>
    <s v="P6"/>
    <n v="0.36333333333333329"/>
    <n v="4.09"/>
    <n v="1.9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14"/>
    <s v="PVP"/>
    <s v="Rua Angelica Diehl, 721"/>
    <n v="-30.011972310000001"/>
    <n v="-50.167095580000002"/>
    <s v="C5"/>
    <x v="0"/>
    <s v="P6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3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733333333333334"/>
    <n v="1.8333333333333335"/>
    <s v="-"/>
    <n v="8.83"/>
    <n v="0.51"/>
    <m/>
    <m/>
    <m/>
    <m/>
    <s v="ATENDE"/>
    <s v="ATENDE"/>
    <s v="ATENDE"/>
    <s v="ATENDE"/>
    <s v="C5"/>
    <s v="P6"/>
    <n v="1.1466666666666669"/>
    <n v="6.44"/>
    <n v="2.76"/>
    <n v="3"/>
    <n v="0.6"/>
    <s v="ATENDE"/>
    <s v="ATENDE"/>
    <s v="ATENDE"/>
    <s v="P6"/>
    <n v="0.28666666666666663"/>
    <n v="3.86"/>
    <n v="2.4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15"/>
    <s v="V"/>
    <s v="Rua Santo Cristo, 173"/>
    <n v="-30.057143669999999"/>
    <n v="-50.160398919999999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5.70000000000000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266666666666668"/>
    <n v="1.2777777777777777"/>
    <s v="-"/>
    <n v="8.27"/>
    <n v="0.4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15"/>
    <s v="V"/>
    <s v="Rua Santo Cristo, 173"/>
    <n v="-30.057143669999999"/>
    <n v="-50.160398919999999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5.70000000000000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1.5"/>
    <s v="-"/>
    <n v="7.98"/>
    <n v="0.45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n v="0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315"/>
    <s v="V"/>
    <s v="Rua Santo Cristo, 173"/>
    <n v="-30.057143669999999"/>
    <n v="-50.160398919999999"/>
    <s v="C5"/>
    <x v="0"/>
    <n v="0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5.70000000000000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4666666666666641E-2"/>
    <n v="1.8888888888888893"/>
    <s v="-"/>
    <n v="7.91"/>
    <n v="0.52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316"/>
    <s v="PVP"/>
    <s v="Rua Sao Francisco de Assis, 537"/>
    <n v="-30.05458672"/>
    <n v="-50.162341670000004"/>
    <s v="C4"/>
    <x v="0"/>
    <s v="P6"/>
    <s v="Vapor de sódio"/>
    <n v="150"/>
    <n v="22"/>
    <n v="0"/>
    <n v="300"/>
    <n v="2"/>
    <n v="2.5"/>
    <n v="7"/>
    <m/>
    <m/>
    <n v="0"/>
    <n v="1.5"/>
    <n v="0"/>
    <n v="0"/>
    <n v="0"/>
    <n v="0"/>
    <n v="3"/>
    <s v="Unilateral"/>
    <s v="Braço"/>
    <n v="29.2"/>
    <n v="8"/>
    <n v="1"/>
    <n v="0.5"/>
    <n v="1.3"/>
    <n v="0.8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800000000000012"/>
    <n v="2.1111111111111116"/>
    <s v="-"/>
    <n v="11.38"/>
    <n v="0.56000000000000005"/>
    <m/>
    <m/>
    <m/>
    <m/>
    <s v="ATENDE"/>
    <s v="ATENDE"/>
    <s v="ATENDE"/>
    <s v="ATENDE"/>
    <s v="C4"/>
    <s v="P6"/>
    <n v="2.2933333333333334"/>
    <n v="9.8800000000000008"/>
    <n v="5.25"/>
    <n v="3"/>
    <n v="0.6"/>
    <s v="ATENDE"/>
    <s v="ATENDE"/>
    <s v="ATENDE"/>
    <s v="-"/>
    <e v="#VALUE!"/>
    <n v="4.83"/>
    <n v="3.45"/>
    <s v="-"/>
    <s v="-"/>
    <s v="-"/>
    <s v="-"/>
    <s v="-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316"/>
    <s v="PVP"/>
    <s v="Rua Sao Francisco de Assis, 537"/>
    <n v="-30.05458672"/>
    <n v="-50.162341670000004"/>
    <s v="C4"/>
    <x v="0"/>
    <s v="P6"/>
    <s v="Vapor de sódio"/>
    <n v="150"/>
    <n v="22"/>
    <n v="0"/>
    <n v="300"/>
    <n v="2"/>
    <n v="2.5"/>
    <n v="7"/>
    <m/>
    <m/>
    <n v="0"/>
    <n v="1.5"/>
    <n v="0"/>
    <n v="0"/>
    <n v="0"/>
    <n v="0"/>
    <n v="3"/>
    <s v="Unilateral"/>
    <s v="Braço"/>
    <n v="29.2"/>
    <n v="8"/>
    <n v="1"/>
    <n v="0.5"/>
    <n v="1.3"/>
    <n v="0.8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2000000000000073E-2"/>
    <n v="2.9444444444444442"/>
    <s v="-"/>
    <n v="10.82"/>
    <n v="0.71"/>
    <m/>
    <m/>
    <m/>
    <m/>
    <s v="ATENDE"/>
    <s v="ATENDE"/>
    <s v="ATENDE"/>
    <s v="ATENDE"/>
    <s v="C4"/>
    <s v="P6"/>
    <n v="2.15"/>
    <n v="9.4499999999999993"/>
    <n v="5.81"/>
    <n v="3"/>
    <n v="0.6"/>
    <s v="ATENDE"/>
    <s v="ATENDE"/>
    <s v="ATENDE"/>
    <s v="-"/>
    <e v="#VALUE!"/>
    <n v="3.3"/>
    <n v="1.9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316"/>
    <s v="PVP"/>
    <s v="Rua Sao Francisco de Assis, 537"/>
    <n v="-30.05458672"/>
    <n v="-50.162341670000004"/>
    <s v="C4"/>
    <x v="0"/>
    <s v="P6"/>
    <s v="Vapor de sódio"/>
    <n v="150"/>
    <n v="22"/>
    <n v="0"/>
    <n v="300"/>
    <n v="2"/>
    <n v="2.5"/>
    <n v="7"/>
    <m/>
    <m/>
    <n v="0"/>
    <n v="1.5"/>
    <n v="0"/>
    <n v="0"/>
    <n v="0"/>
    <n v="0"/>
    <n v="3"/>
    <s v="Unilateral"/>
    <s v="Braço"/>
    <n v="29.2"/>
    <n v="8"/>
    <n v="1"/>
    <n v="0.5"/>
    <n v="1.3"/>
    <n v="0.8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700000000000008"/>
    <n v="2.9444444444444442"/>
    <s v="-"/>
    <n v="12.17"/>
    <n v="0.71"/>
    <m/>
    <m/>
    <m/>
    <m/>
    <s v="ATENDE"/>
    <s v="ATENDE"/>
    <s v="ATENDE"/>
    <s v="ATENDE"/>
    <s v="C4"/>
    <s v="P6"/>
    <n v="2.0399999999999996"/>
    <n v="9.1199999999999992"/>
    <n v="6.08"/>
    <n v="3"/>
    <n v="0.6"/>
    <s v="ATENDE"/>
    <s v="ATENDE"/>
    <s v="ATENDE"/>
    <s v="-"/>
    <e v="#VALUE!"/>
    <n v="3.81"/>
    <n v="2.9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5"/>
    <s v="Curto II"/>
    <m/>
    <s v=""/>
    <s v=""/>
    <m/>
    <m/>
    <m/>
    <m/>
    <m/>
    <m/>
    <n v="40"/>
    <n v="150"/>
    <n v="190"/>
    <n v="0.73333333333333339"/>
    <m/>
    <m/>
    <s v="Sim"/>
    <m/>
  </r>
  <r>
    <n v="317"/>
    <s v="PVP"/>
    <s v="Rua Sidnei Ferri, 837"/>
    <n v="-30.009484199999999"/>
    <n v="-50.173273350000002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7.5"/>
    <n v="6.1"/>
    <n v="1"/>
    <n v="0.6"/>
    <n v="1.4"/>
    <n v="0.79999999999999993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5.555555555555558E-2"/>
    <s v="-"/>
    <n v="9.15"/>
    <n v="0.19"/>
    <m/>
    <m/>
    <m/>
    <m/>
    <s v="ATENDE"/>
    <s v="ATENDE"/>
    <s v="ATENDE"/>
    <s v="ATENDE"/>
    <s v="C5"/>
    <s v="P6"/>
    <n v="1.4833333333333334"/>
    <n v="7.45"/>
    <n v="0.97"/>
    <n v="3"/>
    <n v="0.6"/>
    <s v="ATENDE"/>
    <s v="ATENDE"/>
    <s v="ATENDE"/>
    <s v="-"/>
    <e v="#VALUE!"/>
    <n v="3.87"/>
    <n v="0.94"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70"/>
    <n v="105"/>
    <n v="0.5"/>
    <m/>
    <m/>
    <s v="Sim"/>
    <m/>
  </r>
  <r>
    <n v="317"/>
    <s v="PVP"/>
    <s v="Rua Sidnei Ferri, 837"/>
    <n v="-30.009484199999999"/>
    <n v="-50.173273350000002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7.5"/>
    <n v="6.1"/>
    <n v="1"/>
    <n v="0.6"/>
    <n v="1.4"/>
    <n v="0.79999999999999993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7333333333333352"/>
    <n v="0.22222222222222232"/>
    <s v="-"/>
    <n v="10.3"/>
    <n v="0.22"/>
    <m/>
    <m/>
    <m/>
    <m/>
    <s v="ATENDE"/>
    <s v="ATENDE"/>
    <s v="ATENDE"/>
    <s v="ATENDE"/>
    <s v="C5"/>
    <s v="P6"/>
    <n v="1.8766666666666669"/>
    <n v="8.6300000000000008"/>
    <n v="0.97"/>
    <n v="3"/>
    <n v="0.6"/>
    <s v="ATENDE"/>
    <s v="ATENDE"/>
    <s v="ATENDE"/>
    <s v="-"/>
    <e v="#VALUE!"/>
    <n v="3.65"/>
    <n v="1.1299999999999999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70"/>
    <n v="109"/>
    <n v="0.44285714285714284"/>
    <m/>
    <m/>
    <s v="Sim"/>
    <m/>
  </r>
  <r>
    <n v="317"/>
    <s v="PVP"/>
    <s v="Rua Sidnei Ferri, 837"/>
    <n v="-30.009484199999999"/>
    <n v="-50.173273350000002"/>
    <s v="C5"/>
    <x v="0"/>
    <s v="P6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7.5"/>
    <n v="6.1"/>
    <n v="1"/>
    <n v="0.6"/>
    <n v="1.4"/>
    <n v="0.79999999999999993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133333333333331"/>
    <n v="0"/>
    <s v="-"/>
    <n v="8.56"/>
    <n v="0.18"/>
    <m/>
    <m/>
    <m/>
    <m/>
    <s v="ATENDE"/>
    <s v="ATENDE"/>
    <s v="ATENDE"/>
    <s v="ATENDE"/>
    <s v="C5"/>
    <s v="P6"/>
    <n v="1.2033333333333336"/>
    <n v="6.61"/>
    <n v="0.9"/>
    <n v="3"/>
    <n v="0.6"/>
    <s v="ATENDE"/>
    <s v="ATENDE"/>
    <s v="ATENDE"/>
    <s v="-"/>
    <e v="#VALUE!"/>
    <n v="3.16"/>
    <n v="1.23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n v="2"/>
    <s v="Curto II"/>
    <m/>
    <s v=""/>
    <s v=""/>
    <m/>
    <m/>
    <m/>
    <m/>
    <m/>
    <m/>
    <n v="30"/>
    <n v="70"/>
    <n v="100"/>
    <n v="0.5714285714285714"/>
    <m/>
    <m/>
    <s v="Sim"/>
    <m/>
  </r>
  <r>
    <n v="318"/>
    <s v="V"/>
    <s v="Rua Manoel da Silva Mendes, 1074"/>
    <n v="-29.999595450000001"/>
    <n v="-50.180046769999997"/>
    <s v="C5"/>
    <x v="0"/>
    <n v="0"/>
    <s v="Vapor de sódio"/>
    <n v="150"/>
    <n v="22"/>
    <n v="0"/>
    <n v="600"/>
    <n v="2"/>
    <n v="0"/>
    <n v="6"/>
    <m/>
    <m/>
    <n v="0"/>
    <n v="0"/>
    <n v="0"/>
    <n v="0"/>
    <n v="0"/>
    <n v="0"/>
    <n v="0"/>
    <s v="Unilateral"/>
    <s v="Braço"/>
    <n v="28.8"/>
    <n v="7.5"/>
    <n v="2"/>
    <n v="0.8"/>
    <n v="1.5"/>
    <n v="0.7"/>
    <m/>
    <m/>
    <s v="Não"/>
    <n v="4"/>
    <n v="0"/>
    <n v="0"/>
    <n v="0"/>
    <n v="0"/>
    <n v="0"/>
    <s v="-"/>
    <n v="0"/>
    <m/>
    <n v="7.5"/>
    <n v="0.18"/>
    <s v="-"/>
    <n v="0.18"/>
    <s v="-"/>
    <n v="16"/>
    <s v="ATENDE"/>
    <n v="8.666666666666667E-2"/>
    <n v="1.9444444444444446"/>
    <s v="-"/>
    <n v="8.15"/>
    <n v="0.5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28W"/>
    <s v="LUM LED SL VT 9.1 28W"/>
    <m/>
    <e v="#N/A"/>
    <n v="2"/>
    <n v="28"/>
    <e v="#N/A"/>
    <n v="4927.3500000000004"/>
    <n v="0"/>
    <n v="0"/>
    <m/>
    <s v="Curto II"/>
    <m/>
    <s v=""/>
    <s v=""/>
    <m/>
    <m/>
    <m/>
    <m/>
    <m/>
    <m/>
    <n v="28"/>
    <n v="150"/>
    <n v="356"/>
    <n v="0.81333333333333335"/>
    <m/>
    <m/>
    <s v="Sim"/>
    <m/>
  </r>
  <r>
    <n v="318"/>
    <s v="V"/>
    <s v="Rua Manoel da Silva Mendes, 1074"/>
    <n v="-29.999595450000001"/>
    <n v="-50.180046769999997"/>
    <s v="C5"/>
    <x v="0"/>
    <n v="0"/>
    <s v="Vapor de sódio"/>
    <n v="150"/>
    <n v="22"/>
    <n v="0"/>
    <n v="600"/>
    <n v="2"/>
    <n v="0"/>
    <n v="6"/>
    <m/>
    <m/>
    <n v="0"/>
    <n v="0"/>
    <n v="0"/>
    <n v="0"/>
    <n v="0"/>
    <n v="0"/>
    <n v="0"/>
    <s v="Unilateral"/>
    <s v="Braço"/>
    <n v="28.8"/>
    <n v="7.5"/>
    <n v="2"/>
    <n v="0.8"/>
    <n v="1.5"/>
    <n v="0.7"/>
    <m/>
    <m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5333333333333328"/>
    <n v="3.1111111111111116"/>
    <s v="-"/>
    <n v="10.15"/>
    <n v="0.74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2"/>
    <n v="31"/>
    <n v="0"/>
    <n v="5270"/>
    <n v="0"/>
    <n v="0"/>
    <m/>
    <s v="Curto II"/>
    <m/>
    <s v=""/>
    <s v=""/>
    <m/>
    <m/>
    <m/>
    <m/>
    <m/>
    <m/>
    <n v="31"/>
    <n v="150"/>
    <n v="362"/>
    <n v="0.79333333333333333"/>
    <m/>
    <m/>
    <s v="Sim"/>
    <m/>
  </r>
  <r>
    <n v="318"/>
    <s v="V"/>
    <s v="Rua Manoel da Silva Mendes, 1074"/>
    <n v="-29.999595450000001"/>
    <n v="-50.180046769999997"/>
    <s v="C5"/>
    <x v="0"/>
    <n v="0"/>
    <s v="Vapor de sódio"/>
    <n v="150"/>
    <n v="22"/>
    <n v="0"/>
    <n v="600"/>
    <n v="2"/>
    <n v="0"/>
    <n v="6"/>
    <m/>
    <m/>
    <n v="0"/>
    <n v="0"/>
    <n v="0"/>
    <n v="0"/>
    <n v="0"/>
    <n v="0"/>
    <n v="0"/>
    <s v="Unilateral"/>
    <s v="Braço"/>
    <n v="28.8"/>
    <n v="7.5"/>
    <n v="2"/>
    <n v="0.8"/>
    <n v="1.5"/>
    <n v="0.7"/>
    <m/>
    <m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5333333333333328"/>
    <n v="2.8888888888888888"/>
    <s v="-"/>
    <n v="10.15"/>
    <n v="0.7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2"/>
    <n v="30"/>
    <n v="0"/>
    <n v="5266"/>
    <n v="0"/>
    <n v="0"/>
    <m/>
    <s v="Curto II"/>
    <m/>
    <s v=""/>
    <s v=""/>
    <m/>
    <m/>
    <m/>
    <m/>
    <m/>
    <m/>
    <n v="30"/>
    <n v="150"/>
    <n v="360"/>
    <n v="0.8"/>
    <m/>
    <m/>
    <s v="Sim"/>
    <m/>
  </r>
  <r>
    <n v="319"/>
    <s v="VP"/>
    <s v="Avenida Central, 443"/>
    <n v="-30.055220670000001"/>
    <n v="-50.160000340000003"/>
    <s v="C3"/>
    <x v="0"/>
    <s v="P6"/>
    <s v="LED"/>
    <n v="99"/>
    <n v="0"/>
    <n v="0"/>
    <n v="396"/>
    <n v="2"/>
    <n v="0"/>
    <n v="6.5"/>
    <m/>
    <m/>
    <n v="0"/>
    <n v="4.5"/>
    <n v="7"/>
    <n v="0"/>
    <n v="0"/>
    <n v="0"/>
    <n v="0"/>
    <s v="Canteiro central"/>
    <s v="Braço"/>
    <n v="20.7"/>
    <n v="7.5"/>
    <n v="2"/>
    <n v="3.5"/>
    <n v="2.5"/>
    <n v="-1"/>
    <m/>
    <m/>
    <s v="Não"/>
    <n v="4"/>
    <n v="0"/>
    <n v="0"/>
    <n v="0"/>
    <n v="0"/>
    <n v="0"/>
    <s v="-"/>
    <n v="0"/>
    <m/>
    <n v="15"/>
    <n v="0.18"/>
    <s v="-"/>
    <n v="0.18"/>
    <s v="-"/>
    <n v="15"/>
    <s v="ATENDE"/>
    <n v="2.4000000000000021E-2"/>
    <n v="2.3333333333333335"/>
    <s v="-"/>
    <n v="15.36"/>
    <n v="0.6"/>
    <m/>
    <m/>
    <m/>
    <m/>
    <s v="ATENDE"/>
    <s v="ATENDE"/>
    <s v="ATENDE"/>
    <s v="ATENDE"/>
    <s v="C3"/>
    <s v="-"/>
    <e v="#VALUE!"/>
    <m/>
    <m/>
    <s v="-"/>
    <s v="-"/>
    <s v="-"/>
    <s v="-"/>
    <s v="-"/>
    <s v="P6"/>
    <n v="4.7233333333333336"/>
    <n v="17.170000000000002"/>
    <n v="12.46"/>
    <n v="3"/>
    <n v="0.6"/>
    <s v="ATENDE"/>
    <s v="ATENDE"/>
    <s v="ATENDE"/>
    <x v="0"/>
    <s v=" SL VT 9.1 35W"/>
    <s v="LUM LED SL VT 9.1 35W"/>
    <m/>
    <e v="#N/A"/>
    <n v="2"/>
    <n v="35"/>
    <n v="0"/>
    <n v="5955.62"/>
    <n v="0"/>
    <n v="0"/>
    <m/>
    <s v="Médio II"/>
    <m/>
    <s v=""/>
    <s v=""/>
    <m/>
    <m/>
    <m/>
    <m/>
    <m/>
    <m/>
    <n v="35"/>
    <n v="99"/>
    <n v="268"/>
    <n v="0.64646464646464641"/>
    <m/>
    <m/>
    <s v="Sim"/>
    <m/>
  </r>
  <r>
    <n v="319"/>
    <s v="VP"/>
    <s v="Avenida Central, 443"/>
    <n v="-30.055220670000001"/>
    <n v="-50.160000340000003"/>
    <s v="C3"/>
    <x v="0"/>
    <s v="P6"/>
    <s v="LED"/>
    <n v="99"/>
    <n v="0"/>
    <n v="0"/>
    <n v="396"/>
    <n v="2"/>
    <n v="0"/>
    <n v="6.5"/>
    <m/>
    <m/>
    <n v="0"/>
    <n v="4.5"/>
    <n v="7"/>
    <n v="0"/>
    <n v="0"/>
    <n v="0"/>
    <n v="0"/>
    <s v="Canteiro central"/>
    <s v="Braço"/>
    <n v="20.7"/>
    <n v="7.5"/>
    <n v="2"/>
    <n v="3.5"/>
    <n v="2.5"/>
    <n v="-1"/>
    <m/>
    <m/>
    <s v="Não"/>
    <n v="4"/>
    <n v="0"/>
    <n v="0"/>
    <n v="0"/>
    <n v="0"/>
    <n v="0"/>
    <s v="-"/>
    <n v="0"/>
    <m/>
    <n v="15"/>
    <n v="0.18"/>
    <s v="-"/>
    <n v="0.18"/>
    <s v="-"/>
    <n v="15"/>
    <s v="ATENDE"/>
    <n v="0.1246666666666667"/>
    <n v="2.6111111111111112"/>
    <s v="-"/>
    <n v="16.87"/>
    <n v="0.65"/>
    <m/>
    <m/>
    <m/>
    <m/>
    <s v="ATENDE"/>
    <s v="ATENDE"/>
    <s v="ATENDE"/>
    <s v="ATENDE"/>
    <s v="C3"/>
    <s v="-"/>
    <e v="#VALUE!"/>
    <m/>
    <m/>
    <s v="-"/>
    <s v="-"/>
    <s v="-"/>
    <s v="-"/>
    <s v="-"/>
    <s v="P6"/>
    <n v="5.32"/>
    <n v="18.96"/>
    <n v="15.05"/>
    <n v="3"/>
    <n v="0.6"/>
    <s v="ATENDE"/>
    <s v="ATENDE"/>
    <s v="ATENDE"/>
    <x v="1"/>
    <s v="SX-INEVO040HF"/>
    <s v="SXINEVO040K40L12CZF7PHF"/>
    <m/>
    <e v="#N/A"/>
    <n v="2"/>
    <n v="39"/>
    <e v="#N/A"/>
    <n v="6552"/>
    <e v="#N/A"/>
    <n v="0"/>
    <m/>
    <s v="Médio II"/>
    <m/>
    <s v=""/>
    <s v=""/>
    <m/>
    <m/>
    <m/>
    <m/>
    <m/>
    <m/>
    <n v="39"/>
    <n v="99"/>
    <n v="276"/>
    <n v="0.60606060606060608"/>
    <m/>
    <m/>
    <s v="Sim"/>
    <m/>
  </r>
  <r>
    <n v="319"/>
    <s v="VP"/>
    <s v="Avenida Central, 443"/>
    <n v="-30.055220670000001"/>
    <n v="-50.160000340000003"/>
    <s v="C3"/>
    <x v="0"/>
    <s v="P6"/>
    <s v="LED"/>
    <n v="99"/>
    <n v="0"/>
    <n v="0"/>
    <n v="396"/>
    <n v="2"/>
    <n v="0"/>
    <n v="6.5"/>
    <m/>
    <m/>
    <n v="0"/>
    <n v="4.5"/>
    <n v="7"/>
    <n v="0"/>
    <n v="0"/>
    <n v="0"/>
    <n v="0"/>
    <s v="Canteiro central"/>
    <s v="Braço"/>
    <n v="20.7"/>
    <n v="7.5"/>
    <n v="2"/>
    <n v="3.5"/>
    <n v="2.5"/>
    <n v="-1"/>
    <m/>
    <m/>
    <s v="Não"/>
    <n v="4"/>
    <n v="0"/>
    <n v="0"/>
    <n v="0"/>
    <n v="0"/>
    <n v="0"/>
    <s v="-"/>
    <n v="0"/>
    <m/>
    <n v="15"/>
    <n v="0.18"/>
    <s v="-"/>
    <n v="0.18"/>
    <s v="-"/>
    <n v="15"/>
    <s v="ATENDE"/>
    <n v="0.2546666666666666"/>
    <n v="1.8333333333333335"/>
    <s v="-"/>
    <n v="18.82"/>
    <n v="0.51"/>
    <m/>
    <m/>
    <m/>
    <m/>
    <s v="ATENDE"/>
    <s v="ATENDE"/>
    <s v="ATENDE"/>
    <s v="ATENDE"/>
    <s v="C3"/>
    <s v="-"/>
    <e v="#VALUE!"/>
    <m/>
    <m/>
    <s v="-"/>
    <s v="-"/>
    <s v="-"/>
    <s v="-"/>
    <s v="-"/>
    <s v="P6"/>
    <n v="6.3299999999999992"/>
    <n v="21.99"/>
    <n v="17.03"/>
    <n v="3"/>
    <n v="0.6"/>
    <s v="ATENDE"/>
    <s v="ATENDE"/>
    <s v="ATENDE"/>
    <x v="2"/>
    <s v="SIGSAGPTLRRSSNDL_40W_50IBBRS_x000a_"/>
    <s v="SIGSAGPTLRRSSNDL_40W_50IBBRS_x000a_1-10C1MUN6.5"/>
    <m/>
    <e v="#N/A"/>
    <n v="2"/>
    <n v="40"/>
    <e v="#N/A"/>
    <n v="6641"/>
    <e v="#N/A"/>
    <n v="0"/>
    <m/>
    <s v="Médio II"/>
    <m/>
    <s v=""/>
    <s v=""/>
    <m/>
    <m/>
    <m/>
    <m/>
    <m/>
    <m/>
    <n v="40"/>
    <n v="99"/>
    <n v="278"/>
    <n v="0.59595959595959602"/>
    <m/>
    <m/>
    <s v="Sim"/>
    <m/>
  </r>
  <r>
    <n v="320"/>
    <s v="PVP"/>
    <s v="Rua Hildebrando Pinheiro Veloso, 1304"/>
    <n v="-30.01458654"/>
    <n v="-50.173791059999999"/>
    <s v="C5"/>
    <x v="0"/>
    <s v="P6"/>
    <s v="Vapor de sódio"/>
    <n v="100"/>
    <n v="17"/>
    <n v="0"/>
    <n v="200"/>
    <n v="2"/>
    <n v="2.5"/>
    <n v="8"/>
    <m/>
    <m/>
    <n v="0"/>
    <n v="3"/>
    <n v="0"/>
    <n v="0"/>
    <n v="0"/>
    <n v="0"/>
    <n v="0"/>
    <s v="Unilateral"/>
    <s v="Braço"/>
    <n v="41.6"/>
    <n v="6.6"/>
    <n v="1"/>
    <n v="0.7"/>
    <n v="1.5"/>
    <n v="0.8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133333333333335"/>
    <n v="0.33333333333333326"/>
    <s v="-"/>
    <n v="8.86"/>
    <n v="0.24"/>
    <m/>
    <m/>
    <m/>
    <m/>
    <s v="ATENDE"/>
    <s v="ATENDE"/>
    <s v="ATENDE"/>
    <s v="ATENDE"/>
    <s v="C5"/>
    <s v="P6"/>
    <n v="1.6266666666666665"/>
    <n v="7.88"/>
    <n v="1.58"/>
    <n v="3"/>
    <n v="0.6"/>
    <s v="ATENDE"/>
    <s v="ATENDE"/>
    <s v="ATENDE"/>
    <s v="-"/>
    <e v="#VALUE!"/>
    <n v="3.59"/>
    <n v="1.25"/>
    <s v="-"/>
    <s v="-"/>
    <s v="-"/>
    <s v="-"/>
    <s v="-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320"/>
    <s v="PVP"/>
    <s v="Rua Hildebrando Pinheiro Veloso, 1304"/>
    <n v="-30.01458654"/>
    <n v="-50.173791059999999"/>
    <s v="C5"/>
    <x v="0"/>
    <s v="P6"/>
    <s v="Vapor de sódio"/>
    <n v="100"/>
    <n v="17"/>
    <n v="0"/>
    <n v="200"/>
    <n v="2"/>
    <n v="2.5"/>
    <n v="8"/>
    <m/>
    <m/>
    <n v="0"/>
    <n v="3"/>
    <n v="0"/>
    <n v="0"/>
    <n v="0"/>
    <n v="0"/>
    <n v="0"/>
    <s v="Unilateral"/>
    <s v="Braço"/>
    <n v="41.6"/>
    <n v="6.6"/>
    <n v="1"/>
    <n v="0.7"/>
    <n v="1.5"/>
    <n v="0.8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666666666666669"/>
    <n v="0.11111111111111116"/>
    <s v="-"/>
    <n v="8.3000000000000007"/>
    <n v="0.2"/>
    <m/>
    <m/>
    <m/>
    <m/>
    <s v="ATENDE"/>
    <s v="ATENDE"/>
    <s v="ATENDE"/>
    <s v="ATENDE"/>
    <s v="C5"/>
    <s v="P6"/>
    <n v="1.33"/>
    <n v="6.99"/>
    <n v="0.62"/>
    <n v="3"/>
    <n v="0.6"/>
    <s v="ATENDE"/>
    <s v="ATENDE"/>
    <s v="ATENDE"/>
    <s v="-"/>
    <e v="#VALUE!"/>
    <n v="3.08"/>
    <n v="1.1599999999999999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n v="3.5"/>
    <s v="Curto II"/>
    <m/>
    <s v=""/>
    <s v=""/>
    <m/>
    <m/>
    <m/>
    <m/>
    <m/>
    <m/>
    <n v="39"/>
    <n v="100"/>
    <n v="139"/>
    <n v="0.61"/>
    <m/>
    <m/>
    <s v="Sim"/>
    <m/>
  </r>
  <r>
    <n v="320"/>
    <s v="PVP"/>
    <s v="Rua Hildebrando Pinheiro Veloso, 1304"/>
    <n v="-30.01458654"/>
    <n v="-50.173791059999999"/>
    <s v="C5"/>
    <x v="0"/>
    <s v="P6"/>
    <s v="Vapor de sódio"/>
    <n v="100"/>
    <n v="17"/>
    <n v="0"/>
    <n v="200"/>
    <n v="2"/>
    <n v="2.5"/>
    <n v="8"/>
    <m/>
    <m/>
    <n v="0"/>
    <n v="3"/>
    <n v="0"/>
    <n v="0"/>
    <n v="0"/>
    <n v="0"/>
    <n v="0"/>
    <s v="Unilateral"/>
    <s v="Braço"/>
    <n v="41.6"/>
    <n v="6.6"/>
    <n v="1"/>
    <n v="0.7"/>
    <n v="1.5"/>
    <n v="0.8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466666666666677"/>
    <n v="0.22222222222222232"/>
    <s v="-"/>
    <n v="8.9600000000000009"/>
    <n v="0.22"/>
    <m/>
    <m/>
    <m/>
    <m/>
    <s v="ATENDE"/>
    <s v="ATENDE"/>
    <s v="ATENDE"/>
    <s v="ATENDE"/>
    <s v="C5"/>
    <s v="P6"/>
    <n v="1.0100000000000002"/>
    <n v="6.03"/>
    <n v="1.28"/>
    <n v="3"/>
    <n v="0.6"/>
    <s v="ATENDE"/>
    <s v="ATENDE"/>
    <s v="ATENDE"/>
    <s v="-"/>
    <e v="#VALUE!"/>
    <n v="3.56"/>
    <n v="1.04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Médio II"/>
    <n v="2.4"/>
    <n v="7.5"/>
    <m/>
    <m/>
    <m/>
    <m/>
    <m/>
    <m/>
    <n v="40"/>
    <n v="100"/>
    <n v="140"/>
    <n v="0.6"/>
    <m/>
    <m/>
    <s v="Sim"/>
    <m/>
  </r>
  <r>
    <n v="321"/>
    <s v="PVP"/>
    <s v="Rua A-Sete da Verbenas, 528"/>
    <n v="-30.061360270000002"/>
    <n v="-50.160618079999999"/>
    <s v="C4"/>
    <x v="0"/>
    <s v="P6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9.299999999999997"/>
    <n v="7.5"/>
    <n v="1"/>
    <n v="0.4"/>
    <n v="1.3"/>
    <n v="0.9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0.83333333333333348"/>
    <s v="-"/>
    <n v="10.48"/>
    <n v="0.33"/>
    <m/>
    <m/>
    <m/>
    <m/>
    <s v="ATENDE"/>
    <s v="ATENDE"/>
    <s v="ATENDE"/>
    <s v="ATENDE"/>
    <s v="C4"/>
    <s v="P6"/>
    <n v="1.9499999999999997"/>
    <n v="8.85"/>
    <n v="2.71"/>
    <n v="3"/>
    <n v="0.6"/>
    <s v="ATENDE"/>
    <s v="ATENDE"/>
    <s v="ATENDE"/>
    <s v="-"/>
    <e v="#VALUE!"/>
    <n v="6.97"/>
    <n v="2.93"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321"/>
    <s v="PVP"/>
    <s v="Rua A-Sete da Verbenas, 528"/>
    <n v="-30.061360270000002"/>
    <n v="-50.160618079999999"/>
    <s v="C4"/>
    <x v="0"/>
    <s v="P6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9.299999999999997"/>
    <n v="7.5"/>
    <n v="1"/>
    <n v="0.4"/>
    <n v="1.3"/>
    <n v="0.9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199999999999999"/>
    <n v="1.0555555555555558"/>
    <s v="-"/>
    <n v="12.42"/>
    <n v="0.37"/>
    <m/>
    <m/>
    <m/>
    <m/>
    <s v="ATENDE"/>
    <s v="ATENDE"/>
    <s v="ATENDE"/>
    <s v="ATENDE"/>
    <s v="C4"/>
    <s v="P6"/>
    <n v="2.34"/>
    <n v="10.02"/>
    <n v="2.3199999999999998"/>
    <n v="3"/>
    <n v="0.6"/>
    <s v="ATENDE"/>
    <s v="ATENDE"/>
    <s v="ATENDE"/>
    <s v="-"/>
    <e v="#VALUE!"/>
    <n v="8.17"/>
    <n v="5.0599999999999996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321"/>
    <s v="PVP"/>
    <s v="Rua A-Sete da Verbenas, 528"/>
    <n v="-30.061360270000002"/>
    <n v="-50.160618079999999"/>
    <s v="C4"/>
    <x v="0"/>
    <s v="P6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9.299999999999997"/>
    <n v="7.5"/>
    <n v="1"/>
    <n v="0.4"/>
    <n v="1.3"/>
    <n v="0.9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00000000000002"/>
    <n v="0.61111111111111116"/>
    <s v="-"/>
    <n v="11.43"/>
    <n v="0.28999999999999998"/>
    <m/>
    <m/>
    <m/>
    <m/>
    <s v="ATENDE"/>
    <s v="ATENDE"/>
    <s v="ATENDE"/>
    <s v="ATENDE"/>
    <s v="C4"/>
    <s v="P6"/>
    <n v="2.1433333333333331"/>
    <n v="9.43"/>
    <n v="2.92"/>
    <n v="3"/>
    <n v="0.6"/>
    <s v="ATENDE"/>
    <s v="ATENDE"/>
    <s v="ATENDE"/>
    <s v="-"/>
    <e v="#VALUE!"/>
    <n v="5.09"/>
    <n v="1.91"/>
    <s v="-"/>
    <s v="-"/>
    <s v="-"/>
    <s v="-"/>
    <s v="-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.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s v="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3">
  <r>
    <n v="38"/>
    <s v="PVCP"/>
    <s v="Avenida Beira-Mar, 1577"/>
    <n v="-29.992885000000001"/>
    <n v="-50.127079999999999"/>
    <x v="0"/>
    <s v="-"/>
    <x v="0"/>
    <s v="LED"/>
    <n v="99"/>
    <n v="0"/>
    <n v="0"/>
    <n v="198"/>
    <n v="2"/>
    <n v="4.5"/>
    <n v="8.5"/>
    <m/>
    <m/>
    <n v="0"/>
    <n v="5"/>
    <n v="0"/>
    <n v="0"/>
    <n v="2.5"/>
    <n v="3"/>
    <n v="0"/>
    <s v="Unilateral"/>
    <s v="Braço"/>
    <n v="27.3"/>
    <n v="8.1999999999999993"/>
    <n v="1"/>
    <n v="0.2"/>
    <n v="2.5"/>
    <n v="2.299999999999999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5666666666666735E-2"/>
    <n v="0.47368421052631593"/>
    <s v="-"/>
    <n v="31.07"/>
    <n v="0.56000000000000005"/>
    <m/>
    <m/>
    <m/>
    <m/>
    <s v="ATENDE"/>
    <s v="ATENDE"/>
    <s v="ATENDE"/>
    <s v="ATENDE"/>
    <s v="C1"/>
    <s v="P5"/>
    <n v="2.3020000000000005"/>
    <n v="16.510000000000002"/>
    <n v="4.38"/>
    <n v="5"/>
    <n v="1"/>
    <s v="ATENDE"/>
    <s v="ATENDE"/>
    <s v="ATENDE"/>
    <s v="P5"/>
    <n v="3.0000000000000027E-2"/>
    <n v="5.15"/>
    <n v="1.34"/>
    <n v="5"/>
    <n v="1"/>
    <s v="ATENDE"/>
    <s v="ATENDE"/>
    <s v="ATENDE"/>
    <x v="0"/>
    <s v=" SL VT 9.1 120W"/>
    <s v="LUM LED SL VT 9.1 120W"/>
    <m/>
    <e v="#N/A"/>
    <n v="1"/>
    <n v="120"/>
    <n v="0"/>
    <n v="18730"/>
    <n v="0"/>
    <n v="0"/>
    <n v="5"/>
    <s v="Médio II"/>
    <m/>
    <s v=""/>
    <s v=""/>
    <m/>
    <m/>
    <m/>
    <m/>
    <m/>
    <m/>
    <n v="120"/>
    <n v="99"/>
    <n v="219"/>
    <n v="-0.21212121212121215"/>
    <m/>
    <m/>
    <s v="Sim"/>
    <m/>
  </r>
  <r>
    <n v="38"/>
    <s v="PVCP"/>
    <s v="Avenida Beira-Mar, 1577"/>
    <n v="-29.992885000000001"/>
    <n v="-50.127079999999999"/>
    <x v="0"/>
    <s v="-"/>
    <x v="0"/>
    <s v="LED"/>
    <n v="99"/>
    <n v="0"/>
    <n v="0"/>
    <n v="198"/>
    <n v="2"/>
    <n v="4.5"/>
    <n v="8.5"/>
    <m/>
    <m/>
    <n v="0"/>
    <n v="5"/>
    <n v="0"/>
    <n v="0"/>
    <n v="2.5"/>
    <n v="3"/>
    <n v="0"/>
    <s v="Unilateral"/>
    <s v="Braço"/>
    <n v="27.3"/>
    <n v="8.1999999999999993"/>
    <n v="1"/>
    <n v="0.2"/>
    <n v="2.5"/>
    <n v="2.299999999999999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1.8000000000000016E-2"/>
    <n v="0.34210526315789469"/>
    <s v="-"/>
    <n v="30.54"/>
    <n v="0.51"/>
    <m/>
    <m/>
    <m/>
    <m/>
    <s v="ATENDE"/>
    <s v="ATENDE"/>
    <s v="ATENDE"/>
    <s v="ATENDE"/>
    <s v="C1"/>
    <s v="P5"/>
    <n v="3.1959999999999997"/>
    <n v="20.98"/>
    <n v="13.59"/>
    <n v="5"/>
    <n v="1"/>
    <s v="ATENDE"/>
    <s v="ATENDE"/>
    <s v="ATENDE"/>
    <s v="P5"/>
    <n v="0.1419999999999999"/>
    <n v="5.71"/>
    <n v="2.84"/>
    <n v="5"/>
    <n v="1"/>
    <s v="ATENDE"/>
    <s v="ATENDE"/>
    <s v="ATENDE"/>
    <x v="1"/>
    <s v="SX-INLPP120HF"/>
    <s v="SXINLPP120K40L12CZF7PHF"/>
    <m/>
    <e v="#N/A"/>
    <n v="1"/>
    <n v="120"/>
    <e v="#N/A"/>
    <n v="20748"/>
    <n v="0"/>
    <n v="0"/>
    <n v="5"/>
    <s v="Médio II"/>
    <m/>
    <s v=""/>
    <s v=""/>
    <m/>
    <m/>
    <m/>
    <m/>
    <m/>
    <m/>
    <n v="120"/>
    <n v="99"/>
    <n v="219"/>
    <n v="-0.21212121212121215"/>
    <m/>
    <m/>
    <s v="Sim"/>
    <m/>
  </r>
  <r>
    <n v="38"/>
    <s v="PVCP"/>
    <s v="Avenida Beira-Mar, 1577"/>
    <n v="-29.992885000000001"/>
    <n v="-50.127079999999999"/>
    <x v="0"/>
    <s v="-"/>
    <x v="0"/>
    <s v="LED"/>
    <n v="99"/>
    <n v="0"/>
    <n v="0"/>
    <n v="198"/>
    <n v="2"/>
    <n v="4.5"/>
    <n v="8.5"/>
    <m/>
    <m/>
    <n v="0"/>
    <n v="5"/>
    <n v="0"/>
    <n v="0"/>
    <n v="2.5"/>
    <n v="3"/>
    <n v="0"/>
    <s v="Unilateral"/>
    <s v="Braço"/>
    <n v="27.3"/>
    <n v="8.1999999999999993"/>
    <n v="1"/>
    <n v="0.2"/>
    <n v="2.5"/>
    <n v="2.299999999999999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4.9666666666666526E-2"/>
    <n v="0.60526315789473673"/>
    <s v="-"/>
    <n v="31.49"/>
    <n v="0.61"/>
    <m/>
    <m/>
    <m/>
    <m/>
    <s v="ATENDE"/>
    <s v="ATENDE"/>
    <s v="ATENDE"/>
    <s v="ATENDE"/>
    <s v="C1"/>
    <s v="P5"/>
    <n v="1.5539999999999998"/>
    <n v="12.77"/>
    <n v="7.92"/>
    <n v="5"/>
    <n v="1"/>
    <s v="ATENDE"/>
    <s v="ATENDE"/>
    <s v="ATENDE"/>
    <s v="P5"/>
    <n v="0.45399999999999996"/>
    <n v="7.27"/>
    <n v="4.22"/>
    <n v="5"/>
    <n v="1"/>
    <s v="ATENDE"/>
    <s v="ATENDE"/>
    <s v="ATENDE"/>
    <x v="2"/>
    <s v="SIGMAGPTLRRSMNDL120W_82IBBR_x000a_"/>
    <s v="SIGMAGPTLRRSMNDL120W_82IBBR_x000a_S1-10C1MUN6.5"/>
    <m/>
    <e v="#N/A"/>
    <n v="1"/>
    <n v="120"/>
    <n v="0"/>
    <n v="19640"/>
    <n v="0"/>
    <n v="0"/>
    <n v="5"/>
    <s v="Médio II"/>
    <s v="Longo II"/>
    <n v="3.5"/>
    <n v="8.5"/>
    <m/>
    <m/>
    <m/>
    <m/>
    <m/>
    <m/>
    <n v="120"/>
    <n v="99"/>
    <n v="219"/>
    <n v="-0.21212121212121215"/>
    <m/>
    <m/>
    <s v="Sim"/>
    <m/>
  </r>
  <r>
    <n v="126"/>
    <s v="PCVP"/>
    <s v="Avenida Beira-Mar, 500 [Q]"/>
    <n v="-29.982797000000001"/>
    <n v="-50.122660000000003"/>
    <x v="0"/>
    <s v="P3"/>
    <x v="1"/>
    <s v="LED"/>
    <n v="99"/>
    <n v="0"/>
    <n v="0"/>
    <n v="198"/>
    <n v="2"/>
    <n v="3"/>
    <n v="8.4"/>
    <m/>
    <m/>
    <n v="0"/>
    <n v="3"/>
    <n v="0"/>
    <n v="2.5"/>
    <n v="0"/>
    <n v="0"/>
    <n v="0"/>
    <s v="Bilateral alternada"/>
    <s v="Braço"/>
    <n v="55.8"/>
    <n v="7.3"/>
    <n v="1"/>
    <n v="0.3"/>
    <n v="0.5"/>
    <n v="0.2"/>
    <s v="-"/>
    <s v="-"/>
    <s v="Sim"/>
    <n v="3"/>
    <n v="0"/>
    <n v="0"/>
    <n v="0"/>
    <n v="0"/>
    <n v="0"/>
    <s v="-"/>
    <n v="0"/>
    <m/>
    <n v="30"/>
    <n v="0.38"/>
    <s v="-"/>
    <n v="0.38"/>
    <s v="-"/>
    <n v="14"/>
    <s v="ATENDE"/>
    <n v="-4.0000000000000036E-3"/>
    <n v="0.52631578947368407"/>
    <s v="-"/>
    <n v="29.88"/>
    <n v="0.57999999999999996"/>
    <m/>
    <m/>
    <m/>
    <m/>
    <s v="ATENDE"/>
    <s v="ATENDIMENTO LIMIAR"/>
    <s v="ATENDE"/>
    <s v="ATENDE"/>
    <s v="C1"/>
    <s v="P6"/>
    <n v="6.4466666666666663"/>
    <n v="22.34"/>
    <n v="0.63"/>
    <n v="3"/>
    <n v="0.6"/>
    <s v="ATENDE"/>
    <s v="ATENDE"/>
    <s v="ATENDE"/>
    <s v="P6"/>
    <n v="4.2266666666666666"/>
    <n v="15.68"/>
    <n v="9.94"/>
    <n v="3"/>
    <n v="0.6"/>
    <s v="ATENDE"/>
    <s v="ATENDE"/>
    <s v="ATENDE"/>
    <x v="0"/>
    <s v=" SL VT 9.1 120W"/>
    <s v="LUM LED SL VT 9.1 120W"/>
    <m/>
    <e v="#N/A"/>
    <n v="1"/>
    <n v="120"/>
    <e v="#N/A"/>
    <n v="18730"/>
    <n v="0"/>
    <n v="0"/>
    <n v="10"/>
    <s v="Curto I"/>
    <s v="Longo II"/>
    <n v="3.5"/>
    <n v="8.5"/>
    <m/>
    <m/>
    <m/>
    <m/>
    <m/>
    <m/>
    <n v="120"/>
    <n v="99"/>
    <n v="219"/>
    <n v="-0.21212121212121215"/>
    <m/>
    <m/>
    <s v="Sim"/>
    <m/>
  </r>
  <r>
    <n v="126"/>
    <s v="PCVP"/>
    <s v="Avenida Beira-Mar, 500 [Q]"/>
    <n v="-29.982797000000001"/>
    <n v="-50.122660000000003"/>
    <x v="0"/>
    <s v="P3"/>
    <x v="1"/>
    <s v="LED"/>
    <n v="99"/>
    <n v="0"/>
    <n v="0"/>
    <n v="198"/>
    <n v="2"/>
    <n v="3"/>
    <n v="8.4"/>
    <m/>
    <m/>
    <n v="0"/>
    <n v="3"/>
    <n v="0"/>
    <n v="2.5"/>
    <n v="0"/>
    <n v="0"/>
    <n v="0"/>
    <s v="Bilateral alternada"/>
    <s v="Braço"/>
    <n v="55.8"/>
    <n v="7.3"/>
    <n v="1"/>
    <n v="0.3"/>
    <n v="0.5"/>
    <n v="0.2"/>
    <s v="-"/>
    <s v="-"/>
    <s v="Sim"/>
    <n v="3"/>
    <n v="0"/>
    <n v="0"/>
    <n v="0"/>
    <n v="0"/>
    <n v="0"/>
    <s v="-"/>
    <n v="0"/>
    <m/>
    <n v="30"/>
    <n v="0.38"/>
    <s v="-"/>
    <n v="0.38"/>
    <s v="-"/>
    <n v="14"/>
    <s v="ATENDE"/>
    <n v="0.22533333333333316"/>
    <n v="0.57894736842105265"/>
    <s v="-"/>
    <n v="36.76"/>
    <n v="0.6"/>
    <m/>
    <m/>
    <m/>
    <m/>
    <s v="ATENDE"/>
    <s v="ATENDE"/>
    <s v="ATENDE"/>
    <s v="ATENDE"/>
    <s v="C1"/>
    <s v="P6"/>
    <n v="6.19"/>
    <n v="21.57"/>
    <n v="0.63"/>
    <n v="3"/>
    <n v="0.6"/>
    <s v="ATENDE"/>
    <s v="ATENDE"/>
    <s v="ATENDE"/>
    <s v="P6"/>
    <n v="3.1066666666666665"/>
    <n v="12.32"/>
    <n v="7.3"/>
    <n v="3"/>
    <n v="0.6"/>
    <s v="ATENDE"/>
    <s v="ATENDE"/>
    <s v="ATENDE"/>
    <x v="1"/>
    <s v="SX-INLPP120HF"/>
    <s v="SXINLPP120K40L12CZF7PHF"/>
    <m/>
    <e v="#N/A"/>
    <n v="1"/>
    <n v="120"/>
    <e v="#N/A"/>
    <n v="20748"/>
    <n v="0"/>
    <n v="0"/>
    <n v="10"/>
    <s v="Curto I"/>
    <s v="Longo I"/>
    <n v="2.8"/>
    <n v="8"/>
    <m/>
    <m/>
    <m/>
    <m/>
    <m/>
    <m/>
    <n v="120"/>
    <n v="99"/>
    <n v="219"/>
    <n v="-0.21212121212121215"/>
    <m/>
    <m/>
    <s v="Sim"/>
    <m/>
  </r>
  <r>
    <n v="126"/>
    <s v="PCVP"/>
    <s v="Avenida Beira-Mar, 500 [Q]"/>
    <n v="-29.982797000000001"/>
    <n v="-50.122660000000003"/>
    <x v="0"/>
    <s v="P3"/>
    <x v="1"/>
    <s v="LED"/>
    <n v="99"/>
    <n v="0"/>
    <n v="0"/>
    <n v="198"/>
    <n v="2"/>
    <n v="3"/>
    <n v="8.4"/>
    <m/>
    <m/>
    <n v="0"/>
    <n v="3"/>
    <n v="0"/>
    <n v="2.5"/>
    <n v="0"/>
    <n v="0"/>
    <n v="0"/>
    <s v="Bilateral alternada"/>
    <s v="Braço"/>
    <n v="55.8"/>
    <n v="7.3"/>
    <n v="1"/>
    <n v="0.3"/>
    <n v="0.5"/>
    <n v="0.2"/>
    <s v="-"/>
    <s v="-"/>
    <s v="Sim"/>
    <n v="3"/>
    <n v="0"/>
    <n v="0"/>
    <n v="0"/>
    <n v="0"/>
    <n v="0"/>
    <s v="-"/>
    <n v="0"/>
    <m/>
    <n v="30"/>
    <n v="0.38"/>
    <s v="-"/>
    <n v="0.38"/>
    <s v="-"/>
    <n v="14"/>
    <s v="ATENDE"/>
    <n v="2.6999999999999913E-2"/>
    <n v="0.68421052631578938"/>
    <s v="-"/>
    <n v="30.81"/>
    <n v="0.64"/>
    <m/>
    <m/>
    <m/>
    <m/>
    <s v="ATENDE"/>
    <s v="ATENDE"/>
    <s v="ATENDE"/>
    <s v="ATENDE"/>
    <s v="C1"/>
    <s v="P6"/>
    <n v="5.2466666666666661"/>
    <n v="18.739999999999998"/>
    <n v="0.69"/>
    <n v="3"/>
    <n v="0.6"/>
    <s v="ATENDE"/>
    <s v="ATENDE"/>
    <s v="ATENDE"/>
    <s v="P6"/>
    <n v="3.003333333333333"/>
    <n v="12.01"/>
    <n v="8.7200000000000006"/>
    <n v="3"/>
    <n v="0.6"/>
    <s v="ATENDE"/>
    <s v="ATENDE"/>
    <s v="ATENDE"/>
    <x v="2"/>
    <s v="SIGMAGPTLRRSMNDL120W_82IBBR_x000a_"/>
    <s v="SIGMAGPTLRRSMNDL120W_82IBBR_x000a_S1-10C1MUN6.5"/>
    <m/>
    <e v="#N/A"/>
    <n v="1"/>
    <n v="120"/>
    <n v="0"/>
    <n v="19640"/>
    <n v="0"/>
    <n v="0"/>
    <n v="10"/>
    <s v="Curto I"/>
    <s v="Longo II"/>
    <n v="3.5"/>
    <n v="8.5"/>
    <m/>
    <m/>
    <m/>
    <m/>
    <m/>
    <m/>
    <n v="120"/>
    <n v="99"/>
    <n v="219"/>
    <n v="-0.21212121212121215"/>
    <m/>
    <m/>
    <s v="Sim"/>
    <m/>
  </r>
  <r>
    <n v="1"/>
    <s v="PVP"/>
    <s v="Condominio Maritimo "/>
    <n v="-29.995958000000002"/>
    <n v="-50.194662000000001"/>
    <x v="1"/>
    <s v="-"/>
    <x v="1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6"/>
    <n v="8.1"/>
    <n v="1"/>
    <n v="0.3"/>
    <n v="2.5"/>
    <n v="2.200000000000000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133333333333331"/>
    <n v="2.2777777777777777"/>
    <s v="-"/>
    <n v="8.56"/>
    <n v="0.59"/>
    <m/>
    <m/>
    <m/>
    <m/>
    <s v="ATENDE"/>
    <s v="ATENDE"/>
    <s v="ATENDE"/>
    <s v="ATENDE"/>
    <s v="C5"/>
    <s v="P6"/>
    <n v="1.7233333333333332"/>
    <n v="8.17"/>
    <n v="5.58"/>
    <n v="3"/>
    <n v="0.6"/>
    <s v="ATENDE"/>
    <s v="ATENDE"/>
    <s v="ATENDE"/>
    <s v="P6"/>
    <n v="1.1666666666666665"/>
    <n v="6.5"/>
    <n v="4.3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Médio II"/>
    <m/>
    <s v=""/>
    <s v=""/>
    <m/>
    <m/>
    <m/>
    <m/>
    <m/>
    <m/>
    <n v="28"/>
    <n v="50"/>
    <n v="78"/>
    <n v="0.43999999999999995"/>
    <m/>
    <m/>
    <s v="Não"/>
    <m/>
  </r>
  <r>
    <n v="1"/>
    <s v="PVP"/>
    <s v="Condominio Maritimo "/>
    <n v="-29.995958000000002"/>
    <n v="-50.194662000000001"/>
    <x v="1"/>
    <s v="-"/>
    <x v="1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6"/>
    <n v="8.1"/>
    <n v="1"/>
    <n v="0.3"/>
    <n v="2.5"/>
    <n v="2.200000000000000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0666666666666673"/>
    <n v="3"/>
    <s v="-"/>
    <n v="10.55"/>
    <n v="0.72"/>
    <m/>
    <m/>
    <m/>
    <m/>
    <s v="ATENDE"/>
    <s v="ATENDE"/>
    <s v="ATENDE"/>
    <s v="ATENDE"/>
    <s v="C5"/>
    <s v="P6"/>
    <n v="2.4533333333333331"/>
    <n v="10.36"/>
    <n v="9.07"/>
    <n v="3"/>
    <n v="0.6"/>
    <s v="ATENDE"/>
    <s v="ATENDE"/>
    <s v="ATENDE"/>
    <s v="P6"/>
    <n v="1.4666666666666668"/>
    <n v="7.4"/>
    <n v="5.8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Médio II"/>
    <m/>
    <s v=""/>
    <s v=""/>
    <m/>
    <m/>
    <m/>
    <m/>
    <m/>
    <m/>
    <n v="31"/>
    <n v="50"/>
    <n v="81"/>
    <n v="0.38"/>
    <m/>
    <m/>
    <s v="Não"/>
    <m/>
  </r>
  <r>
    <n v="1"/>
    <s v="PVP"/>
    <s v="Condominio Maritimo "/>
    <n v="-29.995958000000002"/>
    <n v="-50.194662000000001"/>
    <x v="1"/>
    <s v="-"/>
    <x v="1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6"/>
    <n v="8.1"/>
    <n v="1"/>
    <n v="0.3"/>
    <n v="2.5"/>
    <n v="2.200000000000000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2800000000000016"/>
    <n v="2.7777777777777781"/>
    <s v="-"/>
    <n v="10.71"/>
    <n v="0.68"/>
    <m/>
    <m/>
    <m/>
    <m/>
    <s v="ATENDE"/>
    <s v="ATENDE"/>
    <s v="ATENDE"/>
    <s v="ATENDE"/>
    <s v="C5"/>
    <s v="P6"/>
    <n v="2.3166666666666664"/>
    <n v="9.9499999999999993"/>
    <n v="8.58"/>
    <n v="3"/>
    <n v="0.6"/>
    <s v="ATENDE"/>
    <s v="ATENDE"/>
    <s v="ATENDE"/>
    <s v="P6"/>
    <n v="1.4833333333333334"/>
    <n v="7.45"/>
    <n v="5.8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I"/>
    <m/>
    <s v=""/>
    <s v=""/>
    <m/>
    <m/>
    <m/>
    <m/>
    <m/>
    <m/>
    <n v="30"/>
    <n v="50"/>
    <n v="80"/>
    <n v="0.4"/>
    <m/>
    <m/>
    <s v="Não"/>
    <m/>
  </r>
  <r>
    <n v="2"/>
    <s v="PVP"/>
    <s v="Marina Park Residence"/>
    <n v="-29.997437999999999"/>
    <n v="-50.185203000000001"/>
    <x v="1"/>
    <s v="-"/>
    <x v="1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3.9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266666666666683"/>
    <n v="1.0555555555555558"/>
    <s v="-"/>
    <n v="9.4700000000000006"/>
    <n v="0.37"/>
    <m/>
    <m/>
    <m/>
    <m/>
    <s v="ATENDE"/>
    <s v="ATENDE"/>
    <s v="ATENDE"/>
    <s v="ATENDE"/>
    <s v="C5"/>
    <s v="P6"/>
    <n v="1.3033333333333332"/>
    <n v="6.91"/>
    <n v="2.1800000000000002"/>
    <n v="3"/>
    <n v="0.6"/>
    <s v="ATENDE"/>
    <s v="ATENDE"/>
    <s v="ATENDE"/>
    <s v="P6"/>
    <n v="0.67333333333333312"/>
    <n v="5.0199999999999996"/>
    <n v="2.09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50"/>
    <n v="85"/>
    <n v="0.30000000000000004"/>
    <m/>
    <m/>
    <s v="Não"/>
    <m/>
  </r>
  <r>
    <n v="2"/>
    <s v="PVP"/>
    <s v="Marina Park Residence"/>
    <n v="-29.997437999999999"/>
    <n v="-50.185203000000001"/>
    <x v="1"/>
    <s v="-"/>
    <x v="1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3.9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866666666666679"/>
    <n v="1.0555555555555558"/>
    <s v="-"/>
    <n v="9.14"/>
    <n v="0.37"/>
    <m/>
    <m/>
    <m/>
    <m/>
    <s v="ATENDE"/>
    <s v="ATENDE"/>
    <s v="ATENDE"/>
    <s v="ATENDE"/>
    <s v="C5"/>
    <s v="P6"/>
    <n v="1.0633333333333335"/>
    <n v="6.19"/>
    <n v="1.1000000000000001"/>
    <n v="3"/>
    <n v="0.6"/>
    <s v="ATENDE"/>
    <s v="ATENDE"/>
    <s v="ATENDE"/>
    <s v="P6"/>
    <n v="0.33999999999999986"/>
    <n v="4.0199999999999996"/>
    <n v="1.7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50"/>
    <n v="81"/>
    <n v="0.38"/>
    <m/>
    <m/>
    <s v="Não"/>
    <m/>
  </r>
  <r>
    <n v="2"/>
    <s v="PVP"/>
    <s v="Marina Park Residence"/>
    <n v="-29.997437999999999"/>
    <n v="-50.185203000000001"/>
    <x v="1"/>
    <s v="-"/>
    <x v="1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3.9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999999999999996"/>
    <n v="1.5555555555555558"/>
    <s v="-"/>
    <n v="9"/>
    <n v="0.46"/>
    <m/>
    <m/>
    <m/>
    <m/>
    <s v="ATENDE"/>
    <s v="ATENDE"/>
    <s v="ATENDE"/>
    <s v="ATENDE"/>
    <s v="C5"/>
    <s v="P6"/>
    <n v="1.1099999999999999"/>
    <n v="6.33"/>
    <n v="2.4700000000000002"/>
    <n v="3"/>
    <n v="0.6"/>
    <s v="ATENDE"/>
    <s v="ATENDE"/>
    <s v="ATENDE"/>
    <s v="P6"/>
    <n v="0.27"/>
    <n v="3.81"/>
    <n v="2.2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Não"/>
    <m/>
  </r>
  <r>
    <n v="3"/>
    <s v="VP"/>
    <s v="Avenida Central Jardim do Eden, 497"/>
    <n v="-30.069248999999999"/>
    <n v="-50.164009"/>
    <x v="1"/>
    <s v="-"/>
    <x v="1"/>
    <s v="Vapor de sódio"/>
    <n v="250"/>
    <n v="30"/>
    <n v="0"/>
    <n v="1000"/>
    <n v="2"/>
    <n v="0"/>
    <n v="7"/>
    <m/>
    <m/>
    <n v="0"/>
    <n v="3"/>
    <n v="7.5"/>
    <n v="0"/>
    <n v="0"/>
    <n v="0"/>
    <n v="0"/>
    <s v="Canteiro central"/>
    <s v="Braço"/>
    <n v="35.299999999999997"/>
    <n v="7"/>
    <n v="2"/>
    <n v="3.1"/>
    <n v="1.3"/>
    <n v="-1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8.9333333333333265E-2"/>
    <n v="1.1111111111111112"/>
    <s v="-"/>
    <n v="8.17"/>
    <n v="0.3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16999999999999993"/>
    <n v="3.51"/>
    <n v="2.02"/>
    <n v="3"/>
    <n v="0.6"/>
    <s v="ATENDE"/>
    <s v="ATENDE"/>
    <s v="ATENDE"/>
    <x v="0"/>
    <s v=" SL VT 9.1 35W"/>
    <s v="LUM LED SL VT 9.1 35W"/>
    <m/>
    <n v="0"/>
    <n v="2"/>
    <n v="35"/>
    <n v="0"/>
    <n v="5955.62"/>
    <n v="0"/>
    <n v="0"/>
    <n v="10"/>
    <s v="Curto II"/>
    <m/>
    <s v=""/>
    <s v=""/>
    <m/>
    <m/>
    <m/>
    <m/>
    <m/>
    <m/>
    <n v="35"/>
    <n v="250"/>
    <n v="570"/>
    <n v="0.86"/>
    <m/>
    <m/>
    <s v="Sim"/>
    <m/>
  </r>
  <r>
    <n v="3"/>
    <s v="VP"/>
    <s v="Avenida Central Jardim do Eden, 497"/>
    <n v="-30.069248999999999"/>
    <n v="-50.164009"/>
    <x v="1"/>
    <s v="-"/>
    <x v="1"/>
    <s v="Vapor de sódio"/>
    <n v="250"/>
    <n v="30"/>
    <n v="0"/>
    <n v="1000"/>
    <n v="2"/>
    <n v="0"/>
    <n v="7"/>
    <m/>
    <m/>
    <n v="0"/>
    <n v="3"/>
    <n v="7.5"/>
    <n v="0"/>
    <n v="0"/>
    <n v="0"/>
    <n v="0"/>
    <s v="Canteiro central"/>
    <s v="Braço"/>
    <n v="35.299999999999997"/>
    <n v="7"/>
    <n v="2"/>
    <n v="3.1"/>
    <n v="1.3"/>
    <n v="-1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18799999999999994"/>
    <n v="1.8333333333333335"/>
    <s v="-"/>
    <n v="8.91"/>
    <n v="0.51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20666666666666678"/>
    <n v="3.62"/>
    <n v="2.42"/>
    <n v="3"/>
    <n v="0.6"/>
    <s v="ATENDE"/>
    <s v="ATENDE"/>
    <s v="ATENDE"/>
    <x v="1"/>
    <s v="SX-INEVO040HF"/>
    <s v="SXINEVO040K40L12CZF7PHF"/>
    <m/>
    <n v="0"/>
    <n v="2"/>
    <n v="39"/>
    <n v="0"/>
    <n v="6552"/>
    <n v="0"/>
    <n v="0"/>
    <n v="10"/>
    <s v="Curto II"/>
    <m/>
    <s v=""/>
    <s v=""/>
    <m/>
    <m/>
    <m/>
    <m/>
    <m/>
    <m/>
    <n v="39"/>
    <n v="250"/>
    <n v="578"/>
    <n v="0.84399999999999997"/>
    <m/>
    <m/>
    <s v="Sim"/>
    <m/>
  </r>
  <r>
    <n v="3"/>
    <s v="VP"/>
    <s v="Avenida Central Jardim do Eden, 497"/>
    <n v="-30.069248999999999"/>
    <n v="-50.164009"/>
    <x v="1"/>
    <s v="-"/>
    <x v="1"/>
    <s v="Vapor de sódio"/>
    <n v="250"/>
    <n v="30"/>
    <n v="0"/>
    <n v="1000"/>
    <n v="2"/>
    <n v="0"/>
    <n v="7"/>
    <m/>
    <m/>
    <n v="0"/>
    <n v="3"/>
    <n v="7.5"/>
    <n v="0"/>
    <n v="0"/>
    <n v="0"/>
    <n v="0"/>
    <s v="Canteiro central"/>
    <s v="Braço"/>
    <n v="35.299999999999997"/>
    <n v="7"/>
    <n v="2"/>
    <n v="3.1"/>
    <n v="1.3"/>
    <n v="-1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7066666666666648"/>
    <n v="1.2222222222222223"/>
    <s v="-"/>
    <n v="10.28"/>
    <n v="0.4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4.0000000000000036E-2"/>
    <n v="3.12"/>
    <n v="2.0099999999999998"/>
    <n v="3"/>
    <n v="0.6"/>
    <s v="ATENDE"/>
    <s v="ATENDE"/>
    <s v="ATENDE"/>
    <x v="2"/>
    <s v="SIGSAGPTLRRSSNDL_40W_50IBBRS_x000a_"/>
    <s v="SIGSAGPTLRRSSNDL_40W_50IBBRS_x000a_1-10C1MUN6.5"/>
    <m/>
    <n v="0"/>
    <n v="2"/>
    <n v="40"/>
    <n v="0"/>
    <n v="6641"/>
    <n v="0"/>
    <n v="0"/>
    <m/>
    <s v="Curto II"/>
    <m/>
    <s v=""/>
    <s v=""/>
    <m/>
    <m/>
    <m/>
    <m/>
    <m/>
    <m/>
    <n v="40"/>
    <n v="250"/>
    <n v="580"/>
    <n v="0.84"/>
    <m/>
    <m/>
    <s v="Sim"/>
    <m/>
  </r>
  <r>
    <n v="4"/>
    <s v="PVP"/>
    <s v="Rua A-Tres Boca-de-Leao, 220"/>
    <n v="-30.065290000000001"/>
    <n v="-50.160902"/>
    <x v="1"/>
    <s v="-"/>
    <x v="1"/>
    <s v="Vapor de sódio"/>
    <n v="100"/>
    <n v="17"/>
    <n v="0"/>
    <n v="200"/>
    <n v="2"/>
    <n v="3"/>
    <n v="6.9"/>
    <m/>
    <m/>
    <n v="0"/>
    <n v="3"/>
    <n v="0"/>
    <n v="0"/>
    <n v="0"/>
    <n v="0"/>
    <n v="0"/>
    <s v="Unilateral"/>
    <s v="Braço"/>
    <n v="32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666666666666663"/>
    <n v="1.4444444444444446"/>
    <s v="-"/>
    <n v="9.65"/>
    <n v="0.44"/>
    <m/>
    <m/>
    <m/>
    <m/>
    <s v="ATENDE"/>
    <s v="ATENDE"/>
    <s v="ATENDE"/>
    <s v="ATENDE"/>
    <s v="C5"/>
    <s v="P6"/>
    <n v="1.5933333333333333"/>
    <n v="7.78"/>
    <n v="2.89"/>
    <n v="3"/>
    <n v="0.6"/>
    <s v="ATENDE"/>
    <s v="ATENDE"/>
    <s v="ATENDE"/>
    <s v="P6"/>
    <n v="0.67666666666666675"/>
    <n v="5.03"/>
    <n v="2.4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4"/>
    <s v="PVP"/>
    <s v="Rua A-Tres Boca-de-Leao, 220"/>
    <n v="-30.065290000000001"/>
    <n v="-50.160902"/>
    <x v="1"/>
    <s v="-"/>
    <x v="1"/>
    <s v="Vapor de sódio"/>
    <n v="100"/>
    <n v="17"/>
    <n v="0"/>
    <n v="200"/>
    <n v="2"/>
    <n v="3"/>
    <n v="6.9"/>
    <m/>
    <m/>
    <n v="0"/>
    <n v="3"/>
    <n v="0"/>
    <n v="0"/>
    <n v="0"/>
    <n v="0"/>
    <n v="0"/>
    <s v="Unilateral"/>
    <s v="Braço"/>
    <n v="32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13333333333334"/>
    <n v="1.8888888888888893"/>
    <s v="-"/>
    <n v="9.31"/>
    <n v="0.52"/>
    <m/>
    <m/>
    <m/>
    <m/>
    <s v="ATENDE"/>
    <s v="ATENDE"/>
    <s v="ATENDE"/>
    <s v="ATENDE"/>
    <s v="C5"/>
    <s v="P6"/>
    <n v="1.3833333333333333"/>
    <n v="7.15"/>
    <n v="1.97"/>
    <n v="3"/>
    <n v="0.6"/>
    <s v="ATENDE"/>
    <s v="ATENDE"/>
    <s v="ATENDE"/>
    <s v="P6"/>
    <n v="0.33000000000000007"/>
    <n v="3.99"/>
    <n v="2.1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4"/>
    <s v="PVP"/>
    <s v="Rua A-Tres Boca-de-Leao, 220"/>
    <n v="-30.065290000000001"/>
    <n v="-50.160902"/>
    <x v="1"/>
    <s v="-"/>
    <x v="1"/>
    <s v="Vapor de sódio"/>
    <n v="100"/>
    <n v="17"/>
    <n v="0"/>
    <n v="200"/>
    <n v="2"/>
    <n v="3"/>
    <n v="6.9"/>
    <m/>
    <m/>
    <n v="0"/>
    <n v="3"/>
    <n v="0"/>
    <n v="0"/>
    <n v="0"/>
    <n v="0"/>
    <n v="0"/>
    <s v="Unilateral"/>
    <s v="Braço"/>
    <n v="32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1666666666666665"/>
    <s v="-"/>
    <n v="9.15"/>
    <n v="0.56999999999999995"/>
    <m/>
    <m/>
    <m/>
    <m/>
    <s v="ATENDE"/>
    <s v="ATENDE"/>
    <s v="ATENDE"/>
    <s v="ATENDE"/>
    <s v="C5"/>
    <s v="P6"/>
    <n v="1.4033333333333333"/>
    <n v="7.21"/>
    <n v="3.38"/>
    <n v="3"/>
    <n v="0.6"/>
    <s v="ATENDE"/>
    <s v="ATENDE"/>
    <s v="ATENDE"/>
    <s v="P6"/>
    <n v="0.26666666666666661"/>
    <n v="3.8"/>
    <n v="2.4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"/>
    <s v="PV"/>
    <s v="Marina Park Residence"/>
    <n v="-29.996541000000001"/>
    <n v="-50.187240000000003"/>
    <x v="2"/>
    <s v="-"/>
    <x v="1"/>
    <s v="LED"/>
    <n v="50"/>
    <n v="0"/>
    <n v="0"/>
    <n v="100"/>
    <n v="2"/>
    <n v="2"/>
    <n v="7"/>
    <m/>
    <m/>
    <n v="0"/>
    <n v="0"/>
    <n v="0"/>
    <n v="0"/>
    <n v="0"/>
    <n v="0"/>
    <n v="0"/>
    <s v="Unilateral"/>
    <s v="Braço"/>
    <n v="33.5"/>
    <n v="7"/>
    <n v="1"/>
    <n v="0.2"/>
    <n v="2.5"/>
    <n v="2.299999999999999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799999999999989"/>
    <n v="0.94444444444444442"/>
    <s v="-"/>
    <n v="11.28"/>
    <n v="0.35"/>
    <m/>
    <m/>
    <m/>
    <m/>
    <s v="ATENDE"/>
    <s v="ATENDE"/>
    <s v="ATENDE"/>
    <s v="ATENDE"/>
    <s v="C4"/>
    <s v="P6"/>
    <n v="1.4233333333333333"/>
    <n v="7.27"/>
    <n v="3.01"/>
    <n v="3"/>
    <n v="0.6"/>
    <s v="ATENDE"/>
    <s v="ATENDE"/>
    <s v="ATENDE"/>
    <s v="-"/>
    <e v="#VALUE!"/>
    <m/>
    <m/>
    <s v="-"/>
    <s v="-"/>
    <s v="-"/>
    <s v="-"/>
    <s v="-"/>
    <x v="0"/>
    <s v=" SL VT 9.1 44W"/>
    <s v="LUM LED SL VT 9.1 44W"/>
    <m/>
    <n v="0"/>
    <n v="1"/>
    <n v="44"/>
    <n v="0"/>
    <n v="7657.99"/>
    <n v="0"/>
    <n v="0"/>
    <m/>
    <s v="Médio II"/>
    <m/>
    <s v=""/>
    <s v=""/>
    <m/>
    <m/>
    <m/>
    <m/>
    <m/>
    <m/>
    <n v="44"/>
    <n v="50"/>
    <n v="94"/>
    <n v="0.12"/>
    <m/>
    <m/>
    <s v="Não"/>
    <m/>
  </r>
  <r>
    <n v="7"/>
    <s v="PV"/>
    <s v="Marina Park Residence"/>
    <n v="-29.996541000000001"/>
    <n v="-50.187240000000003"/>
    <x v="2"/>
    <s v="-"/>
    <x v="1"/>
    <s v="LED"/>
    <n v="50"/>
    <n v="0"/>
    <n v="0"/>
    <n v="100"/>
    <n v="2"/>
    <n v="2"/>
    <n v="7"/>
    <m/>
    <m/>
    <n v="0"/>
    <n v="0"/>
    <n v="0"/>
    <n v="0"/>
    <n v="0"/>
    <n v="0"/>
    <n v="0"/>
    <s v="Unilateral"/>
    <s v="Braço"/>
    <n v="33.5"/>
    <n v="7"/>
    <n v="1"/>
    <n v="0.2"/>
    <n v="2.5"/>
    <n v="2.299999999999999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6000000000000068E-2"/>
    <n v="1.3333333333333335"/>
    <s v="-"/>
    <n v="10.76"/>
    <n v="0.42"/>
    <m/>
    <m/>
    <m/>
    <m/>
    <s v="ATENDE"/>
    <s v="ATENDE"/>
    <s v="ATENDE"/>
    <s v="ATENDE"/>
    <s v="C4"/>
    <s v="P6"/>
    <n v="1.21"/>
    <n v="6.63"/>
    <n v="2.61"/>
    <n v="3"/>
    <n v="0.6"/>
    <s v="ATENDE"/>
    <s v="ATENDE"/>
    <s v="ATENDE"/>
    <s v="-"/>
    <e v="#VALUE!"/>
    <m/>
    <m/>
    <s v="-"/>
    <s v="-"/>
    <s v="-"/>
    <s v="-"/>
    <s v="-"/>
    <x v="1"/>
    <s v="SX-INEVO040HF"/>
    <s v="SXINEVO040K40L12CZF7PHF"/>
    <m/>
    <n v="0"/>
    <n v="1"/>
    <n v="39"/>
    <n v="0"/>
    <n v="6552"/>
    <n v="0"/>
    <n v="0"/>
    <m/>
    <s v="Médio II"/>
    <m/>
    <s v=""/>
    <s v=""/>
    <m/>
    <m/>
    <m/>
    <m/>
    <m/>
    <m/>
    <n v="39"/>
    <n v="50"/>
    <n v="89"/>
    <n v="0.21999999999999997"/>
    <m/>
    <m/>
    <s v="Não"/>
    <m/>
  </r>
  <r>
    <n v="7"/>
    <s v="PV"/>
    <s v="Marina Park Residence"/>
    <n v="-29.996541000000001"/>
    <n v="-50.187240000000003"/>
    <x v="2"/>
    <s v="-"/>
    <x v="1"/>
    <s v="LED"/>
    <n v="50"/>
    <n v="0"/>
    <n v="0"/>
    <n v="100"/>
    <n v="2"/>
    <n v="2"/>
    <n v="7"/>
    <m/>
    <m/>
    <n v="0"/>
    <n v="0"/>
    <n v="0"/>
    <n v="0"/>
    <n v="0"/>
    <n v="0"/>
    <n v="0"/>
    <s v="Unilateral"/>
    <s v="Braço"/>
    <n v="33.5"/>
    <n v="7"/>
    <n v="1"/>
    <n v="0.2"/>
    <n v="2.5"/>
    <n v="2.299999999999999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799999999999998"/>
    <n v="1.166666666666667"/>
    <s v="-"/>
    <n v="12.28"/>
    <n v="0.39"/>
    <m/>
    <m/>
    <m/>
    <m/>
    <s v="ATENDE"/>
    <s v="ATENDE"/>
    <s v="ATENDE"/>
    <s v="ATENDE"/>
    <s v="C4"/>
    <s v="P6"/>
    <n v="1.3000000000000003"/>
    <n v="6.9"/>
    <n v="2.85"/>
    <n v="3"/>
    <n v="0.6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Médio II"/>
    <m/>
    <s v=""/>
    <s v=""/>
    <m/>
    <m/>
    <m/>
    <m/>
    <m/>
    <m/>
    <n v="40"/>
    <n v="50"/>
    <n v="90"/>
    <n v="0.19999999999999996"/>
    <m/>
    <m/>
    <s v="Não"/>
    <m/>
  </r>
  <r>
    <n v="5"/>
    <s v="PVP"/>
    <s v="Rua R Seis, 57"/>
    <n v="-30.068598999999999"/>
    <n v="-50.163373999999997"/>
    <x v="1"/>
    <s v="-"/>
    <x v="1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4666666666666623E-2"/>
    <n v="1.8333333333333335"/>
    <s v="-"/>
    <n v="7.76"/>
    <n v="0.51"/>
    <m/>
    <m/>
    <m/>
    <m/>
    <s v="ATENDE"/>
    <s v="ATENDE"/>
    <s v="ATENDE"/>
    <s v="ATENDE"/>
    <s v="C5"/>
    <s v="P6"/>
    <n v="0.98666666666666658"/>
    <n v="5.96"/>
    <n v="2.9"/>
    <n v="3"/>
    <n v="0.6"/>
    <s v="ATENDE"/>
    <s v="ATENDE"/>
    <s v="ATENDE"/>
    <s v="-"/>
    <e v="#VALUE!"/>
    <n v="4.4800000000000004"/>
    <n v="2.4900000000000002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5"/>
    <s v="PVP"/>
    <s v="Rua R Seis, 57"/>
    <n v="-30.068598999999999"/>
    <n v="-50.163373999999997"/>
    <x v="1"/>
    <s v="-"/>
    <x v="1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800000000000003"/>
    <n v="3.0555555555555554"/>
    <s v="-"/>
    <n v="9.66"/>
    <n v="0.73"/>
    <m/>
    <m/>
    <m/>
    <m/>
    <s v="ATENDE"/>
    <s v="ATENDE"/>
    <s v="ATENDE"/>
    <s v="ATENDE"/>
    <s v="C5"/>
    <s v="P6"/>
    <n v="1.2666666666666666"/>
    <n v="6.8"/>
    <n v="3.23"/>
    <n v="3"/>
    <n v="0.6"/>
    <s v="ATENDE"/>
    <s v="ATENDE"/>
    <s v="ATENDE"/>
    <s v="-"/>
    <e v="#VALUE!"/>
    <n v="4.6399999999999997"/>
    <n v="2.46"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5"/>
    <s v="PVP"/>
    <s v="Rua R Seis, 57"/>
    <n v="-30.068598999999999"/>
    <n v="-50.163373999999997"/>
    <x v="1"/>
    <s v="-"/>
    <x v="1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600000000000002"/>
    <n v="2.666666666666667"/>
    <s v="-"/>
    <n v="9.57"/>
    <n v="0.66"/>
    <m/>
    <m/>
    <m/>
    <m/>
    <s v="ATENDE"/>
    <s v="ATENDE"/>
    <s v="ATENDE"/>
    <s v="ATENDE"/>
    <s v="C5"/>
    <s v="P6"/>
    <n v="1.3033333333333332"/>
    <n v="6.91"/>
    <n v="4.09"/>
    <n v="3"/>
    <n v="0.6"/>
    <s v="ATENDE"/>
    <s v="ATENDE"/>
    <s v="ATENDE"/>
    <s v="-"/>
    <e v="#VALUE!"/>
    <n v="4.33"/>
    <n v="2.64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"/>
    <s v="PVP"/>
    <s v="Condominio Maritimo "/>
    <n v="-29.995253000000002"/>
    <n v="-50.194110000000002"/>
    <x v="1"/>
    <s v="-"/>
    <x v="1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7"/>
    <n v="8.1"/>
    <n v="1"/>
    <n v="1.4"/>
    <n v="2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066666666666673"/>
    <n v="2.4444444444444446"/>
    <s v="-"/>
    <n v="8.6300000000000008"/>
    <n v="0.62"/>
    <m/>
    <m/>
    <m/>
    <m/>
    <s v="ATENDE"/>
    <s v="ATENDE"/>
    <s v="ATENDE"/>
    <s v="ATENDE"/>
    <s v="C5"/>
    <s v="-"/>
    <e v="#VALUE!"/>
    <n v="7.57"/>
    <n v="4.84"/>
    <s v="-"/>
    <s v="-"/>
    <s v="-"/>
    <s v="-"/>
    <s v="-"/>
    <s v="P6"/>
    <n v="1.4533333333333336"/>
    <n v="7.36"/>
    <n v="5.16"/>
    <n v="3"/>
    <n v="0.6"/>
    <s v="ATENDE"/>
    <s v="ATENDE"/>
    <s v="ATENDE"/>
    <x v="0"/>
    <s v=" SL VT 9.1 28W"/>
    <s v="LUM LED SL VT 9.1 28W"/>
    <m/>
    <e v="#N/A"/>
    <n v="1"/>
    <n v="28"/>
    <e v="#N/A"/>
    <n v="4927.3500000000004"/>
    <n v="0"/>
    <n v="0"/>
    <m/>
    <s v="Médio II"/>
    <m/>
    <s v=""/>
    <s v=""/>
    <m/>
    <m/>
    <m/>
    <m/>
    <m/>
    <m/>
    <n v="28"/>
    <n v="50"/>
    <n v="78"/>
    <n v="0.43999999999999995"/>
    <m/>
    <m/>
    <s v="Não"/>
    <m/>
  </r>
  <r>
    <n v="6"/>
    <s v="PVP"/>
    <s v="Condominio Maritimo "/>
    <n v="-29.995253000000002"/>
    <n v="-50.194110000000002"/>
    <x v="1"/>
    <s v="-"/>
    <x v="1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7"/>
    <n v="8.1"/>
    <n v="1"/>
    <n v="1.4"/>
    <n v="2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066666666666675"/>
    <n v="3.3888888888888893"/>
    <s v="-"/>
    <n v="10.73"/>
    <n v="0.79"/>
    <m/>
    <m/>
    <m/>
    <m/>
    <s v="ATENDE"/>
    <s v="ATENDE"/>
    <s v="ATENDE"/>
    <s v="ATENDE"/>
    <s v="C5"/>
    <s v="-"/>
    <e v="#VALUE!"/>
    <n v="9.14"/>
    <n v="7.15"/>
    <s v="-"/>
    <s v="-"/>
    <s v="-"/>
    <s v="-"/>
    <s v="-"/>
    <s v="P6"/>
    <n v="2.0933333333333333"/>
    <n v="9.2799999999999994"/>
    <n v="8.23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Médio II"/>
    <m/>
    <s v=""/>
    <s v=""/>
    <m/>
    <m/>
    <m/>
    <m/>
    <m/>
    <m/>
    <n v="31"/>
    <n v="50"/>
    <n v="81"/>
    <n v="0.38"/>
    <m/>
    <m/>
    <s v="Não"/>
    <m/>
  </r>
  <r>
    <n v="6"/>
    <s v="PVP"/>
    <s v="Condominio Maritimo "/>
    <n v="-29.995253000000002"/>
    <n v="-50.194110000000002"/>
    <x v="1"/>
    <s v="-"/>
    <x v="1"/>
    <s v="LED"/>
    <n v="50"/>
    <n v="0"/>
    <n v="0"/>
    <n v="100"/>
    <n v="2"/>
    <n v="1.2"/>
    <n v="5.8"/>
    <m/>
    <m/>
    <n v="0"/>
    <n v="1.2"/>
    <n v="0"/>
    <n v="0"/>
    <n v="0"/>
    <n v="0"/>
    <n v="0"/>
    <s v="Unilateral"/>
    <s v="Braço"/>
    <n v="25.7"/>
    <n v="8.1"/>
    <n v="1"/>
    <n v="1.4"/>
    <n v="2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4399999999999995"/>
    <n v="3.166666666666667"/>
    <s v="-"/>
    <n v="10.83"/>
    <n v="0.75"/>
    <m/>
    <m/>
    <m/>
    <m/>
    <s v="ATENDE"/>
    <s v="ATENDE"/>
    <s v="ATENDE"/>
    <s v="ATENDE"/>
    <s v="C5"/>
    <s v="-"/>
    <e v="#VALUE!"/>
    <n v="9.07"/>
    <n v="6.9"/>
    <s v="-"/>
    <s v="-"/>
    <s v="-"/>
    <s v="-"/>
    <s v="-"/>
    <s v="P6"/>
    <n v="1.8566666666666669"/>
    <n v="8.57"/>
    <n v="7.5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I"/>
    <m/>
    <s v=""/>
    <s v=""/>
    <m/>
    <m/>
    <m/>
    <m/>
    <m/>
    <m/>
    <n v="30"/>
    <n v="50"/>
    <n v="80"/>
    <n v="0.4"/>
    <m/>
    <m/>
    <s v="Não"/>
    <m/>
  </r>
  <r>
    <n v="8"/>
    <s v="PVP"/>
    <s v="Rua Olavo Nunes, 12"/>
    <n v="-30.067307"/>
    <n v="-50.160387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1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"/>
    <n v="1.2777777777777777"/>
    <s v="-"/>
    <n v="7.5"/>
    <n v="0.41"/>
    <m/>
    <m/>
    <m/>
    <m/>
    <s v="ATENDE"/>
    <s v="ATENDE"/>
    <s v="ATENDE"/>
    <s v="ATENDE"/>
    <s v="C5"/>
    <s v="P6"/>
    <n v="1.1266666666666665"/>
    <n v="6.38"/>
    <n v="2.44"/>
    <n v="3"/>
    <n v="0.6"/>
    <s v="ATENDE"/>
    <s v="ATENDE"/>
    <s v="ATENDE"/>
    <s v="-"/>
    <e v="#VALUE!"/>
    <n v="4.29"/>
    <n v="2.14"/>
    <s v="-"/>
    <s v="-"/>
    <s v="-"/>
    <s v="-"/>
    <s v="-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8"/>
    <s v="PVP"/>
    <s v="Rua Olavo Nunes, 12"/>
    <n v="-30.067307"/>
    <n v="-50.160387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1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53333333333334"/>
    <n v="1.8333333333333335"/>
    <s v="-"/>
    <n v="9.34"/>
    <n v="0.51"/>
    <m/>
    <m/>
    <m/>
    <m/>
    <s v="ATENDE"/>
    <s v="ATENDE"/>
    <s v="ATENDE"/>
    <s v="ATENDE"/>
    <s v="C5"/>
    <s v="P6"/>
    <n v="1.4866666666666668"/>
    <n v="7.46"/>
    <n v="2.25"/>
    <n v="3"/>
    <n v="0.6"/>
    <s v="ATENDE"/>
    <s v="ATENDE"/>
    <s v="ATENDE"/>
    <s v="-"/>
    <e v="#VALUE!"/>
    <n v="4.3600000000000003"/>
    <n v="2.5299999999999998"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"/>
    <s v="PVP"/>
    <s v="Rua Olavo Nunes, 12"/>
    <n v="-30.067307"/>
    <n v="-50.160387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1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399999999999998"/>
    <n v="2.1666666666666665"/>
    <s v="-"/>
    <n v="9.18"/>
    <n v="0.56999999999999995"/>
    <m/>
    <m/>
    <m/>
    <m/>
    <s v="ATENDE"/>
    <s v="ATENDE"/>
    <s v="ATENDE"/>
    <s v="ATENDE"/>
    <s v="C5"/>
    <s v="P6"/>
    <n v="1.4899999999999998"/>
    <n v="7.47"/>
    <n v="3.64"/>
    <n v="3"/>
    <n v="0.6"/>
    <s v="ATENDE"/>
    <s v="ATENDE"/>
    <s v="ATENDE"/>
    <s v="-"/>
    <e v="#VALUE!"/>
    <n v="4.09"/>
    <n v="2.81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9"/>
    <s v="PVP"/>
    <s v="Rua Creta, 55"/>
    <n v="-30.075956999999999"/>
    <n v="-50.166178000000002"/>
    <x v="1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2.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066666666666661"/>
    <n v="1.3888888888888888"/>
    <s v="-"/>
    <n v="9.5299999999999994"/>
    <n v="0.43"/>
    <m/>
    <m/>
    <m/>
    <m/>
    <s v="ATENDE"/>
    <s v="ATENDE"/>
    <s v="ATENDE"/>
    <s v="ATENDE"/>
    <s v="C5"/>
    <s v="P6"/>
    <n v="1.5133333333333332"/>
    <n v="7.54"/>
    <n v="2.73"/>
    <n v="3"/>
    <n v="0.6"/>
    <s v="ATENDE"/>
    <s v="ATENDE"/>
    <s v="ATENDE"/>
    <s v="P6"/>
    <n v="0.65666666666666651"/>
    <n v="4.97"/>
    <n v="2.3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9"/>
    <s v="PVP"/>
    <s v="Rua Creta, 55"/>
    <n v="-30.075956999999999"/>
    <n v="-50.166178000000002"/>
    <x v="1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2.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666666666666657"/>
    <n v="1.7222222222222223"/>
    <s v="-"/>
    <n v="9.1999999999999993"/>
    <n v="0.49"/>
    <m/>
    <m/>
    <m/>
    <m/>
    <s v="ATENDE"/>
    <s v="ATENDE"/>
    <s v="ATENDE"/>
    <s v="ATENDE"/>
    <s v="C5"/>
    <s v="P6"/>
    <n v="1.3000000000000003"/>
    <n v="6.9"/>
    <n v="1.77"/>
    <n v="3"/>
    <n v="0.6"/>
    <s v="ATENDE"/>
    <s v="ATENDE"/>
    <s v="ATENDE"/>
    <s v="P6"/>
    <n v="0.31333333333333324"/>
    <n v="3.94"/>
    <n v="2.0699999999999998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9"/>
    <s v="PVP"/>
    <s v="Rua Creta, 55"/>
    <n v="-30.075956999999999"/>
    <n v="-50.166178000000002"/>
    <x v="1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2.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533333333333315"/>
    <n v="2.0555555555555558"/>
    <s v="-"/>
    <n v="9.0399999999999991"/>
    <n v="0.55000000000000004"/>
    <m/>
    <m/>
    <m/>
    <m/>
    <s v="ATENDE"/>
    <s v="ATENDE"/>
    <s v="ATENDE"/>
    <s v="ATENDE"/>
    <s v="C5"/>
    <s v="P6"/>
    <n v="1.3199999999999998"/>
    <n v="6.96"/>
    <n v="3.17"/>
    <n v="3"/>
    <n v="0.6"/>
    <s v="ATENDE"/>
    <s v="ATENDE"/>
    <s v="ATENDE"/>
    <s v="P6"/>
    <n v="0.25333333333333319"/>
    <n v="3.76"/>
    <n v="2.3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"/>
    <s v="PVP"/>
    <s v="Rua Almirante Tamandare, 874"/>
    <n v="-29.986407"/>
    <n v="-50.131107999999998"/>
    <x v="2"/>
    <s v="-"/>
    <x v="1"/>
    <s v="Vapor de sódio"/>
    <n v="100"/>
    <n v="17"/>
    <n v="0"/>
    <n v="200"/>
    <n v="2"/>
    <n v="4.5"/>
    <n v="10"/>
    <m/>
    <m/>
    <n v="0"/>
    <n v="4.5"/>
    <n v="0"/>
    <n v="0"/>
    <n v="0"/>
    <n v="0"/>
    <n v="0"/>
    <s v="Unilateral"/>
    <s v="Braço"/>
    <n v="37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52"/>
    <n v="0.61111111111111116"/>
    <s v="-"/>
    <n v="12.52"/>
    <n v="0.28999999999999998"/>
    <m/>
    <m/>
    <m/>
    <m/>
    <s v="ATENDE"/>
    <s v="ATENDE"/>
    <s v="ATENDE"/>
    <s v="ATENDE"/>
    <s v="C4"/>
    <s v="P6"/>
    <n v="1.9499999999999997"/>
    <n v="8.85"/>
    <n v="3.1"/>
    <n v="3"/>
    <n v="0.6"/>
    <s v="ATENDE"/>
    <s v="ATENDE"/>
    <s v="ATENDE"/>
    <s v="-"/>
    <e v="#VALUE!"/>
    <n v="4.46"/>
    <n v="1.43"/>
    <s v="-"/>
    <s v="-"/>
    <s v="-"/>
    <s v="-"/>
    <s v="-"/>
    <x v="0"/>
    <s v=" SL VT 9.1 65W"/>
    <s v="LUM LED SL VT 9.1 65W"/>
    <m/>
    <n v="0"/>
    <n v="1"/>
    <n v="65"/>
    <n v="0"/>
    <n v="10496"/>
    <n v="0"/>
    <n v="0"/>
    <n v="5"/>
    <s v="Curto II"/>
    <m/>
    <s v=""/>
    <s v=""/>
    <m/>
    <m/>
    <m/>
    <m/>
    <m/>
    <m/>
    <n v="65"/>
    <n v="100"/>
    <n v="165"/>
    <n v="0.35"/>
    <m/>
    <m/>
    <s v="Sim"/>
    <m/>
  </r>
  <r>
    <n v="12"/>
    <s v="PVP"/>
    <s v="Rua Almirante Tamandare, 874"/>
    <n v="-29.986407"/>
    <n v="-50.131107999999998"/>
    <x v="2"/>
    <s v="-"/>
    <x v="1"/>
    <s v="Vapor de sódio"/>
    <n v="100"/>
    <n v="17"/>
    <n v="0"/>
    <n v="200"/>
    <n v="2"/>
    <n v="4.5"/>
    <n v="10"/>
    <m/>
    <m/>
    <n v="0"/>
    <n v="4.5"/>
    <n v="0"/>
    <n v="0"/>
    <n v="0"/>
    <n v="0"/>
    <n v="0"/>
    <s v="Unilateral"/>
    <s v="Braço"/>
    <n v="37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9999999999999"/>
    <n v="1.3333333333333335"/>
    <s v="-"/>
    <n v="11.34"/>
    <n v="0.42"/>
    <m/>
    <m/>
    <m/>
    <m/>
    <s v="ATENDE"/>
    <s v="ATENDE"/>
    <s v="ATENDE"/>
    <s v="ATENDE"/>
    <s v="C4"/>
    <s v="P6"/>
    <n v="1.37"/>
    <n v="7.11"/>
    <n v="0.84"/>
    <n v="3"/>
    <n v="0.6"/>
    <s v="ATENDE"/>
    <s v="ATENDE"/>
    <s v="ATENDE"/>
    <s v="-"/>
    <e v="#VALUE!"/>
    <n v="3.82"/>
    <n v="1.77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n v="5"/>
    <s v="Curto II"/>
    <m/>
    <s v=""/>
    <s v=""/>
    <m/>
    <m/>
    <m/>
    <m/>
    <m/>
    <m/>
    <n v="50"/>
    <n v="100"/>
    <n v="150"/>
    <n v="0.5"/>
    <m/>
    <m/>
    <s v="Sim"/>
    <m/>
  </r>
  <r>
    <n v="12"/>
    <s v="PVP"/>
    <s v="Rua Almirante Tamandare, 874"/>
    <n v="-29.986407"/>
    <n v="-50.131107999999998"/>
    <x v="2"/>
    <s v="-"/>
    <x v="1"/>
    <s v="Vapor de sódio"/>
    <n v="100"/>
    <n v="17"/>
    <n v="0"/>
    <n v="200"/>
    <n v="2"/>
    <n v="4.5"/>
    <n v="10"/>
    <m/>
    <m/>
    <n v="0"/>
    <n v="4.5"/>
    <n v="0"/>
    <n v="0"/>
    <n v="0"/>
    <n v="0"/>
    <n v="0"/>
    <s v="Unilateral"/>
    <s v="Braço"/>
    <n v="37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100000000000009"/>
    <n v="1.2222222222222223"/>
    <s v="-"/>
    <n v="12.21"/>
    <n v="0.4"/>
    <m/>
    <m/>
    <m/>
    <m/>
    <s v="ATENDE"/>
    <s v="ATENDE"/>
    <s v="ATENDE"/>
    <s v="ATENDE"/>
    <s v="C4"/>
    <s v="P6"/>
    <n v="1.4066666666666667"/>
    <n v="7.22"/>
    <n v="1.05"/>
    <n v="3"/>
    <n v="0.6"/>
    <s v="ATENDE"/>
    <s v="ATENDE"/>
    <s v="ATENDE"/>
    <s v="-"/>
    <e v="#VALUE!"/>
    <n v="3.8"/>
    <n v="2.29"/>
    <s v="-"/>
    <s v="-"/>
    <s v="-"/>
    <s v="-"/>
    <s v="-"/>
    <x v="2"/>
    <s v="SIGSAGPTLRRSSNDL_60W_73IBBRS_x000a_"/>
    <s v="SIGSAGPTLRRSSNDL_60W_73IBBRS_x000a_1-10C1MUN6.5"/>
    <m/>
    <e v="#N/A"/>
    <n v="1"/>
    <n v="60"/>
    <n v="0"/>
    <n v="9453"/>
    <n v="0"/>
    <n v="0"/>
    <n v="10"/>
    <s v="Curto II"/>
    <m/>
    <s v=""/>
    <s v=""/>
    <m/>
    <m/>
    <m/>
    <m/>
    <m/>
    <m/>
    <n v="60"/>
    <n v="100"/>
    <n v="160"/>
    <n v="0.4"/>
    <m/>
    <m/>
    <s v="Sim"/>
    <m/>
  </r>
  <r>
    <n v="10"/>
    <s v="PVP"/>
    <s v="Rua A-Seis dos Jasmins, 128"/>
    <n v="-30.065522000000001"/>
    <n v="-50.162438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1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933333333333332"/>
    <n v="1.2222222222222223"/>
    <s v="-"/>
    <n v="8.6199999999999992"/>
    <n v="0.4"/>
    <m/>
    <m/>
    <m/>
    <m/>
    <s v="ATENDE"/>
    <s v="ATENDE"/>
    <s v="ATENDE"/>
    <s v="ATENDE"/>
    <s v="C5"/>
    <s v="P6"/>
    <n v="1.3066666666666666"/>
    <n v="6.92"/>
    <n v="2.4500000000000002"/>
    <n v="3"/>
    <n v="0.6"/>
    <s v="ATENDE"/>
    <s v="ATENDE"/>
    <s v="ATENDE"/>
    <s v="P6"/>
    <n v="0.76333333333333342"/>
    <n v="5.29"/>
    <n v="2.44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"/>
    <s v="PVP"/>
    <s v="Rua A-Seis dos Jasmins, 128"/>
    <n v="-30.065522000000001"/>
    <n v="-50.162438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1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1.3333333333333335"/>
    <s v="-"/>
    <n v="8.32"/>
    <n v="0.42"/>
    <m/>
    <m/>
    <m/>
    <m/>
    <s v="ATENDE"/>
    <s v="ATENDE"/>
    <s v="ATENDE"/>
    <s v="ATENDE"/>
    <s v="C5"/>
    <s v="P6"/>
    <n v="1.1266666666666665"/>
    <n v="6.38"/>
    <n v="1.68"/>
    <n v="3"/>
    <n v="0.6"/>
    <s v="ATENDE"/>
    <s v="ATENDE"/>
    <s v="ATENDE"/>
    <s v="P6"/>
    <n v="0.49666666666666681"/>
    <n v="4.49"/>
    <n v="2.39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"/>
    <s v="PVP"/>
    <s v="Rua A-Seis dos Jasmins, 128"/>
    <n v="-30.065522000000001"/>
    <n v="-50.162438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1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7333333333333494E-2"/>
    <n v="1.7777777777777777"/>
    <s v="-"/>
    <n v="8.23"/>
    <n v="0.5"/>
    <m/>
    <m/>
    <m/>
    <m/>
    <s v="ATENDE"/>
    <s v="ATENDE"/>
    <s v="ATENDE"/>
    <s v="ATENDE"/>
    <s v="C5"/>
    <s v="P6"/>
    <n v="1.1333333333333333"/>
    <n v="6.4"/>
    <n v="2.85"/>
    <n v="3"/>
    <n v="0.6"/>
    <s v="ATENDE"/>
    <s v="ATENDE"/>
    <s v="ATENDE"/>
    <s v="P6"/>
    <n v="0.37333333333333329"/>
    <n v="4.12"/>
    <n v="2.8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"/>
    <s v="PVP"/>
    <s v="Rua Hildebrando Pinheiro Veloso, 1170"/>
    <n v="-30.013687000000001"/>
    <n v="-50.173386999999998"/>
    <x v="1"/>
    <s v="-"/>
    <x v="1"/>
    <s v="LED"/>
    <n v="50"/>
    <n v="0"/>
    <n v="0"/>
    <n v="100"/>
    <n v="2"/>
    <n v="3.5"/>
    <n v="7.5"/>
    <m/>
    <m/>
    <n v="0"/>
    <n v="3.5"/>
    <n v="0"/>
    <n v="0"/>
    <n v="0"/>
    <n v="0"/>
    <n v="0"/>
    <s v="Unilateral"/>
    <s v="Braço"/>
    <n v="40.4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3333333333334156E-3"/>
    <n v="0.44444444444444464"/>
    <s v="-"/>
    <n v="7.57"/>
    <n v="0.26"/>
    <m/>
    <m/>
    <m/>
    <m/>
    <s v="ATENDE"/>
    <s v="ATENDE"/>
    <s v="ATENDE"/>
    <s v="ATENDE"/>
    <s v="C5"/>
    <s v="P6"/>
    <n v="0.88666666666666671"/>
    <n v="5.66"/>
    <n v="1.03"/>
    <n v="3"/>
    <n v="0.6"/>
    <s v="ATENDE"/>
    <s v="ATENDE"/>
    <s v="ATENDE"/>
    <s v="P6"/>
    <n v="0.18333333333333335"/>
    <n v="3.55"/>
    <n v="0.96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50"/>
    <n v="85"/>
    <n v="0.30000000000000004"/>
    <m/>
    <m/>
    <s v="Sim"/>
    <m/>
  </r>
  <r>
    <n v="11"/>
    <s v="PVP"/>
    <s v="Rua Hildebrando Pinheiro Veloso, 1170"/>
    <n v="-30.013687000000001"/>
    <n v="-50.173386999999998"/>
    <x v="1"/>
    <s v="-"/>
    <x v="1"/>
    <s v="LED"/>
    <n v="50"/>
    <n v="0"/>
    <n v="0"/>
    <n v="100"/>
    <n v="2"/>
    <n v="3.5"/>
    <n v="7.5"/>
    <m/>
    <m/>
    <n v="0"/>
    <n v="3.5"/>
    <n v="0"/>
    <n v="0"/>
    <n v="0"/>
    <n v="0"/>
    <n v="0"/>
    <s v="Unilateral"/>
    <s v="Braço"/>
    <n v="40.4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000000000000012"/>
    <n v="0.66666666666666674"/>
    <s v="-"/>
    <n v="8.5500000000000007"/>
    <n v="0.3"/>
    <m/>
    <m/>
    <m/>
    <m/>
    <s v="ATENDE"/>
    <s v="ATENDE"/>
    <s v="ATENDE"/>
    <s v="ATENDE"/>
    <s v="C5"/>
    <s v="P6"/>
    <n v="1.1666666666666665"/>
    <n v="6.5"/>
    <n v="1.03"/>
    <n v="3"/>
    <n v="0.6"/>
    <s v="ATENDE"/>
    <s v="ATENDE"/>
    <s v="ATENDE"/>
    <s v="P6"/>
    <n v="8.0000000000000071E-2"/>
    <n v="3.24"/>
    <n v="1.1399999999999999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11"/>
    <s v="PVP"/>
    <s v="Rua Hildebrando Pinheiro Veloso, 1170"/>
    <n v="-30.013687000000001"/>
    <n v="-50.173386999999998"/>
    <x v="1"/>
    <s v="-"/>
    <x v="1"/>
    <s v="LED"/>
    <n v="50"/>
    <n v="0"/>
    <n v="0"/>
    <n v="100"/>
    <n v="2"/>
    <n v="3.5"/>
    <n v="7.5"/>
    <m/>
    <m/>
    <n v="0"/>
    <n v="3.5"/>
    <n v="0"/>
    <n v="0"/>
    <n v="0"/>
    <n v="0"/>
    <n v="0"/>
    <s v="Unilateral"/>
    <s v="Braço"/>
    <n v="40.4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400000000000001"/>
    <n v="-5.5555555555555469E-2"/>
    <s v="-"/>
    <n v="9.48"/>
    <n v="0.17"/>
    <m/>
    <m/>
    <m/>
    <m/>
    <s v="ATENDE"/>
    <s v="ATENDE"/>
    <s v="ATENDIMENTO LIMIAR"/>
    <s v="ATENDE"/>
    <s v="C5"/>
    <s v="P6"/>
    <n v="1.0500000000000003"/>
    <n v="6.15"/>
    <n v="0.7"/>
    <n v="3"/>
    <n v="0.6"/>
    <s v="ATENDE"/>
    <s v="ATENDE"/>
    <s v="ATENDE"/>
    <s v="P6"/>
    <n v="0.19333333333333336"/>
    <n v="3.58"/>
    <n v="1.3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n v="5"/>
    <s v="Curto II"/>
    <m/>
    <s v=""/>
    <s v=""/>
    <m/>
    <m/>
    <m/>
    <m/>
    <m/>
    <m/>
    <n v="40"/>
    <n v="50"/>
    <n v="90"/>
    <n v="0.19999999999999996"/>
    <m/>
    <m/>
    <s v="Sim"/>
    <m/>
  </r>
  <r>
    <n v="13"/>
    <s v="PVP"/>
    <s v="Rua Sete de Setembro, 2721"/>
    <n v="-30.005317999999999"/>
    <n v="-50.13946800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7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8000000000000043E-2"/>
    <n v="0.44444444444444464"/>
    <s v="-"/>
    <n v="7.86"/>
    <n v="0.26"/>
    <m/>
    <m/>
    <m/>
    <m/>
    <s v="ATENDE"/>
    <s v="ATENDE"/>
    <s v="ATENDE"/>
    <s v="ATENDE"/>
    <s v="C5"/>
    <s v="P6"/>
    <n v="1.0866666666666664"/>
    <n v="6.26"/>
    <n v="1.31"/>
    <n v="3"/>
    <n v="0.6"/>
    <s v="ATENDE"/>
    <s v="ATENDE"/>
    <s v="ATENDE"/>
    <s v="P6"/>
    <n v="0.51333333333333342"/>
    <n v="4.54"/>
    <n v="1.4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3"/>
    <s v="PVP"/>
    <s v="Rua Sete de Setembro, 2721"/>
    <n v="-30.005317999999999"/>
    <n v="-50.13946800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7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666666666666676"/>
    <n v="0.66666666666666674"/>
    <s v="-"/>
    <n v="8.9"/>
    <n v="0.3"/>
    <m/>
    <m/>
    <m/>
    <m/>
    <s v="ATENDE"/>
    <s v="ATENDE"/>
    <s v="ATENDE"/>
    <s v="ATENDE"/>
    <s v="C5"/>
    <s v="P6"/>
    <n v="1.4133333333333336"/>
    <n v="7.24"/>
    <n v="1.41"/>
    <n v="3"/>
    <n v="0.6"/>
    <s v="ATENDE"/>
    <s v="ATENDE"/>
    <s v="ATENDE"/>
    <s v="P6"/>
    <n v="0.58000000000000007"/>
    <n v="4.74"/>
    <n v="2.0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3"/>
    <s v="PVP"/>
    <s v="Rua Sete de Setembro, 2721"/>
    <n v="-30.005317999999999"/>
    <n v="-50.13946800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7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733333333333326"/>
    <n v="5.555555555555558E-2"/>
    <s v="-"/>
    <n v="10.029999999999999"/>
    <n v="0.19"/>
    <m/>
    <m/>
    <m/>
    <m/>
    <s v="ATENDE"/>
    <s v="ATENDE"/>
    <s v="ATENDE"/>
    <s v="ATENDE"/>
    <s v="C5"/>
    <s v="P6"/>
    <n v="1.5466666666666664"/>
    <n v="7.64"/>
    <n v="1.35"/>
    <n v="3"/>
    <n v="0.6"/>
    <s v="ATENDE"/>
    <s v="ATENDE"/>
    <s v="ATENDE"/>
    <s v="P6"/>
    <n v="0.33666666666666667"/>
    <n v="4.01"/>
    <n v="1.0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4"/>
    <s v="PVP"/>
    <s v="Rua Octavio Rodolfo dos Santos, 2080"/>
    <n v="-30.01745"/>
    <n v="-50.175666999999997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1.5"/>
    <n v="7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266666666666653"/>
    <n v="0.50000000000000022"/>
    <s v="-"/>
    <n v="8.8699999999999992"/>
    <n v="0.27"/>
    <m/>
    <m/>
    <m/>
    <m/>
    <s v="ATENDE"/>
    <s v="ATENDE"/>
    <s v="ATENDE"/>
    <s v="ATENDE"/>
    <s v="C5"/>
    <s v="P6"/>
    <n v="1.4300000000000002"/>
    <n v="7.29"/>
    <n v="1.8"/>
    <n v="3"/>
    <n v="0.6"/>
    <s v="ATENDE"/>
    <s v="ATENDE"/>
    <s v="ATENDE"/>
    <s v="P6"/>
    <n v="0.8"/>
    <n v="5.4"/>
    <n v="1.97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14"/>
    <s v="PVP"/>
    <s v="Rua Octavio Rodolfo dos Santos, 2080"/>
    <n v="-30.01745"/>
    <n v="-50.175666999999997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1.5"/>
    <n v="7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53333333333333"/>
    <n v="0.50000000000000022"/>
    <s v="-"/>
    <n v="8.44"/>
    <n v="0.27"/>
    <m/>
    <m/>
    <m/>
    <m/>
    <s v="ATENDE"/>
    <s v="ATENDE"/>
    <s v="ATENDE"/>
    <s v="ATENDE"/>
    <s v="C5"/>
    <s v="P6"/>
    <n v="1.2966666666666664"/>
    <n v="6.89"/>
    <n v="1.18"/>
    <n v="3"/>
    <n v="0.6"/>
    <s v="ATENDE"/>
    <s v="ATENDE"/>
    <s v="ATENDE"/>
    <s v="P6"/>
    <n v="0.54"/>
    <n v="4.62"/>
    <n v="1.81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4"/>
    <s v="PVP"/>
    <s v="Rua Octavio Rodolfo dos Santos, 2080"/>
    <n v="-30.01745"/>
    <n v="-50.175666999999997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1.5"/>
    <n v="7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9866666666666659"/>
    <n v="-5.5555555555555469E-2"/>
    <s v="-"/>
    <n v="11.24"/>
    <n v="0.17"/>
    <m/>
    <m/>
    <m/>
    <m/>
    <s v="ATENDE"/>
    <s v="ATENDE"/>
    <s v="ATENDIMENTO LIMIAR"/>
    <s v="ATENDE"/>
    <s v="C5"/>
    <s v="P6"/>
    <n v="1.6933333333333334"/>
    <n v="8.08"/>
    <n v="1.1100000000000001"/>
    <n v="3"/>
    <n v="0.6"/>
    <s v="ATENDE"/>
    <s v="ATENDE"/>
    <s v="ATENDE"/>
    <s v="P6"/>
    <n v="0.7566666666666666"/>
    <n v="5.27"/>
    <n v="1.69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n v="5"/>
    <s v="Curto II"/>
    <m/>
    <s v=""/>
    <s v=""/>
    <m/>
    <m/>
    <m/>
    <m/>
    <m/>
    <m/>
    <n v="50"/>
    <n v="150"/>
    <n v="200"/>
    <n v="0.66666666666666674"/>
    <m/>
    <m/>
    <s v="Sim"/>
    <m/>
  </r>
  <r>
    <n v="17"/>
    <s v="PV"/>
    <s v="Avenida Fernandes Bastos, 3933"/>
    <n v="-29.998543000000002"/>
    <n v="-50.179307999999999"/>
    <x v="0"/>
    <s v="-"/>
    <x v="0"/>
    <s v="Vapor de sódio"/>
    <n v="100"/>
    <n v="17"/>
    <n v="0"/>
    <n v="200"/>
    <n v="2"/>
    <n v="4"/>
    <n v="5"/>
    <m/>
    <m/>
    <n v="0"/>
    <n v="0"/>
    <n v="0"/>
    <n v="0"/>
    <n v="0"/>
    <n v="0"/>
    <n v="0"/>
    <s v="Unilateral"/>
    <s v="Braço"/>
    <n v="42.4"/>
    <n v="7"/>
    <n v="1"/>
    <n v="5"/>
    <n v="1.3"/>
    <n v="-3.7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7.0333333333333359E-2"/>
    <n v="-5.2631578947368474E-2"/>
    <s v="-"/>
    <n v="32.11"/>
    <n v="0.36"/>
    <m/>
    <m/>
    <m/>
    <m/>
    <s v="ATENDE"/>
    <s v="ATENDE"/>
    <s v="ATENDIMENTO LIMIAR"/>
    <s v="ATENDE"/>
    <s v="C1"/>
    <s v="P5"/>
    <n v="7.0019999999999989"/>
    <n v="40.01"/>
    <n v="9.2200000000000006"/>
    <n v="5"/>
    <n v="1"/>
    <s v="ATENDE"/>
    <s v="ATENDE"/>
    <s v="ATENDE"/>
    <s v="-"/>
    <e v="#VALUE!"/>
    <m/>
    <m/>
    <s v="-"/>
    <s v="-"/>
    <s v="-"/>
    <s v="-"/>
    <s v="-"/>
    <x v="0"/>
    <s v=" SL VT 9.3 200W"/>
    <s v="LUM LED SL VT 9.3 200W"/>
    <m/>
    <e v="#N/A"/>
    <n v="1"/>
    <n v="200"/>
    <n v="0"/>
    <n v="32740.2"/>
    <n v="0"/>
    <n v="0"/>
    <n v="10"/>
    <s v="Curto II"/>
    <m/>
    <s v=""/>
    <s v=""/>
    <m/>
    <m/>
    <m/>
    <m/>
    <m/>
    <m/>
    <n v="200"/>
    <n v="100"/>
    <n v="300"/>
    <n v="-1"/>
    <m/>
    <m/>
    <s v="Sim"/>
    <m/>
  </r>
  <r>
    <n v="17"/>
    <s v="PV"/>
    <s v="Avenida Fernandes Bastos, 3933"/>
    <n v="-29.998543000000002"/>
    <n v="-50.179307999999999"/>
    <x v="0"/>
    <s v="-"/>
    <x v="0"/>
    <s v="Vapor de sódio"/>
    <n v="100"/>
    <n v="17"/>
    <n v="0"/>
    <n v="200"/>
    <n v="2"/>
    <n v="4"/>
    <n v="5"/>
    <m/>
    <m/>
    <n v="0"/>
    <n v="0"/>
    <n v="0"/>
    <n v="0"/>
    <n v="0"/>
    <n v="0"/>
    <n v="0"/>
    <s v="Unilateral"/>
    <s v="Braço"/>
    <n v="42.4"/>
    <n v="7"/>
    <n v="1"/>
    <n v="5"/>
    <n v="1.3"/>
    <n v="-3.7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5.166666666666675E-2"/>
    <n v="0.34210526315789469"/>
    <s v="-"/>
    <n v="31.55"/>
    <n v="0.51"/>
    <m/>
    <m/>
    <m/>
    <m/>
    <s v="ATENDE"/>
    <s v="ATENDE"/>
    <s v="ATENDE"/>
    <s v="ATENDE"/>
    <s v="C1"/>
    <s v="P5"/>
    <n v="8.4439999999999991"/>
    <n v="47.22"/>
    <n v="33.51"/>
    <n v="5"/>
    <n v="1"/>
    <s v="ATENDE"/>
    <s v="ATENDE"/>
    <s v="ATENDE"/>
    <s v="-"/>
    <e v="#VALUE!"/>
    <m/>
    <m/>
    <s v="-"/>
    <s v="-"/>
    <s v="-"/>
    <s v="-"/>
    <s v="-"/>
    <x v="1"/>
    <s v="SX-INLPP090HF"/>
    <s v="SXINLPP090K40L12CZF7PHF"/>
    <m/>
    <e v="#N/A"/>
    <n v="1"/>
    <n v="90"/>
    <n v="0"/>
    <n v="15476"/>
    <n v="0"/>
    <n v="0"/>
    <n v="10"/>
    <s v="Curto II"/>
    <m/>
    <s v=""/>
    <s v=""/>
    <s v="APEA"/>
    <n v="1"/>
    <m/>
    <s v="Redução do distanciamento entre postes de 42.40 para 21.20"/>
    <m/>
    <m/>
    <n v="90"/>
    <n v="100"/>
    <n v="190"/>
    <n v="9.9999999999999978E-2"/>
    <m/>
    <m/>
    <s v="Sim"/>
    <m/>
  </r>
  <r>
    <n v="17"/>
    <s v="PV"/>
    <s v="Avenida Fernandes Bastos, 3933"/>
    <n v="-29.998543000000002"/>
    <n v="-50.179307999999999"/>
    <x v="0"/>
    <s v="-"/>
    <x v="0"/>
    <s v="Vapor de sódio"/>
    <n v="100"/>
    <n v="17"/>
    <n v="0"/>
    <n v="200"/>
    <n v="2"/>
    <n v="4"/>
    <n v="5"/>
    <m/>
    <m/>
    <n v="0"/>
    <n v="0"/>
    <n v="0"/>
    <n v="0"/>
    <n v="0"/>
    <n v="0"/>
    <n v="0"/>
    <s v="Unilateral"/>
    <s v="Braço"/>
    <n v="42.4"/>
    <n v="7"/>
    <n v="1"/>
    <n v="5"/>
    <n v="1.3"/>
    <n v="-3.7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16366666666666663"/>
    <n v="-2.6315789473684181E-2"/>
    <s v="-"/>
    <n v="34.909999999999997"/>
    <n v="0.37"/>
    <m/>
    <m/>
    <m/>
    <m/>
    <s v="ATENDE"/>
    <s v="ATENDE"/>
    <s v="ATENDIMENTO LIMIAR"/>
    <s v="ATENDE"/>
    <s v="C1"/>
    <s v="P5"/>
    <n v="6.6639999999999997"/>
    <n v="38.32"/>
    <n v="9.5660000000000007"/>
    <n v="5"/>
    <n v="1"/>
    <s v="ATENDE"/>
    <s v="ATENDE"/>
    <s v="ATENDE"/>
    <s v="-"/>
    <e v="#VALUE!"/>
    <m/>
    <m/>
    <s v="-"/>
    <s v="-"/>
    <s v="-"/>
    <s v="-"/>
    <s v="-"/>
    <x v="2"/>
    <s v="SIGMAGPTLRRSMNDL120W_82IBBR_x000a_"/>
    <s v="SIGMAGPTLRRSMNDL120W_82IBBR_x000a_S1-10C1MUN6.5"/>
    <m/>
    <e v="#N/A"/>
    <n v="1"/>
    <n v="120"/>
    <e v="#N/A"/>
    <n v="19640"/>
    <n v="0"/>
    <n v="0"/>
    <n v="10"/>
    <s v="Curto II"/>
    <m/>
    <s v=""/>
    <s v=""/>
    <s v="APEA"/>
    <n v="1"/>
    <m/>
    <s v="Redução do distanciamento entre postes de 42.40 para 21.20"/>
    <m/>
    <m/>
    <n v="120"/>
    <n v="100"/>
    <n v="220"/>
    <n v="-0.19999999999999996"/>
    <m/>
    <m/>
    <s v="Sim"/>
    <m/>
  </r>
  <r>
    <n v="15"/>
    <s v="PVP"/>
    <s v="Rua Santa Maria, 172"/>
    <n v="-30.059480000000001"/>
    <n v="-50.157082000000003"/>
    <x v="1"/>
    <s v="-"/>
    <x v="1"/>
    <s v="Vapor de sódio"/>
    <n v="100"/>
    <n v="17"/>
    <n v="0"/>
    <n v="200"/>
    <n v="1"/>
    <n v="1.5"/>
    <n v="3.5"/>
    <m/>
    <m/>
    <n v="0"/>
    <n v="1.5"/>
    <n v="0"/>
    <n v="0"/>
    <n v="0"/>
    <n v="0"/>
    <n v="0"/>
    <s v="Unilateral"/>
    <s v="Braço"/>
    <n v="2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133333333333349"/>
    <n v="1.8888888888888893"/>
    <s v="-"/>
    <n v="10.06"/>
    <n v="0.52"/>
    <m/>
    <m/>
    <m/>
    <m/>
    <s v="ATENDE"/>
    <s v="ATENDE"/>
    <s v="ATENDE"/>
    <s v="ATENDE"/>
    <s v="C5"/>
    <s v="P6"/>
    <n v="1.8566666666666669"/>
    <n v="8.57"/>
    <n v="4.55"/>
    <n v="3"/>
    <n v="0.6"/>
    <s v="ATENDE"/>
    <s v="ATENDE"/>
    <s v="ATENDE"/>
    <s v="P6"/>
    <n v="2.1566666666666667"/>
    <n v="9.4700000000000006"/>
    <n v="5.51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5"/>
    <s v="PVP"/>
    <s v="Rua Santa Maria, 172"/>
    <n v="-30.059480000000001"/>
    <n v="-50.157082000000003"/>
    <x v="1"/>
    <s v="-"/>
    <x v="1"/>
    <s v="Vapor de sódio"/>
    <n v="100"/>
    <n v="17"/>
    <n v="0"/>
    <n v="200"/>
    <n v="1"/>
    <n v="1.5"/>
    <n v="3.5"/>
    <m/>
    <m/>
    <n v="0"/>
    <n v="1.5"/>
    <n v="0"/>
    <n v="0"/>
    <n v="0"/>
    <n v="0"/>
    <n v="0"/>
    <s v="Unilateral"/>
    <s v="Braço"/>
    <n v="2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599999999999988"/>
    <n v="2.666666666666667"/>
    <s v="-"/>
    <n v="8.3699999999999992"/>
    <n v="0.66"/>
    <m/>
    <m/>
    <m/>
    <m/>
    <s v="ATENDE"/>
    <s v="ATENDE"/>
    <s v="ATENDE"/>
    <s v="ATENDE"/>
    <s v="C5"/>
    <s v="P6"/>
    <n v="1.37"/>
    <n v="7.11"/>
    <n v="4.59"/>
    <n v="3"/>
    <n v="0.6"/>
    <s v="ATENDE"/>
    <s v="ATENDE"/>
    <s v="ATENDE"/>
    <s v="P6"/>
    <n v="1.6566666666666667"/>
    <n v="7.97"/>
    <n v="6.22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15"/>
    <s v="PVP"/>
    <s v="Rua Santa Maria, 172"/>
    <n v="-30.059480000000001"/>
    <n v="-50.157082000000003"/>
    <x v="1"/>
    <s v="-"/>
    <x v="1"/>
    <s v="Vapor de sódio"/>
    <n v="100"/>
    <n v="17"/>
    <n v="0"/>
    <n v="200"/>
    <n v="1"/>
    <n v="1.5"/>
    <n v="3.5"/>
    <m/>
    <m/>
    <n v="0"/>
    <n v="1.5"/>
    <n v="0"/>
    <n v="0"/>
    <n v="0"/>
    <n v="0"/>
    <n v="0"/>
    <s v="Unilateral"/>
    <s v="Braço"/>
    <n v="26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9600000000000017"/>
    <n v="2.666666666666667"/>
    <s v="-"/>
    <n v="12.72"/>
    <n v="0.66"/>
    <m/>
    <m/>
    <m/>
    <m/>
    <s v="ATENDE"/>
    <s v="ATENDE"/>
    <s v="ATENDE"/>
    <s v="ATENDE"/>
    <s v="C5"/>
    <s v="P6"/>
    <n v="2.4033333333333338"/>
    <n v="10.210000000000001"/>
    <n v="6.94"/>
    <n v="3"/>
    <n v="0.6"/>
    <s v="ATENDE"/>
    <s v="ATENDE"/>
    <s v="ATENDE"/>
    <s v="P6"/>
    <n v="2.8666666666666667"/>
    <n v="11.6"/>
    <n v="9.1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6"/>
    <s v="V"/>
    <s v="Estrada Estancia Velha, 1"/>
    <n v="-29.995180000000001"/>
    <n v="-50.233502999999999"/>
    <x v="1"/>
    <s v="-"/>
    <x v="2"/>
    <s v="Vapor de sódio"/>
    <n v="100"/>
    <n v="17"/>
    <n v="0"/>
    <n v="200"/>
    <n v="2"/>
    <n v="0"/>
    <n v="6.3"/>
    <m/>
    <m/>
    <n v="0"/>
    <n v="0"/>
    <n v="0"/>
    <n v="0"/>
    <n v="0"/>
    <n v="0"/>
    <n v="0"/>
    <s v="Unilateral"/>
    <s v="Braço"/>
    <n v="19.8"/>
    <n v="7"/>
    <n v="1"/>
    <n v="4.2"/>
    <n v="1.3"/>
    <n v="-2.9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066666666666654"/>
    <n v="1.9444444444444446"/>
    <s v="-"/>
    <n v="8.93"/>
    <n v="0.5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6"/>
    <s v="V"/>
    <s v="Estrada Estancia Velha, 1"/>
    <n v="-29.995180000000001"/>
    <n v="-50.233502999999999"/>
    <x v="1"/>
    <s v="-"/>
    <x v="2"/>
    <s v="Vapor de sódio"/>
    <n v="100"/>
    <n v="17"/>
    <n v="0"/>
    <n v="200"/>
    <n v="2"/>
    <n v="0"/>
    <n v="6.3"/>
    <m/>
    <m/>
    <n v="0"/>
    <n v="0"/>
    <n v="0"/>
    <n v="0"/>
    <n v="0"/>
    <n v="0"/>
    <n v="0"/>
    <s v="Unilateral"/>
    <s v="Braço"/>
    <n v="19.8"/>
    <n v="7"/>
    <n v="1"/>
    <n v="4.2"/>
    <n v="1.3"/>
    <n v="-2.9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813333333333333"/>
    <n v="0.88888888888888906"/>
    <s v="-"/>
    <n v="10.36"/>
    <n v="0.34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6"/>
    <s v="V"/>
    <s v="Estrada Estancia Velha, 1"/>
    <n v="-29.995180000000001"/>
    <n v="-50.233502999999999"/>
    <x v="1"/>
    <s v="-"/>
    <x v="2"/>
    <s v="Vapor de sódio"/>
    <n v="100"/>
    <n v="17"/>
    <n v="0"/>
    <n v="200"/>
    <n v="2"/>
    <n v="0"/>
    <n v="6.3"/>
    <m/>
    <m/>
    <n v="0"/>
    <n v="0"/>
    <n v="0"/>
    <n v="0"/>
    <n v="0"/>
    <n v="0"/>
    <n v="0"/>
    <s v="Unilateral"/>
    <s v="Braço"/>
    <n v="19.8"/>
    <n v="7"/>
    <n v="1"/>
    <n v="4.2"/>
    <n v="1.3"/>
    <n v="-2.9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600000000000004"/>
    <n v="1.3888888888888888"/>
    <s v="-"/>
    <n v="9.7200000000000006"/>
    <n v="0.4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8"/>
    <s v="PVP"/>
    <s v="Rua Wadir Azevedo Fonseca, 690"/>
    <n v="-30.008151999999999"/>
    <n v="-50.172303999999997"/>
    <x v="1"/>
    <s v="-"/>
    <x v="1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Suporte"/>
    <n v="35.5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599999999999993"/>
    <n v="1"/>
    <s v="-"/>
    <n v="8.82"/>
    <n v="0.36"/>
    <m/>
    <m/>
    <m/>
    <m/>
    <s v="ATENDE"/>
    <s v="ATENDE"/>
    <s v="ATENDE"/>
    <s v="ATENDE"/>
    <s v="C5"/>
    <s v="P6"/>
    <n v="1.3366666666666664"/>
    <n v="7.01"/>
    <n v="2.16"/>
    <n v="3"/>
    <n v="0.6"/>
    <s v="ATENDE"/>
    <s v="ATENDE"/>
    <s v="ATENDE"/>
    <s v="P6"/>
    <n v="0.79666666666666663"/>
    <n v="5.39"/>
    <n v="2.319999999999999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8"/>
    <s v="PVP"/>
    <s v="Rua Wadir Azevedo Fonseca, 690"/>
    <n v="-30.008151999999999"/>
    <n v="-50.172303999999997"/>
    <x v="1"/>
    <s v="-"/>
    <x v="1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Suporte"/>
    <n v="35.5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59999999999999"/>
    <n v="0.94444444444444442"/>
    <s v="-"/>
    <n v="8.52"/>
    <n v="0.35"/>
    <m/>
    <m/>
    <m/>
    <m/>
    <s v="ATENDE"/>
    <s v="ATENDE"/>
    <s v="ATENDE"/>
    <s v="ATENDE"/>
    <s v="C5"/>
    <s v="P6"/>
    <n v="1.1400000000000001"/>
    <n v="6.42"/>
    <n v="1.23"/>
    <n v="3"/>
    <n v="0.6"/>
    <s v="ATENDE"/>
    <s v="ATENDE"/>
    <s v="ATENDE"/>
    <s v="P6"/>
    <n v="0.5199999999999998"/>
    <n v="4.5599999999999996"/>
    <n v="2.1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18"/>
    <s v="PVP"/>
    <s v="Rua Wadir Azevedo Fonseca, 690"/>
    <n v="-30.008151999999999"/>
    <n v="-50.172303999999997"/>
    <x v="1"/>
    <s v="-"/>
    <x v="1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Suporte"/>
    <n v="35.5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86666666666667"/>
    <n v="1.4444444444444446"/>
    <s v="-"/>
    <n v="8.39"/>
    <n v="0.44"/>
    <m/>
    <m/>
    <m/>
    <m/>
    <s v="ATENDE"/>
    <s v="ATENDE"/>
    <s v="ATENDE"/>
    <s v="ATENDE"/>
    <s v="C5"/>
    <s v="P6"/>
    <n v="1.1566666666666667"/>
    <n v="6.47"/>
    <n v="2.4900000000000002"/>
    <n v="3"/>
    <n v="0.6"/>
    <s v="ATENDE"/>
    <s v="ATENDE"/>
    <s v="ATENDE"/>
    <s v="P6"/>
    <n v="0.39666666666666672"/>
    <n v="4.1900000000000004"/>
    <n v="2.7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19"/>
    <s v="PVP"/>
    <s v="Rua Joao Arthur Kirsh, 330"/>
    <n v="-30.015253000000001"/>
    <n v="-50.174124999999997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6.5"/>
    <n v="6.7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799999999999993"/>
    <n v="0.66666666666666674"/>
    <s v="-"/>
    <n v="8.76"/>
    <n v="0.3"/>
    <m/>
    <m/>
    <m/>
    <m/>
    <s v="ATENDE"/>
    <s v="ATENDE"/>
    <s v="ATENDE"/>
    <s v="ATENDE"/>
    <s v="C5"/>
    <s v="P6"/>
    <n v="1.4700000000000002"/>
    <n v="7.41"/>
    <n v="1.74"/>
    <n v="3"/>
    <n v="0.6"/>
    <s v="ATENDE"/>
    <s v="ATENDE"/>
    <s v="ATENDE"/>
    <s v="-"/>
    <e v="#VALUE!"/>
    <n v="4.4000000000000004"/>
    <n v="1.52"/>
    <s v="-"/>
    <s v="-"/>
    <s v="-"/>
    <s v="-"/>
    <s v="-"/>
    <x v="0"/>
    <s v=" SL VT 9.1 35W"/>
    <s v="LUM LED SL VT 9.1 35W"/>
    <m/>
    <n v="0"/>
    <n v="1"/>
    <n v="35"/>
    <n v="0"/>
    <n v="5955.62"/>
    <n v="0"/>
    <n v="0"/>
    <m/>
    <s v="Curto I"/>
    <m/>
    <s v=""/>
    <s v=""/>
    <m/>
    <m/>
    <m/>
    <m/>
    <m/>
    <m/>
    <n v="35"/>
    <n v="70"/>
    <n v="105"/>
    <n v="0.5"/>
    <m/>
    <m/>
    <s v="Sim"/>
    <m/>
  </r>
  <r>
    <n v="19"/>
    <s v="PVP"/>
    <s v="Rua Joao Arthur Kirsh, 330"/>
    <n v="-30.015253000000001"/>
    <n v="-50.174124999999997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6.5"/>
    <n v="6.7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399999999999989"/>
    <n v="0.44444444444444464"/>
    <s v="-"/>
    <n v="8.43"/>
    <n v="0.26"/>
    <m/>
    <m/>
    <m/>
    <m/>
    <s v="ATENDE"/>
    <s v="ATENDE"/>
    <s v="ATENDE"/>
    <s v="ATENDE"/>
    <s v="C5"/>
    <s v="P6"/>
    <n v="1.29"/>
    <n v="6.87"/>
    <n v="0.78"/>
    <n v="3"/>
    <n v="0.6"/>
    <s v="ATENDE"/>
    <s v="ATENDE"/>
    <s v="ATENDE"/>
    <s v="-"/>
    <e v="#VALUE!"/>
    <n v="3.41"/>
    <n v="1.1399999999999999"/>
    <s v="-"/>
    <s v="-"/>
    <s v="-"/>
    <s v="-"/>
    <s v="-"/>
    <x v="1"/>
    <s v="SX-INEVO030HF"/>
    <s v="SXINEVO030K40L12CZF7PHF"/>
    <m/>
    <n v="0"/>
    <n v="1"/>
    <n v="31"/>
    <n v="0"/>
    <n v="5270"/>
    <n v="0"/>
    <n v="0"/>
    <m/>
    <s v="Curto I"/>
    <m/>
    <s v=""/>
    <s v=""/>
    <m/>
    <m/>
    <m/>
    <m/>
    <m/>
    <m/>
    <n v="31"/>
    <n v="70"/>
    <n v="101"/>
    <n v="0.55714285714285716"/>
    <m/>
    <m/>
    <s v="Sim"/>
    <m/>
  </r>
  <r>
    <n v="19"/>
    <s v="PVP"/>
    <s v="Rua Joao Arthur Kirsh, 330"/>
    <n v="-30.015253000000001"/>
    <n v="-50.174124999999997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6.5"/>
    <n v="6.7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133333333333328"/>
    <n v="0.94444444444444442"/>
    <s v="-"/>
    <n v="8.26"/>
    <n v="0.35"/>
    <m/>
    <m/>
    <m/>
    <m/>
    <s v="ATENDE"/>
    <s v="ATENDE"/>
    <s v="ATENDE"/>
    <s v="ATENDE"/>
    <s v="C5"/>
    <s v="P6"/>
    <n v="1.2933333333333334"/>
    <n v="6.88"/>
    <n v="1.95"/>
    <n v="3"/>
    <n v="0.6"/>
    <s v="ATENDE"/>
    <s v="ATENDE"/>
    <s v="ATENDE"/>
    <s v="-"/>
    <e v="#VALUE!"/>
    <n v="3.29"/>
    <n v="1.76"/>
    <s v="-"/>
    <s v="-"/>
    <s v="-"/>
    <s v="-"/>
    <s v="-"/>
    <x v="2"/>
    <s v="SIGSAGPTLRRSSNDL_30W_38IBBRS_x000a_"/>
    <s v="SIGSAGPTLRRSSNDL_30W_38IBBRS_x000a_1-10C1MUN6.5"/>
    <m/>
    <n v="0"/>
    <n v="1"/>
    <n v="30"/>
    <n v="0"/>
    <n v="5266"/>
    <n v="0"/>
    <n v="0"/>
    <m/>
    <s v="Curto I"/>
    <m/>
    <s v=""/>
    <s v=""/>
    <m/>
    <m/>
    <m/>
    <m/>
    <m/>
    <m/>
    <n v="30"/>
    <n v="70"/>
    <n v="100"/>
    <n v="0.5714285714285714"/>
    <m/>
    <m/>
    <s v="Sim"/>
    <m/>
  </r>
  <r>
    <n v="22"/>
    <s v="PVP"/>
    <s v="Rua Vinte e Quatro de Setembro, 833"/>
    <n v="-29.984576000000001"/>
    <n v="-50.135525000000001"/>
    <x v="2"/>
    <s v="-"/>
    <x v="1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43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100000000000004"/>
    <n v="0.33333333333333326"/>
    <s v="-"/>
    <n v="11.71"/>
    <n v="0.24"/>
    <m/>
    <m/>
    <m/>
    <m/>
    <s v="ATENDE"/>
    <s v="ATENDE"/>
    <s v="ATENDE"/>
    <s v="ATENDE"/>
    <s v="C4"/>
    <s v="P6"/>
    <n v="1.2066666666666666"/>
    <n v="6.62"/>
    <n v="1.83"/>
    <n v="3"/>
    <n v="0.6"/>
    <s v="ATENDE"/>
    <s v="ATENDE"/>
    <s v="ATENDE"/>
    <s v="P6"/>
    <n v="0.34666666666666668"/>
    <n v="4.04"/>
    <n v="0.82"/>
    <n v="3"/>
    <n v="0.6"/>
    <s v="ATENDE"/>
    <s v="ATENDE"/>
    <s v="ATENDE"/>
    <x v="0"/>
    <s v=" SL VT 9.1 65W"/>
    <s v="LUM LED SL VT 9.1 65W"/>
    <m/>
    <e v="#N/A"/>
    <n v="1"/>
    <n v="65"/>
    <e v="#N/A"/>
    <n v="10496"/>
    <n v="0"/>
    <n v="0"/>
    <m/>
    <s v="Médio II"/>
    <m/>
    <s v=""/>
    <s v=""/>
    <m/>
    <m/>
    <m/>
    <m/>
    <m/>
    <m/>
    <n v="65"/>
    <n v="50"/>
    <n v="115"/>
    <n v="-0.30000000000000004"/>
    <m/>
    <m/>
    <s v="Sim"/>
    <m/>
  </r>
  <r>
    <n v="22"/>
    <s v="PVP"/>
    <s v="Rua Vinte e Quatro de Setembro, 833"/>
    <n v="-29.984576000000001"/>
    <n v="-50.135525000000001"/>
    <x v="2"/>
    <s v="-"/>
    <x v="1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43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52100000000000013"/>
    <n v="0.44444444444444464"/>
    <s v="-"/>
    <n v="15.21"/>
    <n v="0.26"/>
    <m/>
    <m/>
    <m/>
    <m/>
    <s v="ATENDE"/>
    <s v="ATENDE"/>
    <s v="ATENDE"/>
    <s v="ATENDE"/>
    <s v="C4"/>
    <s v="P6"/>
    <n v="1.9266666666666663"/>
    <n v="8.7799999999999994"/>
    <n v="2.56"/>
    <n v="3"/>
    <n v="0.6"/>
    <s v="ATENDE"/>
    <s v="ATENDE"/>
    <s v="ATENDE"/>
    <s v="P6"/>
    <n v="0.48333333333333339"/>
    <n v="4.45"/>
    <n v="1.08"/>
    <n v="3"/>
    <n v="0.6"/>
    <s v="ATENDE"/>
    <s v="ATENDE"/>
    <s v="ATENDE"/>
    <x v="1"/>
    <s v="SX-INLPP070HF"/>
    <s v="SXINLPP070K40L12CZF7PHF"/>
    <m/>
    <e v="#N/A"/>
    <n v="1"/>
    <n v="70"/>
    <e v="#N/A"/>
    <n v="11970"/>
    <n v="0"/>
    <n v="0"/>
    <m/>
    <s v="Médio II"/>
    <m/>
    <s v=""/>
    <s v=""/>
    <m/>
    <m/>
    <m/>
    <m/>
    <m/>
    <m/>
    <n v="70"/>
    <n v="50"/>
    <n v="120"/>
    <n v="-0.39999999999999991"/>
    <m/>
    <m/>
    <s v="Sim"/>
    <m/>
  </r>
  <r>
    <n v="22"/>
    <s v="PVP"/>
    <s v="Rua Vinte e Quatro de Setembro, 833"/>
    <n v="-29.984576000000001"/>
    <n v="-50.135525000000001"/>
    <x v="2"/>
    <s v="-"/>
    <x v="1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43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000000000000012"/>
    <n v="-5.5555555555555469E-2"/>
    <s v="-"/>
    <n v="11.4"/>
    <n v="0.17"/>
    <m/>
    <m/>
    <m/>
    <m/>
    <s v="ATENDE"/>
    <s v="ATENDE"/>
    <s v="ATENDIMENTO LIMIAR"/>
    <s v="ATENDE"/>
    <s v="C4"/>
    <s v="P6"/>
    <n v="0.80333333333333345"/>
    <n v="5.41"/>
    <n v="0.6"/>
    <n v="3"/>
    <n v="0.6"/>
    <s v="ATENDE"/>
    <s v="ATENDE"/>
    <s v="ATENDE"/>
    <s v="P6"/>
    <n v="0.10666666666666669"/>
    <n v="3.32"/>
    <n v="1.18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n v="4"/>
    <s v="Médio II"/>
    <m/>
    <s v=""/>
    <s v=""/>
    <m/>
    <m/>
    <m/>
    <m/>
    <m/>
    <m/>
    <n v="60"/>
    <n v="50"/>
    <n v="110"/>
    <n v="-0.19999999999999996"/>
    <m/>
    <m/>
    <s v="Sim"/>
    <m/>
  </r>
  <r>
    <n v="23"/>
    <s v="PVP"/>
    <s v="Rua Vinte e Quatro de Setembro, 959"/>
    <n v="-29.991803000000001"/>
    <n v="-50.131960999999997"/>
    <x v="2"/>
    <s v="-"/>
    <x v="1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33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00000000000003"/>
    <n v="1.3333333333333335"/>
    <s v="-"/>
    <n v="11.59"/>
    <n v="0.42"/>
    <m/>
    <m/>
    <m/>
    <m/>
    <s v="ATENDE"/>
    <s v="ATENDE"/>
    <s v="ATENDE"/>
    <s v="ATENDE"/>
    <s v="C4"/>
    <s v="P6"/>
    <n v="1.1800000000000002"/>
    <n v="6.54"/>
    <n v="2.77"/>
    <n v="3"/>
    <n v="0.6"/>
    <s v="ATENDE"/>
    <s v="ATENDE"/>
    <s v="ATENDE"/>
    <s v="-"/>
    <e v="#VALUE!"/>
    <n v="4.45"/>
    <n v="2.3199999999999998"/>
    <s v="-"/>
    <s v="-"/>
    <s v="-"/>
    <s v="-"/>
    <s v="-"/>
    <x v="0"/>
    <s v=" SL VT 9.1 52W"/>
    <s v="LUM LED SL VT 9.1 52W"/>
    <m/>
    <n v="0"/>
    <n v="1"/>
    <n v="52"/>
    <n v="0"/>
    <n v="8960.18"/>
    <n v="0"/>
    <n v="0"/>
    <m/>
    <s v="Médio II"/>
    <m/>
    <s v=""/>
    <s v=""/>
    <m/>
    <m/>
    <m/>
    <m/>
    <m/>
    <m/>
    <n v="52"/>
    <n v="50"/>
    <n v="102"/>
    <n v="-4.0000000000000036E-2"/>
    <m/>
    <m/>
    <s v="Sim"/>
    <m/>
  </r>
  <r>
    <n v="23"/>
    <s v="PVP"/>
    <s v="Rua Vinte e Quatro de Setembro, 959"/>
    <n v="-29.991803000000001"/>
    <n v="-50.131960999999997"/>
    <x v="2"/>
    <s v="-"/>
    <x v="1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33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6999999999999988"/>
    <n v="1.9444444444444446"/>
    <s v="-"/>
    <n v="13.7"/>
    <n v="0.53"/>
    <m/>
    <m/>
    <m/>
    <m/>
    <s v="ATENDE"/>
    <s v="ATENDE"/>
    <s v="ATENDE"/>
    <s v="ATENDE"/>
    <s v="C4"/>
    <s v="P6"/>
    <n v="1.21"/>
    <n v="6.63"/>
    <n v="1.78"/>
    <n v="3"/>
    <n v="0.6"/>
    <s v="ATENDE"/>
    <s v="ATENDE"/>
    <s v="ATENDE"/>
    <s v="-"/>
    <e v="#VALUE!"/>
    <n v="4.41"/>
    <n v="1.63"/>
    <s v="-"/>
    <s v="-"/>
    <s v="-"/>
    <s v="-"/>
    <s v="-"/>
    <x v="1"/>
    <s v="SX-INEVO050HF"/>
    <s v="SXINEVO050K40L12CZF7PHF"/>
    <m/>
    <n v="0"/>
    <n v="1"/>
    <n v="50"/>
    <n v="0"/>
    <n v="8650"/>
    <n v="0"/>
    <n v="0"/>
    <m/>
    <s v="Médio II"/>
    <m/>
    <s v=""/>
    <s v=""/>
    <m/>
    <m/>
    <m/>
    <m/>
    <m/>
    <m/>
    <n v="50"/>
    <n v="50"/>
    <n v="100"/>
    <n v="0"/>
    <m/>
    <m/>
    <s v="Sim"/>
    <m/>
  </r>
  <r>
    <n v="23"/>
    <s v="PVP"/>
    <s v="Rua Vinte e Quatro de Setembro, 959"/>
    <n v="-29.991803000000001"/>
    <n v="-50.131960999999997"/>
    <x v="2"/>
    <s v="-"/>
    <x v="1"/>
    <s v="LED"/>
    <n v="50"/>
    <n v="0"/>
    <n v="0"/>
    <n v="100"/>
    <n v="2"/>
    <n v="4.5"/>
    <n v="10"/>
    <m/>
    <m/>
    <n v="0"/>
    <n v="4.5"/>
    <n v="0"/>
    <n v="0"/>
    <n v="0"/>
    <n v="0"/>
    <n v="0"/>
    <s v="Unilateral"/>
    <s v="Braço"/>
    <n v="33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2"/>
    <n v="1.8888888888888893"/>
    <s v="-"/>
    <n v="10.199999999999999"/>
    <n v="0.52"/>
    <m/>
    <m/>
    <m/>
    <m/>
    <s v="ATENDE"/>
    <s v="ATENDE"/>
    <s v="ATENDE"/>
    <s v="ATENDE"/>
    <s v="C4"/>
    <s v="P6"/>
    <n v="0.56666666666666665"/>
    <n v="4.7"/>
    <n v="1.33"/>
    <n v="3"/>
    <n v="0.6"/>
    <s v="ATENDE"/>
    <s v="ATENDE"/>
    <s v="ATENDE"/>
    <s v="-"/>
    <e v="#VALUE!"/>
    <n v="3"/>
    <n v="1.4"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n v="5"/>
    <s v="Médio II"/>
    <m/>
    <s v=""/>
    <s v=""/>
    <m/>
    <m/>
    <m/>
    <m/>
    <m/>
    <m/>
    <n v="40"/>
    <n v="50"/>
    <n v="90"/>
    <n v="0.19999999999999996"/>
    <m/>
    <m/>
    <s v="Sim"/>
    <m/>
  </r>
  <r>
    <n v="20"/>
    <s v="PVP"/>
    <s v="Rua R, 451"/>
    <n v="-30.017976999999998"/>
    <n v="-50.175055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.15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6666666666665986E-3"/>
    <n v="1.2777777777777777"/>
    <s v="-"/>
    <n v="7.55"/>
    <n v="0.41"/>
    <m/>
    <m/>
    <m/>
    <m/>
    <s v="ATENDE"/>
    <s v="ATENDE"/>
    <s v="ATENDE"/>
    <s v="ATENDE"/>
    <s v="C5"/>
    <s v="P6"/>
    <n v="1.37"/>
    <n v="7.11"/>
    <n v="2.79"/>
    <n v="3"/>
    <n v="0.6"/>
    <s v="ATENDE"/>
    <s v="ATENDE"/>
    <s v="ATENDE"/>
    <s v="P6"/>
    <n v="0.32333333333333347"/>
    <n v="3.97"/>
    <n v="2.09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20"/>
    <s v="PVP"/>
    <s v="Rua R, 451"/>
    <n v="-30.017976999999998"/>
    <n v="-50.175055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.15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53333333333334"/>
    <n v="2.0555555555555558"/>
    <s v="-"/>
    <n v="9.34"/>
    <n v="0.55000000000000004"/>
    <m/>
    <m/>
    <m/>
    <m/>
    <s v="ATENDE"/>
    <s v="ATENDE"/>
    <s v="ATENDE"/>
    <s v="ATENDE"/>
    <s v="C5"/>
    <s v="P6"/>
    <n v="1.8433333333333333"/>
    <n v="8.5299999999999994"/>
    <n v="3.1"/>
    <n v="3"/>
    <n v="0.6"/>
    <s v="ATENDE"/>
    <s v="ATENDE"/>
    <s v="ATENDE"/>
    <s v="P6"/>
    <n v="0.24666666666666681"/>
    <n v="3.74"/>
    <n v="2.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20"/>
    <s v="PVP"/>
    <s v="Rua R, 451"/>
    <n v="-30.017976999999998"/>
    <n v="-50.175055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.15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1111111111111116"/>
    <s v="-"/>
    <n v="9.15"/>
    <n v="0.56000000000000005"/>
    <m/>
    <m/>
    <m/>
    <m/>
    <s v="ATENDE"/>
    <s v="ATENDE"/>
    <s v="ATENDE"/>
    <s v="ATENDE"/>
    <s v="C5"/>
    <s v="P6"/>
    <n v="1.83"/>
    <n v="8.49"/>
    <n v="4.3600000000000003"/>
    <n v="3"/>
    <n v="0.6"/>
    <s v="ATENDE"/>
    <s v="ATENDE"/>
    <s v="ATENDE"/>
    <s v="P6"/>
    <n v="0.20666666666666678"/>
    <n v="3.62"/>
    <n v="2.47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1"/>
    <s v="PVP"/>
    <s v="Rua Tuiuti, 1032"/>
    <n v="-30.006892000000001"/>
    <n v="-50.135013999999998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1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5866666666666656"/>
    <n v="2.7222222222222228"/>
    <s v="-"/>
    <n v="10.94"/>
    <n v="0.67"/>
    <m/>
    <m/>
    <m/>
    <m/>
    <s v="ATENDE"/>
    <s v="ATENDE"/>
    <s v="ATENDE"/>
    <s v="ATENDE"/>
    <s v="C5"/>
    <s v="P6"/>
    <n v="2.0099999999999998"/>
    <n v="9.0299999999999994"/>
    <n v="6.24"/>
    <n v="3"/>
    <n v="0.6"/>
    <s v="ATENDE"/>
    <s v="ATENDE"/>
    <s v="ATENDE"/>
    <s v="P6"/>
    <n v="1.3366666666666664"/>
    <n v="7.01"/>
    <n v="5.1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21"/>
    <s v="PVP"/>
    <s v="Rua Tuiuti, 1032"/>
    <n v="-30.006892000000001"/>
    <n v="-50.135013999999998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1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133333333333338"/>
    <n v="3.4444444444444446"/>
    <s v="-"/>
    <n v="9.16"/>
    <n v="0.8"/>
    <m/>
    <m/>
    <m/>
    <m/>
    <s v="ATENDE"/>
    <s v="ATENDE"/>
    <s v="ATENDE"/>
    <s v="ATENDE"/>
    <s v="C5"/>
    <s v="P6"/>
    <n v="1.4466666666666668"/>
    <n v="7.34"/>
    <n v="5.38"/>
    <n v="3"/>
    <n v="0.6"/>
    <s v="ATENDE"/>
    <s v="ATENDE"/>
    <s v="ATENDE"/>
    <s v="P6"/>
    <n v="0.82000000000000006"/>
    <n v="5.46"/>
    <n v="3.74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50"/>
    <n v="172.5"/>
    <n v="0.85"/>
    <m/>
    <m/>
    <s v="Sim"/>
    <m/>
  </r>
  <r>
    <n v="21"/>
    <s v="PVP"/>
    <s v="Rua Tuiuti, 1032"/>
    <n v="-30.006892000000001"/>
    <n v="-50.135013999999998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1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8"/>
    <n v="3.0555555555555554"/>
    <s v="-"/>
    <n v="13.5"/>
    <n v="0.73"/>
    <m/>
    <m/>
    <m/>
    <m/>
    <s v="ATENDE"/>
    <s v="ATENDE"/>
    <s v="ATENDE"/>
    <s v="ATENDE"/>
    <s v="C5"/>
    <s v="P6"/>
    <n v="2.5133333333333332"/>
    <n v="10.54"/>
    <n v="7.79"/>
    <n v="3"/>
    <n v="0.6"/>
    <s v="ATENDE"/>
    <s v="ATENDE"/>
    <s v="ATENDE"/>
    <s v="P6"/>
    <n v="1.35"/>
    <n v="7.05"/>
    <n v="5.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6"/>
    <s v="VP"/>
    <s v="Avenida Militao Almeida, 703"/>
    <n v="-29.995464999999999"/>
    <n v="-50.146115000000002"/>
    <x v="0"/>
    <s v="-"/>
    <x v="1"/>
    <s v="LED"/>
    <n v="50"/>
    <n v="0"/>
    <n v="0"/>
    <n v="200"/>
    <n v="2"/>
    <n v="0"/>
    <n v="8.5"/>
    <m/>
    <m/>
    <n v="0"/>
    <n v="4"/>
    <n v="3"/>
    <n v="0"/>
    <n v="0"/>
    <n v="3.5"/>
    <n v="2"/>
    <s v="Canteiro central"/>
    <s v="Braço"/>
    <n v="27.1"/>
    <n v="8"/>
    <n v="2"/>
    <n v="2.5"/>
    <n v="2.5"/>
    <n v="0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1333333333333222E-2"/>
    <n v="0.18421052631578938"/>
    <s v="-"/>
    <n v="31.24"/>
    <n v="0.45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4.2766666666666664"/>
    <n v="15.83"/>
    <n v="10.26"/>
    <n v="3"/>
    <n v="0.6"/>
    <s v="ATENDE"/>
    <s v="ATENDE"/>
    <s v="ATENDE"/>
    <x v="0"/>
    <s v=" SL VT 9.1 100W"/>
    <s v="LUM LED SL VT 9.1 100W"/>
    <m/>
    <e v="#N/A"/>
    <n v="2"/>
    <n v="100"/>
    <e v="#N/A"/>
    <n v="15900"/>
    <n v="0"/>
    <n v="0"/>
    <n v="10"/>
    <s v="Médio II"/>
    <m/>
    <m/>
    <m/>
    <m/>
    <m/>
    <m/>
    <m/>
    <m/>
    <m/>
    <n v="100"/>
    <n v="50"/>
    <n v="300"/>
    <n v="-1"/>
    <m/>
    <m/>
    <s v="Sim"/>
    <m/>
  </r>
  <r>
    <n v="26"/>
    <s v="VP"/>
    <s v="Avenida Militao Almeida, 703"/>
    <n v="-29.995464999999999"/>
    <n v="-50.146115000000002"/>
    <x v="0"/>
    <s v="-"/>
    <x v="1"/>
    <s v="LED"/>
    <n v="50"/>
    <n v="0"/>
    <n v="0"/>
    <n v="200"/>
    <n v="2"/>
    <n v="0"/>
    <n v="8.5"/>
    <m/>
    <m/>
    <n v="0"/>
    <n v="4"/>
    <n v="3"/>
    <n v="0"/>
    <n v="0"/>
    <n v="3.5"/>
    <n v="2"/>
    <s v="Canteiro central"/>
    <s v="Braço"/>
    <n v="27.1"/>
    <n v="8"/>
    <n v="2"/>
    <n v="2.5"/>
    <n v="2.5"/>
    <n v="0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7.433333333333314E-2"/>
    <n v="0.34210526315789469"/>
    <s v="-"/>
    <n v="32.229999999999997"/>
    <n v="0.51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3.7233333333333336"/>
    <n v="14.17"/>
    <n v="8.43"/>
    <n v="3"/>
    <n v="0.6"/>
    <s v="ATENDE"/>
    <s v="ATENDE"/>
    <s v="ATENDE"/>
    <x v="1"/>
    <s v="SX-INLPP090HF"/>
    <s v="SXINLPP090K40L12CZF7PHF"/>
    <m/>
    <e v="#N/A"/>
    <n v="2"/>
    <n v="90"/>
    <e v="#N/A"/>
    <n v="15476"/>
    <n v="0"/>
    <n v="0"/>
    <m/>
    <s v="Médio II"/>
    <m/>
    <m/>
    <m/>
    <m/>
    <m/>
    <m/>
    <m/>
    <m/>
    <m/>
    <n v="90"/>
    <n v="50"/>
    <n v="280"/>
    <n v="-0.8"/>
    <m/>
    <m/>
    <s v="Sim"/>
    <m/>
  </r>
  <r>
    <n v="26"/>
    <s v="VP"/>
    <s v="Avenida Militao Almeida, 703"/>
    <n v="-29.995464999999999"/>
    <n v="-50.146115000000002"/>
    <x v="0"/>
    <s v="-"/>
    <x v="1"/>
    <s v="LED"/>
    <n v="50"/>
    <n v="0"/>
    <n v="0"/>
    <n v="200"/>
    <n v="2"/>
    <n v="0"/>
    <n v="8.5"/>
    <m/>
    <m/>
    <n v="0"/>
    <n v="4"/>
    <n v="3"/>
    <n v="0"/>
    <n v="0"/>
    <n v="3.5"/>
    <n v="2"/>
    <s v="Canteiro central"/>
    <s v="Braço"/>
    <n v="27.1"/>
    <n v="8"/>
    <n v="2"/>
    <n v="2.5"/>
    <n v="2.5"/>
    <n v="0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2.4666666666666615E-2"/>
    <n v="0.23684210526315774"/>
    <s v="-"/>
    <n v="30.74"/>
    <n v="0.47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2.0233333333333334"/>
    <n v="9.07"/>
    <n v="6.39"/>
    <n v="3"/>
    <n v="0.6"/>
    <s v="ATENDE"/>
    <s v="ATENDE"/>
    <s v="ATENDE"/>
    <x v="2"/>
    <s v="SIGSAGPTLRRSSNDL100W125IBBRS_x000a_"/>
    <s v="SIGSAGPTLRRSSNDL100W125IBBRS_x000a_1-10C1MUN6.5"/>
    <m/>
    <e v="#N/A"/>
    <n v="2"/>
    <n v="100"/>
    <n v="0"/>
    <n v="15162"/>
    <n v="0"/>
    <n v="0"/>
    <m/>
    <s v="Médio II"/>
    <m/>
    <m/>
    <m/>
    <m/>
    <m/>
    <m/>
    <m/>
    <m/>
    <m/>
    <n v="100"/>
    <n v="50"/>
    <n v="300"/>
    <n v="-1"/>
    <m/>
    <m/>
    <s v="Sim"/>
    <m/>
  </r>
  <r>
    <n v="27"/>
    <s v="PVP"/>
    <s v="Avenida Emancipacao, 1747"/>
    <n v="-29.99577"/>
    <n v="-50.144157999999997"/>
    <x v="0"/>
    <s v="-"/>
    <x v="1"/>
    <s v="LED"/>
    <n v="50"/>
    <n v="0"/>
    <n v="0"/>
    <n v="200"/>
    <n v="2"/>
    <n v="0"/>
    <n v="8"/>
    <m/>
    <m/>
    <n v="0"/>
    <n v="4"/>
    <n v="10"/>
    <n v="0"/>
    <n v="0"/>
    <n v="0"/>
    <n v="0"/>
    <s v="Canteiro central"/>
    <s v="Braço"/>
    <n v="43.2"/>
    <n v="2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3.2333333333333325E-2"/>
    <n v="-2.6315789473684181E-2"/>
    <s v="-"/>
    <n v="30.97"/>
    <n v="0.37"/>
    <m/>
    <m/>
    <m/>
    <m/>
    <s v="ATENDE"/>
    <s v="ATENDE"/>
    <s v="ATENDIMENTO LIMIAR"/>
    <s v="ATENDE"/>
    <s v="C1"/>
    <s v="-"/>
    <e v="#VALUE!"/>
    <n v="37.520000000000003"/>
    <n v="15.06"/>
    <s v="-"/>
    <s v="-"/>
    <s v="-"/>
    <s v="-"/>
    <s v="-"/>
    <s v="P6"/>
    <n v="3.9266666666666667"/>
    <n v="14.78"/>
    <n v="8.82"/>
    <n v="3"/>
    <n v="0.6"/>
    <s v="ATENDE"/>
    <s v="ATENDE"/>
    <s v="ATENDE"/>
    <x v="0"/>
    <s v=" SL VT 9.3 200W"/>
    <s v="LUM LED SL VT 9.3 200W"/>
    <m/>
    <n v="0"/>
    <n v="2"/>
    <n v="200"/>
    <n v="0"/>
    <n v="32740.2"/>
    <n v="0"/>
    <n v="0"/>
    <n v="10"/>
    <s v="Médio II"/>
    <s v="Longo I"/>
    <n v="2.8"/>
    <n v="8"/>
    <m/>
    <m/>
    <m/>
    <m/>
    <m/>
    <m/>
    <n v="200"/>
    <n v="50"/>
    <n v="500"/>
    <n v="-3"/>
    <m/>
    <m/>
    <s v="Sim"/>
    <m/>
  </r>
  <r>
    <n v="27"/>
    <s v="PVP"/>
    <s v="Avenida Emancipacao, 1747"/>
    <n v="-29.99577"/>
    <n v="-50.144157999999997"/>
    <x v="0"/>
    <s v="-"/>
    <x v="1"/>
    <s v="LED"/>
    <n v="50"/>
    <n v="0"/>
    <n v="0"/>
    <n v="200"/>
    <n v="2"/>
    <n v="0"/>
    <n v="8"/>
    <m/>
    <m/>
    <n v="0"/>
    <n v="4"/>
    <n v="10"/>
    <n v="0"/>
    <n v="0"/>
    <n v="0"/>
    <n v="0"/>
    <s v="Canteiro central"/>
    <s v="Braço"/>
    <n v="43.2"/>
    <n v="2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3.3333333333340764E-4"/>
    <n v="0.57894736842105265"/>
    <s v="-"/>
    <n v="29.99"/>
    <n v="0.6"/>
    <m/>
    <m/>
    <m/>
    <m/>
    <s v="ATENDE"/>
    <s v="ATENDIMENTO LIMIAR"/>
    <s v="ATENDE"/>
    <s v="ATENDE"/>
    <s v="C1"/>
    <s v="-"/>
    <e v="#VALUE!"/>
    <n v="36.770000000000003"/>
    <n v="27.28"/>
    <s v="-"/>
    <s v="-"/>
    <s v="-"/>
    <s v="-"/>
    <s v="-"/>
    <s v="P6"/>
    <n v="3.8233333333333333"/>
    <n v="14.47"/>
    <n v="11.64"/>
    <n v="3"/>
    <n v="0.6"/>
    <s v="ATENDE"/>
    <s v="ATENDE"/>
    <s v="ATENDE"/>
    <x v="1"/>
    <s v="SX-INLPP090HF"/>
    <s v="SXINLPP090K40L12CZF7PHF"/>
    <m/>
    <n v="0"/>
    <n v="2"/>
    <n v="90"/>
    <n v="0"/>
    <n v="15476"/>
    <n v="0"/>
    <n v="0"/>
    <n v="10"/>
    <s v="Médio II"/>
    <m/>
    <s v=""/>
    <s v=""/>
    <s v="APES-2"/>
    <n v="1"/>
    <m/>
    <s v="Redução do distanciamento entre postes de 43.2 para 21.6."/>
    <m/>
    <m/>
    <n v="90"/>
    <n v="50"/>
    <n v="280"/>
    <n v="-0.8"/>
    <m/>
    <m/>
    <s v="Sim"/>
    <m/>
  </r>
  <r>
    <n v="27"/>
    <s v="PVP"/>
    <s v="Avenida Emancipacao, 1747"/>
    <n v="-29.99577"/>
    <n v="-50.144157999999997"/>
    <x v="0"/>
    <s v="-"/>
    <x v="1"/>
    <s v="LED"/>
    <n v="50"/>
    <n v="0"/>
    <n v="0"/>
    <n v="200"/>
    <n v="2"/>
    <n v="0"/>
    <n v="8"/>
    <m/>
    <m/>
    <n v="0"/>
    <n v="4"/>
    <n v="10"/>
    <n v="0"/>
    <n v="0"/>
    <n v="0"/>
    <n v="0"/>
    <s v="Canteiro central"/>
    <s v="Braço"/>
    <n v="43.2"/>
    <n v="2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17100000000000004"/>
    <n v="0.28947368421052633"/>
    <s v="-"/>
    <n v="35.130000000000003"/>
    <n v="0.49"/>
    <m/>
    <m/>
    <m/>
    <m/>
    <s v="ATENDE"/>
    <s v="ATENDE"/>
    <s v="ATENDE"/>
    <s v="ATENDE"/>
    <s v="C1"/>
    <s v="-"/>
    <e v="#VALUE!"/>
    <n v="46.56"/>
    <n v="32"/>
    <s v="-"/>
    <s v="-"/>
    <s v="-"/>
    <s v="-"/>
    <s v="-"/>
    <s v="P6"/>
    <n v="3.3666666666666663"/>
    <n v="13.1"/>
    <n v="11.02"/>
    <n v="3"/>
    <n v="0.6"/>
    <s v="ATENDE"/>
    <s v="ATENDE"/>
    <s v="ATENDE"/>
    <x v="2"/>
    <s v="SIGMAGPTLRRSMNDL120W_82IBBR_x000a_"/>
    <s v="SIGMAGPTLRRSMNDL120W_82IBBR_x000a_S1-10C1MUN6.5"/>
    <m/>
    <n v="0"/>
    <n v="2"/>
    <n v="120"/>
    <n v="0"/>
    <n v="19640"/>
    <n v="0"/>
    <n v="0"/>
    <n v="10"/>
    <s v="Médio II"/>
    <m/>
    <s v=""/>
    <s v=""/>
    <s v="APES-2"/>
    <n v="1"/>
    <m/>
    <s v="Redução do distanciamento entre postes de 43.2 para 21.6."/>
    <m/>
    <m/>
    <n v="120"/>
    <n v="50"/>
    <n v="340"/>
    <n v="-1.4"/>
    <m/>
    <m/>
    <s v="Sim"/>
    <m/>
  </r>
  <r>
    <n v="28"/>
    <s v="PVP"/>
    <s v="Rua Firmiano Osorio, 88"/>
    <n v="-29.992228000000001"/>
    <n v="-50.141682000000003"/>
    <x v="2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3000000000000167E-2"/>
    <n v="1"/>
    <s v="-"/>
    <n v="10.63"/>
    <n v="0.36"/>
    <m/>
    <m/>
    <m/>
    <m/>
    <s v="ATENDE"/>
    <s v="ATENDE"/>
    <s v="ATENDE"/>
    <s v="ATENDE"/>
    <s v="C4"/>
    <s v="P6"/>
    <n v="1.7799999999999998"/>
    <n v="8.34"/>
    <n v="2.87"/>
    <n v="3"/>
    <n v="0.6"/>
    <s v="ATENDE"/>
    <s v="ATENDE"/>
    <s v="ATENDE"/>
    <s v="P6"/>
    <n v="1.1933333333333334"/>
    <n v="6.58"/>
    <n v="3.03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28"/>
    <s v="PVP"/>
    <s v="Rua Firmiano Osorio, 88"/>
    <n v="-29.992228000000001"/>
    <n v="-50.141682000000003"/>
    <x v="2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4000000000000012E-2"/>
    <n v="1.4444444444444446"/>
    <s v="-"/>
    <n v="10.14"/>
    <n v="0.44"/>
    <m/>
    <m/>
    <m/>
    <m/>
    <s v="ATENDE"/>
    <s v="ATENDE"/>
    <s v="ATENDE"/>
    <s v="ATENDE"/>
    <s v="C4"/>
    <s v="P6"/>
    <n v="1.6133333333333333"/>
    <n v="7.84"/>
    <n v="2.56"/>
    <n v="3"/>
    <n v="0.6"/>
    <s v="ATENDE"/>
    <s v="ATENDE"/>
    <s v="ATENDE"/>
    <s v="P6"/>
    <n v="0.89333333333333331"/>
    <n v="5.68"/>
    <n v="3.5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28"/>
    <s v="PVP"/>
    <s v="Rua Firmiano Osorio, 88"/>
    <n v="-29.992228000000001"/>
    <n v="-50.141682000000003"/>
    <x v="2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600000000000013"/>
    <n v="1"/>
    <s v="-"/>
    <n v="11.46"/>
    <n v="0.36"/>
    <m/>
    <m/>
    <m/>
    <m/>
    <s v="ATENDE"/>
    <s v="ATENDE"/>
    <s v="ATENDE"/>
    <s v="ATENDE"/>
    <s v="C4"/>
    <s v="P6"/>
    <n v="1.7466666666666666"/>
    <n v="8.24"/>
    <n v="2.73"/>
    <n v="3"/>
    <n v="0.6"/>
    <s v="ATENDE"/>
    <s v="ATENDE"/>
    <s v="ATENDE"/>
    <s v="P6"/>
    <n v="0.61666666666666647"/>
    <n v="4.8499999999999996"/>
    <n v="2.1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50"/>
    <n v="90"/>
    <n v="0.19999999999999996"/>
    <m/>
    <m/>
    <s v="Sim"/>
    <m/>
  </r>
  <r>
    <n v="24"/>
    <s v="PVV"/>
    <s v="Rua Marcilio Dias, 1819"/>
    <n v="-30.000693999999999"/>
    <n v="-50.135185"/>
    <x v="1"/>
    <s v="-"/>
    <x v="1"/>
    <s v="Vapor de sódio"/>
    <n v="100"/>
    <n v="17"/>
    <n v="0"/>
    <n v="200"/>
    <n v="2"/>
    <n v="2.5"/>
    <n v="7"/>
    <m/>
    <m/>
    <n v="5"/>
    <n v="0"/>
    <n v="3.5"/>
    <n v="0"/>
    <n v="0"/>
    <n v="0"/>
    <n v="0"/>
    <s v="Unilateral"/>
    <s v="Braço"/>
    <n v="32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000000000000009"/>
    <n v="1.8888888888888893"/>
    <s v="-"/>
    <n v="8.25"/>
    <n v="0.52"/>
    <m/>
    <m/>
    <m/>
    <m/>
    <s v="ATENDE"/>
    <s v="ATENDE"/>
    <s v="ATENDE"/>
    <s v="ATENDE"/>
    <s v="C5"/>
    <s v="P6"/>
    <n v="1.3733333333333335"/>
    <n v="7.12"/>
    <n v="4.12"/>
    <n v="3"/>
    <n v="0.6"/>
    <s v="ATENDE"/>
    <s v="ATENDE"/>
    <s v="ATENDE"/>
    <s v="-"/>
    <e v="#VALUE!"/>
    <m/>
    <m/>
    <s v="-"/>
    <s v="-"/>
    <s v="-"/>
    <s v="-"/>
    <s v="-"/>
    <x v="0"/>
    <s v=" SL VT 9.1 65W"/>
    <s v="LUM LED SL VT 9.1 65W"/>
    <m/>
    <n v="0"/>
    <n v="1"/>
    <n v="65"/>
    <n v="0"/>
    <n v="10496"/>
    <n v="0"/>
    <n v="0"/>
    <n v="10"/>
    <s v="Curto II"/>
    <s v="Longo II"/>
    <n v="3.5"/>
    <n v="8.5"/>
    <m/>
    <m/>
    <m/>
    <m/>
    <m/>
    <m/>
    <n v="65"/>
    <n v="100"/>
    <n v="165"/>
    <n v="0.35"/>
    <m/>
    <m/>
    <s v="Sim"/>
    <m/>
  </r>
  <r>
    <n v="24"/>
    <s v="PVV"/>
    <s v="Rua Marcilio Dias, 1819"/>
    <n v="-30.000693999999999"/>
    <n v="-50.135185"/>
    <x v="1"/>
    <s v="-"/>
    <x v="1"/>
    <s v="Vapor de sódio"/>
    <n v="100"/>
    <n v="17"/>
    <n v="0"/>
    <n v="200"/>
    <n v="2"/>
    <n v="2.5"/>
    <n v="7"/>
    <m/>
    <m/>
    <n v="5"/>
    <n v="0"/>
    <n v="3.5"/>
    <n v="0"/>
    <n v="0"/>
    <n v="0"/>
    <n v="0"/>
    <s v="Unilateral"/>
    <s v="Braço"/>
    <n v="32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8666666666666663E-2"/>
    <n v="2.5555555555555558"/>
    <s v="-"/>
    <n v="8.09"/>
    <n v="0.64"/>
    <m/>
    <m/>
    <m/>
    <m/>
    <s v="ATENDE"/>
    <s v="ATENDE"/>
    <s v="ATENDE"/>
    <s v="ATENDE"/>
    <s v="C5"/>
    <s v="P6"/>
    <n v="0.67333333333333312"/>
    <n v="5.0199999999999996"/>
    <n v="1.67"/>
    <n v="3"/>
    <n v="0.6"/>
    <s v="ATENDE"/>
    <s v="ATENDE"/>
    <s v="ATENDE"/>
    <s v="-"/>
    <e v="#VALUE!"/>
    <m/>
    <m/>
    <s v="-"/>
    <s v="-"/>
    <s v="-"/>
    <s v="-"/>
    <s v="-"/>
    <x v="1"/>
    <s v="SX-INEVO060HF"/>
    <s v="SXINEVO060K40L12CZF7PHF"/>
    <m/>
    <e v="#N/A"/>
    <n v="1"/>
    <n v="60"/>
    <n v="0"/>
    <n v="9600"/>
    <n v="0"/>
    <n v="0"/>
    <n v="10"/>
    <s v="Curto II"/>
    <s v="Longo II"/>
    <n v="3.5"/>
    <n v="8.5"/>
    <m/>
    <m/>
    <m/>
    <m/>
    <m/>
    <m/>
    <n v="60"/>
    <n v="100"/>
    <n v="160"/>
    <n v="0.4"/>
    <m/>
    <m/>
    <s v="Sim"/>
    <m/>
  </r>
  <r>
    <n v="24"/>
    <s v="PVV"/>
    <s v="Rua Marcilio Dias, 1819"/>
    <n v="-30.000693999999999"/>
    <n v="-50.135185"/>
    <x v="1"/>
    <s v="-"/>
    <x v="1"/>
    <s v="Vapor de sódio"/>
    <n v="100"/>
    <n v="17"/>
    <n v="0"/>
    <n v="200"/>
    <n v="2"/>
    <n v="2.5"/>
    <n v="7"/>
    <m/>
    <m/>
    <n v="5"/>
    <n v="0"/>
    <n v="3.5"/>
    <n v="0"/>
    <n v="0"/>
    <n v="0"/>
    <n v="0"/>
    <s v="Unilateral"/>
    <s v="Braço"/>
    <n v="32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5333333333333226E-2"/>
    <n v="2.2222222222222223"/>
    <s v="-"/>
    <n v="7.84"/>
    <n v="0.57999999999999996"/>
    <m/>
    <m/>
    <m/>
    <m/>
    <s v="ATENDE"/>
    <s v="ATENDE"/>
    <s v="ATENDE"/>
    <s v="ATENDE"/>
    <s v="C5"/>
    <s v="P6"/>
    <n v="1.2833333333333332"/>
    <n v="6.85"/>
    <n v="3.61"/>
    <n v="3"/>
    <n v="0.6"/>
    <s v="ATENDE"/>
    <s v="ATENDE"/>
    <s v="ATENDE"/>
    <s v="-"/>
    <e v="#VALUE!"/>
    <m/>
    <m/>
    <s v="-"/>
    <s v="-"/>
    <s v="-"/>
    <s v="-"/>
    <s v="-"/>
    <x v="2"/>
    <s v="SIGSAGPTLRRSSNDL_68W_83IBBRS_x000a_"/>
    <s v="SIGSAGPTLRRSSNDL_68W_83IBBRS_x000a_1-10C1MUN6.5"/>
    <m/>
    <e v="#N/A"/>
    <n v="1"/>
    <n v="68"/>
    <n v="0"/>
    <n v="10884"/>
    <n v="0"/>
    <n v="0"/>
    <n v="10"/>
    <s v="Curto II"/>
    <s v="Longo II"/>
    <n v="3.5"/>
    <n v="8.5"/>
    <m/>
    <m/>
    <m/>
    <m/>
    <m/>
    <m/>
    <n v="68"/>
    <n v="100"/>
    <n v="168"/>
    <n v="0.31999999999999995"/>
    <m/>
    <m/>
    <s v="Sim"/>
    <m/>
  </r>
  <r>
    <n v="25"/>
    <s v="PVP"/>
    <s v=" Rua Pinheiro Machado, 1100"/>
    <n v="-29.993053"/>
    <n v="-50.133004999999997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400000000000001"/>
    <n v="1.2777777777777777"/>
    <s v="-"/>
    <n v="9.48"/>
    <n v="0.41"/>
    <m/>
    <m/>
    <m/>
    <m/>
    <s v="ATENDE"/>
    <s v="ATENDE"/>
    <s v="ATENDE"/>
    <s v="ATENDE"/>
    <s v="C5"/>
    <s v="P6"/>
    <n v="1.5133333333333332"/>
    <n v="7.54"/>
    <n v="2.72"/>
    <n v="3"/>
    <n v="0.6"/>
    <s v="ATENDE"/>
    <s v="ATENDE"/>
    <s v="ATENDE"/>
    <s v="P6"/>
    <n v="0.82666666666666688"/>
    <n v="5.48"/>
    <n v="2.5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25"/>
    <s v="PVP"/>
    <s v=" Rua Pinheiro Machado, 1100"/>
    <n v="-29.993053"/>
    <n v="-50.133004999999997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133333333333338"/>
    <n v="1.5"/>
    <s v="-"/>
    <n v="9.16"/>
    <n v="0.45"/>
    <m/>
    <m/>
    <m/>
    <m/>
    <s v="ATENDE"/>
    <s v="ATENDE"/>
    <s v="ATENDE"/>
    <s v="ATENDE"/>
    <s v="C5"/>
    <s v="P6"/>
    <n v="1.3033333333333332"/>
    <n v="6.91"/>
    <n v="1.8"/>
    <n v="3"/>
    <n v="0.6"/>
    <s v="ATENDE"/>
    <s v="ATENDE"/>
    <s v="ATENDE"/>
    <s v="P6"/>
    <n v="0.51"/>
    <n v="4.53"/>
    <n v="2.4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25"/>
    <s v="PVP"/>
    <s v=" Rua Pinheiro Machado, 1100"/>
    <n v="-29.993053"/>
    <n v="-50.133004999999997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266666666666655"/>
    <n v="1.9444444444444446"/>
    <s v="-"/>
    <n v="9.02"/>
    <n v="0.53"/>
    <m/>
    <m/>
    <m/>
    <m/>
    <s v="ATENDE"/>
    <s v="ATENDE"/>
    <s v="ATENDE"/>
    <s v="ATENDE"/>
    <s v="C5"/>
    <s v="P6"/>
    <n v="1.3199999999999998"/>
    <n v="6.96"/>
    <n v="3.18"/>
    <n v="3"/>
    <n v="0.6"/>
    <s v="ATENDE"/>
    <s v="ATENDE"/>
    <s v="ATENDE"/>
    <s v="P6"/>
    <n v="0.40333333333333332"/>
    <n v="4.21"/>
    <n v="2.8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9"/>
    <s v="PVP"/>
    <s v="Avenida Atlantica, 1665"/>
    <n v="-29.991734999999998"/>
    <n v="-50.141092999999998"/>
    <x v="1"/>
    <s v="-"/>
    <x v="1"/>
    <s v="LED"/>
    <n v="50"/>
    <n v="0"/>
    <n v="0"/>
    <n v="100"/>
    <n v="2"/>
    <n v="4.5"/>
    <n v="4.5"/>
    <m/>
    <m/>
    <n v="0"/>
    <n v="4.5"/>
    <n v="0"/>
    <n v="0"/>
    <n v="0"/>
    <n v="2"/>
    <n v="2"/>
    <s v="Unilateral"/>
    <s v="Braço"/>
    <n v="37.9"/>
    <n v="7"/>
    <n v="1"/>
    <n v="5"/>
    <n v="2.5"/>
    <n v="-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80000000000001"/>
    <n v="1.1111111111111112"/>
    <s v="-"/>
    <n v="8.31"/>
    <n v="0.38"/>
    <m/>
    <m/>
    <m/>
    <m/>
    <s v="ATENDE"/>
    <s v="ATENDE"/>
    <s v="ATENDE"/>
    <s v="ATENDE"/>
    <s v="C5"/>
    <s v="P6"/>
    <n v="1.5566666666666666"/>
    <n v="7.67"/>
    <n v="1.85"/>
    <n v="3"/>
    <n v="0.6"/>
    <s v="ATENDE"/>
    <s v="ATENDE"/>
    <s v="ATENDE"/>
    <s v="-"/>
    <e v="#VALUE!"/>
    <n v="3.17"/>
    <n v="1.66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n v="8"/>
    <s v="Médio II"/>
    <m/>
    <s v=""/>
    <s v=""/>
    <m/>
    <m/>
    <m/>
    <m/>
    <m/>
    <m/>
    <n v="44"/>
    <n v="50"/>
    <n v="94"/>
    <n v="0.12"/>
    <m/>
    <m/>
    <s v="Sim"/>
    <m/>
  </r>
  <r>
    <n v="29"/>
    <s v="PVP"/>
    <s v="Avenida Atlantica, 1665"/>
    <n v="-29.991734999999998"/>
    <n v="-50.141092999999998"/>
    <x v="1"/>
    <s v="-"/>
    <x v="1"/>
    <s v="LED"/>
    <n v="50"/>
    <n v="0"/>
    <n v="0"/>
    <n v="100"/>
    <n v="2"/>
    <n v="4.5"/>
    <n v="4.5"/>
    <m/>
    <m/>
    <n v="0"/>
    <n v="4.5"/>
    <n v="0"/>
    <n v="0"/>
    <n v="0"/>
    <n v="2"/>
    <n v="2"/>
    <s v="Unilateral"/>
    <s v="Braço"/>
    <n v="37.9"/>
    <n v="7"/>
    <n v="1"/>
    <n v="5"/>
    <n v="2.5"/>
    <n v="-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3333333333334156E-3"/>
    <n v="2.5555555555555558"/>
    <s v="-"/>
    <n v="7.57"/>
    <n v="0.64"/>
    <m/>
    <m/>
    <m/>
    <m/>
    <s v="ATENDE"/>
    <s v="ATENDE"/>
    <s v="ATENDE"/>
    <s v="ATENDE"/>
    <s v="C5"/>
    <s v="P6"/>
    <n v="0.87333333333333329"/>
    <n v="5.62"/>
    <n v="1.97"/>
    <n v="3"/>
    <n v="0.6"/>
    <s v="ATENDE"/>
    <s v="ATENDE"/>
    <s v="ATENDE"/>
    <s v="-"/>
    <e v="#VALUE!"/>
    <n v="3.57"/>
    <n v="2.0099999999999998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n v="5"/>
    <s v="Médio II"/>
    <s v="Longo II"/>
    <n v="3.5"/>
    <n v="8.5"/>
    <m/>
    <m/>
    <m/>
    <m/>
    <m/>
    <m/>
    <n v="39"/>
    <n v="50"/>
    <n v="89"/>
    <n v="0.21999999999999997"/>
    <m/>
    <m/>
    <s v="Sim"/>
    <m/>
  </r>
  <r>
    <n v="29"/>
    <s v="PVP"/>
    <s v="Avenida Atlantica, 1665"/>
    <n v="-29.991734999999998"/>
    <n v="-50.141092999999998"/>
    <x v="1"/>
    <s v="-"/>
    <x v="1"/>
    <s v="LED"/>
    <n v="50"/>
    <n v="0"/>
    <n v="0"/>
    <n v="100"/>
    <n v="2"/>
    <n v="4.5"/>
    <n v="4.5"/>
    <m/>
    <m/>
    <n v="0"/>
    <n v="4.5"/>
    <n v="0"/>
    <n v="0"/>
    <n v="0"/>
    <n v="2"/>
    <n v="2"/>
    <s v="Unilateral"/>
    <s v="Braço"/>
    <n v="37.9"/>
    <n v="7"/>
    <n v="1"/>
    <n v="5"/>
    <n v="2.5"/>
    <n v="-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666666666666676"/>
    <n v="2.3888888888888888"/>
    <s v="-"/>
    <n v="8.9"/>
    <n v="0.61"/>
    <m/>
    <m/>
    <m/>
    <m/>
    <s v="ATENDE"/>
    <s v="ATENDE"/>
    <s v="ATENDE"/>
    <s v="ATENDE"/>
    <s v="C5"/>
    <s v="P6"/>
    <n v="0.9800000000000002"/>
    <n v="5.94"/>
    <n v="2.16"/>
    <n v="3"/>
    <n v="0.6"/>
    <s v="ATENDE"/>
    <s v="ATENDE"/>
    <s v="ATENDE"/>
    <s v="-"/>
    <e v="#VALUE!"/>
    <n v="3.08"/>
    <n v="1.71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n v="0"/>
    <n v="0"/>
    <n v="5"/>
    <s v="Médio II"/>
    <s v="Longo II"/>
    <n v="3.5"/>
    <n v="8.5"/>
    <m/>
    <m/>
    <m/>
    <m/>
    <m/>
    <m/>
    <n v="40"/>
    <n v="50"/>
    <n v="90"/>
    <n v="0.19999999999999996"/>
    <m/>
    <m/>
    <s v="Sim"/>
    <m/>
  </r>
  <r>
    <n v="30"/>
    <s v="PVP"/>
    <s v="Rua Siqueira Campos, 1167"/>
    <n v="-29.986891"/>
    <n v="-50.142586999999999"/>
    <x v="1"/>
    <s v="-"/>
    <x v="0"/>
    <s v="Vapor de mercúr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866666666666679"/>
    <n v="1.2222222222222223"/>
    <s v="-"/>
    <n v="9.14"/>
    <n v="0.4"/>
    <m/>
    <m/>
    <m/>
    <m/>
    <s v="ATENDE"/>
    <s v="ATENDE"/>
    <s v="ATENDE"/>
    <s v="ATENDE"/>
    <s v="C5"/>
    <s v="P5"/>
    <n v="0.52"/>
    <n v="7.6"/>
    <n v="2.6"/>
    <n v="5"/>
    <n v="1"/>
    <s v="ATENDE"/>
    <s v="ATENDE"/>
    <s v="ATENDE"/>
    <s v="P5"/>
    <n v="1.4000000000000012E-2"/>
    <n v="5.07"/>
    <n v="2.31"/>
    <n v="5"/>
    <n v="1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"/>
    <s v="PVP"/>
    <s v="Rua Siqueira Campos, 1167"/>
    <n v="-29.986891"/>
    <n v="-50.142586999999999"/>
    <x v="1"/>
    <s v="-"/>
    <x v="0"/>
    <s v="Vapor de mercúr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59999999999999"/>
    <n v="1.1111111111111112"/>
    <s v="-"/>
    <n v="8.52"/>
    <n v="0.38"/>
    <m/>
    <m/>
    <m/>
    <m/>
    <s v="ATENDE"/>
    <s v="ATENDE"/>
    <s v="ATENDE"/>
    <s v="ATENDE"/>
    <s v="C5"/>
    <s v="P5"/>
    <n v="0.21399999999999997"/>
    <n v="6.07"/>
    <n v="1"/>
    <n v="5"/>
    <n v="1"/>
    <s v="ATENDE"/>
    <s v="ATENDE"/>
    <s v="ATENDE"/>
    <s v="P5"/>
    <n v="1.0000000000000009E-2"/>
    <n v="5.05"/>
    <n v="3.38"/>
    <n v="5"/>
    <n v="1"/>
    <s v="ATENDE"/>
    <s v="ATENDE"/>
    <s v="ATENDE"/>
    <x v="1"/>
    <s v="SX-INEVO030HF"/>
    <s v="SXINEVO030K40L12CZF7PHF"/>
    <m/>
    <e v="#N/A"/>
    <n v="1"/>
    <n v="31"/>
    <e v="#N/A"/>
    <n v="5270"/>
    <n v="0"/>
    <n v="0"/>
    <n v="6"/>
    <s v="Curto II"/>
    <m/>
    <s v=""/>
    <s v=""/>
    <m/>
    <m/>
    <m/>
    <m/>
    <m/>
    <m/>
    <n v="31"/>
    <n v="100"/>
    <n v="131"/>
    <n v="0.69"/>
    <m/>
    <m/>
    <s v="Sim"/>
    <m/>
  </r>
  <r>
    <n v="30"/>
    <s v="PVP"/>
    <s v="Rua Siqueira Campos, 1167"/>
    <n v="-29.986891"/>
    <n v="-50.142586999999999"/>
    <x v="1"/>
    <s v="-"/>
    <x v="0"/>
    <s v="Vapor de mercúr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3466666666666662"/>
    <n v="1.3888888888888888"/>
    <s v="-"/>
    <n v="11.51"/>
    <n v="0.43"/>
    <m/>
    <m/>
    <m/>
    <m/>
    <s v="ATENDE"/>
    <s v="ATENDE"/>
    <s v="ATENDE"/>
    <s v="ATENDE"/>
    <s v="C5"/>
    <s v="P5"/>
    <n v="0.68799999999999994"/>
    <n v="8.44"/>
    <n v="2.75"/>
    <n v="5"/>
    <n v="1"/>
    <s v="ATENDE"/>
    <s v="ATENDE"/>
    <s v="ATENDE"/>
    <s v="P5"/>
    <n v="8.5999999999999854E-2"/>
    <n v="5.43"/>
    <n v="3.37"/>
    <n v="5"/>
    <n v="1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n v="5"/>
    <s v="Curto II"/>
    <m/>
    <s v=""/>
    <s v=""/>
    <m/>
    <m/>
    <m/>
    <m/>
    <m/>
    <m/>
    <n v="40"/>
    <n v="100"/>
    <n v="140"/>
    <n v="0.6"/>
    <m/>
    <m/>
    <s v="Sim"/>
    <m/>
  </r>
  <r>
    <n v="31"/>
    <s v="PVP"/>
    <s v="Rua A da Silva, 455"/>
    <n v="-29.990476000000001"/>
    <n v="-50.144948999999997"/>
    <x v="1"/>
    <s v="-"/>
    <x v="1"/>
    <s v="Vapor de sódi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7.299999999999997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999999999999994"/>
    <n v="5.555555555555558E-2"/>
    <s v="-"/>
    <n v="8.85"/>
    <n v="0.19"/>
    <m/>
    <m/>
    <m/>
    <m/>
    <s v="ATENDE"/>
    <s v="ATENDE"/>
    <s v="ATENDE"/>
    <s v="ATENDE"/>
    <s v="C5"/>
    <s v="P6"/>
    <n v="1.3166666666666669"/>
    <n v="6.95"/>
    <n v="0.73"/>
    <n v="3"/>
    <n v="0.6"/>
    <s v="ATENDE"/>
    <s v="ATENDE"/>
    <s v="ATENDE"/>
    <s v="P6"/>
    <n v="5.0000000000000044E-2"/>
    <n v="3.15"/>
    <n v="0.9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n v="2"/>
    <s v="Curto II"/>
    <m/>
    <s v=""/>
    <s v=""/>
    <m/>
    <m/>
    <m/>
    <m/>
    <m/>
    <m/>
    <n v="35"/>
    <n v="100"/>
    <n v="135"/>
    <n v="0.65"/>
    <m/>
    <m/>
    <s v="Sim"/>
    <m/>
  </r>
  <r>
    <n v="31"/>
    <s v="PVP"/>
    <s v="Rua A da Silva, 455"/>
    <n v="-29.990476000000001"/>
    <n v="-50.144948999999997"/>
    <x v="1"/>
    <s v="-"/>
    <x v="1"/>
    <s v="Vapor de sódi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7.299999999999997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3455E-2"/>
    <n v="0.33333333333333326"/>
    <s v="-"/>
    <n v="7.9"/>
    <n v="0.24"/>
    <m/>
    <m/>
    <m/>
    <m/>
    <s v="ATENDE"/>
    <s v="ATENDE"/>
    <s v="ATENDE"/>
    <s v="ATENDE"/>
    <s v="C5"/>
    <s v="P6"/>
    <n v="0.78333333333333321"/>
    <n v="5.35"/>
    <n v="0.64"/>
    <n v="3"/>
    <n v="0.6"/>
    <s v="ATENDE"/>
    <s v="ATENDE"/>
    <s v="ATENDE"/>
    <s v="P6"/>
    <n v="0.12333333333333329"/>
    <n v="3.37"/>
    <n v="1.26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s v="Médio I"/>
    <n v="1.8"/>
    <n v="7"/>
    <m/>
    <m/>
    <m/>
    <m/>
    <m/>
    <m/>
    <n v="31"/>
    <n v="100"/>
    <n v="131"/>
    <n v="0.69"/>
    <m/>
    <m/>
    <s v="Sim"/>
    <m/>
  </r>
  <r>
    <n v="31"/>
    <s v="PVP"/>
    <s v="Rua A da Silva, 455"/>
    <n v="-29.990476000000001"/>
    <n v="-50.144948999999997"/>
    <x v="1"/>
    <s v="-"/>
    <x v="1"/>
    <s v="Vapor de sódi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7.299999999999997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4666666666666623E-2"/>
    <n v="1"/>
    <s v="-"/>
    <n v="7.76"/>
    <n v="0.36"/>
    <m/>
    <m/>
    <m/>
    <m/>
    <s v="ATENDE"/>
    <s v="ATENDE"/>
    <s v="ATENDE"/>
    <s v="ATENDE"/>
    <s v="C5"/>
    <s v="P6"/>
    <n v="0.82666666666666688"/>
    <n v="5.48"/>
    <n v="1.75"/>
    <n v="3"/>
    <n v="0.6"/>
    <s v="ATENDE"/>
    <s v="ATENDE"/>
    <s v="ATENDE"/>
    <s v="P6"/>
    <n v="7.3333333333333472E-2"/>
    <n v="3.22"/>
    <n v="1.8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s v="Médio I"/>
    <n v="1.8"/>
    <n v="7"/>
    <m/>
    <m/>
    <m/>
    <m/>
    <m/>
    <m/>
    <n v="30"/>
    <n v="100"/>
    <n v="130"/>
    <n v="0.7"/>
    <m/>
    <m/>
    <s v="Sim"/>
    <m/>
  </r>
  <r>
    <n v="34"/>
    <s v="PVP"/>
    <s v="Rua Sahydi Abrahao, 438"/>
    <n v="-29.986681000000001"/>
    <n v="-50.134658000000002"/>
    <x v="3"/>
    <s v="-"/>
    <x v="1"/>
    <s v="Vapor de sódio"/>
    <n v="250"/>
    <n v="30"/>
    <n v="0"/>
    <n v="500"/>
    <n v="2"/>
    <n v="4"/>
    <n v="4.5"/>
    <m/>
    <m/>
    <n v="0"/>
    <n v="3"/>
    <n v="0"/>
    <n v="0"/>
    <n v="0"/>
    <n v="2"/>
    <n v="2"/>
    <s v="Unilateral"/>
    <s v="Braço"/>
    <n v="20.100000000000001"/>
    <n v="7"/>
    <n v="1"/>
    <n v="0.4"/>
    <n v="2.2000000000000002"/>
    <n v="1.800000000000000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3149999999999995"/>
    <n v="1.464285714285714"/>
    <s v="-"/>
    <n v="22.63"/>
    <n v="0.69"/>
    <m/>
    <m/>
    <m/>
    <m/>
    <s v="ATENDE"/>
    <s v="ATENDE"/>
    <s v="ATENDE"/>
    <s v="ATENDE"/>
    <s v="C2"/>
    <s v="P6"/>
    <n v="3.2166666666666668"/>
    <n v="12.65"/>
    <n v="7.7"/>
    <n v="3"/>
    <n v="0.6"/>
    <s v="ATENDE"/>
    <s v="ATENDE"/>
    <s v="ATENDE"/>
    <s v="P6"/>
    <n v="2.5266666666666668"/>
    <n v="10.58"/>
    <n v="7.45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Médio I"/>
    <m/>
    <s v=""/>
    <s v=""/>
    <m/>
    <m/>
    <m/>
    <m/>
    <m/>
    <m/>
    <n v="52"/>
    <n v="250"/>
    <n v="302"/>
    <n v="0.79200000000000004"/>
    <m/>
    <m/>
    <s v="Sim"/>
    <m/>
  </r>
  <r>
    <n v="34"/>
    <s v="PVP"/>
    <s v="Rua Sahydi Abrahao, 438"/>
    <n v="-29.986681000000001"/>
    <n v="-50.134658000000002"/>
    <x v="3"/>
    <s v="-"/>
    <x v="1"/>
    <s v="Vapor de sódio"/>
    <n v="250"/>
    <n v="30"/>
    <n v="0"/>
    <n v="500"/>
    <n v="2"/>
    <n v="4"/>
    <n v="4.5"/>
    <m/>
    <m/>
    <n v="0"/>
    <n v="3"/>
    <n v="0"/>
    <n v="0"/>
    <n v="0"/>
    <n v="2"/>
    <n v="2"/>
    <s v="Unilateral"/>
    <s v="Braço"/>
    <n v="20.100000000000001"/>
    <n v="7"/>
    <n v="1"/>
    <n v="0.4"/>
    <n v="2.2000000000000002"/>
    <n v="1.800000000000000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33650000000000002"/>
    <n v="1.8928571428571428"/>
    <s v="-"/>
    <n v="26.73"/>
    <n v="0.81"/>
    <m/>
    <m/>
    <m/>
    <m/>
    <s v="ATENDE"/>
    <s v="ATENDE"/>
    <s v="ATENDE"/>
    <s v="ATENDE"/>
    <s v="C2"/>
    <s v="P6"/>
    <n v="3.3633333333333333"/>
    <n v="13.09"/>
    <n v="6.88"/>
    <n v="3"/>
    <n v="0.6"/>
    <s v="ATENDE"/>
    <s v="ATENDE"/>
    <s v="ATENDE"/>
    <s v="P6"/>
    <n v="2.8066666666666666"/>
    <n v="11.42"/>
    <n v="6.66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Médio I"/>
    <m/>
    <s v=""/>
    <s v=""/>
    <m/>
    <m/>
    <m/>
    <m/>
    <m/>
    <m/>
    <n v="50"/>
    <n v="250"/>
    <n v="300"/>
    <n v="0.8"/>
    <m/>
    <m/>
    <s v="Sim"/>
    <m/>
  </r>
  <r>
    <n v="34"/>
    <s v="PVP"/>
    <s v="Rua Sahydi Abrahao, 438"/>
    <n v="-29.986681000000001"/>
    <n v="-50.134658000000002"/>
    <x v="3"/>
    <s v="-"/>
    <x v="1"/>
    <s v="Vapor de sódio"/>
    <n v="250"/>
    <n v="30"/>
    <n v="0"/>
    <n v="500"/>
    <n v="2"/>
    <n v="4"/>
    <n v="4.5"/>
    <m/>
    <m/>
    <n v="0"/>
    <n v="3"/>
    <n v="0"/>
    <n v="0"/>
    <n v="0"/>
    <n v="2"/>
    <n v="2"/>
    <s v="Unilateral"/>
    <s v="Braço"/>
    <n v="20.100000000000001"/>
    <n v="7"/>
    <n v="1"/>
    <n v="0.4"/>
    <n v="2.2000000000000002"/>
    <n v="1.800000000000000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25749999999999984"/>
    <n v="1.5714285714285712"/>
    <s v="-"/>
    <n v="25.15"/>
    <n v="0.72"/>
    <m/>
    <m/>
    <m/>
    <m/>
    <s v="ATENDE"/>
    <s v="ATENDE"/>
    <s v="ATENDE"/>
    <s v="ATENDE"/>
    <s v="C2"/>
    <s v="P6"/>
    <n v="3.24"/>
    <n v="12.72"/>
    <n v="7.52"/>
    <n v="3"/>
    <n v="0.6"/>
    <s v="ATENDE"/>
    <s v="ATENDE"/>
    <s v="ATENDE"/>
    <s v="P6"/>
    <n v="1.0466666666666664"/>
    <n v="6.14"/>
    <n v="2.81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Médio I"/>
    <m/>
    <s v=""/>
    <s v=""/>
    <m/>
    <m/>
    <m/>
    <m/>
    <m/>
    <m/>
    <n v="50"/>
    <n v="250"/>
    <n v="300"/>
    <n v="0.8"/>
    <m/>
    <m/>
    <s v="Sim"/>
    <m/>
  </r>
  <r>
    <n v="35"/>
    <s v="PVP"/>
    <s v="Rua Amancio Amaral, 1181"/>
    <n v="-29.984991999999998"/>
    <n v="-50.132489"/>
    <x v="4"/>
    <s v="-"/>
    <x v="1"/>
    <s v="Vapor de sódio"/>
    <n v="150"/>
    <n v="22"/>
    <n v="0"/>
    <n v="300"/>
    <n v="2"/>
    <n v="4"/>
    <n v="4"/>
    <m/>
    <m/>
    <n v="0"/>
    <n v="4"/>
    <n v="0"/>
    <n v="0"/>
    <n v="0"/>
    <n v="2"/>
    <n v="2"/>
    <s v="Unilateral"/>
    <s v="Braço"/>
    <n v="26.45"/>
    <n v="8"/>
    <n v="1"/>
    <n v="0.4"/>
    <n v="2.2999999999999998"/>
    <n v="1.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3.400000000000003E-2"/>
    <n v="2.4444444444444446"/>
    <s v="-"/>
    <n v="15.51"/>
    <n v="0.62"/>
    <m/>
    <m/>
    <m/>
    <m/>
    <s v="ATENDE"/>
    <s v="ATENDE"/>
    <s v="ATENDE"/>
    <s v="ATENDE"/>
    <s v="C3"/>
    <s v="P6"/>
    <n v="2.0666666666666664"/>
    <n v="9.1999999999999993"/>
    <n v="5.53"/>
    <n v="3"/>
    <n v="0.6"/>
    <s v="ATENDE"/>
    <s v="ATENDE"/>
    <s v="ATENDE"/>
    <s v="P6"/>
    <n v="1.9766666666666666"/>
    <n v="8.93"/>
    <n v="5.66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Médio II"/>
    <m/>
    <s v=""/>
    <s v=""/>
    <m/>
    <m/>
    <m/>
    <m/>
    <m/>
    <m/>
    <n v="52"/>
    <n v="150"/>
    <n v="202"/>
    <n v="0.65333333333333332"/>
    <m/>
    <m/>
    <s v="Não"/>
    <m/>
  </r>
  <r>
    <n v="35"/>
    <s v="PVP"/>
    <s v="Rua Amancio Amaral, 1181"/>
    <n v="-29.984991999999998"/>
    <n v="-50.132489"/>
    <x v="4"/>
    <s v="-"/>
    <x v="1"/>
    <s v="Vapor de sódio"/>
    <n v="150"/>
    <n v="22"/>
    <n v="0"/>
    <n v="300"/>
    <n v="2"/>
    <n v="4"/>
    <n v="4"/>
    <m/>
    <m/>
    <n v="0"/>
    <n v="4"/>
    <n v="0"/>
    <n v="0"/>
    <n v="0"/>
    <n v="2"/>
    <n v="2"/>
    <s v="Unilateral"/>
    <s v="Braço"/>
    <n v="26.45"/>
    <n v="8"/>
    <n v="1"/>
    <n v="0.4"/>
    <n v="2.2999999999999998"/>
    <n v="1.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666666666666656"/>
    <n v="3.2222222222222223"/>
    <s v="-"/>
    <n v="18.25"/>
    <n v="0.76"/>
    <m/>
    <m/>
    <m/>
    <m/>
    <s v="ATENDE"/>
    <s v="ATENDE"/>
    <s v="ATENDE"/>
    <s v="ATENDE"/>
    <s v="C3"/>
    <s v="P6"/>
    <n v="2.2333333333333329"/>
    <n v="9.6999999999999993"/>
    <n v="5.0999999999999996"/>
    <n v="3"/>
    <n v="0.6"/>
    <s v="ATENDE"/>
    <s v="ATENDE"/>
    <s v="ATENDE"/>
    <s v="P6"/>
    <n v="2.4233333333333333"/>
    <n v="10.27"/>
    <n v="6.21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Médio II"/>
    <m/>
    <s v=""/>
    <s v=""/>
    <m/>
    <m/>
    <m/>
    <m/>
    <m/>
    <m/>
    <n v="50"/>
    <n v="150"/>
    <n v="200"/>
    <n v="0.66666666666666674"/>
    <m/>
    <m/>
    <s v="Não"/>
    <m/>
  </r>
  <r>
    <n v="35"/>
    <s v="PVP"/>
    <s v="Rua Amancio Amaral, 1181"/>
    <n v="-29.984991999999998"/>
    <n v="-50.132489"/>
    <x v="4"/>
    <s v="-"/>
    <x v="1"/>
    <s v="Vapor de sódio"/>
    <n v="150"/>
    <n v="22"/>
    <n v="0"/>
    <n v="300"/>
    <n v="2"/>
    <n v="4"/>
    <n v="4"/>
    <m/>
    <m/>
    <n v="0"/>
    <n v="4"/>
    <n v="0"/>
    <n v="0"/>
    <n v="0"/>
    <n v="2"/>
    <n v="2"/>
    <s v="Unilateral"/>
    <s v="Braço"/>
    <n v="26.45"/>
    <n v="8"/>
    <n v="1"/>
    <n v="0.4"/>
    <n v="2.2999999999999998"/>
    <n v="1.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8400000000000016"/>
    <n v="3.166666666666667"/>
    <s v="-"/>
    <n v="17.760000000000002"/>
    <n v="0.75"/>
    <m/>
    <m/>
    <m/>
    <m/>
    <s v="ATENDE"/>
    <s v="ATENDE"/>
    <s v="ATENDE"/>
    <s v="ATENDE"/>
    <s v="C3"/>
    <s v="P6"/>
    <n v="2.1066666666666669"/>
    <n v="9.32"/>
    <n v="5.56"/>
    <n v="3"/>
    <n v="0.6"/>
    <s v="ATENDE"/>
    <s v="ATENDE"/>
    <s v="ATENDE"/>
    <s v="P6"/>
    <n v="1.0733333333333333"/>
    <n v="6.22"/>
    <n v="3.49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m/>
    <s v="Médio II"/>
    <m/>
    <s v=""/>
    <s v=""/>
    <m/>
    <m/>
    <m/>
    <m/>
    <m/>
    <m/>
    <n v="50"/>
    <n v="150"/>
    <n v="200"/>
    <n v="0.66666666666666674"/>
    <m/>
    <m/>
    <s v="Não"/>
    <m/>
  </r>
  <r>
    <n v="36"/>
    <s v="PVP"/>
    <s v="Rua Navegante, 210"/>
    <n v="-29.987494999999999"/>
    <n v="-50.126356999999999"/>
    <x v="2"/>
    <s v="-"/>
    <x v="1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8.4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1.8333333333333335"/>
    <s v="-"/>
    <n v="11.31"/>
    <n v="0.51"/>
    <m/>
    <m/>
    <m/>
    <m/>
    <s v="ATENDE"/>
    <s v="ATENDE"/>
    <s v="ATENDE"/>
    <s v="ATENDE"/>
    <s v="C4"/>
    <s v="P6"/>
    <n v="1.5933333333333333"/>
    <n v="7.78"/>
    <n v="3.5"/>
    <n v="3"/>
    <n v="0.6"/>
    <s v="ATENDE"/>
    <s v="ATENDE"/>
    <s v="ATENDE"/>
    <s v="P6"/>
    <n v="0.87000000000000011"/>
    <n v="5.61"/>
    <n v="2.93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6"/>
    <s v="PVP"/>
    <s v="Rua Navegante, 210"/>
    <n v="-29.987494999999999"/>
    <n v="-50.126356999999999"/>
    <x v="2"/>
    <s v="-"/>
    <x v="1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8.4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99999999999997E-2"/>
    <n v="2.5"/>
    <s v="-"/>
    <n v="10.91"/>
    <n v="0.63"/>
    <m/>
    <m/>
    <m/>
    <m/>
    <s v="ATENDE"/>
    <s v="ATENDE"/>
    <s v="ATENDE"/>
    <s v="ATENDE"/>
    <s v="C4"/>
    <s v="P6"/>
    <n v="1.2933333333333334"/>
    <n v="6.88"/>
    <n v="2.4500000000000002"/>
    <n v="3"/>
    <n v="0.6"/>
    <s v="ATENDE"/>
    <s v="ATENDE"/>
    <s v="ATENDE"/>
    <s v="P6"/>
    <n v="0.46666666666666679"/>
    <n v="4.4000000000000004"/>
    <n v="1.9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6"/>
    <s v="PVP"/>
    <s v="Rua Navegante, 210"/>
    <n v="-29.987494999999999"/>
    <n v="-50.126356999999999"/>
    <x v="2"/>
    <s v="-"/>
    <x v="1"/>
    <s v="Vapor de sódio"/>
    <n v="100"/>
    <n v="17"/>
    <n v="0"/>
    <n v="200"/>
    <n v="2"/>
    <n v="3.5"/>
    <n v="7"/>
    <m/>
    <m/>
    <n v="0"/>
    <n v="3.5"/>
    <n v="0"/>
    <n v="0"/>
    <n v="0"/>
    <n v="0"/>
    <n v="0"/>
    <s v="Unilateral"/>
    <s v="Braço"/>
    <n v="28.4"/>
    <n v="6.8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2.5"/>
    <s v="-"/>
    <n v="10.74"/>
    <n v="0.63"/>
    <m/>
    <m/>
    <m/>
    <m/>
    <s v="ATENDE"/>
    <s v="ATENDE"/>
    <s v="ATENDE"/>
    <s v="ATENDE"/>
    <s v="C4"/>
    <s v="P6"/>
    <n v="1.3766666666666665"/>
    <n v="7.13"/>
    <n v="3.79"/>
    <n v="3"/>
    <n v="0.6"/>
    <s v="ATENDE"/>
    <s v="ATENDE"/>
    <s v="ATENDE"/>
    <s v="P6"/>
    <n v="0.41333333333333333"/>
    <n v="4.24"/>
    <n v="2.49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7"/>
    <s v="PV"/>
    <s v="Rua Tres de Outubro, 1335"/>
    <n v="-29.989436000000001"/>
    <n v="-50.126370000000001"/>
    <x v="4"/>
    <s v="-"/>
    <x v="0"/>
    <s v="Vapor de sódio"/>
    <n v="100"/>
    <n v="17"/>
    <n v="0"/>
    <n v="200"/>
    <n v="2"/>
    <n v="4"/>
    <n v="7"/>
    <m/>
    <m/>
    <n v="0"/>
    <n v="0"/>
    <n v="0"/>
    <n v="0"/>
    <n v="0"/>
    <n v="0"/>
    <n v="0"/>
    <s v="Unilateral"/>
    <s v="Braço"/>
    <n v="26.6"/>
    <n v="7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9.4666666666666677E-2"/>
    <n v="1.9444444444444446"/>
    <s v="-"/>
    <n v="16.420000000000002"/>
    <n v="0.53"/>
    <m/>
    <m/>
    <m/>
    <m/>
    <s v="ATENDE"/>
    <s v="ATENDE"/>
    <s v="ATENDE"/>
    <s v="ATENDE"/>
    <s v="C3"/>
    <s v="P5"/>
    <n v="1.298"/>
    <n v="11.49"/>
    <n v="5.83"/>
    <n v="5"/>
    <n v="1"/>
    <s v="ATENDE"/>
    <s v="ATENDE"/>
    <s v="ATENDE"/>
    <s v="-"/>
    <e v="#VALUE!"/>
    <m/>
    <m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37"/>
    <s v="PV"/>
    <s v="Rua Tres de Outubro, 1335"/>
    <n v="-29.989436000000001"/>
    <n v="-50.126370000000001"/>
    <x v="4"/>
    <s v="-"/>
    <x v="0"/>
    <s v="Vapor de sódio"/>
    <n v="100"/>
    <n v="17"/>
    <n v="0"/>
    <n v="200"/>
    <n v="2"/>
    <n v="4"/>
    <n v="7"/>
    <m/>
    <m/>
    <n v="0"/>
    <n v="0"/>
    <n v="0"/>
    <n v="0"/>
    <n v="0"/>
    <n v="0"/>
    <n v="0"/>
    <s v="Unilateral"/>
    <s v="Braço"/>
    <n v="26.6"/>
    <n v="7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9733333333333345"/>
    <n v="2.7777777777777781"/>
    <s v="-"/>
    <n v="19.46"/>
    <n v="0.68"/>
    <m/>
    <m/>
    <m/>
    <m/>
    <s v="ATENDE"/>
    <s v="ATENDE"/>
    <s v="ATENDE"/>
    <s v="ATENDE"/>
    <s v="C3"/>
    <s v="P5"/>
    <n v="1.4820000000000002"/>
    <n v="12.41"/>
    <n v="5.72"/>
    <n v="5"/>
    <n v="1"/>
    <s v="ATENDE"/>
    <s v="ATENDE"/>
    <s v="ATENDE"/>
    <s v="-"/>
    <e v="#VALUE!"/>
    <m/>
    <m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37"/>
    <s v="PV"/>
    <s v="Rua Tres de Outubro, 1335"/>
    <n v="-29.989436000000001"/>
    <n v="-50.126370000000001"/>
    <x v="4"/>
    <s v="-"/>
    <x v="0"/>
    <s v="Vapor de sódio"/>
    <n v="100"/>
    <n v="17"/>
    <n v="0"/>
    <n v="200"/>
    <n v="2"/>
    <n v="4"/>
    <n v="7"/>
    <m/>
    <m/>
    <n v="0"/>
    <n v="0"/>
    <n v="0"/>
    <n v="0"/>
    <n v="0"/>
    <n v="0"/>
    <n v="0"/>
    <s v="Unilateral"/>
    <s v="Braço"/>
    <n v="26.6"/>
    <n v="7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6.6666666666659324E-4"/>
    <n v="2.3333333333333335"/>
    <s v="-"/>
    <n v="15.01"/>
    <n v="0.6"/>
    <m/>
    <m/>
    <m/>
    <m/>
    <s v="ATENDE"/>
    <s v="ATENDE"/>
    <s v="ATENDE"/>
    <s v="ATENDE"/>
    <s v="C3"/>
    <s v="P5"/>
    <n v="0.92399999999999993"/>
    <n v="9.6199999999999992"/>
    <n v="5.26"/>
    <n v="5"/>
    <n v="1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32"/>
    <s v="PVP"/>
    <s v="Rua Francisco Caetano Azevedo, 201"/>
    <n v="-29.984348000000001"/>
    <n v="-50.14138599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200000000000014"/>
    <n v="1.5"/>
    <s v="-"/>
    <n v="8.64"/>
    <n v="0.45"/>
    <m/>
    <m/>
    <m/>
    <m/>
    <s v="ATENDE"/>
    <s v="ATENDE"/>
    <s v="ATENDE"/>
    <s v="ATENDE"/>
    <s v="C5"/>
    <s v="P6"/>
    <n v="1.4166666666666665"/>
    <n v="7.25"/>
    <n v="2.88"/>
    <n v="3"/>
    <n v="0.6"/>
    <s v="ATENDE"/>
    <s v="ATENDE"/>
    <s v="ATENDE"/>
    <s v="P6"/>
    <n v="0.76666666666666661"/>
    <n v="5.3"/>
    <n v="2.69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2"/>
    <s v="PVP"/>
    <s v="Rua Francisco Caetano Azevedo, 201"/>
    <n v="-29.984348000000001"/>
    <n v="-50.14138599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066666666666669"/>
    <n v="1.9444444444444446"/>
    <s v="-"/>
    <n v="8.33"/>
    <n v="0.53"/>
    <m/>
    <m/>
    <m/>
    <m/>
    <s v="ATENDE"/>
    <s v="ATENDE"/>
    <s v="ATENDE"/>
    <s v="ATENDE"/>
    <s v="C5"/>
    <s v="P6"/>
    <n v="1.25"/>
    <n v="6.75"/>
    <n v="2.36"/>
    <n v="3"/>
    <n v="0.6"/>
    <s v="ATENDE"/>
    <s v="ATENDE"/>
    <s v="ATENDE"/>
    <s v="P6"/>
    <n v="0.49666666666666681"/>
    <n v="4.49"/>
    <n v="2.7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2"/>
    <s v="PVP"/>
    <s v="Rua Francisco Caetano Azevedo, 201"/>
    <n v="-29.984348000000001"/>
    <n v="-50.14138599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866666666666668E-2"/>
    <n v="2.2222222222222223"/>
    <s v="-"/>
    <n v="8.24"/>
    <n v="0.57999999999999996"/>
    <m/>
    <m/>
    <m/>
    <m/>
    <s v="ATENDE"/>
    <s v="ATENDE"/>
    <s v="ATENDE"/>
    <s v="ATENDE"/>
    <s v="C5"/>
    <s v="P6"/>
    <n v="1.25"/>
    <n v="6.75"/>
    <n v="3.37"/>
    <n v="3"/>
    <n v="0.6"/>
    <s v="ATENDE"/>
    <s v="ATENDE"/>
    <s v="ATENDE"/>
    <s v="P6"/>
    <n v="0.37666666666666671"/>
    <n v="4.13"/>
    <n v="2.9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3"/>
    <s v="V"/>
    <s v="Rua Saldanha da Gama, 128"/>
    <n v="-29.982942999999999"/>
    <n v="-50.134264999999999"/>
    <x v="1"/>
    <s v="-"/>
    <x v="2"/>
    <s v="Vapor de mercúrio"/>
    <n v="100"/>
    <n v="17"/>
    <n v="0"/>
    <n v="400"/>
    <n v="1"/>
    <n v="0"/>
    <n v="2.5"/>
    <m/>
    <m/>
    <n v="0"/>
    <n v="0"/>
    <n v="0"/>
    <n v="0"/>
    <n v="0"/>
    <n v="0"/>
    <n v="0"/>
    <s v="Unilateral"/>
    <s v="Braço"/>
    <n v="29.9"/>
    <n v="6"/>
    <n v="2"/>
    <n v="0"/>
    <n v="1.3"/>
    <n v="1.3"/>
    <s v="-"/>
    <s v="-"/>
    <s v="Sim"/>
    <n v="4"/>
    <n v="0"/>
    <n v="0"/>
    <n v="0"/>
    <n v="0"/>
    <n v="0"/>
    <s v="-"/>
    <n v="0"/>
    <m/>
    <n v="7.5"/>
    <n v="0.18"/>
    <s v="-"/>
    <n v="0.18"/>
    <s v="-"/>
    <n v="16"/>
    <s v="ATENDE"/>
    <n v="0.33333333333333326"/>
    <n v="1.166666666666667"/>
    <s v="-"/>
    <n v="10"/>
    <n v="0.39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17W"/>
    <s v="LUM LED SL VT 9.1 17W"/>
    <m/>
    <e v="#N/A"/>
    <n v="2"/>
    <n v="17"/>
    <n v="0"/>
    <n v="2929.66"/>
    <n v="0"/>
    <n v="0"/>
    <m/>
    <s v="Curto II"/>
    <m/>
    <s v=""/>
    <s v=""/>
    <m/>
    <m/>
    <m/>
    <m/>
    <m/>
    <m/>
    <n v="17"/>
    <n v="100"/>
    <n v="234"/>
    <n v="0.83"/>
    <m/>
    <m/>
    <s v="Sim"/>
    <m/>
  </r>
  <r>
    <n v="33"/>
    <s v="V"/>
    <s v="Rua Saldanha da Gama, 128"/>
    <n v="-29.982942999999999"/>
    <n v="-50.134264999999999"/>
    <x v="1"/>
    <s v="-"/>
    <x v="2"/>
    <s v="Vapor de mercúrio"/>
    <n v="100"/>
    <n v="17"/>
    <n v="0"/>
    <n v="400"/>
    <n v="1"/>
    <n v="0"/>
    <n v="2.5"/>
    <m/>
    <m/>
    <n v="0"/>
    <n v="0"/>
    <n v="0"/>
    <n v="0"/>
    <n v="0"/>
    <n v="0"/>
    <n v="0"/>
    <s v="Unilateral"/>
    <s v="Braço"/>
    <n v="29.9"/>
    <n v="6"/>
    <n v="2"/>
    <n v="0"/>
    <n v="1.3"/>
    <n v="1.3"/>
    <s v="-"/>
    <s v="-"/>
    <s v="Sim"/>
    <n v="4"/>
    <n v="0"/>
    <n v="0"/>
    <n v="0"/>
    <n v="0"/>
    <n v="0"/>
    <s v="-"/>
    <n v="0"/>
    <m/>
    <n v="7.5"/>
    <n v="0.18"/>
    <s v="-"/>
    <n v="0.18"/>
    <s v="-"/>
    <n v="16"/>
    <s v="ATENDE"/>
    <n v="0.78800000000000003"/>
    <n v="1.2222222222222223"/>
    <s v="-"/>
    <n v="13.41"/>
    <n v="0.4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20HF"/>
    <s v="SXINEVO020K40L12CZF7PHF"/>
    <m/>
    <e v="#N/A"/>
    <n v="2"/>
    <n v="22.5"/>
    <n v="0"/>
    <n v="3825"/>
    <n v="0"/>
    <n v="0"/>
    <m/>
    <s v="Curto II"/>
    <m/>
    <s v=""/>
    <s v=""/>
    <m/>
    <m/>
    <m/>
    <m/>
    <m/>
    <m/>
    <n v="22.5"/>
    <n v="100"/>
    <n v="245"/>
    <n v="0.77500000000000002"/>
    <m/>
    <m/>
    <s v="Sim"/>
    <m/>
  </r>
  <r>
    <n v="33"/>
    <s v="V"/>
    <s v="Rua Saldanha da Gama, 128"/>
    <n v="-29.982942999999999"/>
    <n v="-50.134264999999999"/>
    <x v="1"/>
    <s v="-"/>
    <x v="2"/>
    <s v="Vapor de mercúrio"/>
    <n v="100"/>
    <n v="17"/>
    <n v="0"/>
    <n v="400"/>
    <n v="1"/>
    <n v="0"/>
    <n v="2.5"/>
    <m/>
    <m/>
    <n v="0"/>
    <n v="0"/>
    <n v="0"/>
    <n v="0"/>
    <n v="0"/>
    <n v="0"/>
    <n v="0"/>
    <s v="Unilateral"/>
    <s v="Braço"/>
    <n v="29.9"/>
    <n v="6"/>
    <n v="2"/>
    <n v="0"/>
    <n v="1.3"/>
    <n v="1.3"/>
    <s v="-"/>
    <s v="-"/>
    <s v="Sim"/>
    <n v="4"/>
    <n v="0"/>
    <n v="0"/>
    <n v="0"/>
    <n v="0"/>
    <n v="0"/>
    <s v="-"/>
    <n v="0"/>
    <m/>
    <n v="7.5"/>
    <n v="0.18"/>
    <s v="-"/>
    <n v="0.18"/>
    <s v="-"/>
    <n v="16"/>
    <s v="ATENDE"/>
    <n v="1.6533333333333333"/>
    <n v="1.5555555555555558"/>
    <s v="-"/>
    <n v="19.899999999999999"/>
    <n v="0.46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2"/>
    <n v="30"/>
    <n v="0"/>
    <n v="5266"/>
    <n v="0"/>
    <n v="0"/>
    <m/>
    <s v="Curto II"/>
    <m/>
    <s v=""/>
    <s v=""/>
    <m/>
    <m/>
    <m/>
    <m/>
    <m/>
    <m/>
    <n v="30"/>
    <n v="100"/>
    <n v="260"/>
    <n v="0.7"/>
    <m/>
    <m/>
    <s v="Sim"/>
    <m/>
  </r>
  <r>
    <n v="40"/>
    <s v="VP"/>
    <s v="Avenida Emancipacao, 2894"/>
    <n v="-30.004162999999998"/>
    <n v="-50.14913"/>
    <x v="3"/>
    <s v="-"/>
    <x v="1"/>
    <s v="LED"/>
    <n v="300"/>
    <n v="0"/>
    <n v="0"/>
    <n v="1200"/>
    <n v="2"/>
    <n v="0"/>
    <n v="8.1999999999999993"/>
    <m/>
    <m/>
    <n v="0"/>
    <n v="3.8"/>
    <n v="10"/>
    <n v="0"/>
    <n v="0"/>
    <n v="0"/>
    <n v="0"/>
    <s v="Canteiro central"/>
    <s v="Braço"/>
    <n v="45.1"/>
    <n v="7.6"/>
    <n v="2"/>
    <n v="5.6"/>
    <n v="2.5"/>
    <n v="-3.0999999999999996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8000000000000016E-2"/>
    <n v="0.35714285714285698"/>
    <s v="-"/>
    <n v="20.36"/>
    <n v="0.38"/>
    <m/>
    <m/>
    <m/>
    <m/>
    <s v="ATENDE"/>
    <s v="ATENDE"/>
    <s v="ATENDE"/>
    <s v="ATENDE"/>
    <s v="C2"/>
    <s v="-"/>
    <e v="#VALUE!"/>
    <s v=" -"/>
    <s v=" -"/>
    <s v="-"/>
    <s v="-"/>
    <s v="-"/>
    <s v="-"/>
    <s v="-"/>
    <s v="P6"/>
    <n v="1.7666666666666671"/>
    <n v="8.3000000000000007"/>
    <n v="4.63"/>
    <n v="3"/>
    <n v="0.6"/>
    <s v="ATENDE"/>
    <s v="ATENDE"/>
    <s v="ATENDE"/>
    <x v="0"/>
    <s v=" SL VT 9.1 155W"/>
    <s v="LUM LED SL VT 9.1 155W"/>
    <m/>
    <n v="0"/>
    <n v="2"/>
    <n v="155"/>
    <n v="0"/>
    <n v="24540"/>
    <n v="0"/>
    <n v="0"/>
    <n v="10"/>
    <s v="Médio II"/>
    <s v="Longo I"/>
    <n v="2.8"/>
    <n v="8"/>
    <m/>
    <m/>
    <m/>
    <m/>
    <m/>
    <m/>
    <n v="155"/>
    <n v="300"/>
    <n v="910"/>
    <n v="0.48333333333333328"/>
    <m/>
    <m/>
    <s v="Sim"/>
    <m/>
  </r>
  <r>
    <n v="40"/>
    <s v="VP"/>
    <s v="Avenida Emancipacao, 2894"/>
    <n v="-30.004162999999998"/>
    <n v="-50.14913"/>
    <x v="3"/>
    <s v="-"/>
    <x v="1"/>
    <s v="LED"/>
    <n v="300"/>
    <n v="0"/>
    <n v="0"/>
    <n v="1200"/>
    <n v="2"/>
    <n v="0"/>
    <n v="8.1999999999999993"/>
    <m/>
    <m/>
    <n v="0"/>
    <n v="3.8"/>
    <n v="10"/>
    <n v="0"/>
    <n v="0"/>
    <n v="0"/>
    <n v="0"/>
    <s v="Canteiro central"/>
    <s v="Braço"/>
    <n v="45.1"/>
    <n v="7.6"/>
    <n v="2"/>
    <n v="5.6"/>
    <n v="2.5"/>
    <n v="-3.0999999999999996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4450000000000007"/>
    <n v="0.21428571428571419"/>
    <s v="-"/>
    <n v="22.89"/>
    <n v="0.34"/>
    <m/>
    <m/>
    <m/>
    <m/>
    <s v="ATENDE"/>
    <s v="ATENDE"/>
    <s v="ATENDE"/>
    <s v="ATENDE"/>
    <s v="C2"/>
    <s v="-"/>
    <e v="#VALUE!"/>
    <s v=" -"/>
    <s v=" -"/>
    <s v="-"/>
    <s v="-"/>
    <s v="-"/>
    <s v="-"/>
    <s v="-"/>
    <s v="P6"/>
    <n v="1.5033333333333334"/>
    <n v="7.51"/>
    <n v="4.42"/>
    <n v="3"/>
    <n v="0.6"/>
    <s v="ATENDE"/>
    <s v="ATENDE"/>
    <s v="ATENDE"/>
    <x v="1"/>
    <s v="SX-INLPE150HF"/>
    <s v="SXINLPE150K40L12CZF7PHF"/>
    <m/>
    <n v="0"/>
    <n v="2"/>
    <n v="146"/>
    <n v="0"/>
    <n v="26908"/>
    <n v="0"/>
    <n v="0"/>
    <n v="10"/>
    <s v="Médio II"/>
    <m/>
    <s v=""/>
    <s v=""/>
    <m/>
    <m/>
    <m/>
    <m/>
    <m/>
    <m/>
    <n v="146"/>
    <n v="300"/>
    <n v="892"/>
    <n v="0.51333333333333331"/>
    <m/>
    <m/>
    <s v="Sim"/>
    <m/>
  </r>
  <r>
    <n v="40"/>
    <s v="VP"/>
    <s v="Avenida Emancipacao, 2894"/>
    <n v="-30.004162999999998"/>
    <n v="-50.14913"/>
    <x v="3"/>
    <s v="-"/>
    <x v="1"/>
    <s v="LED"/>
    <n v="300"/>
    <n v="0"/>
    <n v="0"/>
    <n v="1200"/>
    <n v="2"/>
    <n v="0"/>
    <n v="8.1999999999999993"/>
    <m/>
    <m/>
    <n v="0"/>
    <n v="3.8"/>
    <n v="10"/>
    <n v="0"/>
    <n v="0"/>
    <n v="0"/>
    <n v="0"/>
    <s v="Canteiro central"/>
    <s v="Braço"/>
    <n v="45.1"/>
    <n v="7.6"/>
    <n v="2"/>
    <n v="5.6"/>
    <n v="2.5"/>
    <n v="-3.0999999999999996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2000000000000011E-2"/>
    <n v="0.8214285714285714"/>
    <s v="-"/>
    <n v="20.239999999999998"/>
    <n v="0.51"/>
    <m/>
    <m/>
    <m/>
    <m/>
    <s v="ATENDE"/>
    <s v="ATENDE"/>
    <s v="ATENDE"/>
    <s v="ATENDE"/>
    <s v="C2"/>
    <s v="-"/>
    <e v="#VALUE!"/>
    <s v=" -"/>
    <s v=" -"/>
    <s v="-"/>
    <s v="-"/>
    <s v="-"/>
    <s v="-"/>
    <s v="-"/>
    <s v="P6"/>
    <n v="1.6966666666666668"/>
    <n v="8.09"/>
    <n v="6.22"/>
    <n v="3"/>
    <n v="0.6"/>
    <s v="ATENDE"/>
    <s v="ATENDE"/>
    <s v="ATENDE"/>
    <x v="2"/>
    <s v="SIGMAGPTLRRSMNDL150W102IBBR_x000a_"/>
    <s v="SIGMAGPTLRRSMNDL150W102IBBR_x000a_S1-10C1MUN6.5"/>
    <m/>
    <n v="0"/>
    <n v="2"/>
    <n v="150"/>
    <n v="0"/>
    <n v="23000"/>
    <n v="0"/>
    <n v="0"/>
    <n v="10"/>
    <s v="Médio II"/>
    <s v="Longo II"/>
    <n v="3.5"/>
    <n v="8.5"/>
    <m/>
    <m/>
    <m/>
    <m/>
    <m/>
    <m/>
    <n v="150"/>
    <n v="300"/>
    <n v="900"/>
    <n v="0.5"/>
    <m/>
    <m/>
    <s v="Sim"/>
    <m/>
  </r>
  <r>
    <n v="39"/>
    <s v="PVP"/>
    <s v="Rua Marrocos, 348"/>
    <n v="-30.001194999999999"/>
    <n v="-50.156247"/>
    <x v="1"/>
    <s v="-"/>
    <x v="1"/>
    <s v="Vapor de sódio"/>
    <n v="100"/>
    <n v="17"/>
    <n v="0"/>
    <n v="200"/>
    <n v="2"/>
    <n v="2.5"/>
    <n v="7"/>
    <m/>
    <m/>
    <n v="0"/>
    <n v="2.5"/>
    <n v="2.5"/>
    <n v="0"/>
    <n v="0"/>
    <n v="0"/>
    <n v="0"/>
    <s v="Unilateral"/>
    <s v="Braço"/>
    <n v="21.8"/>
    <n v="7.5"/>
    <n v="1"/>
    <n v="0.8"/>
    <n v="1.3"/>
    <n v="0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7999999999999989"/>
    <n v="2.5555555555555558"/>
    <s v="-"/>
    <n v="10.35"/>
    <n v="0.64"/>
    <m/>
    <m/>
    <m/>
    <m/>
    <s v="ATENDE"/>
    <s v="ATENDE"/>
    <s v="ATENDE"/>
    <s v="ATENDE"/>
    <s v="C5"/>
    <s v="P6"/>
    <n v="2.1300000000000003"/>
    <n v="9.39"/>
    <n v="6.21"/>
    <n v="3"/>
    <n v="0.6"/>
    <s v="ATENDE"/>
    <s v="ATENDE"/>
    <s v="ATENDE"/>
    <s v="P6"/>
    <n v="0.15666666666666673"/>
    <n v="3.47"/>
    <n v="2.4900000000000002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39"/>
    <s v="PVP"/>
    <s v="Rua Marrocos, 348"/>
    <n v="-30.001194999999999"/>
    <n v="-50.156247"/>
    <x v="1"/>
    <s v="-"/>
    <x v="1"/>
    <s v="Vapor de sódio"/>
    <n v="100"/>
    <n v="17"/>
    <n v="0"/>
    <n v="200"/>
    <n v="2"/>
    <n v="2.5"/>
    <n v="7"/>
    <m/>
    <m/>
    <n v="0"/>
    <n v="2.5"/>
    <n v="2.5"/>
    <n v="0"/>
    <n v="0"/>
    <n v="0"/>
    <n v="0"/>
    <s v="Unilateral"/>
    <s v="Braço"/>
    <n v="21.8"/>
    <n v="7.5"/>
    <n v="1"/>
    <n v="0.8"/>
    <n v="1.3"/>
    <n v="0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86666666666667"/>
    <n v="3.2777777777777777"/>
    <s v="-"/>
    <n v="8.39"/>
    <n v="0.77"/>
    <m/>
    <m/>
    <m/>
    <m/>
    <s v="ATENDE"/>
    <s v="ATENDE"/>
    <s v="ATENDE"/>
    <s v="ATENDE"/>
    <s v="C5"/>
    <s v="P6"/>
    <n v="1.3133333333333335"/>
    <n v="6.94"/>
    <n v="4.8899999999999997"/>
    <n v="3"/>
    <n v="0.6"/>
    <s v="ATENDE"/>
    <s v="ATENDE"/>
    <s v="ATENDE"/>
    <s v="P6"/>
    <n v="1.6666666666666607E-2"/>
    <n v="3.05"/>
    <n v="2.0299999999999998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39"/>
    <s v="PVP"/>
    <s v="Rua Marrocos, 348"/>
    <n v="-30.001194999999999"/>
    <n v="-50.156247"/>
    <x v="1"/>
    <s v="-"/>
    <x v="1"/>
    <s v="Vapor de sódio"/>
    <n v="100"/>
    <n v="17"/>
    <n v="0"/>
    <n v="200"/>
    <n v="2"/>
    <n v="2.5"/>
    <n v="7"/>
    <m/>
    <m/>
    <n v="0"/>
    <n v="2.5"/>
    <n v="2.5"/>
    <n v="0"/>
    <n v="0"/>
    <n v="0"/>
    <n v="0"/>
    <s v="Unilateral"/>
    <s v="Braço"/>
    <n v="21.8"/>
    <n v="7.5"/>
    <n v="1"/>
    <n v="0.8"/>
    <n v="1.3"/>
    <n v="0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8666666666666676"/>
    <n v="2.9444444444444442"/>
    <s v="-"/>
    <n v="12.65"/>
    <n v="0.71"/>
    <m/>
    <m/>
    <m/>
    <m/>
    <s v="ATENDE"/>
    <s v="ATENDE"/>
    <s v="ATENDE"/>
    <s v="ATENDE"/>
    <s v="C5"/>
    <s v="P6"/>
    <n v="2.5966666666666662"/>
    <n v="10.79"/>
    <n v="7.91"/>
    <n v="3"/>
    <n v="0.6"/>
    <s v="ATENDE"/>
    <s v="ATENDE"/>
    <s v="ATENDE"/>
    <s v="P6"/>
    <n v="6.6666666666666652E-2"/>
    <n v="3.2"/>
    <n v="2.22000000000000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41"/>
    <s v="PVP"/>
    <s v="Avenida Nordeste, 530"/>
    <n v="-30.007919000000001"/>
    <n v="-50.141629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4666666666666677E-2"/>
    <n v="0.5555555555555558"/>
    <s v="-"/>
    <n v="8.2100000000000009"/>
    <n v="0.28000000000000003"/>
    <m/>
    <m/>
    <m/>
    <m/>
    <s v="ATENDE"/>
    <s v="ATENDE"/>
    <s v="ATENDE"/>
    <s v="ATENDE"/>
    <s v="C5"/>
    <s v="P6"/>
    <n v="1.2733333333333334"/>
    <n v="6.82"/>
    <n v="1.74"/>
    <n v="3"/>
    <n v="0.6"/>
    <s v="ATENDE"/>
    <s v="ATENDE"/>
    <s v="ATENDE"/>
    <s v="P6"/>
    <n v="0.7699999999999998"/>
    <n v="5.31"/>
    <n v="1.95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41"/>
    <s v="PVP"/>
    <s v="Avenida Nordeste, 530"/>
    <n v="-30.007919000000001"/>
    <n v="-50.141629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1333333333333222E-2"/>
    <n v="0.5555555555555558"/>
    <s v="-"/>
    <n v="7.81"/>
    <n v="0.28000000000000003"/>
    <m/>
    <m/>
    <m/>
    <m/>
    <s v="ATENDE"/>
    <s v="ATENDE"/>
    <s v="ATENDE"/>
    <s v="ATENDE"/>
    <s v="C5"/>
    <s v="P6"/>
    <n v="1.1566666666666667"/>
    <n v="6.47"/>
    <n v="1.17"/>
    <n v="3"/>
    <n v="0.6"/>
    <s v="ATENDE"/>
    <s v="ATENDE"/>
    <s v="ATENDE"/>
    <s v="P6"/>
    <n v="0.56333333333333346"/>
    <n v="4.6900000000000004"/>
    <n v="2.0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41"/>
    <s v="PVP"/>
    <s v="Avenida Nordeste, 530"/>
    <n v="-30.007919000000001"/>
    <n v="-50.141629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399999999999991"/>
    <n v="0.22222222222222232"/>
    <s v="-"/>
    <n v="8.58"/>
    <n v="0.22"/>
    <m/>
    <m/>
    <m/>
    <m/>
    <s v="ATENDE"/>
    <s v="ATENDE"/>
    <s v="ATENDE"/>
    <s v="ATENDE"/>
    <s v="C5"/>
    <s v="P6"/>
    <n v="0.58333333333333326"/>
    <n v="4.75"/>
    <n v="1.17"/>
    <n v="3"/>
    <n v="0.6"/>
    <s v="ATENDE"/>
    <s v="ATENDE"/>
    <s v="ATENDE"/>
    <s v="P6"/>
    <n v="1.0433333333333334"/>
    <n v="6.13"/>
    <n v="1.8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100"/>
    <n v="140"/>
    <n v="0.6"/>
    <m/>
    <m/>
    <s v="Sim"/>
    <m/>
  </r>
  <r>
    <n v="42"/>
    <s v="PVP"/>
    <s v="Rua Santos Dumont, 3485"/>
    <n v="-30.007477000000002"/>
    <n v="-50.144216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5.1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666666666666663"/>
    <n v="2.0000000000000004"/>
    <s v="-"/>
    <n v="9.65"/>
    <n v="0.54"/>
    <m/>
    <m/>
    <m/>
    <m/>
    <s v="ATENDE"/>
    <s v="ATENDE"/>
    <s v="ATENDE"/>
    <s v="ATENDE"/>
    <s v="C5"/>
    <s v="P6"/>
    <n v="1.65"/>
    <n v="7.95"/>
    <n v="4.38"/>
    <n v="3"/>
    <n v="0.6"/>
    <s v="ATENDE"/>
    <s v="ATENDE"/>
    <s v="ATENDE"/>
    <s v="P6"/>
    <n v="0.88666666666666671"/>
    <n v="5.66"/>
    <n v="3.5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42"/>
    <s v="PVP"/>
    <s v="Rua Santos Dumont, 3485"/>
    <n v="-30.007477000000002"/>
    <n v="-50.144216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5.1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7333333333333254E-2"/>
    <n v="3"/>
    <s v="-"/>
    <n v="8.08"/>
    <n v="0.72"/>
    <m/>
    <m/>
    <m/>
    <m/>
    <s v="ATENDE"/>
    <s v="ATENDE"/>
    <s v="ATENDE"/>
    <s v="ATENDE"/>
    <s v="C5"/>
    <s v="P6"/>
    <n v="1.1433333333333331"/>
    <n v="6.43"/>
    <n v="3.94"/>
    <n v="3"/>
    <n v="0.6"/>
    <s v="ATENDE"/>
    <s v="ATENDE"/>
    <s v="ATENDE"/>
    <s v="P6"/>
    <n v="0.40000000000000013"/>
    <n v="4.2"/>
    <n v="3.43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42"/>
    <s v="PVP"/>
    <s v="Rua Santos Dumont, 3485"/>
    <n v="-30.007477000000002"/>
    <n v="-50.144216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5.1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7866666666666666"/>
    <n v="2.7222222222222228"/>
    <s v="-"/>
    <n v="11.84"/>
    <n v="0.67"/>
    <m/>
    <m/>
    <m/>
    <m/>
    <s v="ATENDE"/>
    <s v="ATENDE"/>
    <s v="ATENDE"/>
    <s v="ATENDE"/>
    <s v="C5"/>
    <s v="P6"/>
    <n v="2.0833333333333335"/>
    <n v="9.25"/>
    <n v="6.12"/>
    <n v="3"/>
    <n v="0.6"/>
    <s v="ATENDE"/>
    <s v="ATENDE"/>
    <s v="ATENDE"/>
    <s v="P6"/>
    <n v="0.82000000000000006"/>
    <n v="5.46"/>
    <n v="3.5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43"/>
    <s v="PVP"/>
    <s v="Rua Castro Alves, 1029"/>
    <n v="-30.005645000000001"/>
    <n v="-50.145743000000003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4.200000000000003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733333333333333"/>
    <n v="1.3888888888888888"/>
    <s v="-"/>
    <n v="8.68"/>
    <n v="0.43"/>
    <m/>
    <m/>
    <m/>
    <m/>
    <s v="ATENDE"/>
    <s v="ATENDE"/>
    <s v="ATENDE"/>
    <s v="ATENDE"/>
    <s v="C5"/>
    <s v="P6"/>
    <n v="1.2933333333333334"/>
    <n v="6.88"/>
    <n v="2.74"/>
    <n v="3"/>
    <n v="0.6"/>
    <s v="ATENDE"/>
    <s v="ATENDE"/>
    <s v="ATENDE"/>
    <s v="P6"/>
    <n v="0.87000000000000011"/>
    <n v="5.61"/>
    <n v="2.82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Médio I"/>
    <m/>
    <s v=""/>
    <s v=""/>
    <m/>
    <m/>
    <m/>
    <m/>
    <m/>
    <m/>
    <n v="35"/>
    <n v="70"/>
    <n v="105"/>
    <n v="0.5"/>
    <m/>
    <m/>
    <s v="Sim"/>
    <m/>
  </r>
  <r>
    <n v="43"/>
    <s v="PVP"/>
    <s v="Rua Castro Alves, 1029"/>
    <n v="-30.005645000000001"/>
    <n v="-50.145743000000003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4.200000000000003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733333333333351"/>
    <n v="1.7222222222222223"/>
    <s v="-"/>
    <n v="8.3800000000000008"/>
    <n v="0.49"/>
    <m/>
    <m/>
    <m/>
    <m/>
    <s v="ATENDE"/>
    <s v="ATENDE"/>
    <s v="ATENDE"/>
    <s v="ATENDE"/>
    <s v="C5"/>
    <s v="P6"/>
    <n v="1.1033333333333331"/>
    <n v="6.31"/>
    <n v="2.12"/>
    <n v="3"/>
    <n v="0.6"/>
    <s v="ATENDE"/>
    <s v="ATENDE"/>
    <s v="ATENDE"/>
    <s v="P6"/>
    <n v="0.62000000000000011"/>
    <n v="4.8600000000000003"/>
    <n v="2.97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Médio I"/>
    <m/>
    <s v=""/>
    <s v=""/>
    <m/>
    <m/>
    <m/>
    <m/>
    <m/>
    <m/>
    <n v="31"/>
    <n v="70"/>
    <n v="101"/>
    <n v="0.55714285714285716"/>
    <m/>
    <m/>
    <s v="Sim"/>
    <m/>
  </r>
  <r>
    <n v="43"/>
    <s v="PVP"/>
    <s v="Rua Castro Alves, 1029"/>
    <n v="-30.005645000000001"/>
    <n v="-50.145743000000003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4.200000000000003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2.0555555555555558"/>
    <s v="-"/>
    <n v="8.32"/>
    <n v="0.55000000000000004"/>
    <m/>
    <m/>
    <m/>
    <m/>
    <s v="ATENDE"/>
    <s v="ATENDE"/>
    <s v="ATENDE"/>
    <s v="ATENDE"/>
    <s v="C5"/>
    <s v="P6"/>
    <n v="1.1133333333333333"/>
    <n v="6.34"/>
    <n v="3.17"/>
    <n v="3"/>
    <n v="0.6"/>
    <s v="ATENDE"/>
    <s v="ATENDE"/>
    <s v="ATENDE"/>
    <s v="P6"/>
    <n v="0.47666666666666657"/>
    <n v="4.43"/>
    <n v="3.1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"/>
    <m/>
    <s v=""/>
    <s v=""/>
    <m/>
    <m/>
    <m/>
    <m/>
    <m/>
    <m/>
    <n v="30"/>
    <n v="70"/>
    <n v="100"/>
    <n v="0.5714285714285714"/>
    <m/>
    <m/>
    <s v="Sim"/>
    <m/>
  </r>
  <r>
    <n v="44"/>
    <s v="VP"/>
    <s v="Avenida Osvaldo Aranha, 823"/>
    <n v="-30.005476000000002"/>
    <n v="-50.144716000000003"/>
    <x v="3"/>
    <s v="-"/>
    <x v="1"/>
    <s v="LED"/>
    <n v="50"/>
    <n v="0"/>
    <n v="0"/>
    <n v="200"/>
    <n v="2"/>
    <n v="0"/>
    <n v="7"/>
    <m/>
    <m/>
    <n v="0"/>
    <n v="4.3"/>
    <n v="3"/>
    <n v="0"/>
    <n v="0"/>
    <n v="0"/>
    <n v="0"/>
    <s v="Unilateral"/>
    <s v="Braço"/>
    <n v="37.299999999999997"/>
    <n v="7.5"/>
    <n v="2"/>
    <n v="1.5"/>
    <n v="1.9"/>
    <n v="0.39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2.9999999999998916E-3"/>
    <n v="-3.5714285714285698E-2"/>
    <s v="-"/>
    <n v="20.059999999999999"/>
    <n v="0.27"/>
    <m/>
    <m/>
    <m/>
    <m/>
    <s v="ATENDE"/>
    <s v="ATENDE"/>
    <s v="ATENDIMENTO LIMIAR"/>
    <s v="ATENDE"/>
    <s v="C2"/>
    <s v="-"/>
    <e v="#VALUE!"/>
    <m/>
    <m/>
    <s v="-"/>
    <s v="-"/>
    <s v="-"/>
    <s v="-"/>
    <s v="-"/>
    <s v="P6"/>
    <n v="6.5533333333333337"/>
    <n v="22.66"/>
    <n v="8.06"/>
    <n v="3"/>
    <n v="0.6"/>
    <s v="ATENDE"/>
    <s v="ATENDE"/>
    <s v="ATENDE"/>
    <x v="0"/>
    <s v=" SL VT 9.1 72W"/>
    <s v="LUM LED SL VT 9.1 72W"/>
    <m/>
    <n v="0"/>
    <n v="2"/>
    <n v="72"/>
    <n v="0"/>
    <n v="12107"/>
    <n v="0"/>
    <n v="0"/>
    <n v="5"/>
    <s v="Médio I"/>
    <m/>
    <s v=""/>
    <s v=""/>
    <m/>
    <m/>
    <m/>
    <m/>
    <m/>
    <m/>
    <n v="72"/>
    <n v="50"/>
    <n v="244"/>
    <n v="-0.43999999999999995"/>
    <m/>
    <m/>
    <s v="Sim"/>
    <m/>
  </r>
  <r>
    <n v="44"/>
    <s v="VP"/>
    <s v="Avenida Osvaldo Aranha, 823"/>
    <n v="-30.005476000000002"/>
    <n v="-50.144716000000003"/>
    <x v="3"/>
    <s v="-"/>
    <x v="1"/>
    <s v="LED"/>
    <n v="50"/>
    <n v="0"/>
    <n v="0"/>
    <n v="200"/>
    <n v="2"/>
    <n v="0"/>
    <n v="7"/>
    <m/>
    <m/>
    <n v="0"/>
    <n v="4.3"/>
    <n v="3"/>
    <n v="0"/>
    <n v="0"/>
    <n v="0"/>
    <n v="0"/>
    <s v="Unilateral"/>
    <s v="Braço"/>
    <n v="37.299999999999997"/>
    <n v="7.5"/>
    <n v="2"/>
    <n v="1.5"/>
    <n v="1.9"/>
    <n v="0.39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7449999999999988"/>
    <n v="0.14285714285714279"/>
    <s v="-"/>
    <n v="23.49"/>
    <n v="0.32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8.08"/>
    <n v="27.24"/>
    <n v="11.6"/>
    <n v="3"/>
    <n v="0.6"/>
    <s v="ATENDE"/>
    <s v="ATENDE"/>
    <s v="ATENDE"/>
    <x v="1"/>
    <s v="SX-INLPP070HF"/>
    <s v="SXINLPP070K40L12CZF7PHF"/>
    <m/>
    <n v="0"/>
    <n v="2"/>
    <n v="70"/>
    <n v="0"/>
    <n v="11970"/>
    <n v="0"/>
    <n v="0"/>
    <m/>
    <s v="Médio I"/>
    <m/>
    <s v=""/>
    <s v=""/>
    <m/>
    <m/>
    <m/>
    <m/>
    <m/>
    <m/>
    <n v="70"/>
    <n v="50"/>
    <n v="240"/>
    <n v="-0.39999999999999991"/>
    <m/>
    <m/>
    <s v="Sim"/>
    <m/>
  </r>
  <r>
    <n v="44"/>
    <s v="VP"/>
    <s v="Avenida Osvaldo Aranha, 823"/>
    <n v="-30.005476000000002"/>
    <n v="-50.144716000000003"/>
    <x v="3"/>
    <s v="-"/>
    <x v="1"/>
    <s v="LED"/>
    <n v="50"/>
    <n v="0"/>
    <n v="0"/>
    <n v="200"/>
    <n v="2"/>
    <n v="0"/>
    <n v="7"/>
    <m/>
    <m/>
    <n v="0"/>
    <n v="4.3"/>
    <n v="3"/>
    <n v="0"/>
    <n v="0"/>
    <n v="0"/>
    <n v="0"/>
    <s v="Unilateral"/>
    <s v="Braço"/>
    <n v="37.299999999999997"/>
    <n v="7.5"/>
    <n v="2"/>
    <n v="1.5"/>
    <n v="1.9"/>
    <n v="0.39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5499999999999847E-2"/>
    <n v="0.24999999999999978"/>
    <s v="-"/>
    <n v="20.309999999999999"/>
    <n v="0.3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6.95"/>
    <n v="23.85"/>
    <n v="9.09"/>
    <n v="3"/>
    <n v="0.6"/>
    <s v="ATENDE"/>
    <s v="ATENDE"/>
    <s v="ATENDE"/>
    <x v="2"/>
    <s v="SIGSAGPTLRRSSNDL_68W_83IBBRS_x000a_"/>
    <s v="SIGSAGPTLRRSSNDL_68W_83IBBRS_x000a_1-10C1MUN6.5"/>
    <m/>
    <n v="0"/>
    <n v="2"/>
    <n v="68"/>
    <n v="0"/>
    <n v="10884"/>
    <n v="0"/>
    <n v="0"/>
    <m/>
    <s v="Médio I"/>
    <m/>
    <s v=""/>
    <s v=""/>
    <m/>
    <m/>
    <m/>
    <m/>
    <m/>
    <m/>
    <n v="68"/>
    <n v="50"/>
    <n v="236"/>
    <n v="-0.3600000000000001"/>
    <m/>
    <m/>
    <s v="Sim"/>
    <m/>
  </r>
  <r>
    <n v="45"/>
    <s v="PVP"/>
    <s v="Rua Santos Dumont, 3265"/>
    <n v="-30.006542"/>
    <n v="-50.143819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6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333333333333332"/>
    <n v="2.1111111111111116"/>
    <s v="-"/>
    <n v="8.65"/>
    <n v="0.56000000000000005"/>
    <m/>
    <m/>
    <m/>
    <m/>
    <s v="ATENDE"/>
    <s v="ATENDE"/>
    <s v="ATENDE"/>
    <s v="ATENDE"/>
    <s v="C5"/>
    <s v="P6"/>
    <n v="1.4733333333333332"/>
    <n v="7.42"/>
    <n v="4.1399999999999997"/>
    <n v="3"/>
    <n v="0.6"/>
    <s v="ATENDE"/>
    <s v="ATENDE"/>
    <s v="ATENDE"/>
    <s v="P6"/>
    <n v="0.79333333333333322"/>
    <n v="5.38"/>
    <n v="3.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45"/>
    <s v="PVP"/>
    <s v="Rua Santos Dumont, 3265"/>
    <n v="-30.006542"/>
    <n v="-50.143819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6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599999999999994"/>
    <n v="3.166666666666667"/>
    <s v="-"/>
    <n v="10.77"/>
    <n v="0.75"/>
    <m/>
    <m/>
    <m/>
    <m/>
    <s v="ATENDE"/>
    <s v="ATENDE"/>
    <s v="ATENDE"/>
    <s v="ATENDE"/>
    <s v="C5"/>
    <s v="P6"/>
    <n v="1.9033333333333338"/>
    <n v="8.7100000000000009"/>
    <n v="5.92"/>
    <n v="3"/>
    <n v="0.6"/>
    <s v="ATENDE"/>
    <s v="ATENDE"/>
    <s v="ATENDE"/>
    <s v="P6"/>
    <n v="0.93666666666666654"/>
    <n v="5.81"/>
    <n v="3.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45"/>
    <s v="PVP"/>
    <s v="Rua Santos Dumont, 3265"/>
    <n v="-30.006542"/>
    <n v="-50.143819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6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2399999999999993"/>
    <n v="2.833333333333333"/>
    <s v="-"/>
    <n v="10.68"/>
    <n v="0.69"/>
    <m/>
    <m/>
    <m/>
    <m/>
    <s v="ATENDE"/>
    <s v="ATENDE"/>
    <s v="ATENDE"/>
    <s v="ATENDE"/>
    <s v="C5"/>
    <s v="P6"/>
    <n v="1.9066666666666667"/>
    <n v="8.7200000000000006"/>
    <n v="5.89"/>
    <n v="3"/>
    <n v="0.6"/>
    <s v="ATENDE"/>
    <s v="ATENDE"/>
    <s v="ATENDE"/>
    <s v="P6"/>
    <n v="0.77666666666666662"/>
    <n v="5.33"/>
    <n v="3.6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46"/>
    <s v="PVP"/>
    <s v="Rua Sete de Setembro, 2841"/>
    <n v="-30.007815999999998"/>
    <n v="-50.14156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066666666666673"/>
    <n v="0.38888888888888884"/>
    <s v="-"/>
    <n v="8.6300000000000008"/>
    <n v="0.25"/>
    <m/>
    <m/>
    <m/>
    <m/>
    <s v="ATENDE"/>
    <s v="ATENDE"/>
    <s v="ATENDE"/>
    <s v="ATENDE"/>
    <s v="C5"/>
    <s v="P6"/>
    <n v="1.46"/>
    <n v="7.38"/>
    <n v="1.58"/>
    <n v="3"/>
    <n v="0.6"/>
    <s v="ATENDE"/>
    <s v="ATENDE"/>
    <s v="ATENDE"/>
    <s v="P6"/>
    <n v="0.66999999999999993"/>
    <n v="5.01"/>
    <n v="1.67"/>
    <n v="3"/>
    <n v="0.6"/>
    <s v="ATENDE"/>
    <s v="ATENDE"/>
    <s v="ATENDE"/>
    <x v="0"/>
    <s v=" SL VT 9.1 44W"/>
    <s v="LUM LED SL VT 9.1 44W"/>
    <m/>
    <n v="0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46"/>
    <s v="PVP"/>
    <s v="Rua Sete de Setembro, 2841"/>
    <n v="-30.007815999999998"/>
    <n v="-50.14156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4666666666666677E-2"/>
    <n v="0.22222222222222232"/>
    <s v="-"/>
    <n v="8.2100000000000009"/>
    <n v="0.22"/>
    <m/>
    <m/>
    <m/>
    <m/>
    <s v="ATENDE"/>
    <s v="ATENDE"/>
    <s v="ATENDE"/>
    <s v="ATENDE"/>
    <s v="C5"/>
    <s v="P6"/>
    <n v="1.3399999999999999"/>
    <n v="7.02"/>
    <n v="0.88"/>
    <n v="3"/>
    <n v="0.6"/>
    <s v="ATENDE"/>
    <s v="ATENDE"/>
    <s v="ATENDE"/>
    <s v="P6"/>
    <n v="0.37999999999999989"/>
    <n v="4.1399999999999997"/>
    <n v="1.31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46"/>
    <s v="PVP"/>
    <s v="Rua Sete de Setembro, 2841"/>
    <n v="-30.007815999999998"/>
    <n v="-50.14156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066666666666673"/>
    <n v="0.2777777777777779"/>
    <s v="-"/>
    <n v="8.6300000000000008"/>
    <n v="0.23"/>
    <m/>
    <m/>
    <m/>
    <m/>
    <s v="ATENDE"/>
    <s v="ATENDE"/>
    <s v="ATENDE"/>
    <s v="ATENDE"/>
    <s v="C5"/>
    <s v="P6"/>
    <n v="0.66333333333333333"/>
    <n v="4.99"/>
    <n v="1.24"/>
    <n v="3"/>
    <n v="0.6"/>
    <s v="ATENDE"/>
    <s v="ATENDE"/>
    <s v="ATENDE"/>
    <s v="P6"/>
    <n v="0.96666666666666679"/>
    <n v="5.9"/>
    <n v="1.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100"/>
    <n v="140"/>
    <n v="0.6"/>
    <m/>
    <m/>
    <s v="Sim"/>
    <m/>
  </r>
  <r>
    <n v="47"/>
    <s v="VP"/>
    <s v="Avenida Osvaldo Aranha, 1888"/>
    <n v="-30.007114000000001"/>
    <n v="-50.140794"/>
    <x v="3"/>
    <s v="-"/>
    <x v="1"/>
    <s v="Vapor de sódio"/>
    <n v="150"/>
    <n v="22"/>
    <n v="0"/>
    <n v="600"/>
    <n v="2"/>
    <n v="0"/>
    <n v="7"/>
    <m/>
    <m/>
    <n v="0"/>
    <n v="4"/>
    <n v="4"/>
    <n v="0"/>
    <n v="0"/>
    <n v="0"/>
    <n v="0"/>
    <s v="Unilateral"/>
    <s v="Braço"/>
    <n v="31"/>
    <n v="7.5"/>
    <n v="2"/>
    <n v="2"/>
    <n v="1.3"/>
    <n v="-0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9.8999999999999977E-2"/>
    <n v="0.14285714285714279"/>
    <s v="-"/>
    <n v="21.98"/>
    <n v="0.32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6.77"/>
    <n v="23.31"/>
    <n v="12.54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m/>
    <s v="Curto II"/>
    <m/>
    <s v=""/>
    <s v=""/>
    <m/>
    <m/>
    <m/>
    <m/>
    <m/>
    <m/>
    <n v="28"/>
    <n v="150"/>
    <n v="356"/>
    <n v="0.81333333333333335"/>
    <m/>
    <m/>
    <s v="Sim"/>
    <m/>
  </r>
  <r>
    <n v="47"/>
    <s v="VP"/>
    <s v="Avenida Osvaldo Aranha, 1888"/>
    <n v="-30.007114000000001"/>
    <n v="-50.140794"/>
    <x v="3"/>
    <s v="-"/>
    <x v="1"/>
    <s v="Vapor de sódio"/>
    <n v="150"/>
    <n v="22"/>
    <n v="0"/>
    <n v="600"/>
    <n v="2"/>
    <n v="0"/>
    <n v="7"/>
    <m/>
    <m/>
    <n v="0"/>
    <n v="4"/>
    <n v="4"/>
    <n v="0"/>
    <n v="0"/>
    <n v="0"/>
    <n v="0"/>
    <s v="Unilateral"/>
    <s v="Braço"/>
    <n v="31"/>
    <n v="7.5"/>
    <n v="2"/>
    <n v="2"/>
    <n v="1.3"/>
    <n v="-0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-1.0000000000000009E-2"/>
    <n v="0.85714285714285698"/>
    <s v="-"/>
    <n v="19.8"/>
    <n v="0.52"/>
    <m/>
    <m/>
    <m/>
    <m/>
    <s v="ATENDE"/>
    <s v="ATENDIMENTO LIMIAR"/>
    <s v="ATENDE"/>
    <s v="ATENDE"/>
    <s v="C2"/>
    <s v="-"/>
    <e v="#VALUE!"/>
    <m/>
    <m/>
    <s v="-"/>
    <s v="-"/>
    <s v="-"/>
    <s v="-"/>
    <s v="-"/>
    <s v="P6"/>
    <n v="6.87"/>
    <n v="23.61"/>
    <n v="14.88"/>
    <n v="3"/>
    <n v="0.6"/>
    <s v="ATENDE"/>
    <s v="ATENDE"/>
    <s v="ATENDE"/>
    <x v="1"/>
    <s v="SX-INEVO030HF"/>
    <s v="SXINEVO030K40L12CZF7PHF"/>
    <m/>
    <e v="#N/A"/>
    <n v="2"/>
    <n v="31"/>
    <n v="0"/>
    <n v="5270"/>
    <n v="0"/>
    <n v="0"/>
    <m/>
    <s v="Curto II"/>
    <m/>
    <s v=""/>
    <s v=""/>
    <m/>
    <m/>
    <m/>
    <m/>
    <m/>
    <m/>
    <n v="31"/>
    <n v="150"/>
    <n v="362"/>
    <n v="0.79333333333333333"/>
    <m/>
    <m/>
    <s v="Sim"/>
    <m/>
  </r>
  <r>
    <n v="47"/>
    <s v="VP"/>
    <s v="Avenida Osvaldo Aranha, 1888"/>
    <n v="-30.007114000000001"/>
    <n v="-50.140794"/>
    <x v="3"/>
    <s v="-"/>
    <x v="1"/>
    <s v="Vapor de sódio"/>
    <n v="150"/>
    <n v="22"/>
    <n v="0"/>
    <n v="600"/>
    <n v="2"/>
    <n v="0"/>
    <n v="7"/>
    <m/>
    <m/>
    <n v="0"/>
    <n v="4"/>
    <n v="4"/>
    <n v="0"/>
    <n v="0"/>
    <n v="0"/>
    <n v="0"/>
    <s v="Unilateral"/>
    <s v="Braço"/>
    <n v="31"/>
    <n v="7.5"/>
    <n v="2"/>
    <n v="2"/>
    <n v="1.3"/>
    <n v="-0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8999999999999906E-2"/>
    <n v="0.60714285714285698"/>
    <s v="-"/>
    <n v="20.38"/>
    <n v="0.4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7.4700000000000006"/>
    <n v="25.41"/>
    <n v="15.78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m/>
    <s v="Curto II"/>
    <m/>
    <s v=""/>
    <s v=""/>
    <m/>
    <m/>
    <m/>
    <m/>
    <m/>
    <m/>
    <n v="30"/>
    <n v="150"/>
    <n v="360"/>
    <n v="0.8"/>
    <m/>
    <m/>
    <s v="Sim"/>
    <m/>
  </r>
  <r>
    <n v="48"/>
    <s v="VP"/>
    <s v="Avenida Flores da Cunha, 3464"/>
    <n v="-30.003426000000001"/>
    <n v="-50.141114999999999"/>
    <x v="0"/>
    <s v="-"/>
    <x v="1"/>
    <s v="Vapor de sódio"/>
    <n v="250"/>
    <n v="30"/>
    <n v="0"/>
    <n v="1000"/>
    <n v="2"/>
    <n v="0"/>
    <n v="8.5"/>
    <m/>
    <m/>
    <n v="0"/>
    <n v="4"/>
    <n v="10"/>
    <n v="0"/>
    <n v="0"/>
    <n v="0"/>
    <n v="0"/>
    <s v="Canteiro central"/>
    <s v="Braço"/>
    <n v="35.799999999999997"/>
    <n v="6.8"/>
    <n v="2"/>
    <n v="5"/>
    <n v="1.3"/>
    <n v="-3.7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5.4999999999999938E-2"/>
    <n v="2.6315789473684292E-2"/>
    <s v="-"/>
    <n v="31.65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1.73"/>
    <n v="8.19"/>
    <n v="4.07"/>
    <n v="3"/>
    <n v="0.6"/>
    <s v="ATENDE"/>
    <s v="ATENDE"/>
    <s v="ATENDE"/>
    <x v="0"/>
    <s v=" SL VT 9.6 215W"/>
    <s v="LUM LED SL VT 9.6 215W"/>
    <m/>
    <n v="0"/>
    <n v="2"/>
    <n v="215"/>
    <n v="0"/>
    <n v="31800.799999999999"/>
    <n v="0"/>
    <n v="0"/>
    <n v="10"/>
    <s v="Curto II"/>
    <m/>
    <s v=""/>
    <s v=""/>
    <m/>
    <m/>
    <m/>
    <m/>
    <m/>
    <m/>
    <n v="215"/>
    <n v="250"/>
    <n v="930"/>
    <n v="0.14000000000000001"/>
    <m/>
    <m/>
    <s v="Sim"/>
    <m/>
  </r>
  <r>
    <n v="48"/>
    <s v="VP"/>
    <s v="Avenida Flores da Cunha, 3464"/>
    <n v="-30.003426000000001"/>
    <n v="-50.141114999999999"/>
    <x v="0"/>
    <s v="-"/>
    <x v="1"/>
    <s v="Vapor de sódio"/>
    <n v="250"/>
    <n v="30"/>
    <n v="0"/>
    <n v="1000"/>
    <n v="2"/>
    <n v="0"/>
    <n v="8.5"/>
    <m/>
    <m/>
    <n v="0"/>
    <n v="4"/>
    <n v="10"/>
    <n v="0"/>
    <n v="0"/>
    <n v="0"/>
    <n v="0"/>
    <s v="Canteiro central"/>
    <s v="Braço"/>
    <n v="35.799999999999997"/>
    <n v="6.8"/>
    <n v="2"/>
    <n v="5"/>
    <n v="1.3"/>
    <n v="-3.7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9999999999998934E-3"/>
    <n v="-2.6315789473684181E-2"/>
    <s v="-"/>
    <n v="30.15"/>
    <n v="0.37"/>
    <m/>
    <m/>
    <m/>
    <m/>
    <s v="ATENDE"/>
    <s v="ATENDE"/>
    <s v="ATENDIMENTO LIMIAR"/>
    <s v="ATENDE"/>
    <s v="C1"/>
    <s v="-"/>
    <e v="#VALUE!"/>
    <s v=" -"/>
    <s v=" -"/>
    <s v="-"/>
    <s v="-"/>
    <s v="-"/>
    <s v="-"/>
    <s v="-"/>
    <s v="P6"/>
    <n v="2.2166666666666668"/>
    <n v="9.65"/>
    <n v="5.86"/>
    <n v="3"/>
    <n v="0.6"/>
    <s v="ATENDE"/>
    <s v="ATENDE"/>
    <s v="ATENDE"/>
    <x v="1"/>
    <s v="SX-INLPP090HF"/>
    <s v="SXINLPP090K40L12CZF7PHF"/>
    <m/>
    <n v="0"/>
    <n v="2"/>
    <n v="90"/>
    <n v="0"/>
    <n v="15476"/>
    <n v="0"/>
    <n v="0"/>
    <m/>
    <s v="Curto II"/>
    <m/>
    <s v=""/>
    <s v=""/>
    <m/>
    <m/>
    <m/>
    <m/>
    <m/>
    <m/>
    <n v="90"/>
    <n v="250"/>
    <n v="680"/>
    <n v="0.64"/>
    <m/>
    <m/>
    <s v="Sim"/>
    <m/>
  </r>
  <r>
    <n v="48"/>
    <s v="VP"/>
    <s v="Avenida Flores da Cunha, 3464"/>
    <n v="-30.003426000000001"/>
    <n v="-50.141114999999999"/>
    <x v="0"/>
    <s v="-"/>
    <x v="1"/>
    <s v="Vapor de sódio"/>
    <n v="250"/>
    <n v="30"/>
    <n v="0"/>
    <n v="1000"/>
    <n v="2"/>
    <n v="0"/>
    <n v="8.5"/>
    <m/>
    <m/>
    <n v="0"/>
    <n v="4"/>
    <n v="10"/>
    <n v="0"/>
    <n v="0"/>
    <n v="0"/>
    <n v="0"/>
    <s v="Canteiro central"/>
    <s v="Braço"/>
    <n v="35.799999999999997"/>
    <n v="6.8"/>
    <n v="2"/>
    <n v="5"/>
    <n v="1.3"/>
    <n v="-3.7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20100000000000007"/>
    <n v="2.6315789473684292E-2"/>
    <s v="-"/>
    <n v="36.03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6"/>
    <n v="1.9833333333333329"/>
    <n v="8.9499999999999993"/>
    <n v="5.74"/>
    <n v="3"/>
    <n v="0.6"/>
    <s v="ATENDE"/>
    <s v="ATENDE"/>
    <s v="ATENDE"/>
    <x v="2"/>
    <s v="TAUMAGPTLRRTMNDL183W_95IBB"/>
    <s v="TAUMAGPTLRRTMNDL183W_95IBB_x000a_RS1-10C1MUN6.5"/>
    <m/>
    <n v="0"/>
    <n v="2"/>
    <n v="183"/>
    <n v="0"/>
    <n v="30866"/>
    <n v="0"/>
    <n v="0"/>
    <n v="10"/>
    <s v="Curto II"/>
    <m/>
    <s v=""/>
    <s v=""/>
    <m/>
    <m/>
    <m/>
    <m/>
    <m/>
    <m/>
    <n v="183"/>
    <n v="250"/>
    <n v="866"/>
    <n v="0.26800000000000002"/>
    <m/>
    <m/>
    <s v="Sim"/>
    <m/>
  </r>
  <r>
    <n v="49"/>
    <s v="PVP"/>
    <s v="Rua Sete de Setembro, 2059"/>
    <n v="-30.001183999999999"/>
    <n v="-50.13826199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1.0555555555555558"/>
    <s v="-"/>
    <n v="7.98"/>
    <n v="0.37"/>
    <m/>
    <m/>
    <m/>
    <m/>
    <s v="ATENDE"/>
    <s v="ATENDE"/>
    <s v="ATENDE"/>
    <s v="ATENDE"/>
    <s v="C5"/>
    <s v="P6"/>
    <n v="1.19"/>
    <n v="6.57"/>
    <n v="2.13"/>
    <n v="3"/>
    <n v="0.6"/>
    <s v="ATENDE"/>
    <s v="ATENDE"/>
    <s v="ATENDE"/>
    <s v="P6"/>
    <n v="0.66333333333333333"/>
    <n v="4.99"/>
    <n v="2.17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49"/>
    <s v="PVP"/>
    <s v="Rua Sete de Setembro, 2059"/>
    <n v="-30.001183999999999"/>
    <n v="-50.13826199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6666666666666616E-2"/>
    <n v="1.1111111111111112"/>
    <s v="-"/>
    <n v="7.7"/>
    <n v="0.38"/>
    <m/>
    <m/>
    <m/>
    <m/>
    <s v="ATENDE"/>
    <s v="ATENDE"/>
    <s v="ATENDE"/>
    <s v="ATENDE"/>
    <s v="C5"/>
    <s v="P6"/>
    <n v="1.0299999999999998"/>
    <n v="6.09"/>
    <n v="1.35"/>
    <n v="3"/>
    <n v="0.6"/>
    <s v="ATENDE"/>
    <s v="ATENDE"/>
    <s v="ATENDE"/>
    <s v="P6"/>
    <n v="0.41999999999999993"/>
    <n v="4.26"/>
    <n v="2.0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49"/>
    <s v="PVP"/>
    <s v="Rua Sete de Setembro, 2059"/>
    <n v="-30.001183999999999"/>
    <n v="-50.13826199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333333333333423E-2"/>
    <n v="1.6111111111111112"/>
    <s v="-"/>
    <n v="7.63"/>
    <n v="0.47"/>
    <m/>
    <m/>
    <m/>
    <m/>
    <s v="ATENDE"/>
    <s v="ATENDE"/>
    <s v="ATENDE"/>
    <s v="ATENDE"/>
    <s v="C5"/>
    <s v="P6"/>
    <n v="1.0333333333333332"/>
    <n v="6.1"/>
    <n v="2.4900000000000002"/>
    <n v="3"/>
    <n v="0.6"/>
    <s v="ATENDE"/>
    <s v="ATENDE"/>
    <s v="ATENDE"/>
    <s v="P6"/>
    <n v="0.30000000000000004"/>
    <n v="3.9"/>
    <n v="2.59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50"/>
    <s v="PVP"/>
    <s v="Rua Barros Cassal, 666"/>
    <n v="-30.007206"/>
    <n v="-50.135154"/>
    <x v="1"/>
    <s v="-"/>
    <x v="1"/>
    <s v="Vapor de sódio"/>
    <n v="150"/>
    <n v="22"/>
    <n v="0"/>
    <n v="300"/>
    <n v="2"/>
    <n v="2.59"/>
    <n v="7"/>
    <m/>
    <m/>
    <n v="0"/>
    <n v="2.5"/>
    <n v="0"/>
    <n v="0"/>
    <n v="0"/>
    <n v="0"/>
    <n v="0"/>
    <s v="Unilateral"/>
    <s v="Braço"/>
    <n v="21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5599999999999996"/>
    <n v="2.7222222222222228"/>
    <s v="-"/>
    <n v="10.92"/>
    <n v="0.67"/>
    <m/>
    <m/>
    <m/>
    <m/>
    <s v="ATENDE"/>
    <s v="ATENDE"/>
    <s v="ATENDE"/>
    <s v="ATENDE"/>
    <s v="C5"/>
    <s v="P6"/>
    <n v="2.0099999999999998"/>
    <n v="9.0299999999999994"/>
    <n v="6.22"/>
    <n v="3"/>
    <n v="0.6"/>
    <s v="ATENDE"/>
    <s v="ATENDE"/>
    <s v="ATENDE"/>
    <s v="P6"/>
    <n v="1.3166666666666669"/>
    <n v="6.95"/>
    <n v="5.0999999999999996"/>
    <n v="3"/>
    <n v="0.6"/>
    <s v="ATENDE"/>
    <s v="ATENDE"/>
    <s v="ATENDE"/>
    <x v="0"/>
    <s v=" SL VT 9.1 28W"/>
    <s v="LUM LED SL VT 9.1 28W"/>
    <m/>
    <e v="#N/A"/>
    <n v="1"/>
    <n v="28"/>
    <e v="#N/A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50"/>
    <s v="PVP"/>
    <s v="Rua Barros Cassal, 666"/>
    <n v="-30.007206"/>
    <n v="-50.135154"/>
    <x v="1"/>
    <s v="-"/>
    <x v="1"/>
    <s v="Vapor de sódio"/>
    <n v="150"/>
    <n v="22"/>
    <n v="0"/>
    <n v="300"/>
    <n v="2"/>
    <n v="2.59"/>
    <n v="7"/>
    <m/>
    <m/>
    <n v="0"/>
    <n v="2.5"/>
    <n v="0"/>
    <n v="0"/>
    <n v="0"/>
    <n v="0"/>
    <n v="0"/>
    <s v="Unilateral"/>
    <s v="Braço"/>
    <n v="21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3.3888888888888893"/>
    <s v="-"/>
    <n v="9.15"/>
    <n v="0.79"/>
    <m/>
    <m/>
    <m/>
    <m/>
    <s v="ATENDE"/>
    <s v="ATENDE"/>
    <s v="ATENDE"/>
    <s v="ATENDE"/>
    <s v="C5"/>
    <s v="P6"/>
    <n v="1.4466666666666668"/>
    <n v="7.34"/>
    <n v="5.35"/>
    <n v="3"/>
    <n v="0.6"/>
    <s v="ATENDE"/>
    <s v="ATENDE"/>
    <s v="ATENDE"/>
    <s v="P6"/>
    <n v="0.79666666666666663"/>
    <n v="5.39"/>
    <n v="3.67"/>
    <n v="3"/>
    <n v="0.6"/>
    <s v="ATENDE"/>
    <s v="ATENDE"/>
    <s v="ATENDE"/>
    <x v="1"/>
    <s v="SX-INEVO020HF"/>
    <s v="SXINEVO020K40L12CZF7PHF"/>
    <m/>
    <e v="#N/A"/>
    <n v="1"/>
    <n v="22.5"/>
    <e v="#N/A"/>
    <n v="3825"/>
    <n v="0"/>
    <n v="0"/>
    <m/>
    <s v="Curto II"/>
    <m/>
    <s v=""/>
    <s v=""/>
    <m/>
    <m/>
    <m/>
    <m/>
    <m/>
    <m/>
    <n v="22.5"/>
    <n v="150"/>
    <n v="172.5"/>
    <n v="0.85"/>
    <m/>
    <m/>
    <s v="Sim"/>
    <m/>
  </r>
  <r>
    <n v="50"/>
    <s v="PVP"/>
    <s v="Rua Barros Cassal, 666"/>
    <n v="-30.007206"/>
    <n v="-50.135154"/>
    <x v="1"/>
    <s v="-"/>
    <x v="1"/>
    <s v="Vapor de sódio"/>
    <n v="150"/>
    <n v="22"/>
    <n v="0"/>
    <n v="300"/>
    <n v="2"/>
    <n v="2.59"/>
    <n v="7"/>
    <m/>
    <m/>
    <n v="0"/>
    <n v="2.5"/>
    <n v="0"/>
    <n v="0"/>
    <n v="0"/>
    <n v="0"/>
    <n v="0"/>
    <s v="Unilateral"/>
    <s v="Braço"/>
    <n v="21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9600000000000004"/>
    <n v="3.0555555555555554"/>
    <s v="-"/>
    <n v="13.47"/>
    <n v="0.73"/>
    <m/>
    <m/>
    <m/>
    <m/>
    <s v="ATENDE"/>
    <s v="ATENDE"/>
    <s v="ATENDE"/>
    <s v="ATENDE"/>
    <s v="C5"/>
    <s v="P6"/>
    <n v="2.5166666666666671"/>
    <n v="10.55"/>
    <n v="7.75"/>
    <n v="3"/>
    <n v="0.6"/>
    <s v="ATENDE"/>
    <s v="ATENDE"/>
    <s v="ATENDE"/>
    <s v="P6"/>
    <n v="1.3199999999999998"/>
    <n v="6.96"/>
    <n v="5.1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51"/>
    <s v="PVP"/>
    <s v="Rua Sargento Geraldo Santana, 285"/>
    <n v="-29.998532999999998"/>
    <n v="-50.143053000000002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2.1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466666666666675"/>
    <n v="0.38888888888888884"/>
    <s v="-"/>
    <n v="8.81"/>
    <n v="0.25"/>
    <m/>
    <m/>
    <m/>
    <m/>
    <s v="ATENDE"/>
    <s v="ATENDE"/>
    <s v="ATENDE"/>
    <s v="ATENDE"/>
    <s v="C5"/>
    <s v="P6"/>
    <n v="1.46"/>
    <n v="7.38"/>
    <n v="1.66"/>
    <n v="3"/>
    <n v="0.6"/>
    <s v="ATENDE"/>
    <s v="ATENDE"/>
    <s v="ATENDE"/>
    <s v="P6"/>
    <n v="0.64666666666666672"/>
    <n v="4.9400000000000004"/>
    <n v="1.68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51"/>
    <s v="PVP"/>
    <s v="Rua Sargento Geraldo Santana, 285"/>
    <n v="-29.998532999999998"/>
    <n v="-50.143053000000002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2.1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733333333333351"/>
    <n v="0.2777777777777779"/>
    <s v="-"/>
    <n v="8.3800000000000008"/>
    <n v="0.23"/>
    <m/>
    <m/>
    <m/>
    <m/>
    <s v="ATENDE"/>
    <s v="ATENDE"/>
    <s v="ATENDE"/>
    <s v="ATENDE"/>
    <s v="C5"/>
    <s v="P6"/>
    <n v="1.33"/>
    <n v="6.99"/>
    <n v="0.95"/>
    <n v="3"/>
    <n v="0.6"/>
    <s v="ATENDE"/>
    <s v="ATENDE"/>
    <s v="ATENDE"/>
    <s v="P6"/>
    <n v="0.33999999999999986"/>
    <n v="4.0199999999999996"/>
    <n v="1.2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51"/>
    <s v="PVP"/>
    <s v="Rua Sargento Geraldo Santana, 285"/>
    <n v="-29.998532999999998"/>
    <n v="-50.143053000000002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2.1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599999999999999"/>
    <n v="-5.5555555555555469E-2"/>
    <s v="-"/>
    <n v="9.27"/>
    <n v="0.17"/>
    <m/>
    <m/>
    <m/>
    <m/>
    <s v="ATENDE"/>
    <s v="ATENDE"/>
    <s v="ATENDIMENTO LIMIAR"/>
    <s v="ATENDE"/>
    <s v="C5"/>
    <s v="P6"/>
    <n v="0.84333333333333349"/>
    <n v="5.53"/>
    <n v="1.04"/>
    <n v="3"/>
    <n v="0.6"/>
    <s v="ATENDE"/>
    <s v="ATENDE"/>
    <s v="ATENDE"/>
    <s v="P6"/>
    <n v="0.71"/>
    <n v="5.13"/>
    <n v="1.2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s v="Médio II"/>
    <n v="2.4"/>
    <n v="7.5"/>
    <m/>
    <m/>
    <m/>
    <m/>
    <m/>
    <m/>
    <n v="40"/>
    <n v="100"/>
    <n v="140"/>
    <n v="0.6"/>
    <m/>
    <m/>
    <s v="Sim"/>
    <m/>
  </r>
  <r>
    <n v="52"/>
    <s v="PVP"/>
    <s v="Travessa Tarrafa, 513"/>
    <n v="-30.002237000000001"/>
    <n v="-50.140988999999998"/>
    <x v="1"/>
    <s v="-"/>
    <x v="1"/>
    <s v="Vapor de sódio"/>
    <n v="150"/>
    <n v="22"/>
    <n v="0"/>
    <n v="300"/>
    <n v="2"/>
    <n v="2"/>
    <n v="8.3000000000000007"/>
    <m/>
    <m/>
    <n v="0"/>
    <n v="2"/>
    <n v="0"/>
    <n v="0"/>
    <n v="0"/>
    <n v="0"/>
    <n v="0"/>
    <s v="Unilateral"/>
    <s v="Braço"/>
    <n v="45.5"/>
    <n v="7.2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0000000000000018E-2"/>
    <n v="0.33333333333333326"/>
    <s v="-"/>
    <n v="7.65"/>
    <n v="0.24"/>
    <m/>
    <m/>
    <m/>
    <m/>
    <s v="ATENDE"/>
    <s v="ATENDE"/>
    <s v="ATENDE"/>
    <s v="ATENDE"/>
    <s v="C5"/>
    <s v="P6"/>
    <n v="1.2600000000000002"/>
    <n v="6.78"/>
    <n v="1.37"/>
    <n v="3"/>
    <n v="0.6"/>
    <s v="ATENDE"/>
    <s v="ATENDE"/>
    <s v="ATENDE"/>
    <s v="P6"/>
    <n v="0.36666666666666647"/>
    <n v="4.0999999999999996"/>
    <n v="1.38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52"/>
    <s v="PVP"/>
    <s v="Travessa Tarrafa, 513"/>
    <n v="-30.002237000000001"/>
    <n v="-50.140988999999998"/>
    <x v="1"/>
    <s v="-"/>
    <x v="1"/>
    <s v="Vapor de sódio"/>
    <n v="150"/>
    <n v="22"/>
    <n v="0"/>
    <n v="300"/>
    <n v="2"/>
    <n v="2"/>
    <n v="8.3000000000000007"/>
    <m/>
    <m/>
    <n v="0"/>
    <n v="2"/>
    <n v="0"/>
    <n v="0"/>
    <n v="0"/>
    <n v="0"/>
    <n v="0"/>
    <s v="Unilateral"/>
    <s v="Braço"/>
    <n v="45.5"/>
    <n v="7.2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333333333333326"/>
    <n v="0"/>
    <s v="-"/>
    <n v="10"/>
    <n v="0.18"/>
    <m/>
    <m/>
    <m/>
    <m/>
    <s v="ATENDE"/>
    <s v="ATENDE"/>
    <s v="ATENDE"/>
    <s v="ATENDE"/>
    <s v="C5"/>
    <s v="P6"/>
    <n v="1.0033333333333334"/>
    <n v="6.01"/>
    <n v="0.85"/>
    <n v="3"/>
    <n v="0.6"/>
    <s v="ATENDE"/>
    <s v="ATENDE"/>
    <s v="ATENDE"/>
    <s v="P6"/>
    <n v="1.5533333333333332"/>
    <n v="7.66"/>
    <n v="3.62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s v="Longo I"/>
    <n v="2.8"/>
    <n v="8"/>
    <m/>
    <m/>
    <m/>
    <m/>
    <m/>
    <m/>
    <n v="50"/>
    <n v="150"/>
    <n v="200"/>
    <n v="0.66666666666666674"/>
    <m/>
    <m/>
    <s v="Sim"/>
    <m/>
  </r>
  <r>
    <n v="52"/>
    <s v="PVP"/>
    <s v="Travessa Tarrafa, 513"/>
    <n v="-30.002237000000001"/>
    <n v="-50.140988999999998"/>
    <x v="1"/>
    <s v="-"/>
    <x v="1"/>
    <s v="Vapor de sódio"/>
    <n v="150"/>
    <n v="22"/>
    <n v="0"/>
    <n v="300"/>
    <n v="2"/>
    <n v="2"/>
    <n v="8.3000000000000007"/>
    <m/>
    <m/>
    <n v="0"/>
    <n v="2"/>
    <n v="0"/>
    <n v="0"/>
    <n v="0"/>
    <n v="0"/>
    <n v="0"/>
    <s v="Unilateral"/>
    <s v="Braço"/>
    <n v="45.5"/>
    <n v="7.2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5333333333333226E-2"/>
    <n v="-5.5555555555555469E-2"/>
    <s v="-"/>
    <n v="7.84"/>
    <n v="0.17"/>
    <m/>
    <m/>
    <m/>
    <m/>
    <s v="ATENDE"/>
    <s v="ATENDE"/>
    <s v="ATENDIMENTO LIMIAR"/>
    <s v="ATENDE"/>
    <s v="C5"/>
    <s v="P6"/>
    <n v="0.54333333333333322"/>
    <n v="4.63"/>
    <n v="0.9"/>
    <n v="3"/>
    <n v="0.6"/>
    <s v="ATENDE"/>
    <s v="ATENDE"/>
    <s v="ATENDE"/>
    <s v="P6"/>
    <n v="0.56666666666666665"/>
    <n v="4.7"/>
    <n v="1.159999999999999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s v="Longo I"/>
    <n v="2.8"/>
    <n v="8"/>
    <m/>
    <m/>
    <m/>
    <m/>
    <m/>
    <m/>
    <n v="40"/>
    <n v="150"/>
    <n v="190"/>
    <n v="0.73333333333333339"/>
    <m/>
    <m/>
    <s v="Sim"/>
    <m/>
  </r>
  <r>
    <n v="54"/>
    <s v="PVP"/>
    <s v="Rua Eleodoro Franzen, 1249"/>
    <n v="-30.006892000000001"/>
    <n v="-50.15278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2.6"/>
    <n v="6.2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1"/>
    <n v="-5.5555555555555469E-2"/>
    <s v="-"/>
    <n v="11.21"/>
    <n v="0.17"/>
    <m/>
    <m/>
    <m/>
    <m/>
    <s v="ATENDE"/>
    <s v="ATENDE"/>
    <s v="ATENDIMENTO LIMIAR"/>
    <s v="ATENDE"/>
    <s v="C4"/>
    <s v="P6"/>
    <n v="2.0133333333333332"/>
    <n v="9.0399999999999991"/>
    <n v="1.1599999999999999"/>
    <n v="3"/>
    <n v="0.6"/>
    <s v="ATENDE"/>
    <s v="ATENDE"/>
    <s v="ATENDE"/>
    <s v="P6"/>
    <n v="0.85666666666666669"/>
    <n v="5.57"/>
    <n v="1.4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54"/>
    <s v="PVP"/>
    <s v="Rua Eleodoro Franzen, 1249"/>
    <n v="-30.006892000000001"/>
    <n v="-50.15278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2.6"/>
    <n v="6.2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00000000000003"/>
    <n v="5.555555555555558E-2"/>
    <s v="-"/>
    <n v="11.59"/>
    <n v="0.19"/>
    <m/>
    <m/>
    <m/>
    <m/>
    <s v="ATENDE"/>
    <s v="ATENDE"/>
    <s v="ATENDE"/>
    <s v="ATENDE"/>
    <s v="C4"/>
    <s v="P6"/>
    <n v="1.3399999999999999"/>
    <n v="7.02"/>
    <n v="0.89"/>
    <n v="3"/>
    <n v="0.6"/>
    <s v="ATENDE"/>
    <s v="ATENDE"/>
    <s v="ATENDE"/>
    <s v="P6"/>
    <n v="1.9333333333333336"/>
    <n v="8.8000000000000007"/>
    <n v="4.08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s v="Médio II"/>
    <n v="2.4"/>
    <n v="7.5"/>
    <m/>
    <m/>
    <m/>
    <m/>
    <m/>
    <m/>
    <n v="50"/>
    <n v="150"/>
    <n v="200"/>
    <n v="0.66666666666666674"/>
    <m/>
    <m/>
    <s v="Sim"/>
    <m/>
  </r>
  <r>
    <n v="54"/>
    <s v="PVP"/>
    <s v="Rua Eleodoro Franzen, 1249"/>
    <n v="-30.006892000000001"/>
    <n v="-50.15278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42.6"/>
    <n v="6.2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999999999999975E-2"/>
    <n v="0"/>
    <s v="-"/>
    <n v="10.97"/>
    <n v="0.18"/>
    <m/>
    <m/>
    <m/>
    <m/>
    <s v="ATENDE"/>
    <s v="ATENDE"/>
    <s v="ATENDE"/>
    <s v="ATENDE"/>
    <s v="C4"/>
    <s v="P6"/>
    <n v="1.2266666666666666"/>
    <n v="6.68"/>
    <n v="1.4"/>
    <n v="3"/>
    <n v="0.6"/>
    <s v="ATENDE"/>
    <s v="ATENDE"/>
    <s v="ATENDE"/>
    <s v="P6"/>
    <n v="1.0266666666666668"/>
    <n v="6.08"/>
    <n v="1.36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s v="Médio II"/>
    <n v="2.4"/>
    <n v="7.5"/>
    <m/>
    <m/>
    <m/>
    <m/>
    <m/>
    <m/>
    <n v="50"/>
    <n v="150"/>
    <n v="200"/>
    <n v="0.66666666666666674"/>
    <m/>
    <m/>
    <s v="Sim"/>
    <m/>
  </r>
  <r>
    <n v="55"/>
    <s v="PVP"/>
    <s v="Rua Ant. F. da Costa, 551"/>
    <n v="-30.011686000000001"/>
    <n v="-50.142533999999998"/>
    <x v="2"/>
    <s v="-"/>
    <x v="1"/>
    <s v="Vapor de sódio"/>
    <n v="100"/>
    <n v="17"/>
    <n v="0"/>
    <n v="200"/>
    <n v="2"/>
    <n v="3.5"/>
    <n v="7"/>
    <m/>
    <m/>
    <n v="0"/>
    <n v="3"/>
    <n v="0"/>
    <n v="0"/>
    <n v="0"/>
    <n v="0"/>
    <n v="0"/>
    <s v="Unilateral"/>
    <s v="Braço"/>
    <n v="39.6"/>
    <n v="6.8"/>
    <n v="1"/>
    <n v="0.4"/>
    <n v="1.1000000000000001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5555555555555558"/>
    <s v="-"/>
    <n v="11.14"/>
    <n v="0.28000000000000003"/>
    <m/>
    <m/>
    <m/>
    <m/>
    <s v="ATENDE"/>
    <s v="ATENDE"/>
    <s v="ATENDE"/>
    <s v="ATENDE"/>
    <s v="C4"/>
    <s v="P6"/>
    <n v="1.92"/>
    <n v="8.76"/>
    <n v="2.02"/>
    <n v="3"/>
    <n v="0.6"/>
    <s v="ATENDE"/>
    <s v="ATENDE"/>
    <s v="ATENDE"/>
    <s v="P6"/>
    <n v="0.91666666666666674"/>
    <n v="5.75"/>
    <n v="2.069999999999999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"/>
    <m/>
    <s v=""/>
    <s v=""/>
    <m/>
    <m/>
    <m/>
    <m/>
    <m/>
    <m/>
    <n v="52"/>
    <n v="100"/>
    <n v="152"/>
    <n v="0.48"/>
    <m/>
    <m/>
    <s v="Sim"/>
    <m/>
  </r>
  <r>
    <n v="55"/>
    <s v="PVP"/>
    <s v="Rua Ant. F. da Costa, 551"/>
    <n v="-30.011686000000001"/>
    <n v="-50.142533999999998"/>
    <x v="2"/>
    <s v="-"/>
    <x v="1"/>
    <s v="Vapor de sódio"/>
    <n v="100"/>
    <n v="17"/>
    <n v="0"/>
    <n v="200"/>
    <n v="2"/>
    <n v="3.5"/>
    <n v="7"/>
    <m/>
    <m/>
    <n v="0"/>
    <n v="3"/>
    <n v="0"/>
    <n v="0"/>
    <n v="0"/>
    <n v="0"/>
    <n v="0"/>
    <s v="Unilateral"/>
    <s v="Braço"/>
    <n v="39.6"/>
    <n v="6.8"/>
    <n v="1"/>
    <n v="0.4"/>
    <n v="1.1000000000000001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00000000000006"/>
    <n v="0.44444444444444464"/>
    <s v="-"/>
    <n v="13.22"/>
    <n v="0.26"/>
    <m/>
    <m/>
    <m/>
    <m/>
    <s v="ATENDE"/>
    <s v="ATENDE"/>
    <s v="ATENDE"/>
    <s v="ATENDE"/>
    <s v="C4"/>
    <s v="P6"/>
    <n v="2.2333333333333329"/>
    <n v="9.6999999999999993"/>
    <n v="1"/>
    <n v="3"/>
    <n v="0.6"/>
    <s v="ATENDE"/>
    <s v="ATENDE"/>
    <s v="ATENDE"/>
    <s v="P6"/>
    <n v="1.0933333333333333"/>
    <n v="6.28"/>
    <n v="2.85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"/>
    <m/>
    <s v=""/>
    <s v=""/>
    <m/>
    <m/>
    <m/>
    <m/>
    <m/>
    <m/>
    <n v="50"/>
    <n v="100"/>
    <n v="150"/>
    <n v="0.5"/>
    <m/>
    <m/>
    <s v="Sim"/>
    <m/>
  </r>
  <r>
    <n v="55"/>
    <s v="PVP"/>
    <s v="Rua Ant. F. da Costa, 551"/>
    <n v="-30.011686000000001"/>
    <n v="-50.142533999999998"/>
    <x v="2"/>
    <s v="-"/>
    <x v="1"/>
    <s v="Vapor de sódio"/>
    <n v="100"/>
    <n v="17"/>
    <n v="0"/>
    <n v="200"/>
    <n v="2"/>
    <n v="3.5"/>
    <n v="7"/>
    <m/>
    <m/>
    <n v="0"/>
    <n v="3"/>
    <n v="0"/>
    <n v="0"/>
    <n v="0"/>
    <n v="0"/>
    <n v="0"/>
    <s v="Unilateral"/>
    <s v="Braço"/>
    <n v="39.6"/>
    <n v="6.8"/>
    <n v="1"/>
    <n v="0.4"/>
    <n v="1.1000000000000001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0000000000000071E-3"/>
    <n v="-5.5555555555555469E-2"/>
    <s v="-"/>
    <n v="10.08"/>
    <n v="0.17"/>
    <m/>
    <m/>
    <m/>
    <m/>
    <s v="ATENDE"/>
    <s v="ATENDE"/>
    <s v="ATENDIMENTO LIMIAR"/>
    <s v="ATENDE"/>
    <s v="C4"/>
    <s v="P6"/>
    <n v="1.3766666666666665"/>
    <n v="7.13"/>
    <n v="0.91"/>
    <n v="3"/>
    <n v="0.6"/>
    <s v="ATENDE"/>
    <s v="ATENDE"/>
    <s v="ATENDE"/>
    <s v="P6"/>
    <n v="0.18666666666666676"/>
    <n v="3.56"/>
    <n v="1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n v="2"/>
    <s v="Curto I"/>
    <m/>
    <s v=""/>
    <s v=""/>
    <m/>
    <m/>
    <m/>
    <m/>
    <m/>
    <m/>
    <n v="40"/>
    <n v="100"/>
    <n v="140"/>
    <n v="0.6"/>
    <m/>
    <m/>
    <s v="Sim"/>
    <m/>
  </r>
  <r>
    <n v="56"/>
    <s v="VP"/>
    <s v="Avenida Flores da Cunha, 4017"/>
    <n v="-30.008488"/>
    <n v="-50.14358"/>
    <x v="0"/>
    <s v="-"/>
    <x v="1"/>
    <s v="LED"/>
    <n v="50"/>
    <n v="0"/>
    <n v="0"/>
    <n v="200"/>
    <n v="2"/>
    <n v="0"/>
    <n v="8.5"/>
    <m/>
    <m/>
    <n v="0"/>
    <n v="3"/>
    <n v="10"/>
    <n v="0"/>
    <n v="0"/>
    <n v="0"/>
    <n v="0"/>
    <s v="Unilateral"/>
    <s v="Braço"/>
    <n v="56"/>
    <n v="7"/>
    <n v="2"/>
    <n v="4.7"/>
    <n v="2.5"/>
    <n v="-2.2000000000000002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11033333333333339"/>
    <n v="0.26315789473684204"/>
    <s v="-"/>
    <n v="33.31"/>
    <n v="0.48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3.126666666666667"/>
    <n v="42.38"/>
    <n v="26.02"/>
    <n v="3"/>
    <n v="0.6"/>
    <s v="ATENDE"/>
    <s v="ATENDE"/>
    <s v="ATENDE"/>
    <x v="0"/>
    <s v=" SL VT 9.1 140W"/>
    <s v="LUM LED SL VT 9.1 140W"/>
    <m/>
    <n v="0"/>
    <n v="2"/>
    <n v="140"/>
    <n v="0"/>
    <n v="22440"/>
    <n v="0"/>
    <n v="0"/>
    <n v="10"/>
    <s v="Médio II"/>
    <m/>
    <m/>
    <m/>
    <s v="APEA"/>
    <n v="1"/>
    <m/>
    <s v="Redução do distanciamento entre postes de 56 para 28m."/>
    <m/>
    <m/>
    <n v="140"/>
    <n v="50"/>
    <n v="380"/>
    <n v="-1.7999999999999998"/>
    <m/>
    <m/>
    <s v="Sim"/>
    <m/>
  </r>
  <r>
    <n v="56"/>
    <s v="VP"/>
    <s v="Avenida Flores da Cunha, 4017"/>
    <n v="-30.008488"/>
    <n v="-50.14358"/>
    <x v="0"/>
    <s v="-"/>
    <x v="1"/>
    <s v="LED"/>
    <n v="50"/>
    <n v="0"/>
    <n v="0"/>
    <n v="200"/>
    <n v="2"/>
    <n v="0"/>
    <n v="8.5"/>
    <m/>
    <m/>
    <n v="0"/>
    <n v="3"/>
    <n v="10"/>
    <n v="0"/>
    <n v="0"/>
    <n v="0"/>
    <n v="0"/>
    <s v="Unilateral"/>
    <s v="Braço"/>
    <n v="56"/>
    <n v="7"/>
    <n v="2"/>
    <n v="4.7"/>
    <n v="2.5"/>
    <n v="-2.2000000000000002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9.533333333333327E-2"/>
    <n v="0"/>
    <s v="-"/>
    <n v="32.86"/>
    <n v="0.38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3.840000000000002"/>
    <n v="44.52"/>
    <n v="25.53"/>
    <n v="3"/>
    <n v="0.6"/>
    <s v="ATENDE"/>
    <s v="ATENDE"/>
    <s v="ATENDE"/>
    <x v="1"/>
    <s v="SX-INLPP150HF"/>
    <s v="SXINLPP150K40L12CZF7PHF"/>
    <m/>
    <n v="0"/>
    <n v="2"/>
    <n v="137"/>
    <n v="0"/>
    <n v="23817"/>
    <n v="0"/>
    <n v="0"/>
    <n v="10"/>
    <s v="Médio II"/>
    <m/>
    <m/>
    <m/>
    <s v="APEA"/>
    <n v="1"/>
    <m/>
    <s v="Redução do distanciamento entre postes de 56 para 28m."/>
    <m/>
    <m/>
    <n v="137"/>
    <n v="50"/>
    <n v="374"/>
    <n v="-1.7400000000000002"/>
    <m/>
    <m/>
    <s v="Sim"/>
    <m/>
  </r>
  <r>
    <n v="56"/>
    <s v="VP"/>
    <s v="Avenida Flores da Cunha, 4017"/>
    <n v="-30.008488"/>
    <n v="-50.14358"/>
    <x v="0"/>
    <s v="-"/>
    <x v="1"/>
    <s v="LED"/>
    <n v="50"/>
    <n v="0"/>
    <n v="0"/>
    <n v="200"/>
    <n v="2"/>
    <n v="0"/>
    <n v="8.5"/>
    <m/>
    <m/>
    <n v="0"/>
    <n v="3"/>
    <n v="10"/>
    <n v="0"/>
    <n v="0"/>
    <n v="0"/>
    <n v="0"/>
    <s v="Unilateral"/>
    <s v="Braço"/>
    <n v="56"/>
    <n v="7"/>
    <n v="2"/>
    <n v="4.7"/>
    <n v="2.5"/>
    <n v="-2.2000000000000002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8.8333333333333375E-2"/>
    <n v="0.23684210526315774"/>
    <s v="-"/>
    <n v="32.65"/>
    <n v="0.47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3.823333333333332"/>
    <n v="44.47"/>
    <n v="30.48"/>
    <n v="3"/>
    <n v="0.6"/>
    <s v="ATENDE"/>
    <s v="ATENDE"/>
    <s v="ATENDE"/>
    <x v="2"/>
    <s v="SIGMAGPTLRRSMNDL150W102IBBR_x000a_"/>
    <s v="SIGMAGPTLRRSMNDL150W102IBBR_x000a_S1-10C1MUN6.5"/>
    <m/>
    <n v="0"/>
    <n v="2"/>
    <n v="150"/>
    <n v="0"/>
    <n v="23000"/>
    <n v="0"/>
    <n v="0"/>
    <n v="10"/>
    <s v="Médio II"/>
    <m/>
    <m/>
    <m/>
    <s v="APEA"/>
    <n v="1"/>
    <m/>
    <s v="Redução do distanciamento entre postes de 56 para 28m."/>
    <m/>
    <m/>
    <n v="150"/>
    <n v="50"/>
    <n v="400"/>
    <n v="-2"/>
    <m/>
    <m/>
    <s v="Sim"/>
    <m/>
  </r>
  <r>
    <n v="53"/>
    <s v="PV"/>
    <s v="Avenida Senador Alberto Pasqualine, 220"/>
    <n v="-30.008447"/>
    <n v="-50.153286000000001"/>
    <x v="0"/>
    <s v="-"/>
    <x v="1"/>
    <s v="LED"/>
    <n v="50"/>
    <n v="0"/>
    <n v="0"/>
    <n v="200"/>
    <n v="2"/>
    <n v="2.5"/>
    <n v="7.5"/>
    <m/>
    <m/>
    <n v="0"/>
    <n v="0"/>
    <n v="20.6"/>
    <n v="0"/>
    <n v="0"/>
    <n v="0"/>
    <n v="0"/>
    <s v="Unilateral"/>
    <s v="Braço"/>
    <n v="36.4"/>
    <n v="7.5"/>
    <n v="2"/>
    <n v="0.3"/>
    <n v="2.8"/>
    <n v="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5.2999999999999936E-2"/>
    <n v="-2.6315789473684181E-2"/>
    <s v="-"/>
    <n v="31.59"/>
    <n v="0.37"/>
    <m/>
    <m/>
    <m/>
    <m/>
    <s v="ATENDE"/>
    <s v="ATENDE"/>
    <s v="ATENDIMENTO LIMIAR"/>
    <s v="ATENDE"/>
    <s v="C1"/>
    <s v="P6"/>
    <n v="10.396666666666667"/>
    <n v="34.19"/>
    <n v="11.07"/>
    <n v="3"/>
    <n v="0.6"/>
    <s v="ATENDE"/>
    <s v="ATENDE"/>
    <s v="ATENDE"/>
    <s v="-"/>
    <e v="#VALUE!"/>
    <m/>
    <m/>
    <s v="-"/>
    <s v="-"/>
    <s v="-"/>
    <s v="-"/>
    <s v="-"/>
    <x v="0"/>
    <s v=" SL VT 9.6 120W"/>
    <s v="LUM LED SL VT 9.6 120W"/>
    <m/>
    <e v="#N/A"/>
    <n v="2"/>
    <n v="120"/>
    <n v="0"/>
    <n v="15145"/>
    <n v="0"/>
    <n v="0"/>
    <n v="10"/>
    <s v="Longo I"/>
    <m/>
    <s v=""/>
    <s v=""/>
    <m/>
    <m/>
    <m/>
    <m/>
    <m/>
    <m/>
    <n v="120"/>
    <n v="50"/>
    <n v="340"/>
    <n v="-1.4"/>
    <m/>
    <m/>
    <s v="Sim"/>
    <m/>
  </r>
  <r>
    <n v="53"/>
    <s v="PV"/>
    <s v="Avenida Senador Alberto Pasqualine, 220"/>
    <n v="-30.008447"/>
    <n v="-50.153286000000001"/>
    <x v="0"/>
    <s v="-"/>
    <x v="1"/>
    <s v="LED"/>
    <n v="50"/>
    <n v="0"/>
    <n v="0"/>
    <n v="200"/>
    <n v="2"/>
    <n v="2.5"/>
    <n v="7.5"/>
    <m/>
    <m/>
    <n v="0"/>
    <n v="0"/>
    <n v="20.6"/>
    <n v="0"/>
    <n v="0"/>
    <n v="0"/>
    <n v="0"/>
    <s v="Unilateral"/>
    <s v="Braço"/>
    <n v="36.4"/>
    <n v="7.5"/>
    <n v="2"/>
    <n v="0.3"/>
    <n v="2.8"/>
    <n v="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2.0999999999999908E-2"/>
    <n v="7.8947368421052655E-2"/>
    <s v="-"/>
    <n v="30.63"/>
    <n v="0.41"/>
    <m/>
    <m/>
    <m/>
    <m/>
    <s v="ATENDE"/>
    <s v="ATENDE"/>
    <s v="ATENDE"/>
    <s v="ATENDE"/>
    <s v="C1"/>
    <s v="P6"/>
    <n v="11.213333333333333"/>
    <n v="36.64"/>
    <n v="16.79"/>
    <n v="3"/>
    <n v="0.6"/>
    <s v="ATENDE"/>
    <s v="ATENDE"/>
    <s v="ATENDE"/>
    <s v="-"/>
    <e v="#VALUE!"/>
    <m/>
    <m/>
    <s v="-"/>
    <s v="-"/>
    <s v="-"/>
    <s v="-"/>
    <s v="-"/>
    <x v="1"/>
    <s v="SX-INLPP090HF"/>
    <s v="SXINLPP090K40L12CZF7PHF"/>
    <m/>
    <e v="#N/A"/>
    <n v="2"/>
    <n v="90"/>
    <n v="0"/>
    <n v="15476"/>
    <n v="0"/>
    <n v="0"/>
    <m/>
    <s v="Longo I"/>
    <m/>
    <s v=""/>
    <s v=""/>
    <m/>
    <m/>
    <m/>
    <m/>
    <m/>
    <m/>
    <n v="90"/>
    <n v="50"/>
    <n v="280"/>
    <n v="-0.8"/>
    <m/>
    <m/>
    <s v="Sim"/>
    <m/>
  </r>
  <r>
    <n v="53"/>
    <s v="PV"/>
    <s v="Avenida Senador Alberto Pasqualine, 220"/>
    <n v="-30.008447"/>
    <n v="-50.153286000000001"/>
    <x v="0"/>
    <s v="-"/>
    <x v="1"/>
    <s v="LED"/>
    <n v="50"/>
    <n v="0"/>
    <n v="0"/>
    <n v="200"/>
    <n v="2"/>
    <n v="2.5"/>
    <n v="7.5"/>
    <m/>
    <m/>
    <n v="0"/>
    <n v="0"/>
    <n v="20.6"/>
    <n v="0"/>
    <n v="0"/>
    <n v="0"/>
    <n v="0"/>
    <s v="Unilateral"/>
    <s v="Braço"/>
    <n v="36.4"/>
    <n v="7.5"/>
    <n v="2"/>
    <n v="0.3"/>
    <n v="2.8"/>
    <n v="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7.9999999999998961E-3"/>
    <n v="5.2631578947368363E-2"/>
    <s v="-"/>
    <n v="29.76"/>
    <n v="0.4"/>
    <m/>
    <m/>
    <m/>
    <m/>
    <s v="ATENDE"/>
    <s v="ATENDIMENTO LIMIAR"/>
    <s v="ATENDE"/>
    <s v="ATENDE"/>
    <s v="C1"/>
    <s v="P6"/>
    <n v="9.6033333333333335"/>
    <n v="31.81"/>
    <n v="13.35"/>
    <n v="3"/>
    <n v="0.6"/>
    <s v="ATENDE"/>
    <s v="ATENDE"/>
    <s v="ATENDE"/>
    <s v="-"/>
    <e v="#VALUE!"/>
    <m/>
    <m/>
    <s v="-"/>
    <s v="-"/>
    <s v="-"/>
    <s v="-"/>
    <s v="-"/>
    <x v="2"/>
    <s v="SIGSAGPTLRRSSNDL100W125IBBRS_x000a_"/>
    <s v="SIGSAGPTLRRSSNDL100W125IBBRS_x000a_1-10C1MUN6.5"/>
    <m/>
    <e v="#N/A"/>
    <n v="2"/>
    <n v="100"/>
    <e v="#N/A"/>
    <n v="15162"/>
    <n v="0"/>
    <n v="0"/>
    <m/>
    <s v="Longo I"/>
    <m/>
    <s v=""/>
    <s v=""/>
    <m/>
    <m/>
    <m/>
    <m/>
    <m/>
    <m/>
    <n v="100"/>
    <n v="50"/>
    <n v="300"/>
    <n v="-1"/>
    <m/>
    <m/>
    <s v="Sim"/>
    <m/>
  </r>
  <r>
    <n v="57"/>
    <s v="PVP"/>
    <s v="Rua Vergueiro, 1327"/>
    <n v="-30.007116"/>
    <n v="-50.148955000000001"/>
    <x v="1"/>
    <s v="-"/>
    <x v="1"/>
    <s v="LED"/>
    <n v="50"/>
    <n v="0"/>
    <n v="0"/>
    <n v="100"/>
    <n v="2"/>
    <n v="2.5"/>
    <n v="7"/>
    <m/>
    <m/>
    <n v="0"/>
    <n v="1.5"/>
    <n v="0"/>
    <n v="0"/>
    <n v="0"/>
    <n v="0"/>
    <n v="0"/>
    <s v="Unilateral"/>
    <s v="Braço"/>
    <n v="44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0.44444444444444464"/>
    <s v="-"/>
    <n v="8.01"/>
    <n v="0.26"/>
    <m/>
    <m/>
    <m/>
    <m/>
    <s v="ATENDE"/>
    <s v="ATENDE"/>
    <s v="ATENDE"/>
    <s v="ATENDE"/>
    <s v="C5"/>
    <s v="P6"/>
    <n v="1.2166666666666668"/>
    <n v="6.65"/>
    <n v="1.6"/>
    <n v="3"/>
    <n v="0.6"/>
    <s v="ATENDE"/>
    <s v="ATENDE"/>
    <s v="ATENDE"/>
    <s v="P6"/>
    <n v="0.87000000000000011"/>
    <n v="5.61"/>
    <n v="1.96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57"/>
    <s v="PVP"/>
    <s v="Rua Vergueiro, 1327"/>
    <n v="-30.007116"/>
    <n v="-50.148955000000001"/>
    <x v="1"/>
    <s v="-"/>
    <x v="1"/>
    <s v="LED"/>
    <n v="50"/>
    <n v="0"/>
    <n v="0"/>
    <n v="100"/>
    <n v="2"/>
    <n v="2.5"/>
    <n v="7"/>
    <m/>
    <m/>
    <n v="0"/>
    <n v="1.5"/>
    <n v="0"/>
    <n v="0"/>
    <n v="0"/>
    <n v="0"/>
    <n v="0"/>
    <s v="Unilateral"/>
    <s v="Braço"/>
    <n v="44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6000000000000014E-2"/>
    <n v="0.38888888888888884"/>
    <s v="-"/>
    <n v="7.62"/>
    <n v="0.25"/>
    <m/>
    <m/>
    <m/>
    <m/>
    <s v="ATENDE"/>
    <s v="ATENDE"/>
    <s v="ATENDE"/>
    <s v="ATENDE"/>
    <s v="C5"/>
    <s v="P6"/>
    <n v="1.1033333333333331"/>
    <n v="6.31"/>
    <n v="1.01"/>
    <n v="3"/>
    <n v="0.6"/>
    <s v="ATENDE"/>
    <s v="ATENDE"/>
    <s v="ATENDE"/>
    <s v="P6"/>
    <n v="0.70666666666666678"/>
    <n v="5.12"/>
    <n v="2.0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57"/>
    <s v="PVP"/>
    <s v="Rua Vergueiro, 1327"/>
    <n v="-30.007116"/>
    <n v="-50.148955000000001"/>
    <x v="1"/>
    <s v="-"/>
    <x v="1"/>
    <s v="LED"/>
    <n v="50"/>
    <n v="0"/>
    <n v="0"/>
    <n v="100"/>
    <n v="2"/>
    <n v="2.5"/>
    <n v="7"/>
    <m/>
    <m/>
    <n v="0"/>
    <n v="1.5"/>
    <n v="0"/>
    <n v="0"/>
    <n v="0"/>
    <n v="0"/>
    <n v="0"/>
    <s v="Unilateral"/>
    <s v="Braço"/>
    <n v="44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599999999999988"/>
    <n v="5.555555555555558E-2"/>
    <s v="-"/>
    <n v="8.3699999999999992"/>
    <n v="0.19"/>
    <m/>
    <m/>
    <m/>
    <m/>
    <s v="ATENDE"/>
    <s v="ATENDE"/>
    <s v="ATENDE"/>
    <s v="ATENDE"/>
    <s v="C5"/>
    <s v="P6"/>
    <n v="0.54333333333333322"/>
    <n v="4.63"/>
    <n v="1"/>
    <n v="3"/>
    <n v="0.6"/>
    <s v="ATENDE"/>
    <s v="ATENDE"/>
    <s v="ATENDE"/>
    <s v="P6"/>
    <n v="1.19"/>
    <n v="6.57"/>
    <n v="1.6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50"/>
    <n v="90"/>
    <n v="0.19999999999999996"/>
    <m/>
    <m/>
    <s v="Sim"/>
    <m/>
  </r>
  <r>
    <n v="58"/>
    <s v="PVP"/>
    <s v="Rua Reboucas, 1496"/>
    <n v="-30.008061999999999"/>
    <n v="-50.150218000000002"/>
    <x v="1"/>
    <s v="-"/>
    <x v="1"/>
    <s v="Vapor de sódio"/>
    <n v="150"/>
    <n v="22"/>
    <n v="0"/>
    <n v="300"/>
    <n v="2"/>
    <n v="3"/>
    <n v="7"/>
    <m/>
    <m/>
    <n v="0"/>
    <n v="3"/>
    <n v="0"/>
    <n v="0"/>
    <n v="0"/>
    <n v="0"/>
    <n v="0"/>
    <s v="Unilateral"/>
    <s v="Braço"/>
    <n v="26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466666666666675"/>
    <n v="2.1666666666666665"/>
    <s v="-"/>
    <n v="8.81"/>
    <n v="0.56999999999999995"/>
    <m/>
    <m/>
    <m/>
    <m/>
    <s v="ATENDE"/>
    <s v="ATENDE"/>
    <s v="ATENDE"/>
    <s v="ATENDE"/>
    <s v="C5"/>
    <s v="P6"/>
    <n v="1.3633333333333333"/>
    <n v="7.09"/>
    <n v="4.0199999999999996"/>
    <n v="3"/>
    <n v="0.6"/>
    <s v="ATENDE"/>
    <s v="ATENDE"/>
    <s v="ATENDE"/>
    <s v="P6"/>
    <n v="0.77333333333333343"/>
    <n v="5.32"/>
    <n v="3.31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58"/>
    <s v="PVP"/>
    <s v="Rua Reboucas, 1496"/>
    <n v="-30.008061999999999"/>
    <n v="-50.150218000000002"/>
    <x v="1"/>
    <s v="-"/>
    <x v="1"/>
    <s v="Vapor de sódio"/>
    <n v="150"/>
    <n v="22"/>
    <n v="0"/>
    <n v="300"/>
    <n v="2"/>
    <n v="3"/>
    <n v="7"/>
    <m/>
    <m/>
    <n v="0"/>
    <n v="3"/>
    <n v="0"/>
    <n v="0"/>
    <n v="0"/>
    <n v="0"/>
    <n v="0"/>
    <s v="Unilateral"/>
    <s v="Braço"/>
    <n v="26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6266666666666678"/>
    <n v="421.22222222222223"/>
    <s v="-"/>
    <n v="10.97"/>
    <n v="76"/>
    <m/>
    <m/>
    <m/>
    <m/>
    <s v="ATENDE"/>
    <s v="ATENDE"/>
    <s v="ATENDE"/>
    <s v="ATENDE"/>
    <s v="C5"/>
    <s v="P6"/>
    <n v="1.7233333333333332"/>
    <n v="8.17"/>
    <n v="5.28"/>
    <n v="3"/>
    <n v="0.6"/>
    <s v="ATENDE"/>
    <s v="ATENDE"/>
    <s v="ATENDE"/>
    <s v="P6"/>
    <n v="0.88333333333333353"/>
    <n v="5.65"/>
    <n v="3.26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58"/>
    <s v="PVP"/>
    <s v="Rua Reboucas, 1496"/>
    <n v="-30.008061999999999"/>
    <n v="-50.150218000000002"/>
    <x v="1"/>
    <s v="-"/>
    <x v="1"/>
    <s v="Vapor de sódio"/>
    <n v="150"/>
    <n v="22"/>
    <n v="0"/>
    <n v="300"/>
    <n v="2"/>
    <n v="3"/>
    <n v="7"/>
    <m/>
    <m/>
    <n v="0"/>
    <n v="3"/>
    <n v="0"/>
    <n v="0"/>
    <n v="0"/>
    <n v="0"/>
    <n v="0"/>
    <s v="Unilateral"/>
    <s v="Braço"/>
    <n v="26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4799999999999995"/>
    <n v="2.8888888888888888"/>
    <s v="-"/>
    <n v="10.86"/>
    <n v="0.7"/>
    <m/>
    <m/>
    <m/>
    <m/>
    <s v="ATENDE"/>
    <s v="ATENDE"/>
    <s v="ATENDE"/>
    <s v="ATENDE"/>
    <s v="C5"/>
    <s v="P6"/>
    <n v="1.75"/>
    <n v="8.25"/>
    <n v="5.45"/>
    <n v="3"/>
    <n v="0.6"/>
    <s v="ATENDE"/>
    <s v="ATENDE"/>
    <s v="ATENDE"/>
    <s v="P6"/>
    <n v="0.7433333333333334"/>
    <n v="5.23"/>
    <n v="3.29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59"/>
    <s v="PVP"/>
    <s v="Rua Sargento Geraldo Santana, 1649"/>
    <n v="-30.010538"/>
    <n v="-50.14886400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0.66666666666666674"/>
    <s v="-"/>
    <n v="7.89"/>
    <n v="0.3"/>
    <m/>
    <m/>
    <m/>
    <m/>
    <s v="ATENDE"/>
    <s v="ATENDE"/>
    <s v="ATENDE"/>
    <s v="ATENDE"/>
    <s v="C5"/>
    <s v="P6"/>
    <n v="1.0733333333333333"/>
    <n v="6.22"/>
    <n v="1.68"/>
    <n v="3"/>
    <n v="0.6"/>
    <s v="ATENDE"/>
    <s v="ATENDE"/>
    <s v="ATENDE"/>
    <s v="P6"/>
    <n v="0.27"/>
    <n v="3.81"/>
    <n v="1.51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59"/>
    <s v="PVP"/>
    <s v="Rua Sargento Geraldo Santana, 1649"/>
    <n v="-30.010538"/>
    <n v="-50.14886400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866666666666664"/>
    <n v="0.2777777777777779"/>
    <s v="-"/>
    <n v="9.74"/>
    <n v="0.23"/>
    <m/>
    <m/>
    <m/>
    <m/>
    <s v="ATENDE"/>
    <s v="ATENDE"/>
    <s v="ATENDE"/>
    <s v="ATENDE"/>
    <s v="C5"/>
    <s v="P6"/>
    <n v="1.3366666666666664"/>
    <n v="7.01"/>
    <n v="0.62"/>
    <n v="3"/>
    <n v="0.6"/>
    <s v="ATENDE"/>
    <s v="ATENDE"/>
    <s v="ATENDE"/>
    <s v="P6"/>
    <n v="0.12333333333333329"/>
    <n v="3.37"/>
    <n v="0.88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59"/>
    <s v="PVP"/>
    <s v="Rua Sargento Geraldo Santana, 1649"/>
    <n v="-30.010538"/>
    <n v="-50.14886400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333333333333343"/>
    <n v="0.83333333333333348"/>
    <s v="-"/>
    <n v="9.5500000000000007"/>
    <n v="0.33"/>
    <m/>
    <m/>
    <m/>
    <m/>
    <s v="ATENDE"/>
    <s v="ATENDE"/>
    <s v="ATENDE"/>
    <s v="ATENDE"/>
    <s v="C5"/>
    <s v="P6"/>
    <n v="1.3900000000000001"/>
    <n v="7.17"/>
    <n v="1.92"/>
    <n v="3"/>
    <n v="0.6"/>
    <s v="ATENDE"/>
    <s v="ATENDE"/>
    <s v="ATENDE"/>
    <s v="P6"/>
    <n v="0.12333333333333329"/>
    <n v="3.37"/>
    <n v="1.6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0"/>
    <s v="PVP"/>
    <s v="Rua Estilac Leal II, 386"/>
    <n v="-30.013382"/>
    <n v="-50.155915999999998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.2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5733333333333319"/>
    <n v="2.3333333333333335"/>
    <s v="-"/>
    <n v="9.43"/>
    <n v="0.6"/>
    <m/>
    <m/>
    <m/>
    <m/>
    <s v="ATENDE"/>
    <s v="ATENDE"/>
    <s v="ATENDE"/>
    <s v="ATENDE"/>
    <s v="C5"/>
    <s v="P6"/>
    <n v="1.8033333333333332"/>
    <n v="8.41"/>
    <n v="5.18"/>
    <n v="3"/>
    <n v="0.6"/>
    <s v="ATENDE"/>
    <s v="ATENDE"/>
    <s v="ATENDE"/>
    <s v="P6"/>
    <n v="1.0433333333333334"/>
    <n v="6.13"/>
    <n v="4.22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60"/>
    <s v="PVP"/>
    <s v="Rua Estilac Leal II, 386"/>
    <n v="-30.013382"/>
    <n v="-50.155915999999998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.2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3455E-2"/>
    <n v="3.2222222222222223"/>
    <s v="-"/>
    <n v="7.9"/>
    <n v="0.76"/>
    <m/>
    <m/>
    <m/>
    <m/>
    <s v="ATENDE"/>
    <s v="ATENDE"/>
    <s v="ATENDE"/>
    <s v="ATENDE"/>
    <s v="C5"/>
    <s v="P6"/>
    <n v="1.3133333333333335"/>
    <n v="6.94"/>
    <n v="4.8499999999999996"/>
    <n v="3"/>
    <n v="0.6"/>
    <s v="ATENDE"/>
    <s v="ATENDE"/>
    <s v="ATENDE"/>
    <s v="P6"/>
    <n v="0.59666666666666668"/>
    <n v="4.79"/>
    <n v="3.45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60"/>
    <s v="PVP"/>
    <s v="Rua Estilac Leal II, 386"/>
    <n v="-30.013382"/>
    <n v="-50.155915999999998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.2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4933333333333323"/>
    <n v="2.9444444444444442"/>
    <s v="-"/>
    <n v="11.62"/>
    <n v="0.71"/>
    <m/>
    <m/>
    <m/>
    <m/>
    <s v="ATENDE"/>
    <s v="ATENDE"/>
    <s v="ATENDE"/>
    <s v="ATENDE"/>
    <s v="C5"/>
    <s v="P6"/>
    <n v="2.3266666666666667"/>
    <n v="9.98"/>
    <n v="7.23"/>
    <n v="3"/>
    <n v="0.6"/>
    <s v="ATENDE"/>
    <s v="ATENDE"/>
    <s v="ATENDE"/>
    <s v="P6"/>
    <n v="1.0566666666666666"/>
    <n v="6.17"/>
    <n v="4.5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1"/>
    <s v="PVP"/>
    <s v="Rua Assis Brasil, 616"/>
    <n v="-30.014125"/>
    <n v="-50.157004999999998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1.5"/>
    <n v="6.5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1999999999999842E-2"/>
    <n v="1.0555555555555558"/>
    <s v="-"/>
    <n v="8.0399999999999991"/>
    <n v="0.37"/>
    <m/>
    <m/>
    <m/>
    <m/>
    <s v="ATENDE"/>
    <s v="ATENDE"/>
    <s v="ATENDE"/>
    <s v="ATENDE"/>
    <s v="C5"/>
    <s v="P6"/>
    <n v="1.31"/>
    <n v="6.93"/>
    <n v="2.39"/>
    <n v="3"/>
    <n v="0.6"/>
    <s v="ATENDE"/>
    <s v="ATENDE"/>
    <s v="ATENDE"/>
    <s v="P6"/>
    <n v="0.34999999999999987"/>
    <n v="4.05"/>
    <n v="1.93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"/>
    <m/>
    <s v=""/>
    <s v=""/>
    <m/>
    <m/>
    <m/>
    <m/>
    <m/>
    <m/>
    <n v="28"/>
    <n v="50"/>
    <n v="78"/>
    <n v="0.43999999999999995"/>
    <m/>
    <m/>
    <s v="Sim"/>
    <m/>
  </r>
  <r>
    <n v="61"/>
    <s v="PVP"/>
    <s v="Rua Assis Brasil, 616"/>
    <n v="-30.014125"/>
    <n v="-50.157004999999998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1.5"/>
    <n v="6.5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800000000000007"/>
    <n v="1.5"/>
    <s v="-"/>
    <n v="9.9600000000000009"/>
    <n v="0.45"/>
    <m/>
    <m/>
    <m/>
    <m/>
    <s v="ATENDE"/>
    <s v="ATENDE"/>
    <s v="ATENDE"/>
    <s v="ATENDE"/>
    <s v="C5"/>
    <s v="P6"/>
    <n v="1.69"/>
    <n v="8.07"/>
    <n v="1.82"/>
    <n v="3"/>
    <n v="0.6"/>
    <s v="ATENDE"/>
    <s v="ATENDE"/>
    <s v="ATENDE"/>
    <s v="P6"/>
    <n v="0.23333333333333339"/>
    <n v="3.7"/>
    <n v="1.7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"/>
    <m/>
    <s v=""/>
    <s v=""/>
    <m/>
    <m/>
    <m/>
    <m/>
    <m/>
    <m/>
    <n v="31"/>
    <n v="50"/>
    <n v="81"/>
    <n v="0.38"/>
    <m/>
    <m/>
    <s v="Sim"/>
    <m/>
  </r>
  <r>
    <n v="61"/>
    <s v="PVP"/>
    <s v="Rua Assis Brasil, 616"/>
    <n v="-30.014125"/>
    <n v="-50.157004999999998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1.5"/>
    <n v="6.5"/>
    <n v="1"/>
    <n v="0.3"/>
    <n v="1"/>
    <n v="0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000000000000004"/>
    <n v="1.7777777777777777"/>
    <s v="-"/>
    <n v="9.75"/>
    <n v="0.5"/>
    <m/>
    <m/>
    <m/>
    <m/>
    <s v="ATENDE"/>
    <s v="ATENDE"/>
    <s v="ATENDE"/>
    <s v="ATENDE"/>
    <s v="C5"/>
    <s v="P6"/>
    <n v="1.7033333333333331"/>
    <n v="8.11"/>
    <n v="3.39"/>
    <n v="3"/>
    <n v="0.6"/>
    <s v="ATENDE"/>
    <s v="ATENDE"/>
    <s v="ATENDE"/>
    <s v="P6"/>
    <n v="0.21333333333333337"/>
    <n v="3.64"/>
    <n v="2.22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"/>
    <m/>
    <s v=""/>
    <s v=""/>
    <m/>
    <m/>
    <m/>
    <m/>
    <m/>
    <m/>
    <n v="30"/>
    <n v="50"/>
    <n v="80"/>
    <n v="0.4"/>
    <m/>
    <m/>
    <s v="Sim"/>
    <m/>
  </r>
  <r>
    <n v="62"/>
    <s v="PVP"/>
    <s v="Rua Prudente de Morais, 1179"/>
    <n v="-30.017402000000001"/>
    <n v="-50.159571"/>
    <x v="1"/>
    <s v="-"/>
    <x v="1"/>
    <s v="Vapor de sódio"/>
    <n v="150"/>
    <n v="22"/>
    <n v="0"/>
    <n v="300"/>
    <n v="2"/>
    <n v="3"/>
    <n v="6"/>
    <m/>
    <m/>
    <n v="0"/>
    <n v="3"/>
    <n v="0"/>
    <n v="0"/>
    <n v="0"/>
    <n v="0"/>
    <n v="0"/>
    <s v="Unilateral"/>
    <s v="Braço"/>
    <n v="41.7"/>
    <n v="6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3333333333333437E-2"/>
    <n v="0.11111111111111116"/>
    <s v="-"/>
    <n v="7.75"/>
    <n v="0.2"/>
    <m/>
    <m/>
    <m/>
    <m/>
    <s v="ATENDE"/>
    <s v="ATENDE"/>
    <s v="ATENDE"/>
    <s v="ATENDE"/>
    <s v="C5"/>
    <s v="P6"/>
    <n v="0.7300000000000002"/>
    <n v="5.19"/>
    <n v="0.83"/>
    <n v="3"/>
    <n v="0.6"/>
    <s v="ATENDE"/>
    <s v="ATENDE"/>
    <s v="ATENDE"/>
    <s v="-"/>
    <e v="#VALUE!"/>
    <n v="5.5"/>
    <n v="1.43"/>
    <s v="-"/>
    <s v="-"/>
    <s v="-"/>
    <s v="-"/>
    <s v="-"/>
    <x v="0"/>
    <s v=" SL VT 9.1 35W"/>
    <s v="LUM LED SL VT 9.1 35W"/>
    <m/>
    <e v="#N/A"/>
    <n v="1"/>
    <n v="35"/>
    <e v="#N/A"/>
    <n v="5955.62"/>
    <n v="0"/>
    <n v="0"/>
    <m/>
    <s v="Curto II"/>
    <s v="Médio I"/>
    <n v="1.8"/>
    <n v="7"/>
    <m/>
    <m/>
    <m/>
    <m/>
    <m/>
    <m/>
    <n v="35"/>
    <n v="150"/>
    <n v="185"/>
    <n v="0.76666666666666661"/>
    <m/>
    <m/>
    <s v="Sim"/>
    <m/>
  </r>
  <r>
    <n v="62"/>
    <s v="PVP"/>
    <s v="Rua Prudente de Morais, 1179"/>
    <n v="-30.017402000000001"/>
    <n v="-50.159571"/>
    <x v="1"/>
    <s v="-"/>
    <x v="1"/>
    <s v="Vapor de sódio"/>
    <n v="150"/>
    <n v="22"/>
    <n v="0"/>
    <n v="300"/>
    <n v="2"/>
    <n v="3"/>
    <n v="6"/>
    <m/>
    <m/>
    <n v="0"/>
    <n v="3"/>
    <n v="0"/>
    <n v="0"/>
    <n v="0"/>
    <n v="0"/>
    <n v="0"/>
    <s v="Unilateral"/>
    <s v="Braço"/>
    <n v="41.7"/>
    <n v="6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733333333333334"/>
    <n v="0.22222222222222232"/>
    <s v="-"/>
    <n v="8.83"/>
    <n v="0.22"/>
    <m/>
    <m/>
    <m/>
    <m/>
    <s v="ATENDE"/>
    <s v="ATENDE"/>
    <s v="ATENDE"/>
    <s v="ATENDE"/>
    <s v="C5"/>
    <s v="P6"/>
    <n v="0.97666666666666657"/>
    <n v="5.93"/>
    <n v="0.82"/>
    <n v="3"/>
    <n v="0.6"/>
    <s v="ATENDE"/>
    <s v="ATENDE"/>
    <s v="ATENDE"/>
    <s v="-"/>
    <e v="#VALUE!"/>
    <n v="6.01"/>
    <n v="2.14"/>
    <s v="-"/>
    <s v="-"/>
    <s v="-"/>
    <s v="-"/>
    <s v="-"/>
    <x v="1"/>
    <s v="SX-INEVO040HF"/>
    <s v="SXINEVO040K40L12CZF7PHF"/>
    <m/>
    <e v="#N/A"/>
    <n v="1"/>
    <n v="39"/>
    <e v="#N/A"/>
    <n v="6552"/>
    <n v="0"/>
    <n v="0"/>
    <m/>
    <s v="Curto II"/>
    <s v="Médio I"/>
    <n v="1.8"/>
    <n v="7"/>
    <m/>
    <m/>
    <m/>
    <m/>
    <m/>
    <m/>
    <n v="39"/>
    <n v="150"/>
    <n v="189"/>
    <n v="0.74"/>
    <m/>
    <m/>
    <s v="Sim"/>
    <m/>
  </r>
  <r>
    <n v="62"/>
    <s v="PVP"/>
    <s v="Rua Prudente de Morais, 1179"/>
    <n v="-30.017402000000001"/>
    <n v="-50.159571"/>
    <x v="1"/>
    <s v="-"/>
    <x v="1"/>
    <s v="Vapor de sódio"/>
    <n v="150"/>
    <n v="22"/>
    <n v="0"/>
    <n v="300"/>
    <n v="2"/>
    <n v="3"/>
    <n v="6"/>
    <m/>
    <m/>
    <n v="0"/>
    <n v="3"/>
    <n v="0"/>
    <n v="0"/>
    <n v="0"/>
    <n v="0"/>
    <n v="0"/>
    <s v="Unilateral"/>
    <s v="Braço"/>
    <n v="41.7"/>
    <n v="6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0000000000000036E-3"/>
    <n v="0.16666666666666674"/>
    <s v="-"/>
    <n v="7.53"/>
    <n v="0.21"/>
    <m/>
    <m/>
    <m/>
    <m/>
    <s v="ATENDE"/>
    <s v="ATENDE"/>
    <s v="ATENDE"/>
    <s v="ATENDE"/>
    <s v="C5"/>
    <s v="P6"/>
    <n v="0.58000000000000007"/>
    <n v="4.74"/>
    <n v="0.94"/>
    <n v="3"/>
    <n v="0.6"/>
    <s v="ATENDE"/>
    <s v="ATENDE"/>
    <s v="ATENDE"/>
    <s v="-"/>
    <e v="#VALUE!"/>
    <n v="4.49"/>
    <n v="1.46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s v="Médio I"/>
    <n v="1.8"/>
    <n v="7"/>
    <m/>
    <m/>
    <m/>
    <m/>
    <m/>
    <m/>
    <n v="30"/>
    <n v="150"/>
    <n v="180"/>
    <n v="0.8"/>
    <m/>
    <m/>
    <s v="Sim"/>
    <m/>
  </r>
  <r>
    <n v="64"/>
    <s v="V"/>
    <s v="Avenida Minas Gerais, 380"/>
    <n v="-30.022662"/>
    <n v="-50.149965999999999"/>
    <x v="3"/>
    <s v="-"/>
    <x v="2"/>
    <s v="Vapor de sódio"/>
    <n v="250"/>
    <n v="30"/>
    <n v="0"/>
    <n v="500"/>
    <n v="2"/>
    <n v="0"/>
    <n v="7.5"/>
    <m/>
    <m/>
    <n v="0"/>
    <n v="0"/>
    <n v="0"/>
    <n v="0"/>
    <n v="0"/>
    <n v="0"/>
    <n v="0"/>
    <s v="Unilateral"/>
    <s v="Braço"/>
    <n v="40.1"/>
    <n v="8.5"/>
    <n v="1"/>
    <n v="10.7"/>
    <n v="2.5"/>
    <n v="-8.199999999999999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4.3500000000000094E-2"/>
    <n v="0.60714285714285698"/>
    <s v="-"/>
    <n v="20.87"/>
    <n v="0.45"/>
    <m/>
    <m/>
    <m/>
    <m/>
    <s v="ATENDE"/>
    <s v="ATENDE"/>
    <s v="ATENDE"/>
    <s v="ATENDE"/>
    <s v="C2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200W"/>
    <s v="LUM LED SL VT 9.1 200W"/>
    <m/>
    <n v="0"/>
    <n v="1"/>
    <n v="200"/>
    <n v="0"/>
    <n v="32521"/>
    <n v="0"/>
    <n v="0"/>
    <n v="10"/>
    <s v="Médio II"/>
    <s v="Longo II"/>
    <n v="3.5"/>
    <n v="8.5"/>
    <m/>
    <m/>
    <m/>
    <m/>
    <m/>
    <m/>
    <n v="200"/>
    <n v="250"/>
    <n v="450"/>
    <n v="0.19999999999999996"/>
    <m/>
    <m/>
    <s v="Sim"/>
    <m/>
  </r>
  <r>
    <n v="64"/>
    <s v="V"/>
    <s v="Avenida Minas Gerais, 380"/>
    <n v="-30.022662"/>
    <n v="-50.149965999999999"/>
    <x v="3"/>
    <s v="-"/>
    <x v="2"/>
    <s v="Vapor de sódio"/>
    <n v="250"/>
    <n v="30"/>
    <n v="0"/>
    <n v="500"/>
    <n v="2"/>
    <n v="0"/>
    <n v="7.5"/>
    <m/>
    <m/>
    <n v="0"/>
    <n v="0"/>
    <n v="0"/>
    <n v="0"/>
    <n v="0"/>
    <n v="0"/>
    <n v="0"/>
    <s v="Unilateral"/>
    <s v="Braço"/>
    <n v="40.1"/>
    <n v="8.5"/>
    <n v="1"/>
    <n v="10.7"/>
    <n v="2.5"/>
    <n v="-8.199999999999999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-3.5000000000000586E-3"/>
    <n v="0.9285714285714286"/>
    <s v="-"/>
    <n v="19.93"/>
    <n v="0.54"/>
    <m/>
    <m/>
    <m/>
    <m/>
    <s v="ATENDE"/>
    <s v="ATENDIMENTO LIMIAR"/>
    <s v="ATENDE"/>
    <s v="ATENDE"/>
    <s v="C2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LPP120HF"/>
    <s v="SXINLPP120K40L12CZF7PHF"/>
    <m/>
    <n v="0"/>
    <n v="1"/>
    <n v="120"/>
    <n v="0"/>
    <n v="20748"/>
    <n v="0"/>
    <n v="0"/>
    <n v="10"/>
    <s v="Médio II"/>
    <s v="Longo II"/>
    <n v="3.5"/>
    <n v="8.5"/>
    <s v="APEA"/>
    <n v="1"/>
    <m/>
    <s v="Redução do distanciamento entre postes de 40.10 para 20.05"/>
    <m/>
    <m/>
    <n v="120"/>
    <n v="250"/>
    <n v="370"/>
    <n v="0.52"/>
    <m/>
    <m/>
    <s v="Sim"/>
    <m/>
  </r>
  <r>
    <n v="64"/>
    <s v="V"/>
    <s v="Avenida Minas Gerais, 380"/>
    <n v="-30.022662"/>
    <n v="-50.149965999999999"/>
    <x v="3"/>
    <s v="-"/>
    <x v="2"/>
    <s v="Vapor de sódio"/>
    <n v="250"/>
    <n v="30"/>
    <n v="0"/>
    <n v="500"/>
    <n v="2"/>
    <n v="0"/>
    <n v="7.5"/>
    <m/>
    <m/>
    <n v="0"/>
    <n v="0"/>
    <n v="0"/>
    <n v="0"/>
    <n v="0"/>
    <n v="0"/>
    <n v="0"/>
    <s v="Unilateral"/>
    <s v="Braço"/>
    <n v="40.1"/>
    <n v="8.5"/>
    <n v="1"/>
    <n v="10.7"/>
    <n v="2.5"/>
    <n v="-8.1999999999999993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25"/>
    <n v="1"/>
    <s v="-"/>
    <n v="22.5"/>
    <n v="0.56000000000000005"/>
    <m/>
    <m/>
    <m/>
    <m/>
    <s v="ATENDE"/>
    <s v="ATENDE"/>
    <s v="ATENDE"/>
    <s v="ATENDE"/>
    <s v="C2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MAGPTLRRSMNDL150W102IBBR_x000a_"/>
    <s v="SIGMAGPTLRRSMNDL150W102IBBR_x000a_S1-10C1MUN6.5"/>
    <m/>
    <n v="0"/>
    <n v="1"/>
    <n v="150"/>
    <n v="0"/>
    <n v="23000"/>
    <n v="0"/>
    <n v="0"/>
    <n v="10"/>
    <s v="Médio II"/>
    <s v="Longo II"/>
    <n v="3.5"/>
    <n v="8.5"/>
    <s v="APEA"/>
    <n v="1"/>
    <m/>
    <s v="Redução do distanciamento entre postes de 40.10 para 20.05"/>
    <m/>
    <m/>
    <n v="150"/>
    <n v="250"/>
    <n v="400"/>
    <n v="0.4"/>
    <m/>
    <m/>
    <s v="Sim"/>
    <m/>
  </r>
  <r>
    <n v="65"/>
    <s v="PVP"/>
    <s v="Rua Parma, 243"/>
    <n v="-30.022981000000001"/>
    <n v="-50.15000400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1.4444444444444446"/>
    <s v="-"/>
    <n v="10.48"/>
    <n v="0.44"/>
    <m/>
    <m/>
    <m/>
    <m/>
    <s v="ATENDE"/>
    <s v="ATENDE"/>
    <s v="ATENDE"/>
    <s v="ATENDE"/>
    <s v="C4"/>
    <s v="P6"/>
    <n v="1.9566666666666666"/>
    <n v="8.8699999999999992"/>
    <n v="3.64"/>
    <n v="3"/>
    <n v="0.6"/>
    <s v="ATENDE"/>
    <s v="ATENDE"/>
    <s v="ATENDE"/>
    <s v="P6"/>
    <n v="1.23"/>
    <n v="6.69"/>
    <n v="3.55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65"/>
    <s v="PVP"/>
    <s v="Rua Parma, 243"/>
    <n v="-30.022981000000001"/>
    <n v="-50.15000400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5000000000000124E-2"/>
    <n v="1.8888888888888893"/>
    <s v="-"/>
    <n v="10.15"/>
    <n v="0.52"/>
    <m/>
    <m/>
    <m/>
    <m/>
    <s v="ATENDE"/>
    <s v="ATENDE"/>
    <s v="ATENDE"/>
    <s v="ATENDE"/>
    <s v="C4"/>
    <s v="P6"/>
    <n v="1.2200000000000002"/>
    <n v="6.66"/>
    <n v="3.13"/>
    <n v="3"/>
    <n v="0.6"/>
    <s v="ATENDE"/>
    <s v="ATENDE"/>
    <s v="ATENDE"/>
    <s v="P6"/>
    <n v="1.4566666666666666"/>
    <n v="7.37"/>
    <n v="5.3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Médio II"/>
    <n v="2.4"/>
    <n v="7.5"/>
    <m/>
    <m/>
    <m/>
    <m/>
    <m/>
    <m/>
    <n v="39"/>
    <n v="100"/>
    <n v="139"/>
    <n v="0.61"/>
    <m/>
    <m/>
    <s v="Sim"/>
    <m/>
  </r>
  <r>
    <n v="65"/>
    <s v="PVP"/>
    <s v="Rua Parma, 243"/>
    <n v="-30.022981000000001"/>
    <n v="-50.15000400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200000000000012"/>
    <n v="1.8888888888888893"/>
    <s v="-"/>
    <n v="11.32"/>
    <n v="0.52"/>
    <m/>
    <m/>
    <m/>
    <m/>
    <s v="ATENDE"/>
    <s v="ATENDE"/>
    <s v="ATENDE"/>
    <s v="ATENDE"/>
    <s v="C4"/>
    <s v="P6"/>
    <n v="1.9833333333333329"/>
    <n v="8.9499999999999993"/>
    <n v="4.3600000000000003"/>
    <n v="3"/>
    <n v="0.6"/>
    <s v="ATENDE"/>
    <s v="ATENDE"/>
    <s v="ATENDE"/>
    <s v="P6"/>
    <n v="0.68666666666666654"/>
    <n v="5.0599999999999996"/>
    <n v="2.9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63"/>
    <s v="PVP"/>
    <s v="Rua Santa Clara, 320"/>
    <n v="-30.011085999999999"/>
    <n v="-50.156753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0.33333333333333326"/>
    <s v="-"/>
    <n v="7.89"/>
    <n v="0.24"/>
    <m/>
    <m/>
    <m/>
    <m/>
    <s v="ATENDE"/>
    <s v="ATENDE"/>
    <s v="ATENDE"/>
    <s v="ATENDE"/>
    <s v="C5"/>
    <s v="P6"/>
    <n v="0.86333333333333329"/>
    <n v="5.59"/>
    <n v="1.1299999999999999"/>
    <n v="3"/>
    <n v="0.6"/>
    <s v="ATENDE"/>
    <s v="ATENDE"/>
    <s v="ATENDE"/>
    <s v="P6"/>
    <n v="0.67999999999999994"/>
    <n v="5.04"/>
    <n v="1.5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s v="Médio I"/>
    <n v="1.8"/>
    <n v="7"/>
    <m/>
    <m/>
    <m/>
    <m/>
    <m/>
    <m/>
    <n v="35"/>
    <n v="100"/>
    <n v="135"/>
    <n v="0.65"/>
    <m/>
    <m/>
    <s v="Sim"/>
    <m/>
  </r>
  <r>
    <n v="63"/>
    <s v="PVP"/>
    <s v="Rua Santa Clara, 320"/>
    <n v="-30.011085999999999"/>
    <n v="-50.156753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600000000000017"/>
    <n v="0.44444444444444464"/>
    <s v="-"/>
    <n v="8.9700000000000006"/>
    <n v="0.26"/>
    <m/>
    <m/>
    <m/>
    <m/>
    <s v="ATENDE"/>
    <s v="ATENDE"/>
    <s v="ATENDE"/>
    <s v="ATENDE"/>
    <s v="C5"/>
    <s v="P6"/>
    <n v="1.1366666666666667"/>
    <n v="6.41"/>
    <n v="1.1599999999999999"/>
    <n v="3"/>
    <n v="0.6"/>
    <s v="ATENDE"/>
    <s v="ATENDE"/>
    <s v="ATENDE"/>
    <s v="P6"/>
    <n v="0.8"/>
    <n v="5.4"/>
    <n v="2.259999999999999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Médio I"/>
    <n v="1.8"/>
    <n v="7"/>
    <m/>
    <m/>
    <m/>
    <m/>
    <m/>
    <m/>
    <n v="39"/>
    <n v="100"/>
    <n v="139"/>
    <n v="0.61"/>
    <m/>
    <m/>
    <s v="Sim"/>
    <m/>
  </r>
  <r>
    <n v="63"/>
    <s v="PVP"/>
    <s v="Rua Santa Clara, 320"/>
    <n v="-30.011085999999999"/>
    <n v="-50.156753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1"/>
    <n v="6.1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0000000000000071E-3"/>
    <n v="0.44444444444444464"/>
    <s v="-"/>
    <n v="7.56"/>
    <n v="0.26"/>
    <m/>
    <m/>
    <m/>
    <m/>
    <s v="ATENDE"/>
    <s v="ATENDE"/>
    <s v="ATENDE"/>
    <s v="ATENDE"/>
    <s v="C5"/>
    <s v="P6"/>
    <n v="0.7"/>
    <n v="5.0999999999999996"/>
    <n v="1.26"/>
    <n v="3"/>
    <n v="0.6"/>
    <s v="ATENDE"/>
    <s v="ATENDE"/>
    <s v="ATENDE"/>
    <s v="P6"/>
    <n v="0.32333333333333347"/>
    <n v="3.97"/>
    <n v="1.6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s v="Médio I"/>
    <n v="1.8"/>
    <n v="7"/>
    <m/>
    <m/>
    <m/>
    <m/>
    <m/>
    <m/>
    <n v="30"/>
    <n v="100"/>
    <n v="130"/>
    <n v="0.7"/>
    <m/>
    <m/>
    <s v="Sim"/>
    <m/>
  </r>
  <r>
    <n v="66"/>
    <s v="PVP"/>
    <s v="Rua do Sal, 510"/>
    <n v="-30.022400000000001"/>
    <n v="-50.145620999999998"/>
    <x v="1"/>
    <s v="-"/>
    <x v="0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40.299999999999997"/>
    <n v="7.6"/>
    <n v="1"/>
    <n v="0.4"/>
    <n v="1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599999999999992"/>
    <n v="0.7777777777777779"/>
    <s v="-"/>
    <n v="8.67"/>
    <n v="0.32"/>
    <m/>
    <m/>
    <m/>
    <m/>
    <s v="ATENDE"/>
    <s v="ATENDE"/>
    <s v="ATENDE"/>
    <s v="ATENDE"/>
    <s v="C5"/>
    <s v="P5"/>
    <n v="0.41599999999999993"/>
    <n v="7.08"/>
    <n v="2.17"/>
    <n v="5"/>
    <n v="1"/>
    <s v="ATENDE"/>
    <s v="ATENDE"/>
    <s v="ATENDE"/>
    <s v="-"/>
    <e v="#VALUE!"/>
    <n v="5.76"/>
    <n v="2.42"/>
    <s v="-"/>
    <s v="-"/>
    <s v="-"/>
    <s v="-"/>
    <s v="-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66"/>
    <s v="PVP"/>
    <s v="Rua do Sal, 510"/>
    <n v="-30.022400000000001"/>
    <n v="-50.145620999999998"/>
    <x v="1"/>
    <s v="-"/>
    <x v="0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40.299999999999997"/>
    <n v="7.6"/>
    <n v="1"/>
    <n v="0.4"/>
    <n v="1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000000000000009"/>
    <n v="1.0555555555555558"/>
    <s v="-"/>
    <n v="8.25"/>
    <n v="0.37"/>
    <m/>
    <m/>
    <m/>
    <m/>
    <s v="ATENDE"/>
    <s v="ATENDE"/>
    <s v="ATENDE"/>
    <s v="ATENDE"/>
    <s v="C5"/>
    <s v="P5"/>
    <n v="0.34200000000000008"/>
    <n v="6.71"/>
    <n v="1.82"/>
    <n v="5"/>
    <n v="1"/>
    <s v="ATENDE"/>
    <s v="ATENDE"/>
    <s v="ATENDE"/>
    <s v="-"/>
    <e v="#VALUE!"/>
    <n v="5.15"/>
    <n v="2.85"/>
    <s v="-"/>
    <s v="-"/>
    <s v="-"/>
    <s v="-"/>
    <s v="-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66"/>
    <s v="PVP"/>
    <s v="Rua do Sal, 510"/>
    <n v="-30.022400000000001"/>
    <n v="-50.145620999999998"/>
    <x v="1"/>
    <s v="-"/>
    <x v="0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40.299999999999997"/>
    <n v="7.6"/>
    <n v="1"/>
    <n v="0.4"/>
    <n v="1.5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733333333333317"/>
    <n v="0.50000000000000022"/>
    <s v="-"/>
    <n v="9.2799999999999994"/>
    <n v="0.27"/>
    <m/>
    <m/>
    <m/>
    <m/>
    <s v="ATENDE"/>
    <s v="ATENDE"/>
    <s v="ATENDE"/>
    <s v="ATENDE"/>
    <s v="C5"/>
    <s v="P5"/>
    <n v="0.30200000000000005"/>
    <n v="6.51"/>
    <n v="1.49"/>
    <n v="5"/>
    <n v="1"/>
    <s v="ATENDE"/>
    <s v="ATENDE"/>
    <s v="ATENDE"/>
    <s v="-"/>
    <e v="#VALUE!"/>
    <n v="5.13"/>
    <n v="2.37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4"/>
    <s v="Curto II"/>
    <m/>
    <s v=""/>
    <s v=""/>
    <m/>
    <m/>
    <m/>
    <m/>
    <m/>
    <m/>
    <n v="40"/>
    <n v="50"/>
    <n v="90"/>
    <n v="0.19999999999999996"/>
    <m/>
    <m/>
    <s v="Sim"/>
    <m/>
  </r>
  <r>
    <n v="68"/>
    <s v="PVP"/>
    <s v="Rua Antonio Jose da Costa, 1734"/>
    <n v="-30.021481000000001"/>
    <n v="-50.146872999999999"/>
    <x v="2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7.5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499999999999998"/>
    <n v="0.94444444444444442"/>
    <s v="-"/>
    <n v="11.05"/>
    <n v="0.35"/>
    <m/>
    <m/>
    <m/>
    <m/>
    <s v="ATENDE"/>
    <s v="ATENDE"/>
    <s v="ATENDE"/>
    <s v="ATENDE"/>
    <s v="C4"/>
    <s v="P6"/>
    <n v="1.9933333333333336"/>
    <n v="8.98"/>
    <n v="3.01"/>
    <n v="3"/>
    <n v="0.6"/>
    <s v="ATENDE"/>
    <s v="ATENDE"/>
    <s v="ATENDE"/>
    <s v="P6"/>
    <n v="1.4133333333333336"/>
    <n v="7.24"/>
    <n v="3.18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Médio I"/>
    <m/>
    <s v=""/>
    <s v=""/>
    <m/>
    <m/>
    <m/>
    <m/>
    <m/>
    <m/>
    <n v="52"/>
    <n v="50"/>
    <n v="102"/>
    <n v="-4.0000000000000036E-2"/>
    <m/>
    <m/>
    <s v="Sim"/>
    <m/>
  </r>
  <r>
    <n v="68"/>
    <s v="PVP"/>
    <s v="Rua Antonio Jose da Costa, 1734"/>
    <n v="-30.021481000000001"/>
    <n v="-50.146872999999999"/>
    <x v="2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7.5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800000000000005"/>
    <n v="1.2222222222222223"/>
    <s v="-"/>
    <n v="13.08"/>
    <n v="0.4"/>
    <m/>
    <m/>
    <m/>
    <m/>
    <s v="ATENDE"/>
    <s v="ATENDE"/>
    <s v="ATENDE"/>
    <s v="ATENDE"/>
    <s v="C4"/>
    <s v="P6"/>
    <n v="2.3566666666666669"/>
    <n v="10.07"/>
    <n v="2.68"/>
    <n v="3"/>
    <n v="0.6"/>
    <s v="ATENDE"/>
    <s v="ATENDE"/>
    <s v="ATENDE"/>
    <s v="P6"/>
    <n v="1.8233333333333337"/>
    <n v="8.4700000000000006"/>
    <n v="5.61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Médio I"/>
    <m/>
    <s v=""/>
    <s v=""/>
    <m/>
    <m/>
    <m/>
    <m/>
    <m/>
    <m/>
    <n v="50"/>
    <n v="50"/>
    <n v="100"/>
    <n v="0"/>
    <m/>
    <m/>
    <s v="Sim"/>
    <m/>
  </r>
  <r>
    <n v="68"/>
    <s v="PVP"/>
    <s v="Rua Antonio Jose da Costa, 1734"/>
    <n v="-30.021481000000001"/>
    <n v="-50.146872999999999"/>
    <x v="2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7.5"/>
    <n v="7.5"/>
    <n v="1"/>
    <n v="0.5"/>
    <n v="1.6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2"/>
    <n v="1"/>
    <s v="-"/>
    <n v="10.199999999999999"/>
    <n v="0.36"/>
    <m/>
    <m/>
    <m/>
    <m/>
    <s v="ATENDE"/>
    <s v="ATENDE"/>
    <s v="ATENDE"/>
    <s v="ATENDE"/>
    <s v="C4"/>
    <s v="P6"/>
    <n v="1.5566666666666666"/>
    <n v="7.67"/>
    <n v="2.52"/>
    <n v="3"/>
    <n v="0.6"/>
    <s v="ATENDE"/>
    <s v="ATENDE"/>
    <s v="ATENDE"/>
    <s v="P6"/>
    <n v="0.59999999999999987"/>
    <n v="4.8"/>
    <n v="2.180000000000000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Médio I"/>
    <m/>
    <s v=""/>
    <s v=""/>
    <m/>
    <m/>
    <m/>
    <m/>
    <m/>
    <m/>
    <n v="40"/>
    <n v="50"/>
    <n v="90"/>
    <n v="0.19999999999999996"/>
    <m/>
    <m/>
    <s v="Sim"/>
    <m/>
  </r>
  <r>
    <n v="67"/>
    <s v="PVP"/>
    <s v="Rua Marcilio Dias, 568"/>
    <n v="-30.020538999999999"/>
    <n v="-50.144399999999997"/>
    <x v="1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9.2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000000000000009"/>
    <n v="1.5555555555555558"/>
    <s v="-"/>
    <n v="8.25"/>
    <n v="0.46"/>
    <m/>
    <m/>
    <m/>
    <m/>
    <s v="ATENDE"/>
    <s v="ATENDE"/>
    <s v="ATENDE"/>
    <s v="ATENDE"/>
    <s v="C5"/>
    <s v="P6"/>
    <n v="1.4433333333333334"/>
    <n v="7.33"/>
    <n v="3.33"/>
    <n v="3"/>
    <n v="0.6"/>
    <s v="ATENDE"/>
    <s v="ATENDE"/>
    <s v="ATENDE"/>
    <s v="P6"/>
    <n v="0.57333333333333325"/>
    <n v="4.72"/>
    <n v="2.6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67"/>
    <s v="PVP"/>
    <s v="Rua Marcilio Dias, 568"/>
    <n v="-30.020538999999999"/>
    <n v="-50.144399999999997"/>
    <x v="1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9.2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6799999999999988"/>
    <n v="2.6111111111111112"/>
    <s v="-"/>
    <n v="10.26"/>
    <n v="0.65"/>
    <m/>
    <m/>
    <m/>
    <m/>
    <s v="ATENDE"/>
    <s v="ATENDE"/>
    <s v="ATENDE"/>
    <s v="ATENDE"/>
    <s v="C5"/>
    <s v="P6"/>
    <n v="1.9"/>
    <n v="8.6999999999999993"/>
    <n v="4.2"/>
    <n v="3"/>
    <n v="0.6"/>
    <s v="ATENDE"/>
    <s v="ATENDE"/>
    <s v="ATENDE"/>
    <s v="P6"/>
    <n v="0.59666666666666668"/>
    <n v="4.79"/>
    <n v="2.92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67"/>
    <s v="PVP"/>
    <s v="Rua Marcilio Dias, 568"/>
    <n v="-30.020538999999999"/>
    <n v="-50.144399999999997"/>
    <x v="1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9.2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533333333333327"/>
    <n v="2.4444444444444446"/>
    <s v="-"/>
    <n v="10.09"/>
    <n v="0.62"/>
    <m/>
    <m/>
    <m/>
    <m/>
    <s v="ATENDE"/>
    <s v="ATENDE"/>
    <s v="ATENDE"/>
    <s v="ATENDE"/>
    <s v="C5"/>
    <s v="P6"/>
    <n v="1.8833333333333333"/>
    <n v="8.65"/>
    <n v="5.04"/>
    <n v="3"/>
    <n v="0.6"/>
    <s v="ATENDE"/>
    <s v="ATENDE"/>
    <s v="ATENDE"/>
    <s v="P6"/>
    <n v="0.49666666666666681"/>
    <n v="4.49"/>
    <n v="3.1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69"/>
    <s v="PVP"/>
    <s v="Rua Antonio Jose de Oliveira, 653"/>
    <n v="-30.020644000000001"/>
    <n v="-50.148105000000001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"/>
    <n v="6.8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1.2777777777777777"/>
    <s v="-"/>
    <n v="8.01"/>
    <n v="0.41"/>
    <m/>
    <m/>
    <m/>
    <m/>
    <s v="ATENDE"/>
    <s v="ATENDE"/>
    <s v="ATENDE"/>
    <s v="ATENDE"/>
    <s v="C5"/>
    <s v="P6"/>
    <n v="1.1600000000000001"/>
    <n v="6.48"/>
    <n v="2.5299999999999998"/>
    <n v="3"/>
    <n v="0.6"/>
    <s v="ATENDE"/>
    <s v="ATENDE"/>
    <s v="ATENDE"/>
    <s v="P6"/>
    <n v="0.5199999999999998"/>
    <n v="4.5599999999999996"/>
    <n v="2.279999999999999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69"/>
    <s v="PVP"/>
    <s v="Rua Antonio Jose de Oliveira, 653"/>
    <n v="-30.020644000000001"/>
    <n v="-50.148105000000001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"/>
    <n v="6.8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800000000000007"/>
    <n v="1.7777777777777777"/>
    <s v="-"/>
    <n v="9.9600000000000009"/>
    <n v="0.5"/>
    <m/>
    <m/>
    <m/>
    <m/>
    <s v="ATENDE"/>
    <s v="ATENDE"/>
    <s v="ATENDE"/>
    <s v="ATENDE"/>
    <s v="C5"/>
    <s v="P6"/>
    <n v="1.4833333333333334"/>
    <n v="7.45"/>
    <n v="2.2000000000000002"/>
    <n v="3"/>
    <n v="0.6"/>
    <s v="ATENDE"/>
    <s v="ATENDE"/>
    <s v="ATENDE"/>
    <s v="P6"/>
    <n v="0.54"/>
    <n v="4.62"/>
    <n v="2.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69"/>
    <s v="PVP"/>
    <s v="Rua Antonio Jose de Oliveira, 653"/>
    <n v="-30.020644000000001"/>
    <n v="-50.148105000000001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1"/>
    <n v="6.8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666666666666687"/>
    <n v="2.1666666666666665"/>
    <s v="-"/>
    <n v="9.8000000000000007"/>
    <n v="0.56999999999999995"/>
    <m/>
    <m/>
    <m/>
    <m/>
    <s v="ATENDE"/>
    <s v="ATENDE"/>
    <s v="ATENDE"/>
    <s v="ATENDE"/>
    <s v="C5"/>
    <s v="P6"/>
    <n v="1.5066666666666664"/>
    <n v="7.52"/>
    <n v="3.71"/>
    <n v="3"/>
    <n v="0.6"/>
    <s v="ATENDE"/>
    <s v="ATENDE"/>
    <s v="ATENDE"/>
    <s v="P6"/>
    <n v="0.44666666666666655"/>
    <n v="4.34"/>
    <n v="2.9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70"/>
    <s v="PVP"/>
    <s v="Rua Vergueiro, 112"/>
    <n v="-30.017878"/>
    <n v="-50.153658999999998"/>
    <x v="1"/>
    <s v="-"/>
    <x v="1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5.6"/>
    <n v="7.5"/>
    <n v="1"/>
    <n v="0.4"/>
    <n v="2"/>
    <n v="1.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86666666666667"/>
    <n v="1.1111111111111112"/>
    <s v="-"/>
    <n v="8.39"/>
    <n v="0.38"/>
    <m/>
    <m/>
    <m/>
    <m/>
    <s v="ATENDE"/>
    <s v="ATENDE"/>
    <s v="ATENDE"/>
    <s v="ATENDE"/>
    <s v="C5"/>
    <s v="P6"/>
    <n v="0.88333333333333353"/>
    <n v="5.65"/>
    <n v="2.58"/>
    <n v="3"/>
    <n v="0.6"/>
    <s v="ATENDE"/>
    <s v="ATENDE"/>
    <s v="ATENDE"/>
    <s v="P6"/>
    <n v="0.89333333333333331"/>
    <n v="5.68"/>
    <n v="2.09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n v="8"/>
    <s v="Médio I"/>
    <m/>
    <s v=""/>
    <s v=""/>
    <m/>
    <m/>
    <m/>
    <m/>
    <m/>
    <m/>
    <n v="35"/>
    <n v="50"/>
    <n v="85"/>
    <n v="0.30000000000000004"/>
    <m/>
    <m/>
    <s v="Sim"/>
    <m/>
  </r>
  <r>
    <n v="70"/>
    <s v="PVP"/>
    <s v="Rua Vergueiro, 112"/>
    <n v="-30.017878"/>
    <n v="-50.153658999999998"/>
    <x v="1"/>
    <s v="-"/>
    <x v="1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5.6"/>
    <n v="7.5"/>
    <n v="1"/>
    <n v="0.4"/>
    <n v="2"/>
    <n v="1.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2666666666666666E-2"/>
    <n v="1.166666666666667"/>
    <s v="-"/>
    <n v="8.1199999999999992"/>
    <n v="0.39"/>
    <m/>
    <m/>
    <m/>
    <m/>
    <s v="ATENDE"/>
    <s v="ATENDE"/>
    <s v="ATENDE"/>
    <s v="ATENDE"/>
    <s v="C5"/>
    <s v="P6"/>
    <n v="0.66000000000000014"/>
    <n v="4.9800000000000004"/>
    <n v="2.67"/>
    <n v="3"/>
    <n v="0.6"/>
    <s v="ATENDE"/>
    <s v="ATENDE"/>
    <s v="ATENDE"/>
    <s v="P6"/>
    <n v="0.67333333333333312"/>
    <n v="5.0199999999999996"/>
    <n v="1.1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n v="10"/>
    <s v="Médio I"/>
    <m/>
    <s v=""/>
    <s v=""/>
    <m/>
    <m/>
    <m/>
    <m/>
    <m/>
    <m/>
    <n v="31"/>
    <n v="50"/>
    <n v="81"/>
    <n v="0.38"/>
    <m/>
    <m/>
    <s v="Sim"/>
    <m/>
  </r>
  <r>
    <n v="70"/>
    <s v="PVP"/>
    <s v="Rua Vergueiro, 112"/>
    <n v="-30.017878"/>
    <n v="-50.153658999999998"/>
    <x v="1"/>
    <s v="-"/>
    <x v="1"/>
    <s v="LED"/>
    <n v="50"/>
    <n v="0"/>
    <n v="0"/>
    <n v="100"/>
    <n v="2"/>
    <n v="3"/>
    <n v="7"/>
    <m/>
    <m/>
    <n v="0"/>
    <n v="3"/>
    <n v="0"/>
    <n v="0"/>
    <n v="0"/>
    <n v="0"/>
    <n v="0"/>
    <s v="Unilateral"/>
    <s v="Braço"/>
    <n v="35.6"/>
    <n v="7.5"/>
    <n v="1"/>
    <n v="0.4"/>
    <n v="2"/>
    <n v="1.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8666666666666663E-2"/>
    <n v="1.6666666666666665"/>
    <s v="-"/>
    <n v="8.09"/>
    <n v="0.48"/>
    <m/>
    <m/>
    <m/>
    <m/>
    <s v="ATENDE"/>
    <s v="ATENDE"/>
    <s v="ATENDE"/>
    <s v="ATENDE"/>
    <s v="C5"/>
    <s v="P6"/>
    <n v="0.5066666666666666"/>
    <n v="4.5199999999999996"/>
    <n v="3.02"/>
    <n v="3"/>
    <n v="0.6"/>
    <s v="ATENDE"/>
    <s v="ATENDE"/>
    <s v="ATENDE"/>
    <s v="P6"/>
    <n v="0.72666666666666657"/>
    <n v="5.18"/>
    <n v="2.34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"/>
    <m/>
    <s v=""/>
    <s v=""/>
    <m/>
    <m/>
    <m/>
    <m/>
    <m/>
    <m/>
    <n v="30"/>
    <n v="50"/>
    <n v="80"/>
    <n v="0.4"/>
    <m/>
    <m/>
    <s v="Sim"/>
    <m/>
  </r>
  <r>
    <n v="71"/>
    <s v="PVP"/>
    <s v="Rua Cristovao Colombo, 276"/>
    <n v="-30.018675999999999"/>
    <n v="-50.155647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00000000000003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13333333333334"/>
    <n v="0"/>
    <s v="-"/>
    <n v="9.31"/>
    <n v="0.18"/>
    <m/>
    <m/>
    <m/>
    <m/>
    <s v="ATENDE"/>
    <s v="ATENDE"/>
    <s v="ATENDE"/>
    <s v="ATENDE"/>
    <s v="C5"/>
    <s v="P6"/>
    <n v="0.33999999999999986"/>
    <n v="4.0199999999999996"/>
    <n v="0.89"/>
    <n v="3"/>
    <n v="0.6"/>
    <s v="ATENDE"/>
    <s v="ATENDE"/>
    <s v="ATENDE"/>
    <s v="P6"/>
    <n v="1.3733333333333335"/>
    <n v="7.12"/>
    <n v="0.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71"/>
    <s v="PVP"/>
    <s v="Rua Cristovao Colombo, 276"/>
    <n v="-30.018675999999999"/>
    <n v="-50.155647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00000000000003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0.38888888888888884"/>
    <s v="-"/>
    <n v="8.01"/>
    <n v="0.25"/>
    <m/>
    <m/>
    <m/>
    <m/>
    <s v="ATENDE"/>
    <s v="ATENDE"/>
    <s v="ATENDE"/>
    <s v="ATENDE"/>
    <s v="C5"/>
    <s v="P6"/>
    <n v="0.32333333333333347"/>
    <n v="3.97"/>
    <n v="1.42"/>
    <n v="3"/>
    <n v="0.6"/>
    <s v="ATENDE"/>
    <s v="ATENDE"/>
    <s v="ATENDE"/>
    <s v="P6"/>
    <n v="1.0166666666666666"/>
    <n v="6.05"/>
    <n v="0.72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s v="Médio I"/>
    <n v="1.8"/>
    <n v="7"/>
    <m/>
    <m/>
    <m/>
    <m/>
    <m/>
    <m/>
    <n v="31"/>
    <n v="100"/>
    <n v="131"/>
    <n v="0.69"/>
    <m/>
    <m/>
    <s v="Sim"/>
    <m/>
  </r>
  <r>
    <n v="71"/>
    <s v="PVP"/>
    <s v="Rua Cristovao Colombo, 276"/>
    <n v="-30.018675999999999"/>
    <n v="-50.155647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00000000000003"/>
    <n v="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666666666666669"/>
    <n v="0.38888888888888884"/>
    <s v="-"/>
    <n v="8.3000000000000007"/>
    <n v="0.25"/>
    <m/>
    <m/>
    <m/>
    <m/>
    <s v="ATENDE"/>
    <s v="ATENDE"/>
    <s v="ATENDE"/>
    <s v="ATENDE"/>
    <s v="C5"/>
    <s v="P6"/>
    <n v="0.12333333333333329"/>
    <n v="3.37"/>
    <n v="1.38"/>
    <n v="3"/>
    <n v="0.6"/>
    <s v="ATENDE"/>
    <s v="ATENDE"/>
    <s v="ATENDE"/>
    <s v="P6"/>
    <n v="1.1033333333333331"/>
    <n v="6.31"/>
    <n v="1.3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s v="Curto I"/>
    <n v="1.2"/>
    <n v="6.5"/>
    <m/>
    <m/>
    <m/>
    <m/>
    <m/>
    <m/>
    <n v="30"/>
    <n v="100"/>
    <n v="130"/>
    <n v="0.7"/>
    <m/>
    <m/>
    <s v="Sim"/>
    <m/>
  </r>
  <r>
    <n v="72"/>
    <s v="PVP"/>
    <s v="Rua Cristovao Colombo, 386"/>
    <n v="-30.019749000000001"/>
    <n v="-50.156089999999999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0.9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4666666666666655"/>
    <n v="2.7777777777777781"/>
    <s v="-"/>
    <n v="10.85"/>
    <n v="0.68"/>
    <m/>
    <m/>
    <m/>
    <m/>
    <s v="ATENDE"/>
    <s v="ATENDE"/>
    <s v="ATENDE"/>
    <s v="ATENDE"/>
    <s v="C5"/>
    <s v="P6"/>
    <n v="1.3133333333333335"/>
    <n v="6.94"/>
    <n v="5.15"/>
    <n v="3"/>
    <n v="0.6"/>
    <s v="ATENDE"/>
    <s v="ATENDE"/>
    <s v="ATENDE"/>
    <s v="P6"/>
    <n v="2.0466666666666669"/>
    <n v="9.14"/>
    <n v="6.38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72"/>
    <s v="PVP"/>
    <s v="Rua Cristovao Colombo, 386"/>
    <n v="-30.019749000000001"/>
    <n v="-50.156089999999999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0.9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066666666666678"/>
    <n v="3.4444444444444446"/>
    <s v="-"/>
    <n v="9.08"/>
    <n v="0.8"/>
    <m/>
    <m/>
    <m/>
    <m/>
    <s v="ATENDE"/>
    <s v="ATENDE"/>
    <s v="ATENDE"/>
    <s v="ATENDE"/>
    <s v="C5"/>
    <s v="P6"/>
    <n v="0.80333333333333345"/>
    <n v="5.41"/>
    <n v="3.74"/>
    <n v="3"/>
    <n v="0.6"/>
    <s v="ATENDE"/>
    <s v="ATENDE"/>
    <s v="ATENDE"/>
    <s v="P6"/>
    <n v="1.4866666666666668"/>
    <n v="7.46"/>
    <n v="5.55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72"/>
    <s v="PVP"/>
    <s v="Rua Cristovao Colombo, 386"/>
    <n v="-30.019749000000001"/>
    <n v="-50.156089999999999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0.9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8400000000000003"/>
    <n v="3.0555555555555554"/>
    <s v="-"/>
    <n v="13.38"/>
    <n v="0.73"/>
    <m/>
    <m/>
    <m/>
    <m/>
    <s v="ATENDE"/>
    <s v="ATENDE"/>
    <s v="ATENDE"/>
    <s v="ATENDE"/>
    <s v="C5"/>
    <s v="P6"/>
    <n v="1.3266666666666667"/>
    <n v="6.98"/>
    <n v="5.22"/>
    <n v="3"/>
    <n v="0.6"/>
    <s v="ATENDE"/>
    <s v="ATENDE"/>
    <s v="ATENDE"/>
    <s v="P6"/>
    <n v="2.5733333333333337"/>
    <n v="10.72"/>
    <n v="7.9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3"/>
    <s v="PVP"/>
    <s v="Rua Estilac Leal II, 680"/>
    <n v="-30.019902999999999"/>
    <n v="-50.159570000000002"/>
    <x v="1"/>
    <s v="-"/>
    <x v="1"/>
    <s v="Vapor de sódio"/>
    <n v="150"/>
    <n v="22"/>
    <n v="0"/>
    <n v="300"/>
    <n v="2"/>
    <n v="2.5"/>
    <n v="6.3"/>
    <m/>
    <m/>
    <n v="0"/>
    <n v="2.5"/>
    <n v="0"/>
    <n v="0"/>
    <n v="0"/>
    <n v="0"/>
    <n v="0"/>
    <s v="Unilateral"/>
    <s v="Braço"/>
    <n v="39.1"/>
    <n v="8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866666666666649"/>
    <n v="1.166666666666667"/>
    <s v="-"/>
    <n v="8.5399999999999991"/>
    <n v="0.39"/>
    <m/>
    <m/>
    <m/>
    <m/>
    <s v="ATENDE"/>
    <s v="ATENDE"/>
    <s v="ATENDE"/>
    <s v="ATENDE"/>
    <s v="C5"/>
    <s v="P6"/>
    <n v="0.96"/>
    <n v="5.88"/>
    <n v="2.75"/>
    <n v="3"/>
    <n v="0.6"/>
    <s v="ATENDE"/>
    <s v="ATENDE"/>
    <s v="ATENDE"/>
    <s v="P6"/>
    <n v="1.62"/>
    <n v="7.86"/>
    <n v="2.7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73"/>
    <s v="PVP"/>
    <s v="Rua Estilac Leal II, 680"/>
    <n v="-30.019902999999999"/>
    <n v="-50.159570000000002"/>
    <x v="1"/>
    <s v="-"/>
    <x v="1"/>
    <s v="Vapor de sódio"/>
    <n v="150"/>
    <n v="22"/>
    <n v="0"/>
    <n v="300"/>
    <n v="2"/>
    <n v="2.5"/>
    <n v="6.3"/>
    <m/>
    <m/>
    <n v="0"/>
    <n v="2.5"/>
    <n v="0"/>
    <n v="0"/>
    <n v="0"/>
    <n v="0"/>
    <n v="0"/>
    <s v="Unilateral"/>
    <s v="Braço"/>
    <n v="39.1"/>
    <n v="8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2666666666666666E-2"/>
    <n v="1.8333333333333335"/>
    <s v="-"/>
    <n v="8.1199999999999992"/>
    <n v="0.51"/>
    <m/>
    <m/>
    <m/>
    <m/>
    <s v="ATENDE"/>
    <s v="ATENDE"/>
    <s v="ATENDE"/>
    <s v="ATENDE"/>
    <s v="C5"/>
    <s v="P6"/>
    <n v="0.78"/>
    <n v="5.34"/>
    <n v="3.56"/>
    <n v="3"/>
    <n v="0.6"/>
    <s v="ATENDE"/>
    <s v="ATENDE"/>
    <s v="ATENDE"/>
    <s v="P6"/>
    <n v="1.5166666666666666"/>
    <n v="7.55"/>
    <n v="2.8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73"/>
    <s v="PVP"/>
    <s v="Rua Estilac Leal II, 680"/>
    <n v="-30.019902999999999"/>
    <n v="-50.159570000000002"/>
    <x v="1"/>
    <s v="-"/>
    <x v="1"/>
    <s v="Vapor de sódio"/>
    <n v="150"/>
    <n v="22"/>
    <n v="0"/>
    <n v="300"/>
    <n v="2"/>
    <n v="2.5"/>
    <n v="6.3"/>
    <m/>
    <m/>
    <n v="0"/>
    <n v="2.5"/>
    <n v="0"/>
    <n v="0"/>
    <n v="0"/>
    <n v="0"/>
    <n v="0"/>
    <s v="Unilateral"/>
    <s v="Braço"/>
    <n v="39.1"/>
    <n v="8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13333333333334"/>
    <n v="1.2777777777777777"/>
    <s v="-"/>
    <n v="9.31"/>
    <n v="0.41"/>
    <m/>
    <m/>
    <m/>
    <m/>
    <s v="ATENDE"/>
    <s v="ATENDE"/>
    <s v="ATENDE"/>
    <s v="ATENDE"/>
    <s v="C5"/>
    <s v="P6"/>
    <n v="0.58999999999999986"/>
    <n v="4.7699999999999996"/>
    <n v="2.36"/>
    <n v="3"/>
    <n v="0.6"/>
    <s v="ATENDE"/>
    <s v="ATENDE"/>
    <s v="ATENDE"/>
    <s v="P6"/>
    <n v="1.73"/>
    <n v="8.19"/>
    <n v="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74"/>
    <s v="PVP"/>
    <s v="Rua Mato Grosso, 189"/>
    <n v="-30.024699999999999"/>
    <n v="-50.149625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2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666666666666595E-3"/>
    <n v="1.2222222222222223"/>
    <s v="-"/>
    <n v="7.52"/>
    <n v="0.4"/>
    <m/>
    <m/>
    <m/>
    <m/>
    <s v="ATENDE"/>
    <s v="ATENDE"/>
    <s v="ATENDE"/>
    <s v="ATENDE"/>
    <s v="C5"/>
    <s v="P6"/>
    <n v="0.4800000000000002"/>
    <n v="4.4400000000000004"/>
    <n v="2.1800000000000002"/>
    <n v="3"/>
    <n v="0.6"/>
    <s v="ATENDE"/>
    <s v="ATENDE"/>
    <s v="ATENDE"/>
    <s v="P6"/>
    <n v="1.0366666666666666"/>
    <n v="6.11"/>
    <n v="2.34"/>
    <n v="3"/>
    <n v="0.6"/>
    <s v="ATENDE"/>
    <s v="ATENDE"/>
    <s v="ATENDE"/>
    <x v="0"/>
    <s v=" SL VT 9.1 28W"/>
    <s v="LUM LED SL VT 9.1 28W"/>
    <m/>
    <e v="#N/A"/>
    <n v="1"/>
    <n v="28"/>
    <e v="#N/A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74"/>
    <s v="PVP"/>
    <s v="Rua Mato Grosso, 189"/>
    <n v="-30.024699999999999"/>
    <n v="-50.149625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2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8"/>
    <n v="1.6666666666666665"/>
    <s v="-"/>
    <n v="9.36"/>
    <n v="0.48"/>
    <m/>
    <m/>
    <m/>
    <m/>
    <s v="ATENDE"/>
    <s v="ATENDE"/>
    <s v="ATENDE"/>
    <s v="ATENDE"/>
    <s v="C5"/>
    <s v="P6"/>
    <n v="0.54333333333333322"/>
    <n v="4.63"/>
    <n v="2.64"/>
    <n v="3"/>
    <n v="0.6"/>
    <s v="ATENDE"/>
    <s v="ATENDE"/>
    <s v="ATENDE"/>
    <s v="P6"/>
    <n v="1.3533333333333331"/>
    <n v="7.06"/>
    <n v="2.02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74"/>
    <s v="PVP"/>
    <s v="Rua Mato Grosso, 189"/>
    <n v="-30.024699999999999"/>
    <n v="-50.149625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299999999999997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933333333333339"/>
    <n v="2.1111111111111116"/>
    <s v="-"/>
    <n v="9.2200000000000006"/>
    <n v="0.56000000000000005"/>
    <m/>
    <m/>
    <m/>
    <m/>
    <s v="ATENDE"/>
    <s v="ATENDE"/>
    <s v="ATENDE"/>
    <s v="ATENDE"/>
    <s v="C5"/>
    <s v="P6"/>
    <n v="0.43333333333333335"/>
    <n v="4.3"/>
    <n v="2.97"/>
    <n v="3"/>
    <n v="0.6"/>
    <s v="ATENDE"/>
    <s v="ATENDE"/>
    <s v="ATENDE"/>
    <s v="P6"/>
    <n v="1.37"/>
    <n v="7.11"/>
    <n v="3.4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5"/>
    <s v="PV"/>
    <s v="Avenida Beira-Mar, 1518"/>
    <n v="-30.024946"/>
    <n v="-50.141652000000001"/>
    <x v="0"/>
    <s v="-"/>
    <x v="1"/>
    <s v="Vapor de sódio"/>
    <n v="150"/>
    <n v="22"/>
    <n v="0"/>
    <n v="300"/>
    <n v="2"/>
    <n v="5"/>
    <n v="10"/>
    <m/>
    <m/>
    <n v="0"/>
    <n v="0"/>
    <n v="0"/>
    <n v="0"/>
    <n v="0"/>
    <n v="0"/>
    <n v="0"/>
    <s v="Unilateral"/>
    <s v="Braço"/>
    <n v="37.5"/>
    <n v="7.4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1443333333333332"/>
    <n v="0.13157894736842102"/>
    <s v="-"/>
    <n v="34.33"/>
    <n v="0.43"/>
    <m/>
    <m/>
    <m/>
    <m/>
    <s v="ATENDE"/>
    <s v="ATENDE"/>
    <s v="ATENDE"/>
    <s v="ATENDE"/>
    <s v="C1"/>
    <s v="P6"/>
    <n v="5.5466666666666669"/>
    <n v="19.64"/>
    <n v="0.78"/>
    <n v="3"/>
    <n v="0.6"/>
    <s v="ATENDE"/>
    <s v="ATENDE"/>
    <s v="ATENDE"/>
    <s v="-"/>
    <e v="#VALUE!"/>
    <s v=" -"/>
    <s v=" -"/>
    <s v="-"/>
    <s v="-"/>
    <s v="-"/>
    <s v="-"/>
    <s v="-"/>
    <x v="0"/>
    <s v=" SL VT 9.1 170W"/>
    <s v="LUM LED SL VT 9.1 170W"/>
    <m/>
    <e v="#N/A"/>
    <n v="1"/>
    <n v="170"/>
    <n v="0"/>
    <n v="26748"/>
    <n v="0"/>
    <n v="0"/>
    <n v="10"/>
    <s v="Curto II"/>
    <m/>
    <s v=""/>
    <s v=""/>
    <m/>
    <m/>
    <m/>
    <m/>
    <m/>
    <m/>
    <n v="170"/>
    <n v="150"/>
    <n v="320"/>
    <n v="-0.1333333333333333"/>
    <m/>
    <m/>
    <s v="Sim"/>
    <m/>
  </r>
  <r>
    <n v="75"/>
    <s v="PV"/>
    <s v="Avenida Beira-Mar, 1518"/>
    <n v="-30.024946"/>
    <n v="-50.141652000000001"/>
    <x v="0"/>
    <s v="-"/>
    <x v="1"/>
    <s v="Vapor de sódio"/>
    <n v="150"/>
    <n v="22"/>
    <n v="0"/>
    <n v="300"/>
    <n v="2"/>
    <n v="5"/>
    <n v="10"/>
    <m/>
    <m/>
    <n v="0"/>
    <n v="0"/>
    <n v="0"/>
    <n v="0"/>
    <n v="0"/>
    <n v="0"/>
    <n v="0"/>
    <s v="Unilateral"/>
    <s v="Braço"/>
    <n v="37.5"/>
    <n v="7.4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-4.6666666666667078E-3"/>
    <n v="7.8947368421052655E-2"/>
    <s v="-"/>
    <n v="29.86"/>
    <n v="0.41"/>
    <m/>
    <m/>
    <m/>
    <m/>
    <s v="ATENDE"/>
    <s v="ATENDIMENTO LIMIAR"/>
    <s v="ATENDE"/>
    <s v="ATENDE"/>
    <s v="C1"/>
    <s v="P6"/>
    <n v="5.083333333333333"/>
    <n v="18.25"/>
    <n v="4.8499999999999996"/>
    <n v="3"/>
    <n v="0.6"/>
    <s v="ATENDE"/>
    <s v="ATENDE"/>
    <s v="ATENDE"/>
    <s v="-"/>
    <e v="#VALUE!"/>
    <s v=" -"/>
    <s v=" -"/>
    <s v="-"/>
    <s v="-"/>
    <s v="-"/>
    <s v="-"/>
    <s v="-"/>
    <x v="1"/>
    <s v="SX-INLPP150HF"/>
    <s v="SXINLPP150K40L12CZF7PHF"/>
    <m/>
    <e v="#N/A"/>
    <n v="1"/>
    <n v="137"/>
    <n v="0"/>
    <n v="23817"/>
    <n v="0"/>
    <n v="0"/>
    <n v="10"/>
    <s v="Curto II"/>
    <s v="Médio I"/>
    <n v="1.8"/>
    <n v="7"/>
    <m/>
    <m/>
    <m/>
    <m/>
    <m/>
    <m/>
    <n v="137"/>
    <n v="150"/>
    <n v="287"/>
    <n v="8.666666666666667E-2"/>
    <m/>
    <m/>
    <s v="Sim"/>
    <m/>
  </r>
  <r>
    <n v="75"/>
    <s v="PV"/>
    <s v="Avenida Beira-Mar, 1518"/>
    <n v="-30.024946"/>
    <n v="-50.141652000000001"/>
    <x v="0"/>
    <s v="-"/>
    <x v="1"/>
    <s v="Vapor de sódio"/>
    <n v="150"/>
    <n v="22"/>
    <n v="0"/>
    <n v="300"/>
    <n v="2"/>
    <n v="5"/>
    <n v="10"/>
    <m/>
    <m/>
    <n v="0"/>
    <n v="0"/>
    <n v="0"/>
    <n v="0"/>
    <n v="0"/>
    <n v="0"/>
    <n v="0"/>
    <s v="Unilateral"/>
    <s v="Braço"/>
    <n v="37.5"/>
    <n v="7.4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2496666666666667"/>
    <n v="0"/>
    <s v="-"/>
    <n v="37.49"/>
    <n v="0.38"/>
    <m/>
    <m/>
    <m/>
    <m/>
    <s v="ATENDE"/>
    <s v="ATENDE"/>
    <s v="ATENDE"/>
    <s v="ATENDE"/>
    <s v="C1"/>
    <s v="P6"/>
    <n v="6.6133333333333333"/>
    <n v="22.84"/>
    <n v="5.37"/>
    <n v="3"/>
    <n v="0.6"/>
    <s v="ATENDE"/>
    <s v="ATENDE"/>
    <s v="ATENDE"/>
    <s v="-"/>
    <e v="#VALUE!"/>
    <s v=" -"/>
    <s v=" -"/>
    <s v="-"/>
    <s v="-"/>
    <s v="-"/>
    <s v="-"/>
    <s v="-"/>
    <x v="2"/>
    <s v="SIGSAGPTLRRSSNDL100W125IBBRS_x000a_"/>
    <s v="SIGSAGPTLRRSSNDL100W125IBBRS_x000a_1-10C1MUN6.5"/>
    <m/>
    <n v="0"/>
    <n v="1"/>
    <n v="100"/>
    <n v="0"/>
    <n v="15162"/>
    <n v="0"/>
    <n v="0"/>
    <m/>
    <s v="Curto II"/>
    <s v="Médio I"/>
    <n v="1.8"/>
    <n v="7"/>
    <s v="ABS-L2"/>
    <m/>
    <n v="2"/>
    <s v="Adição de braço segundo nível (Leve II) + 1 SIGSAGPTLRRSSNDL100W125IBBRS"/>
    <m/>
    <m/>
    <n v="100"/>
    <n v="150"/>
    <n v="250"/>
    <n v="0.33333333333333337"/>
    <m/>
    <m/>
    <s v="Sim"/>
    <m/>
  </r>
  <r>
    <n v="76"/>
    <s v="VP"/>
    <s v="Rua Espirito Santo, 227"/>
    <n v="-30.028981000000002"/>
    <n v="-50.148600000000002"/>
    <x v="1"/>
    <s v="-"/>
    <x v="1"/>
    <s v="Vapor de sódio"/>
    <n v="100"/>
    <n v="17"/>
    <n v="0"/>
    <n v="200"/>
    <n v="2"/>
    <n v="0"/>
    <n v="7"/>
    <m/>
    <m/>
    <n v="0"/>
    <n v="2"/>
    <n v="0"/>
    <n v="0"/>
    <n v="0"/>
    <n v="0"/>
    <n v="0"/>
    <s v="Unilateral"/>
    <s v="Braço"/>
    <n v="31.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266666666666681"/>
    <n v="0"/>
    <s v="-"/>
    <n v="9.32"/>
    <n v="0.18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1.04"/>
    <n v="6.12"/>
    <n v="3.46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76"/>
    <s v="VP"/>
    <s v="Rua Espirito Santo, 227"/>
    <n v="-30.028981000000002"/>
    <n v="-50.148600000000002"/>
    <x v="1"/>
    <s v="-"/>
    <x v="1"/>
    <s v="Vapor de sódio"/>
    <n v="100"/>
    <n v="17"/>
    <n v="0"/>
    <n v="200"/>
    <n v="2"/>
    <n v="0"/>
    <n v="7"/>
    <m/>
    <m/>
    <n v="0"/>
    <n v="2"/>
    <n v="0"/>
    <n v="0"/>
    <n v="0"/>
    <n v="0"/>
    <n v="0"/>
    <s v="Unilateral"/>
    <s v="Braço"/>
    <n v="31.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866666666666677"/>
    <n v="2.3888888888888888"/>
    <s v="-"/>
    <n v="8.99"/>
    <n v="0.61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77333333333333343"/>
    <n v="5.32"/>
    <n v="3.86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76"/>
    <s v="VP"/>
    <s v="Rua Espirito Santo, 227"/>
    <n v="-30.028981000000002"/>
    <n v="-50.148600000000002"/>
    <x v="1"/>
    <s v="-"/>
    <x v="1"/>
    <s v="Vapor de sódio"/>
    <n v="100"/>
    <n v="17"/>
    <n v="0"/>
    <n v="200"/>
    <n v="2"/>
    <n v="0"/>
    <n v="7"/>
    <m/>
    <m/>
    <n v="0"/>
    <n v="2"/>
    <n v="0"/>
    <n v="0"/>
    <n v="0"/>
    <n v="0"/>
    <n v="0"/>
    <s v="Unilateral"/>
    <s v="Braço"/>
    <n v="31.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666666666666676"/>
    <n v="2.5555555555555558"/>
    <s v="-"/>
    <n v="8.9"/>
    <n v="0.64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6100000000000001"/>
    <n v="4.83"/>
    <n v="3.7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77"/>
    <s v="VP"/>
    <s v="Avenida Perimetral, 590"/>
    <n v="-30.029627999999999"/>
    <n v="-50.150322000000003"/>
    <x v="3"/>
    <s v="-"/>
    <x v="1"/>
    <s v="Vapor de sódio"/>
    <n v="150"/>
    <n v="22"/>
    <n v="0"/>
    <n v="600"/>
    <n v="2"/>
    <n v="0"/>
    <n v="6.2"/>
    <m/>
    <m/>
    <n v="0"/>
    <n v="4.7"/>
    <n v="8"/>
    <n v="0"/>
    <n v="0"/>
    <n v="0"/>
    <n v="0"/>
    <s v="Canteiro central"/>
    <s v="Braço"/>
    <n v="29.2"/>
    <n v="7"/>
    <n v="2"/>
    <n v="4"/>
    <n v="2.7"/>
    <n v="-1.299999999999999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84999999999999"/>
    <n v="0.64285714285714279"/>
    <s v="-"/>
    <n v="23.97"/>
    <n v="0.4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7233333333333332"/>
    <n v="8.17"/>
    <n v="3.45"/>
    <n v="3"/>
    <n v="0.6"/>
    <s v="ATENDE"/>
    <s v="ATENDE"/>
    <s v="ATENDE"/>
    <x v="0"/>
    <s v=" SL VT 9.1 85W"/>
    <s v="LUM LED SL VT 9.1 85W"/>
    <m/>
    <e v="#N/A"/>
    <n v="2"/>
    <n v="85"/>
    <n v="0"/>
    <n v="14489"/>
    <n v="0"/>
    <n v="0"/>
    <n v="10"/>
    <s v="Longo I"/>
    <s v="Longo II"/>
    <n v="3.5"/>
    <n v="8.5"/>
    <m/>
    <m/>
    <m/>
    <m/>
    <m/>
    <m/>
    <n v="85"/>
    <n v="150"/>
    <n v="470"/>
    <n v="0.43333333333333335"/>
    <m/>
    <m/>
    <s v="Sim"/>
    <m/>
  </r>
  <r>
    <n v="77"/>
    <s v="VP"/>
    <s v="Avenida Perimetral, 590"/>
    <n v="-30.029627999999999"/>
    <n v="-50.150322000000003"/>
    <x v="3"/>
    <s v="-"/>
    <x v="1"/>
    <s v="Vapor de sódio"/>
    <n v="150"/>
    <n v="22"/>
    <n v="0"/>
    <n v="600"/>
    <n v="2"/>
    <n v="0"/>
    <n v="6.2"/>
    <m/>
    <m/>
    <n v="0"/>
    <n v="4.7"/>
    <n v="8"/>
    <n v="0"/>
    <n v="0"/>
    <n v="0"/>
    <n v="0"/>
    <s v="Canteiro central"/>
    <s v="Braço"/>
    <n v="29.2"/>
    <n v="7"/>
    <n v="2"/>
    <n v="4"/>
    <n v="2.7"/>
    <n v="-1.299999999999999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419999999999999"/>
    <n v="0.39285714285714279"/>
    <s v="-"/>
    <n v="22.84"/>
    <n v="0.3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86333333333333329"/>
    <n v="5.59"/>
    <n v="2.23"/>
    <n v="3"/>
    <n v="0.6"/>
    <s v="ATENDE"/>
    <s v="ATENDE"/>
    <s v="ATENDE"/>
    <x v="1"/>
    <s v="SX-INLPP080HF"/>
    <s v="SXINLPP080K40L12CZF7PHF"/>
    <m/>
    <e v="#N/A"/>
    <n v="2"/>
    <n v="79"/>
    <n v="0"/>
    <n v="13359"/>
    <n v="0"/>
    <n v="0"/>
    <n v="10"/>
    <s v="Longo I"/>
    <s v="Médio II"/>
    <n v="2.4"/>
    <n v="7.5"/>
    <m/>
    <m/>
    <m/>
    <m/>
    <m/>
    <m/>
    <n v="79"/>
    <n v="150"/>
    <n v="458"/>
    <n v="0.47333333333333338"/>
    <m/>
    <m/>
    <s v="Sim"/>
    <m/>
  </r>
  <r>
    <n v="77"/>
    <s v="VP"/>
    <s v="Avenida Perimetral, 590"/>
    <n v="-30.029627999999999"/>
    <n v="-50.150322000000003"/>
    <x v="3"/>
    <s v="-"/>
    <x v="1"/>
    <s v="Vapor de sódio"/>
    <n v="150"/>
    <n v="22"/>
    <n v="0"/>
    <n v="600"/>
    <n v="2"/>
    <n v="0"/>
    <n v="6.2"/>
    <m/>
    <m/>
    <n v="0"/>
    <n v="4.7"/>
    <n v="8"/>
    <n v="0"/>
    <n v="0"/>
    <n v="0"/>
    <n v="0"/>
    <s v="Canteiro central"/>
    <s v="Braço"/>
    <n v="29.2"/>
    <n v="7"/>
    <n v="2"/>
    <n v="4"/>
    <n v="2.7"/>
    <n v="-1.299999999999999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6.1999999999999833E-2"/>
    <n v="0.71428571428571397"/>
    <s v="-"/>
    <n v="21.24"/>
    <n v="0.48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95666666666666678"/>
    <n v="5.87"/>
    <n v="2.73"/>
    <n v="3"/>
    <n v="0.6"/>
    <s v="ATENDE"/>
    <s v="ATENDE"/>
    <s v="ATENDE"/>
    <x v="2"/>
    <s v="SIGMAGPTLRRSMNDL_80W_56IBBR_x000a_"/>
    <s v="SIGMAGPTLRRSMNDL_80W_56IBBR_x000a_S1-10C1MUN6.5"/>
    <m/>
    <e v="#N/A"/>
    <n v="2"/>
    <n v="80"/>
    <e v="#N/A"/>
    <n v="13209"/>
    <n v="0"/>
    <n v="0"/>
    <n v="10"/>
    <s v="Longo I"/>
    <s v="Longo I"/>
    <n v="2.8"/>
    <n v="8"/>
    <m/>
    <m/>
    <m/>
    <m/>
    <m/>
    <m/>
    <n v="80"/>
    <n v="150"/>
    <n v="460"/>
    <n v="0.46666666666666667"/>
    <m/>
    <m/>
    <s v="Sim"/>
    <m/>
  </r>
  <r>
    <n v="79"/>
    <s v="PVP"/>
    <s v="Rua Rio Grande do Sul, 691"/>
    <n v="-30.030681000000001"/>
    <n v="-50.15813599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9"/>
    <n v="7.2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-4.0000000000000036E-2"/>
    <n v="1.7777777777777777"/>
    <s v="-"/>
    <s v="9,6"/>
    <n v="0.5"/>
    <m/>
    <m/>
    <m/>
    <m/>
    <s v="ATENDE"/>
    <s v="ATENDE"/>
    <s v="ATENDE"/>
    <s v="ATENDE"/>
    <s v="C4"/>
    <s v="P6"/>
    <n v="0.74"/>
    <n v="5.22"/>
    <n v="3.01"/>
    <n v="3"/>
    <n v="0.6"/>
    <s v="ATENDE"/>
    <s v="ATENDE"/>
    <s v="ATENDE"/>
    <s v="P6"/>
    <n v="2.06"/>
    <n v="9.18"/>
    <n v="4.2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79"/>
    <s v="PVP"/>
    <s v="Rua Rio Grande do Sul, 691"/>
    <n v="-30.030681000000001"/>
    <n v="-50.15813599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9"/>
    <n v="7.2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1"/>
    <n v="2.5"/>
    <s v="-"/>
    <n v="11.21"/>
    <n v="0.63"/>
    <m/>
    <m/>
    <m/>
    <m/>
    <s v="ATENDE"/>
    <s v="ATENDE"/>
    <s v="ATENDE"/>
    <s v="ATENDE"/>
    <s v="C4"/>
    <s v="P6"/>
    <n v="0.7566666666666666"/>
    <n v="5.27"/>
    <n v="2.97"/>
    <n v="3"/>
    <n v="0.6"/>
    <s v="ATENDE"/>
    <s v="ATENDE"/>
    <s v="ATENDE"/>
    <s v="P6"/>
    <n v="2.5733333333333337"/>
    <n v="10.72"/>
    <n v="5.8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79"/>
    <s v="PVP"/>
    <s v="Rua Rio Grande do Sul, 691"/>
    <n v="-30.030681000000001"/>
    <n v="-50.15813599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9"/>
    <n v="7.2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5099999999999989"/>
    <n v="1.8888888888888893"/>
    <s v="-"/>
    <n v="12.51"/>
    <n v="0.52"/>
    <m/>
    <m/>
    <m/>
    <m/>
    <s v="ATENDE"/>
    <s v="ATENDE"/>
    <s v="ATENDE"/>
    <s v="ATENDE"/>
    <s v="C4"/>
    <s v="P6"/>
    <n v="0.45333333333333337"/>
    <n v="4.3600000000000003"/>
    <n v="2.39"/>
    <n v="3"/>
    <n v="0.6"/>
    <s v="ATENDE"/>
    <s v="ATENDE"/>
    <s v="ATENDE"/>
    <s v="P6"/>
    <n v="2.86"/>
    <n v="11.58"/>
    <n v="6.4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78"/>
    <s v="V"/>
    <s v="Rua Fernando de Noronha, 560"/>
    <n v="-30.031462000000001"/>
    <n v="-50.150548999999998"/>
    <x v="1"/>
    <s v="-"/>
    <x v="2"/>
    <s v="Vapor de sódio"/>
    <n v="100"/>
    <n v="17"/>
    <n v="0"/>
    <n v="200"/>
    <n v="1"/>
    <n v="0"/>
    <n v="5"/>
    <m/>
    <m/>
    <n v="0"/>
    <n v="0"/>
    <n v="0"/>
    <n v="0"/>
    <n v="0"/>
    <n v="0"/>
    <n v="0"/>
    <s v="Unilateral"/>
    <s v="Braço"/>
    <n v="44"/>
    <n v="5.7"/>
    <n v="1"/>
    <n v="0.1"/>
    <n v="1.3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9066666666666654"/>
    <n v="0.16666666666666674"/>
    <s v="-"/>
    <n v="8.93"/>
    <n v="0.21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78"/>
    <s v="V"/>
    <s v="Rua Fernando de Noronha, 560"/>
    <n v="-30.031462000000001"/>
    <n v="-50.150548999999998"/>
    <x v="1"/>
    <s v="-"/>
    <x v="2"/>
    <s v="Vapor de sódio"/>
    <n v="100"/>
    <n v="17"/>
    <n v="0"/>
    <n v="200"/>
    <n v="1"/>
    <n v="0"/>
    <n v="5"/>
    <m/>
    <m/>
    <n v="0"/>
    <n v="0"/>
    <n v="0"/>
    <n v="0"/>
    <n v="0"/>
    <n v="0"/>
    <n v="0"/>
    <s v="Unilateral"/>
    <s v="Braço"/>
    <n v="44"/>
    <n v="5.7"/>
    <n v="1"/>
    <n v="0.1"/>
    <n v="1.3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6.0000000000000053E-2"/>
    <n v="0.22222222222222232"/>
    <s v="-"/>
    <n v="7.95"/>
    <n v="0.22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78"/>
    <s v="V"/>
    <s v="Rua Fernando de Noronha, 560"/>
    <n v="-30.031462000000001"/>
    <n v="-50.150548999999998"/>
    <x v="1"/>
    <s v="-"/>
    <x v="2"/>
    <s v="Vapor de sódio"/>
    <n v="100"/>
    <n v="17"/>
    <n v="0"/>
    <n v="200"/>
    <n v="1"/>
    <n v="0"/>
    <n v="5"/>
    <m/>
    <m/>
    <n v="0"/>
    <n v="0"/>
    <n v="0"/>
    <n v="0"/>
    <n v="0"/>
    <n v="0"/>
    <n v="0"/>
    <s v="Unilateral"/>
    <s v="Braço"/>
    <n v="44"/>
    <n v="5.7"/>
    <n v="1"/>
    <n v="0.1"/>
    <n v="1.3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0133333333333328"/>
    <n v="5.555555555555558E-2"/>
    <s v="-"/>
    <n v="8.26"/>
    <n v="0.19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80"/>
    <s v="PVP"/>
    <s v="Rua Rio Grande do Sul, 851"/>
    <n v="-30.031445999999999"/>
    <n v="-50.1584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719999999999998"/>
    <n v="1.7777777777777777"/>
    <s v="-"/>
    <n v="9.5399999999999991"/>
    <n v="0.5"/>
    <m/>
    <m/>
    <m/>
    <m/>
    <s v="ATENDE"/>
    <s v="ATENDE"/>
    <s v="ATENDE"/>
    <s v="ATENDE"/>
    <s v="C5"/>
    <s v="P6"/>
    <n v="1.0566666666666666"/>
    <n v="6.17"/>
    <n v="3.47"/>
    <n v="3"/>
    <n v="0.6"/>
    <s v="ATENDE"/>
    <s v="ATENDE"/>
    <s v="ATENDE"/>
    <s v="P6"/>
    <n v="1.52"/>
    <n v="7.56"/>
    <n v="3.51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0"/>
    <s v="PVP"/>
    <s v="Rua Rio Grande do Sul, 851"/>
    <n v="-30.031445999999999"/>
    <n v="-50.1584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80000000000002"/>
    <n v="2.4444444444444446"/>
    <s v="-"/>
    <n v="9.2100000000000009"/>
    <n v="0.62"/>
    <m/>
    <m/>
    <m/>
    <m/>
    <s v="ATENDE"/>
    <s v="ATENDE"/>
    <s v="ATENDE"/>
    <s v="ATENDE"/>
    <s v="C5"/>
    <s v="P6"/>
    <n v="0.78333333333333321"/>
    <n v="5.35"/>
    <n v="3.85"/>
    <n v="3"/>
    <n v="0.6"/>
    <s v="ATENDE"/>
    <s v="ATENDE"/>
    <s v="ATENDE"/>
    <s v="P6"/>
    <n v="1.31"/>
    <n v="6.93"/>
    <n v="3.14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0"/>
    <s v="PVP"/>
    <s v="Rua Rio Grande do Sul, 851"/>
    <n v="-30.031445999999999"/>
    <n v="-50.1584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6111111111111112"/>
    <s v="-"/>
    <n v="9.15"/>
    <n v="0.65"/>
    <m/>
    <m/>
    <m/>
    <m/>
    <s v="ATENDE"/>
    <s v="ATENDE"/>
    <s v="ATENDE"/>
    <s v="ATENDE"/>
    <s v="C5"/>
    <s v="P6"/>
    <n v="0.62333333333333329"/>
    <n v="4.87"/>
    <n v="3.67"/>
    <n v="3"/>
    <n v="0.6"/>
    <s v="ATENDE"/>
    <s v="ATENDE"/>
    <s v="ATENDE"/>
    <s v="P6"/>
    <n v="1.3233333333333333"/>
    <n v="6.97"/>
    <n v="4.1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1"/>
    <s v="PVP"/>
    <s v="Rua Pernambuco, 601"/>
    <n v="-30.030156000000002"/>
    <n v="-50.155422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7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3333333333333472E-2"/>
    <n v="0.5555555555555558"/>
    <s v="-"/>
    <n v="8.0500000000000007"/>
    <n v="0.28000000000000003"/>
    <m/>
    <m/>
    <m/>
    <m/>
    <s v="ATENDE"/>
    <s v="ATENDE"/>
    <s v="ATENDE"/>
    <s v="ATENDE"/>
    <s v="C5"/>
    <s v="P6"/>
    <n v="0.51666666666666661"/>
    <n v="4.55"/>
    <n v="1.51"/>
    <n v="3"/>
    <n v="0.6"/>
    <s v="ATENDE"/>
    <s v="ATENDE"/>
    <s v="ATENDE"/>
    <s v="P6"/>
    <n v="1.1833333333333331"/>
    <n v="6.55"/>
    <n v="1.4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1"/>
    <s v="PVP"/>
    <s v="Rua Pernambuco, 601"/>
    <n v="-30.030156000000002"/>
    <n v="-50.155422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7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6000000000000032E-2"/>
    <n v="0.22222222222222232"/>
    <s v="-"/>
    <n v="7.77"/>
    <n v="0.22"/>
    <m/>
    <m/>
    <m/>
    <m/>
    <s v="ATENDE"/>
    <s v="ATENDE"/>
    <s v="ATENDE"/>
    <s v="ATENDE"/>
    <s v="C5"/>
    <s v="P6"/>
    <n v="0.2433333333333334"/>
    <n v="3.73"/>
    <n v="1.2"/>
    <n v="3"/>
    <n v="0.6"/>
    <s v="ATENDE"/>
    <s v="ATENDE"/>
    <s v="ATENDE"/>
    <s v="P6"/>
    <n v="1.0100000000000002"/>
    <n v="6.03"/>
    <n v="0.6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1"/>
    <s v="PVP"/>
    <s v="Rua Pernambuco, 601"/>
    <n v="-30.030156000000002"/>
    <n v="-50.155422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7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0000000000000018E-2"/>
    <n v="0.72222222222222232"/>
    <s v="-"/>
    <n v="7.65"/>
    <n v="0.31"/>
    <m/>
    <m/>
    <m/>
    <m/>
    <s v="ATENDE"/>
    <s v="ATENDE"/>
    <s v="ATENDE"/>
    <s v="ATENDE"/>
    <s v="C5"/>
    <s v="P6"/>
    <n v="0.16333333333333333"/>
    <n v="3.49"/>
    <n v="1.71"/>
    <n v="3"/>
    <n v="0.6"/>
    <s v="ATENDE"/>
    <s v="ATENDE"/>
    <s v="ATENDE"/>
    <s v="P6"/>
    <n v="1.02"/>
    <n v="6.06"/>
    <n v="1.6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3"/>
    <s v="VP"/>
    <s v="Avenida Minas Gerais, 224"/>
    <n v="-30.027892000000001"/>
    <n v="-50.15175"/>
    <x v="3"/>
    <s v="-"/>
    <x v="1"/>
    <s v="Vapor de sódio"/>
    <n v="250"/>
    <n v="30"/>
    <n v="0"/>
    <n v="2000"/>
    <n v="2"/>
    <n v="0"/>
    <n v="7"/>
    <m/>
    <m/>
    <n v="0"/>
    <n v="3"/>
    <n v="6"/>
    <n v="0"/>
    <n v="0"/>
    <n v="0"/>
    <n v="0"/>
    <s v="Canteiro central"/>
    <s v="Braço"/>
    <n v="47.8"/>
    <n v="10.35"/>
    <n v="4"/>
    <n v="2.5"/>
    <n v="0.5"/>
    <n v="-2"/>
    <s v="-"/>
    <s v="-"/>
    <s v="Sim"/>
    <n v="8"/>
    <n v="0"/>
    <n v="0"/>
    <n v="0"/>
    <n v="0"/>
    <n v="0"/>
    <s v="-"/>
    <n v="0"/>
    <m/>
    <n v="20"/>
    <n v="0.28000000000000003"/>
    <s v="-"/>
    <n v="0.28000000000000003"/>
    <s v="-"/>
    <n v="14"/>
    <s v="ATENDE"/>
    <n v="7.0000000000001172E-3"/>
    <n v="-3.5714285714285698E-2"/>
    <s v="-"/>
    <n v="20.14"/>
    <n v="0.27"/>
    <m/>
    <m/>
    <m/>
    <m/>
    <s v="ATENDE"/>
    <s v="ATENDE"/>
    <s v="ATENDIMENTO LIMIAR"/>
    <s v="ATENDE"/>
    <s v="C2"/>
    <s v="P6"/>
    <e v="#VALUE!"/>
    <s v=" -"/>
    <s v=" -"/>
    <n v="3"/>
    <n v="0.6"/>
    <s v="ATENDE"/>
    <s v="ATENDE"/>
    <s v="ATENDE"/>
    <s v="P6"/>
    <n v="3.1466666666666665"/>
    <n v="12.44"/>
    <n v="4.2"/>
    <n v="3"/>
    <n v="0.6"/>
    <s v="ATENDE"/>
    <s v="ATENDE"/>
    <s v="ATENDE"/>
    <x v="0"/>
    <s v=" SL VT 9.1 65W"/>
    <s v="LUM LED SL VT 9.1 65W"/>
    <m/>
    <e v="#N/A"/>
    <n v="4"/>
    <n v="65"/>
    <n v="0"/>
    <n v="10496"/>
    <n v="0"/>
    <n v="0"/>
    <n v="10"/>
    <s v="Curto I"/>
    <m/>
    <s v=""/>
    <s v=""/>
    <m/>
    <m/>
    <m/>
    <m/>
    <m/>
    <m/>
    <n v="65"/>
    <n v="250"/>
    <n v="1260"/>
    <n v="0.74"/>
    <m/>
    <m/>
    <s v="Sim"/>
    <m/>
  </r>
  <r>
    <n v="83"/>
    <s v="VP"/>
    <s v="Avenida Minas Gerais, 224"/>
    <n v="-30.027892000000001"/>
    <n v="-50.15175"/>
    <x v="3"/>
    <s v="-"/>
    <x v="1"/>
    <s v="Vapor de sódio"/>
    <n v="250"/>
    <n v="30"/>
    <n v="0"/>
    <n v="2000"/>
    <n v="2"/>
    <n v="0"/>
    <n v="7"/>
    <m/>
    <m/>
    <n v="0"/>
    <n v="3"/>
    <n v="6"/>
    <n v="0"/>
    <n v="0"/>
    <n v="0"/>
    <n v="0"/>
    <s v="Canteiro central"/>
    <s v="Braço"/>
    <n v="47.8"/>
    <n v="10.35"/>
    <n v="4"/>
    <n v="2.5"/>
    <n v="0.5"/>
    <n v="-2"/>
    <s v="-"/>
    <s v="-"/>
    <s v="Sim"/>
    <n v="8"/>
    <n v="0"/>
    <n v="0"/>
    <n v="0"/>
    <n v="0"/>
    <n v="0"/>
    <s v="-"/>
    <n v="0"/>
    <m/>
    <n v="20"/>
    <n v="0.28000000000000003"/>
    <s v="-"/>
    <n v="0.28000000000000003"/>
    <s v="-"/>
    <n v="14"/>
    <s v="ATENDE"/>
    <n v="0.20950000000000002"/>
    <n v="0"/>
    <s v="-"/>
    <n v="24.19"/>
    <n v="0.28000000000000003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9133333333333331"/>
    <n v="14.74"/>
    <n v="5.05"/>
    <n v="3"/>
    <n v="0.6"/>
    <s v="ATENDE"/>
    <s v="ATENDE"/>
    <s v="ATENDE"/>
    <x v="1"/>
    <s v="SX-INLPP070HF"/>
    <s v="SXINLPP070K40L12CZF7PHF"/>
    <m/>
    <e v="#N/A"/>
    <n v="4"/>
    <n v="70"/>
    <n v="0"/>
    <n v="11970"/>
    <n v="0"/>
    <n v="0"/>
    <n v="10"/>
    <s v="Curto I"/>
    <m/>
    <s v=""/>
    <s v=""/>
    <m/>
    <m/>
    <m/>
    <m/>
    <m/>
    <m/>
    <n v="70"/>
    <n v="250"/>
    <n v="1280"/>
    <n v="0.72"/>
    <m/>
    <m/>
    <s v="Sim"/>
    <m/>
  </r>
  <r>
    <n v="83"/>
    <s v="VP"/>
    <s v="Avenida Minas Gerais, 224"/>
    <n v="-30.027892000000001"/>
    <n v="-50.15175"/>
    <x v="3"/>
    <s v="-"/>
    <x v="1"/>
    <s v="Vapor de sódio"/>
    <n v="250"/>
    <n v="30"/>
    <n v="0"/>
    <n v="2000"/>
    <n v="2"/>
    <n v="0"/>
    <n v="7"/>
    <m/>
    <m/>
    <n v="0"/>
    <n v="3"/>
    <n v="6"/>
    <n v="0"/>
    <n v="0"/>
    <n v="0"/>
    <n v="0"/>
    <s v="Canteiro central"/>
    <s v="Braço"/>
    <n v="47.8"/>
    <n v="10.35"/>
    <n v="4"/>
    <n v="2.5"/>
    <n v="0.5"/>
    <n v="-2"/>
    <s v="-"/>
    <s v="-"/>
    <s v="Sim"/>
    <n v="8"/>
    <n v="0"/>
    <n v="0"/>
    <n v="0"/>
    <n v="0"/>
    <n v="0"/>
    <s v="-"/>
    <n v="0"/>
    <m/>
    <n v="20"/>
    <n v="0.28000000000000003"/>
    <s v="-"/>
    <n v="0.28000000000000003"/>
    <s v="-"/>
    <n v="14"/>
    <s v="ATENDE"/>
    <n v="8.8500000000000023E-2"/>
    <n v="3.5714285714285587E-2"/>
    <s v="-"/>
    <n v="21.77"/>
    <n v="0.28999999999999998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1433333333333335"/>
    <n v="12.43"/>
    <n v="3.73"/>
    <n v="3"/>
    <n v="0.6"/>
    <s v="ATENDE"/>
    <s v="ATENDE"/>
    <s v="ATENDE"/>
    <x v="2"/>
    <s v="SIGSAGPTLRRSSNDL_68W_83IBBRS_x000a_"/>
    <s v="SIGSAGPTLRRSSNDL_68W_83IBBRS_x000a_1-10C1MUN6.5"/>
    <m/>
    <n v="0"/>
    <n v="4"/>
    <n v="68"/>
    <n v="0"/>
    <n v="10884"/>
    <n v="0"/>
    <n v="0"/>
    <m/>
    <s v="Curto I"/>
    <m/>
    <s v=""/>
    <s v=""/>
    <m/>
    <m/>
    <m/>
    <m/>
    <m/>
    <m/>
    <n v="68"/>
    <n v="250"/>
    <n v="1272"/>
    <n v="0.72799999999999998"/>
    <m/>
    <m/>
    <s v="Sim"/>
    <m/>
  </r>
  <r>
    <n v="82"/>
    <s v="PVP"/>
    <s v="Rua Roma, 151"/>
    <n v="-30.027684000000001"/>
    <n v="-50.153731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0.72222222222222232"/>
    <s v="-"/>
    <n v="8.32"/>
    <n v="0.31"/>
    <m/>
    <m/>
    <m/>
    <m/>
    <s v="ATENDE"/>
    <s v="ATENDE"/>
    <s v="ATENDE"/>
    <s v="ATENDE"/>
    <s v="C5"/>
    <s v="P6"/>
    <n v="0.57000000000000006"/>
    <n v="4.71"/>
    <n v="1.69"/>
    <n v="3"/>
    <n v="0.6"/>
    <s v="ATENDE"/>
    <s v="ATENDE"/>
    <s v="ATENDE"/>
    <s v="P6"/>
    <n v="1.2566666666666664"/>
    <n v="6.77"/>
    <n v="1.7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2"/>
    <s v="PVP"/>
    <s v="Rua Roma, 151"/>
    <n v="-30.027684000000001"/>
    <n v="-50.153731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9333333333333247E-2"/>
    <n v="0.44444444444444464"/>
    <s v="-"/>
    <n v="8.02"/>
    <n v="0.26"/>
    <m/>
    <m/>
    <m/>
    <m/>
    <s v="ATENDE"/>
    <s v="ATENDE"/>
    <s v="ATENDE"/>
    <s v="ATENDE"/>
    <s v="C5"/>
    <s v="P6"/>
    <n v="0.28666666666666663"/>
    <n v="3.86"/>
    <n v="1.41"/>
    <n v="3"/>
    <n v="0.6"/>
    <s v="ATENDE"/>
    <s v="ATENDE"/>
    <s v="ATENDE"/>
    <s v="P6"/>
    <n v="1.0766666666666667"/>
    <n v="6.23"/>
    <n v="0.79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2"/>
    <s v="PVP"/>
    <s v="Rua Roma, 151"/>
    <n v="-30.027684000000001"/>
    <n v="-50.153731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3455E-2"/>
    <n v="1"/>
    <s v="-"/>
    <n v="7.9"/>
    <n v="0.36"/>
    <m/>
    <m/>
    <m/>
    <m/>
    <s v="ATENDE"/>
    <s v="ATENDE"/>
    <s v="ATENDE"/>
    <s v="ATENDE"/>
    <s v="C5"/>
    <s v="P6"/>
    <n v="0.19999999999999996"/>
    <n v="3.6"/>
    <n v="1.97"/>
    <n v="3"/>
    <n v="0.6"/>
    <s v="ATENDE"/>
    <s v="ATENDE"/>
    <s v="ATENDE"/>
    <s v="P6"/>
    <n v="1.0866666666666664"/>
    <n v="6.26"/>
    <n v="1.9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4"/>
    <s v="PV"/>
    <s v="Travessa Tres, 585"/>
    <n v="-30.024736999999998"/>
    <n v="-50.155647999999999"/>
    <x v="1"/>
    <s v="-"/>
    <x v="1"/>
    <s v="Vapor de sódio"/>
    <n v="100"/>
    <n v="17"/>
    <n v="0"/>
    <n v="200"/>
    <n v="2"/>
    <n v="2.5"/>
    <n v="7.5"/>
    <m/>
    <m/>
    <n v="0"/>
    <n v="0"/>
    <n v="0"/>
    <n v="0"/>
    <n v="0"/>
    <n v="0"/>
    <n v="0"/>
    <s v="Unilateral"/>
    <s v="Braço"/>
    <n v="35"/>
    <n v="8.1999999999999993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5333333333333226E-2"/>
    <n v="1.7222222222222223"/>
    <s v="-"/>
    <n v="7.84"/>
    <n v="0.49"/>
    <m/>
    <m/>
    <m/>
    <m/>
    <s v="ATENDE"/>
    <s v="ATENDE"/>
    <s v="ATENDE"/>
    <s v="ATENDE"/>
    <s v="C5"/>
    <s v="P6"/>
    <n v="1.1833333333333331"/>
    <n v="6.55"/>
    <n v="2.9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4"/>
    <s v="PV"/>
    <s v="Travessa Tres, 585"/>
    <n v="-30.024736999999998"/>
    <n v="-50.155647999999999"/>
    <x v="1"/>
    <s v="-"/>
    <x v="1"/>
    <s v="Vapor de sódio"/>
    <n v="100"/>
    <n v="17"/>
    <n v="0"/>
    <n v="200"/>
    <n v="2"/>
    <n v="2.5"/>
    <n v="7.5"/>
    <m/>
    <m/>
    <n v="0"/>
    <n v="0"/>
    <n v="0"/>
    <n v="0"/>
    <n v="0"/>
    <n v="0"/>
    <n v="0"/>
    <s v="Unilateral"/>
    <s v="Braço"/>
    <n v="35"/>
    <n v="8.1999999999999993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0666666666666602E-2"/>
    <n v="2.3333333333333335"/>
    <s v="-"/>
    <n v="7.58"/>
    <n v="0.6"/>
    <m/>
    <m/>
    <m/>
    <m/>
    <s v="ATENDE"/>
    <s v="ATENDE"/>
    <s v="ATENDE"/>
    <s v="ATENDE"/>
    <s v="C5"/>
    <s v="P6"/>
    <n v="1.0366666666666666"/>
    <n v="6.11"/>
    <n v="2.71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4"/>
    <s v="PV"/>
    <s v="Travessa Tres, 585"/>
    <n v="-30.024736999999998"/>
    <n v="-50.155647999999999"/>
    <x v="1"/>
    <s v="-"/>
    <x v="1"/>
    <s v="Vapor de sódio"/>
    <n v="100"/>
    <n v="17"/>
    <n v="0"/>
    <n v="200"/>
    <n v="2"/>
    <n v="2.5"/>
    <n v="7.5"/>
    <m/>
    <m/>
    <n v="0"/>
    <n v="0"/>
    <n v="0"/>
    <n v="0"/>
    <n v="0"/>
    <n v="0"/>
    <n v="0"/>
    <s v="Unilateral"/>
    <s v="Braço"/>
    <n v="35"/>
    <n v="8.1999999999999993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6666666666665986E-3"/>
    <n v="2.4444444444444446"/>
    <s v="-"/>
    <n v="7.55"/>
    <n v="0.62"/>
    <m/>
    <m/>
    <m/>
    <m/>
    <s v="ATENDE"/>
    <s v="ATENDE"/>
    <s v="ATENDE"/>
    <s v="ATENDE"/>
    <s v="C5"/>
    <s v="P6"/>
    <n v="1.0366666666666666"/>
    <n v="6.11"/>
    <n v="3.43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5"/>
    <s v="VP"/>
    <s v="Rua Belo Horizonte, 1242"/>
    <n v="-30.033949"/>
    <n v="-50.158265"/>
    <x v="1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7.1"/>
    <n v="6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4399999999999999"/>
    <n v="5.555555555555558E-2"/>
    <s v="-"/>
    <n v="9.33"/>
    <n v="0.19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8.666666666666667E-2"/>
    <n v="3.26"/>
    <n v="1.02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m/>
    <s v="Curto II"/>
    <m/>
    <s v=""/>
    <s v=""/>
    <m/>
    <m/>
    <m/>
    <m/>
    <m/>
    <m/>
    <n v="28"/>
    <n v="150"/>
    <n v="356"/>
    <n v="0.81333333333333335"/>
    <m/>
    <m/>
    <s v="Sim"/>
    <m/>
  </r>
  <r>
    <n v="85"/>
    <s v="VP"/>
    <s v="Rua Belo Horizonte, 1242"/>
    <n v="-30.033949"/>
    <n v="-50.158265"/>
    <x v="1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7.1"/>
    <n v="6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7453333333333334"/>
    <n v="5.555555555555558E-2"/>
    <s v="-"/>
    <n v="13.09"/>
    <n v="0.19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4.0000000000000036E-2"/>
    <n v="3.12"/>
    <n v="0.98"/>
    <n v="3"/>
    <n v="0.6"/>
    <s v="ATENDE"/>
    <s v="ATENDE"/>
    <s v="ATENDE"/>
    <x v="1"/>
    <s v="SX-INEVO040HF"/>
    <s v="SXINEVO040K40L12CZF7PHF"/>
    <m/>
    <e v="#N/A"/>
    <n v="2"/>
    <n v="39"/>
    <n v="0"/>
    <n v="6552"/>
    <n v="0"/>
    <n v="0"/>
    <m/>
    <s v="Curto II"/>
    <m/>
    <s v=""/>
    <s v=""/>
    <m/>
    <m/>
    <m/>
    <m/>
    <m/>
    <m/>
    <n v="39"/>
    <n v="150"/>
    <n v="378"/>
    <n v="0.74"/>
    <m/>
    <m/>
    <s v="Sim"/>
    <m/>
  </r>
  <r>
    <n v="85"/>
    <s v="VP"/>
    <s v="Rua Belo Horizonte, 1242"/>
    <n v="-30.033949"/>
    <n v="-50.158265"/>
    <x v="1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7.1"/>
    <n v="6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84799999999999986"/>
    <n v="0.22222222222222232"/>
    <s v="-"/>
    <n v="13.86"/>
    <n v="0.22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3899999999999999"/>
    <n v="4.17"/>
    <n v="1.4"/>
    <n v="3"/>
    <n v="0.6"/>
    <s v="ATENDE"/>
    <s v="ATENDE"/>
    <s v="ATENDE"/>
    <x v="2"/>
    <s v="SIGSAGPTLRRSSNDL_40W_50IBBRS_x000a_"/>
    <s v="SIGSAGPTLRRSSNDL_40W_50IBBRS_x000a_1-10C1MUN6.5"/>
    <m/>
    <e v="#N/A"/>
    <n v="2"/>
    <n v="40"/>
    <n v="0"/>
    <n v="6641"/>
    <n v="0"/>
    <n v="0"/>
    <m/>
    <s v="Curto II"/>
    <s v="Curto I"/>
    <n v="1.2"/>
    <n v="6.5"/>
    <m/>
    <m/>
    <m/>
    <m/>
    <m/>
    <m/>
    <n v="40"/>
    <n v="150"/>
    <n v="380"/>
    <n v="0.73333333333333339"/>
    <m/>
    <m/>
    <s v="Sim"/>
    <m/>
  </r>
  <r>
    <n v="86"/>
    <s v="PVP"/>
    <s v="Rua Sergipe, 1164"/>
    <n v="-30.033998"/>
    <n v="-50.162942000000001"/>
    <x v="1"/>
    <s v="-"/>
    <x v="1"/>
    <s v="Vapor de sódio"/>
    <n v="100"/>
    <n v="17"/>
    <n v="0"/>
    <n v="200"/>
    <n v="2"/>
    <n v="2.6"/>
    <n v="7"/>
    <m/>
    <m/>
    <n v="0"/>
    <n v="3"/>
    <n v="0"/>
    <n v="0"/>
    <n v="0"/>
    <n v="0"/>
    <n v="0"/>
    <s v="Unilateral"/>
    <s v="Braço"/>
    <n v="34.2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199999999999997"/>
    <n v="1.2222222222222223"/>
    <s v="-"/>
    <n v="9.09"/>
    <n v="0.4"/>
    <m/>
    <m/>
    <m/>
    <m/>
    <s v="ATENDE"/>
    <s v="ATENDE"/>
    <s v="ATENDE"/>
    <s v="ATENDE"/>
    <s v="C5"/>
    <s v="P6"/>
    <n v="0.58000000000000007"/>
    <n v="4.74"/>
    <n v="2.0699999999999998"/>
    <n v="3"/>
    <n v="0.6"/>
    <s v="ATENDE"/>
    <s v="ATENDE"/>
    <s v="ATENDE"/>
    <s v="P6"/>
    <n v="1.4933333333333336"/>
    <n v="7.48"/>
    <n v="2.52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86"/>
    <s v="PVP"/>
    <s v="Rua Sergipe, 1164"/>
    <n v="-30.033998"/>
    <n v="-50.162942000000001"/>
    <x v="1"/>
    <s v="-"/>
    <x v="1"/>
    <s v="Vapor de sódio"/>
    <n v="100"/>
    <n v="17"/>
    <n v="0"/>
    <n v="200"/>
    <n v="2"/>
    <n v="2.6"/>
    <n v="7"/>
    <m/>
    <m/>
    <n v="0"/>
    <n v="3"/>
    <n v="0"/>
    <n v="0"/>
    <n v="0"/>
    <n v="0"/>
    <n v="0"/>
    <s v="Unilateral"/>
    <s v="Braço"/>
    <n v="34.2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666666666666674"/>
    <n v="1.3888888888888888"/>
    <s v="-"/>
    <n v="8.75"/>
    <n v="0.43"/>
    <m/>
    <m/>
    <m/>
    <m/>
    <s v="ATENDE"/>
    <s v="ATENDE"/>
    <s v="ATENDE"/>
    <s v="ATENDE"/>
    <s v="C5"/>
    <s v="P6"/>
    <n v="0.25333333333333319"/>
    <n v="3.76"/>
    <n v="1.73"/>
    <n v="3"/>
    <n v="0.6"/>
    <s v="ATENDE"/>
    <s v="ATENDE"/>
    <s v="ATENDE"/>
    <s v="P6"/>
    <n v="1.3033333333333332"/>
    <n v="6.91"/>
    <n v="1.64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86"/>
    <s v="PVP"/>
    <s v="Rua Sergipe, 1164"/>
    <n v="-30.033998"/>
    <n v="-50.162942000000001"/>
    <x v="1"/>
    <s v="-"/>
    <x v="1"/>
    <s v="Vapor de sódio"/>
    <n v="100"/>
    <n v="17"/>
    <n v="0"/>
    <n v="200"/>
    <n v="2"/>
    <n v="2.6"/>
    <n v="7"/>
    <m/>
    <m/>
    <n v="0"/>
    <n v="3"/>
    <n v="0"/>
    <n v="0"/>
    <n v="0"/>
    <n v="0"/>
    <n v="0"/>
    <s v="Unilateral"/>
    <s v="Braço"/>
    <n v="34.2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933333333333332"/>
    <n v="1.8333333333333335"/>
    <s v="-"/>
    <n v="8.6199999999999992"/>
    <n v="0.51"/>
    <m/>
    <m/>
    <m/>
    <m/>
    <s v="ATENDE"/>
    <s v="ATENDE"/>
    <s v="ATENDE"/>
    <s v="ATENDE"/>
    <s v="C5"/>
    <s v="P6"/>
    <n v="0.19333333333333336"/>
    <n v="3.58"/>
    <n v="2.2000000000000002"/>
    <n v="3"/>
    <n v="0.6"/>
    <s v="ATENDE"/>
    <s v="ATENDE"/>
    <s v="ATENDE"/>
    <s v="P6"/>
    <n v="1.31"/>
    <n v="6.93"/>
    <n v="2.9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87"/>
    <s v="V"/>
    <s v="Rua A, 1857"/>
    <n v="-30.032537000000001"/>
    <n v="-50.162951999999997"/>
    <x v="1"/>
    <s v="-"/>
    <x v="2"/>
    <s v="Vapor de sódio"/>
    <n v="150"/>
    <n v="22"/>
    <n v="0"/>
    <n v="300"/>
    <n v="2"/>
    <n v="0"/>
    <n v="7"/>
    <m/>
    <m/>
    <n v="0"/>
    <n v="0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4.0000000000000036E-2"/>
    <n v="1.3888888888888888"/>
    <s v="-"/>
    <n v="7.8"/>
    <n v="0.43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87"/>
    <s v="V"/>
    <s v="Rua A, 1857"/>
    <n v="-30.032537000000001"/>
    <n v="-50.162951999999997"/>
    <x v="1"/>
    <s v="-"/>
    <x v="2"/>
    <s v="Vapor de sódio"/>
    <n v="150"/>
    <n v="22"/>
    <n v="0"/>
    <n v="300"/>
    <n v="2"/>
    <n v="0"/>
    <n v="7"/>
    <m/>
    <m/>
    <n v="0"/>
    <n v="0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29333333333333322"/>
    <n v="2.0000000000000004"/>
    <s v="-"/>
    <n v="9.6999999999999993"/>
    <n v="0.54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87"/>
    <s v="V"/>
    <s v="Rua A, 1857"/>
    <n v="-30.032537000000001"/>
    <n v="-50.162951999999997"/>
    <x v="1"/>
    <s v="-"/>
    <x v="2"/>
    <s v="Vapor de sódio"/>
    <n v="150"/>
    <n v="22"/>
    <n v="0"/>
    <n v="300"/>
    <n v="2"/>
    <n v="0"/>
    <n v="7"/>
    <m/>
    <m/>
    <n v="0"/>
    <n v="0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27600000000000002"/>
    <n v="2.3333333333333335"/>
    <s v="-"/>
    <n v="9.57"/>
    <n v="0.6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88"/>
    <s v="PVP"/>
    <s v="Rua A, 1988"/>
    <n v="-30.031459000000002"/>
    <n v="-50.166505000000001"/>
    <x v="1"/>
    <s v="-"/>
    <x v="1"/>
    <s v="Vapor de sódio"/>
    <n v="100"/>
    <n v="17"/>
    <n v="0"/>
    <n v="200"/>
    <n v="2"/>
    <n v="3"/>
    <n v="10"/>
    <m/>
    <m/>
    <n v="0"/>
    <n v="3"/>
    <n v="0"/>
    <n v="0"/>
    <n v="0"/>
    <n v="0"/>
    <n v="0"/>
    <s v="Unilateral"/>
    <s v="Braço"/>
    <n v="47.5"/>
    <n v="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3333333333333472E-2"/>
    <n v="0"/>
    <s v="-"/>
    <n v="8.0500000000000007"/>
    <n v="0.18"/>
    <m/>
    <m/>
    <m/>
    <m/>
    <s v="ATENDE"/>
    <s v="ATENDE"/>
    <s v="ATENDE"/>
    <s v="ATENDE"/>
    <s v="C5"/>
    <s v="P6"/>
    <n v="0.10333333333333328"/>
    <n v="3.31"/>
    <n v="1.19"/>
    <n v="3"/>
    <n v="0.6"/>
    <s v="ATENDE"/>
    <s v="ATENDE"/>
    <s v="ATENDE"/>
    <s v="P6"/>
    <n v="1.0366666666666666"/>
    <n v="6.11"/>
    <n v="0.7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s v="Médio I"/>
    <n v="1.8"/>
    <n v="7"/>
    <m/>
    <m/>
    <m/>
    <m/>
    <m/>
    <m/>
    <n v="52"/>
    <n v="100"/>
    <n v="152"/>
    <n v="0.48"/>
    <m/>
    <m/>
    <s v="Sim"/>
    <m/>
  </r>
  <r>
    <n v="88"/>
    <s v="PVP"/>
    <s v="Rua A, 1988"/>
    <n v="-30.031459000000002"/>
    <n v="-50.166505000000001"/>
    <x v="1"/>
    <s v="-"/>
    <x v="1"/>
    <s v="Vapor de sódio"/>
    <n v="100"/>
    <n v="17"/>
    <n v="0"/>
    <n v="200"/>
    <n v="2"/>
    <n v="3"/>
    <n v="10"/>
    <m/>
    <m/>
    <n v="0"/>
    <n v="3"/>
    <n v="0"/>
    <n v="0"/>
    <n v="0"/>
    <n v="0"/>
    <n v="0"/>
    <s v="Unilateral"/>
    <s v="Braço"/>
    <n v="47.5"/>
    <n v="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599999999999993"/>
    <n v="5.555555555555558E-2"/>
    <s v="-"/>
    <n v="8.82"/>
    <n v="0.19"/>
    <m/>
    <m/>
    <m/>
    <m/>
    <s v="ATENDE"/>
    <s v="ATENDE"/>
    <s v="ATENDE"/>
    <s v="ATENDE"/>
    <s v="C5"/>
    <s v="P6"/>
    <n v="0.83333333333333326"/>
    <n v="5.5"/>
    <n v="2.87"/>
    <n v="3"/>
    <n v="0.6"/>
    <s v="ATENDE"/>
    <s v="ATENDE"/>
    <s v="ATENDE"/>
    <s v="P6"/>
    <n v="0.52666666666666662"/>
    <n v="4.58"/>
    <n v="0.62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s v="Longo II"/>
    <n v="3.5"/>
    <n v="8.5"/>
    <m/>
    <m/>
    <m/>
    <m/>
    <m/>
    <m/>
    <n v="50"/>
    <n v="100"/>
    <n v="150"/>
    <n v="0.5"/>
    <m/>
    <m/>
    <s v="Sim"/>
    <m/>
  </r>
  <r>
    <n v="88"/>
    <s v="PVP"/>
    <s v="Rua A, 1988"/>
    <n v="-30.031459000000002"/>
    <n v="-50.166505000000001"/>
    <x v="1"/>
    <s v="-"/>
    <x v="1"/>
    <s v="Vapor de sódio"/>
    <n v="100"/>
    <n v="17"/>
    <n v="0"/>
    <n v="200"/>
    <n v="2"/>
    <n v="3"/>
    <n v="10"/>
    <m/>
    <m/>
    <n v="0"/>
    <n v="3"/>
    <n v="0"/>
    <n v="0"/>
    <n v="0"/>
    <n v="0"/>
    <n v="0"/>
    <s v="Unilateral"/>
    <s v="Braço"/>
    <n v="47.5"/>
    <n v="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4000000000000075E-2"/>
    <n v="0.16666666666666674"/>
    <s v="-"/>
    <n v="8.1300000000000008"/>
    <n v="0.21"/>
    <m/>
    <m/>
    <m/>
    <m/>
    <s v="ATENDE"/>
    <s v="ATENDE"/>
    <s v="ATENDE"/>
    <s v="ATENDE"/>
    <s v="C5"/>
    <s v="P6"/>
    <n v="0.10333333333333328"/>
    <n v="3.31"/>
    <n v="0.87"/>
    <n v="3"/>
    <n v="0.6"/>
    <s v="ATENDE"/>
    <s v="ATENDE"/>
    <s v="ATENDE"/>
    <s v="P6"/>
    <n v="0.4800000000000002"/>
    <n v="4.4400000000000004"/>
    <n v="1.1100000000000001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m/>
    <s v="Curto II"/>
    <s v="Longo II"/>
    <n v="3.5"/>
    <n v="8.5"/>
    <m/>
    <m/>
    <m/>
    <m/>
    <m/>
    <m/>
    <n v="50"/>
    <n v="100"/>
    <n v="150"/>
    <n v="0.5"/>
    <m/>
    <m/>
    <s v="Sim"/>
    <m/>
  </r>
  <r>
    <n v="89"/>
    <s v="PVP"/>
    <s v="Rua T, 1141"/>
    <n v="-30.032314"/>
    <n v="-50.166941999999999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3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400000000000007"/>
    <n v="2.5"/>
    <s v="-"/>
    <n v="9.93"/>
    <n v="0.63"/>
    <m/>
    <m/>
    <m/>
    <m/>
    <s v="ATENDE"/>
    <s v="ATENDE"/>
    <s v="ATENDE"/>
    <s v="ATENDE"/>
    <s v="C5"/>
    <s v="P6"/>
    <n v="1.06"/>
    <n v="6.18"/>
    <n v="4.3"/>
    <n v="3"/>
    <n v="0.6"/>
    <s v="ATENDE"/>
    <s v="ATENDE"/>
    <s v="ATENDE"/>
    <s v="P6"/>
    <n v="1.8366666666666664"/>
    <n v="8.51"/>
    <n v="5.45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89"/>
    <s v="PVP"/>
    <s v="Rua T, 1141"/>
    <n v="-30.032314"/>
    <n v="-50.166941999999999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3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80000000000001"/>
    <n v="3.2777777777777777"/>
    <s v="-"/>
    <n v="8.31"/>
    <n v="0.77"/>
    <m/>
    <m/>
    <m/>
    <m/>
    <s v="ATENDE"/>
    <s v="ATENDE"/>
    <s v="ATENDE"/>
    <s v="ATENDE"/>
    <s v="C5"/>
    <s v="P6"/>
    <n v="0.58000000000000007"/>
    <n v="4.74"/>
    <n v="3.07"/>
    <n v="3"/>
    <n v="0.6"/>
    <s v="ATENDE"/>
    <s v="ATENDE"/>
    <s v="ATENDE"/>
    <s v="P6"/>
    <n v="1.3199999999999998"/>
    <n v="6.96"/>
    <n v="4.87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89"/>
    <s v="PVP"/>
    <s v="Rua T, 1141"/>
    <n v="-30.032314"/>
    <n v="-50.166941999999999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3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2933333333333352"/>
    <n v="2.9444444444444442"/>
    <s v="-"/>
    <n v="12.22"/>
    <n v="0.71"/>
    <m/>
    <m/>
    <m/>
    <m/>
    <s v="ATENDE"/>
    <s v="ATENDE"/>
    <s v="ATENDE"/>
    <s v="ATENDE"/>
    <s v="C5"/>
    <s v="P6"/>
    <n v="1.04"/>
    <n v="6.12"/>
    <n v="4.24"/>
    <n v="3"/>
    <n v="0.6"/>
    <s v="ATENDE"/>
    <s v="ATENDE"/>
    <s v="ATENDE"/>
    <s v="P6"/>
    <n v="2.3366666666666664"/>
    <n v="10.01"/>
    <n v="7.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91"/>
    <s v="VP"/>
    <s v="Rua Q, 531"/>
    <n v="-30.033611000000001"/>
    <n v="-50.165363999999997"/>
    <x v="2"/>
    <s v="-"/>
    <x v="1"/>
    <s v="Vapor de sódio"/>
    <n v="100"/>
    <n v="17"/>
    <n v="0"/>
    <n v="200"/>
    <n v="2"/>
    <n v="0"/>
    <n v="8.5"/>
    <m/>
    <m/>
    <n v="0"/>
    <n v="3"/>
    <n v="0"/>
    <n v="0"/>
    <n v="0"/>
    <n v="0"/>
    <n v="0"/>
    <s v="Unilateral"/>
    <s v="Braço"/>
    <n v="35.799999999999997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99999999999991"/>
    <n v="0.88888888888888906"/>
    <s v="-"/>
    <n v="11.44"/>
    <n v="0.34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0333333333333328"/>
    <n v="4.8099999999999996"/>
    <n v="2.299999999999999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91"/>
    <s v="VP"/>
    <s v="Rua Q, 531"/>
    <n v="-30.033611000000001"/>
    <n v="-50.165363999999997"/>
    <x v="2"/>
    <s v="-"/>
    <x v="1"/>
    <s v="Vapor de sódio"/>
    <n v="100"/>
    <n v="17"/>
    <n v="0"/>
    <n v="200"/>
    <n v="2"/>
    <n v="0"/>
    <n v="8.5"/>
    <m/>
    <m/>
    <n v="0"/>
    <n v="3"/>
    <n v="0"/>
    <n v="0"/>
    <n v="0"/>
    <n v="0"/>
    <n v="0"/>
    <s v="Unilateral"/>
    <s v="Braço"/>
    <n v="35.799999999999997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600000000000009"/>
    <n v="1.3888888888888888"/>
    <s v="-"/>
    <n v="13.56"/>
    <n v="0.4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0666666666666669"/>
    <n v="4.82"/>
    <n v="2.5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91"/>
    <s v="VP"/>
    <s v="Rua Q, 531"/>
    <n v="-30.033611000000001"/>
    <n v="-50.165363999999997"/>
    <x v="2"/>
    <s v="-"/>
    <x v="1"/>
    <s v="Vapor de sódio"/>
    <n v="100"/>
    <n v="17"/>
    <n v="0"/>
    <n v="200"/>
    <n v="2"/>
    <n v="0"/>
    <n v="8.5"/>
    <m/>
    <m/>
    <n v="0"/>
    <n v="3"/>
    <n v="0"/>
    <n v="0"/>
    <n v="0"/>
    <n v="0"/>
    <n v="0"/>
    <s v="Unilateral"/>
    <s v="Braço"/>
    <n v="35.799999999999997"/>
    <n v="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0.88888888888888906"/>
    <s v="-"/>
    <n v="10.01"/>
    <n v="0.34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35333333333333328"/>
    <n v="4.0599999999999996"/>
    <n v="2.6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n v="10"/>
    <s v="Curto II"/>
    <m/>
    <s v=""/>
    <s v=""/>
    <m/>
    <m/>
    <m/>
    <m/>
    <m/>
    <m/>
    <n v="40"/>
    <n v="100"/>
    <n v="140"/>
    <n v="0.6"/>
    <m/>
    <m/>
    <s v="Sim"/>
    <m/>
  </r>
  <r>
    <n v="90"/>
    <s v="PV"/>
    <s v="Estrada do Agual, 539"/>
    <n v="-30.032422"/>
    <n v="-50.167748000000003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0"/>
    <n v="7.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466666666666675"/>
    <n v="0.7777777777777779"/>
    <s v="-"/>
    <n v="8.81"/>
    <n v="0.32"/>
    <m/>
    <m/>
    <m/>
    <m/>
    <s v="ATENDE"/>
    <s v="ATENDE"/>
    <s v="ATENDE"/>
    <s v="ATENDE"/>
    <s v="C5"/>
    <s v="P6"/>
    <n v="1.3766666666666665"/>
    <n v="7.13"/>
    <n v="2.2000000000000002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90"/>
    <s v="PV"/>
    <s v="Estrada do Agual, 539"/>
    <n v="-30.032422"/>
    <n v="-50.167748000000003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0"/>
    <n v="7.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733333333333351"/>
    <n v="1.1111111111111112"/>
    <s v="-"/>
    <n v="8.3800000000000008"/>
    <n v="0.38"/>
    <m/>
    <m/>
    <m/>
    <m/>
    <s v="ATENDE"/>
    <s v="ATENDE"/>
    <s v="ATENDE"/>
    <s v="ATENDE"/>
    <s v="C5"/>
    <s v="P6"/>
    <n v="1.3133333333333335"/>
    <n v="6.94"/>
    <n v="1.84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90"/>
    <s v="PV"/>
    <s v="Estrada do Agual, 539"/>
    <n v="-30.032422"/>
    <n v="-50.167748000000003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0"/>
    <n v="7.5"/>
    <n v="1"/>
    <n v="0.5"/>
    <n v="1.5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93333333333332"/>
    <n v="0.5555555555555558"/>
    <s v="-"/>
    <n v="9.52"/>
    <n v="0.28000000000000003"/>
    <m/>
    <m/>
    <m/>
    <m/>
    <s v="ATENDE"/>
    <s v="ATENDE"/>
    <s v="ATENDE"/>
    <s v="ATENDE"/>
    <s v="C5"/>
    <s v="P6"/>
    <n v="1.4466666666666668"/>
    <n v="7.34"/>
    <n v="1.86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92"/>
    <s v="PVP"/>
    <s v="Rua Roraima, 1251"/>
    <n v="-30.034994000000001"/>
    <n v="-50.16130700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1.5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399999999999989"/>
    <n v="0.72222222222222232"/>
    <s v="-"/>
    <n v="8.43"/>
    <n v="0.31"/>
    <m/>
    <m/>
    <m/>
    <m/>
    <s v="ATENDE"/>
    <s v="ATENDE"/>
    <s v="ATENDE"/>
    <s v="ATENDE"/>
    <s v="C5"/>
    <s v="P6"/>
    <n v="0.7699999999999998"/>
    <n v="5.31"/>
    <n v="2.12"/>
    <n v="3"/>
    <n v="0.6"/>
    <s v="ATENDE"/>
    <s v="ATENDE"/>
    <s v="ATENDE"/>
    <s v="P6"/>
    <n v="1.4233333333333333"/>
    <n v="7.27"/>
    <n v="2.0099999999999998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92"/>
    <s v="PVP"/>
    <s v="Rua Roraima, 1251"/>
    <n v="-30.034994000000001"/>
    <n v="-50.16130700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1.5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9333333333333247E-2"/>
    <n v="0.94444444444444442"/>
    <s v="-"/>
    <n v="8.02"/>
    <n v="0.35"/>
    <m/>
    <m/>
    <m/>
    <m/>
    <s v="ATENDE"/>
    <s v="ATENDE"/>
    <s v="ATENDE"/>
    <s v="ATENDE"/>
    <s v="C5"/>
    <s v="P6"/>
    <n v="0.53666666666666685"/>
    <n v="4.6100000000000003"/>
    <n v="2.2200000000000002"/>
    <n v="3"/>
    <n v="0.6"/>
    <s v="ATENDE"/>
    <s v="ATENDE"/>
    <s v="ATENDE"/>
    <s v="P6"/>
    <n v="1.3133333333333335"/>
    <n v="6.94"/>
    <n v="1.59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92"/>
    <s v="PVP"/>
    <s v="Rua Roraima, 1251"/>
    <n v="-30.034994000000001"/>
    <n v="-50.16130700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1.5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199999999999997"/>
    <n v="0.2777777777777779"/>
    <s v="-"/>
    <n v="9.09"/>
    <n v="0.23"/>
    <m/>
    <m/>
    <m/>
    <m/>
    <s v="ATENDE"/>
    <s v="ATENDE"/>
    <s v="ATENDE"/>
    <s v="ATENDE"/>
    <s v="C5"/>
    <s v="P6"/>
    <n v="0.32000000000000006"/>
    <n v="3.96"/>
    <n v="1.22"/>
    <n v="3"/>
    <n v="0.6"/>
    <s v="ATENDE"/>
    <s v="ATENDE"/>
    <s v="ATENDE"/>
    <s v="P6"/>
    <n v="1.46"/>
    <n v="7.38"/>
    <n v="1.52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94"/>
    <s v="VP"/>
    <s v="Avenida Minas Gerais, 2018"/>
    <n v="-30.043346"/>
    <n v="-50.158329999999999"/>
    <x v="0"/>
    <s v="-"/>
    <x v="1"/>
    <s v="Vapor de sódio"/>
    <n v="250"/>
    <n v="30"/>
    <n v="0"/>
    <n v="2000"/>
    <n v="2"/>
    <n v="0"/>
    <n v="7"/>
    <m/>
    <m/>
    <n v="0"/>
    <n v="3"/>
    <n v="5.8"/>
    <n v="0"/>
    <n v="0"/>
    <n v="0"/>
    <n v="0"/>
    <s v="Canteiro central"/>
    <s v="Braço"/>
    <n v="45.5"/>
    <n v="10"/>
    <n v="4"/>
    <n v="2.9"/>
    <n v="0.5"/>
    <n v="-2.4"/>
    <s v="-"/>
    <s v="-"/>
    <s v="Não"/>
    <n v="8"/>
    <n v="0"/>
    <n v="0"/>
    <n v="0"/>
    <n v="0"/>
    <n v="0"/>
    <s v="-"/>
    <n v="0"/>
    <m/>
    <n v="30"/>
    <n v="0.38"/>
    <s v="-"/>
    <n v="0.38"/>
    <s v="-"/>
    <n v="14"/>
    <s v="ATENDE"/>
    <n v="4.6666666666665968E-3"/>
    <n v="2.6315789473684292E-2"/>
    <s v="-"/>
    <n v="30.14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n v="18.78"/>
    <n v="9.2100000000000009"/>
    <s v="-"/>
    <s v="-"/>
    <s v="-"/>
    <s v="-"/>
    <s v="-"/>
    <x v="0"/>
    <s v=" SL VT 9.1 65W"/>
    <s v="LUM LED SL VT 9.1 65W"/>
    <m/>
    <e v="#N/A"/>
    <n v="4"/>
    <n v="65"/>
    <e v="#N/A"/>
    <n v="10496"/>
    <n v="0"/>
    <n v="0"/>
    <n v="8"/>
    <s v="Curto I"/>
    <m/>
    <s v=""/>
    <s v=""/>
    <m/>
    <m/>
    <m/>
    <m/>
    <m/>
    <m/>
    <n v="65"/>
    <n v="250"/>
    <n v="1260"/>
    <n v="0.74"/>
    <m/>
    <m/>
    <s v="Sim"/>
    <m/>
  </r>
  <r>
    <n v="94"/>
    <s v="VP"/>
    <s v="Avenida Minas Gerais, 2018"/>
    <n v="-30.043346"/>
    <n v="-50.158329999999999"/>
    <x v="0"/>
    <s v="-"/>
    <x v="1"/>
    <s v="Vapor de sódio"/>
    <n v="250"/>
    <n v="30"/>
    <n v="0"/>
    <n v="2000"/>
    <n v="2"/>
    <n v="0"/>
    <n v="7"/>
    <m/>
    <m/>
    <n v="0"/>
    <n v="3"/>
    <n v="5.8"/>
    <n v="0"/>
    <n v="0"/>
    <n v="0"/>
    <n v="0"/>
    <s v="Canteiro central"/>
    <s v="Braço"/>
    <n v="45.5"/>
    <n v="10"/>
    <n v="4"/>
    <n v="2.9"/>
    <n v="0.5"/>
    <n v="-2.4"/>
    <s v="-"/>
    <s v="-"/>
    <s v="Não"/>
    <n v="8"/>
    <n v="0"/>
    <n v="0"/>
    <n v="0"/>
    <n v="0"/>
    <n v="0"/>
    <s v="-"/>
    <n v="0"/>
    <m/>
    <n v="30"/>
    <n v="0.38"/>
    <s v="-"/>
    <n v="0.38"/>
    <s v="-"/>
    <n v="14"/>
    <s v="ATENDE"/>
    <n v="0.19666666666666655"/>
    <n v="0.13157894736842102"/>
    <s v="-"/>
    <n v="35.9"/>
    <n v="0.43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n v="22.59"/>
    <n v="11.94"/>
    <s v="-"/>
    <s v="-"/>
    <s v="-"/>
    <s v="-"/>
    <s v="-"/>
    <x v="1"/>
    <s v="SX-INLPP070HF"/>
    <s v="SXINLPP070K40L12CZF7PHF"/>
    <m/>
    <e v="#N/A"/>
    <n v="4"/>
    <n v="70"/>
    <e v="#N/A"/>
    <n v="11970"/>
    <n v="0"/>
    <n v="0"/>
    <n v="10"/>
    <s v="Curto I"/>
    <m/>
    <s v=""/>
    <s v=""/>
    <m/>
    <m/>
    <m/>
    <m/>
    <m/>
    <m/>
    <n v="70"/>
    <n v="250"/>
    <n v="1280"/>
    <n v="0.72"/>
    <m/>
    <m/>
    <s v="Sim"/>
    <m/>
  </r>
  <r>
    <n v="94"/>
    <s v="VP"/>
    <s v="Avenida Minas Gerais, 2018"/>
    <n v="-30.043346"/>
    <n v="-50.158329999999999"/>
    <x v="0"/>
    <s v="-"/>
    <x v="1"/>
    <s v="Vapor de sódio"/>
    <n v="250"/>
    <n v="30"/>
    <n v="0"/>
    <n v="2000"/>
    <n v="2"/>
    <n v="0"/>
    <n v="7"/>
    <m/>
    <m/>
    <n v="0"/>
    <n v="3"/>
    <n v="5.8"/>
    <n v="0"/>
    <n v="0"/>
    <n v="0"/>
    <n v="0"/>
    <s v="Canteiro central"/>
    <s v="Braço"/>
    <n v="45.5"/>
    <n v="10"/>
    <n v="4"/>
    <n v="2.9"/>
    <n v="0.5"/>
    <n v="-2.4"/>
    <s v="-"/>
    <s v="-"/>
    <s v="Não"/>
    <n v="8"/>
    <n v="0"/>
    <n v="0"/>
    <n v="0"/>
    <n v="0"/>
    <n v="0"/>
    <s v="-"/>
    <n v="0"/>
    <m/>
    <n v="30"/>
    <n v="0.38"/>
    <s v="-"/>
    <n v="0.38"/>
    <s v="-"/>
    <n v="14"/>
    <s v="ATENDE"/>
    <n v="8.7666666666666782E-2"/>
    <n v="0.26315789473684204"/>
    <s v="-"/>
    <n v="32.630000000000003"/>
    <n v="0.48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n v="18.53"/>
    <n v="9.6300000000000008"/>
    <s v="-"/>
    <s v="-"/>
    <s v="-"/>
    <s v="-"/>
    <s v="-"/>
    <x v="2"/>
    <s v="SIGSAGPTLRRSSNDL_68W_83IBBRS_x000a_"/>
    <s v="SIGSAGPTLRRSSNDL_68W_83IBBRS_x000a_1-10C1MUN6.5"/>
    <m/>
    <e v="#N/A"/>
    <n v="4"/>
    <n v="68"/>
    <n v="0"/>
    <n v="10884"/>
    <n v="0"/>
    <n v="0"/>
    <n v="10"/>
    <s v="Curto I"/>
    <m/>
    <s v=""/>
    <s v=""/>
    <m/>
    <m/>
    <m/>
    <m/>
    <m/>
    <m/>
    <n v="68"/>
    <n v="250"/>
    <n v="1272"/>
    <n v="0.72799999999999998"/>
    <m/>
    <m/>
    <s v="Sim"/>
    <m/>
  </r>
  <r>
    <n v="95"/>
    <s v="PVP"/>
    <s v="Rua Guanabara, 740"/>
    <n v="-30.043066"/>
    <n v="-50.157634000000002"/>
    <x v="2"/>
    <s v="-"/>
    <x v="1"/>
    <s v="Vapor de sódio"/>
    <n v="100"/>
    <n v="17"/>
    <n v="0"/>
    <n v="0"/>
    <n v="2"/>
    <n v="4"/>
    <n v="10"/>
    <m/>
    <m/>
    <n v="0"/>
    <n v="3"/>
    <n v="0"/>
    <n v="0"/>
    <n v="0"/>
    <n v="0"/>
    <n v="0"/>
    <s v="Unilateral"/>
    <s v="Braço"/>
    <n v="34.6"/>
    <n v="7"/>
    <n v="0"/>
    <n v="0.3"/>
    <n v="1.3"/>
    <n v="1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6.0999999999999943E-2"/>
    <n v="1.166666666666667"/>
    <s v="-"/>
    <n v="10.61"/>
    <n v="0.39"/>
    <m/>
    <m/>
    <m/>
    <m/>
    <s v="ATENDE"/>
    <s v="ATENDE"/>
    <s v="ATENDE"/>
    <s v="ATENDE"/>
    <s v="C4"/>
    <s v="P6"/>
    <n v="0.59666666666666668"/>
    <n v="4.79"/>
    <n v="2.86"/>
    <n v="3"/>
    <n v="0.6"/>
    <s v="ATENDE"/>
    <s v="ATENDE"/>
    <s v="ATENDE"/>
    <s v="P6"/>
    <n v="1.4033333333333333"/>
    <n v="7.21"/>
    <n v="1.89"/>
    <n v="3"/>
    <n v="0.6"/>
    <s v="ATENDE"/>
    <s v="ATENDE"/>
    <s v="ATENDE"/>
    <x v="0"/>
    <s v=" SL VT 9.1 52W"/>
    <s v="LUM LED SL VT 9.1 52W"/>
    <m/>
    <e v="#N/A"/>
    <n v="0"/>
    <n v="52"/>
    <n v="0"/>
    <n v="8960.18"/>
    <n v="0"/>
    <n v="0"/>
    <m/>
    <s v="Curto II"/>
    <m/>
    <s v=""/>
    <s v=""/>
    <m/>
    <m/>
    <m/>
    <m/>
    <m/>
    <m/>
    <n v="52"/>
    <n v="100"/>
    <n v="0"/>
    <n v="0.48"/>
    <m/>
    <m/>
    <s v="Sim"/>
    <m/>
  </r>
  <r>
    <n v="95"/>
    <s v="PVP"/>
    <s v="Rua Guanabara, 740"/>
    <n v="-30.043066"/>
    <n v="-50.157634000000002"/>
    <x v="2"/>
    <s v="-"/>
    <x v="1"/>
    <s v="Vapor de sódio"/>
    <n v="100"/>
    <n v="17"/>
    <n v="0"/>
    <n v="0"/>
    <n v="2"/>
    <n v="4"/>
    <n v="10"/>
    <m/>
    <m/>
    <n v="0"/>
    <n v="3"/>
    <n v="0"/>
    <n v="0"/>
    <n v="0"/>
    <n v="0"/>
    <n v="0"/>
    <s v="Unilateral"/>
    <s v="Braço"/>
    <n v="34.6"/>
    <n v="7"/>
    <n v="0"/>
    <n v="0.3"/>
    <n v="1.3"/>
    <n v="1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0.25500000000000012"/>
    <n v="1.3333333333333335"/>
    <s v="-"/>
    <n v="12.55"/>
    <n v="0.42"/>
    <m/>
    <m/>
    <m/>
    <m/>
    <s v="ATENDE"/>
    <s v="ATENDE"/>
    <s v="ATENDE"/>
    <s v="ATENDE"/>
    <s v="C4"/>
    <s v="P6"/>
    <n v="0.82000000000000006"/>
    <n v="5.46"/>
    <n v="3.88"/>
    <n v="3"/>
    <n v="0.6"/>
    <s v="ATENDE"/>
    <s v="ATENDE"/>
    <s v="ATENDE"/>
    <s v="P6"/>
    <n v="1.3766666666666665"/>
    <n v="7.13"/>
    <n v="0.73"/>
    <n v="3"/>
    <n v="0.6"/>
    <s v="ATENDE"/>
    <s v="ATENDE"/>
    <s v="ATENDE"/>
    <x v="1"/>
    <s v="SX-INEVO050HF"/>
    <s v="SXINEVO050K40L12CZF7PHF"/>
    <m/>
    <e v="#N/A"/>
    <n v="0"/>
    <n v="50"/>
    <n v="0"/>
    <n v="8650"/>
    <n v="0"/>
    <n v="0"/>
    <m/>
    <s v="Curto II"/>
    <m/>
    <s v=""/>
    <s v=""/>
    <m/>
    <m/>
    <m/>
    <m/>
    <m/>
    <m/>
    <n v="50"/>
    <n v="100"/>
    <n v="0"/>
    <n v="0.5"/>
    <m/>
    <m/>
    <s v="Sim"/>
    <m/>
  </r>
  <r>
    <n v="95"/>
    <s v="PVP"/>
    <s v="Rua Guanabara, 740"/>
    <n v="-30.043066"/>
    <n v="-50.157634000000002"/>
    <x v="2"/>
    <s v="-"/>
    <x v="1"/>
    <s v="Vapor de sódio"/>
    <n v="100"/>
    <n v="17"/>
    <n v="0"/>
    <n v="0"/>
    <n v="2"/>
    <n v="4"/>
    <n v="10"/>
    <m/>
    <m/>
    <n v="0"/>
    <n v="3"/>
    <n v="0"/>
    <n v="0"/>
    <n v="0"/>
    <n v="0"/>
    <n v="0"/>
    <s v="Unilateral"/>
    <s v="Braço"/>
    <n v="34.6"/>
    <n v="7"/>
    <n v="0"/>
    <n v="0.3"/>
    <n v="1.3"/>
    <n v="1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0.14000000000000012"/>
    <n v="1.2222222222222223"/>
    <s v="-"/>
    <n v="11.4"/>
    <n v="0.4"/>
    <m/>
    <m/>
    <m/>
    <m/>
    <s v="ATENDE"/>
    <s v="ATENDE"/>
    <s v="ATENDE"/>
    <s v="ATENDE"/>
    <s v="C4"/>
    <s v="P6"/>
    <n v="5.3333333333333455E-2"/>
    <n v="3.16"/>
    <n v="2.02"/>
    <n v="3"/>
    <n v="0.6"/>
    <s v="ATENDE"/>
    <s v="ATENDE"/>
    <s v="ATENDE"/>
    <s v="P6"/>
    <n v="1.3766666666666665"/>
    <n v="7.13"/>
    <n v="1.48"/>
    <n v="3"/>
    <n v="0.6"/>
    <s v="ATENDE"/>
    <s v="ATENDE"/>
    <s v="ATENDE"/>
    <x v="2"/>
    <s v="SIGSAGPTLRRSSNDL_50W_61IBBRS_x000a_"/>
    <s v="SIGSAGPTLRRSSNDL_50W_61IBBRS_x000a_1-10C1MUN6.5"/>
    <m/>
    <n v="0"/>
    <n v="0"/>
    <n v="50"/>
    <n v="0"/>
    <n v="8163"/>
    <n v="0"/>
    <n v="0"/>
    <m/>
    <s v="Curto II"/>
    <m/>
    <s v=""/>
    <s v=""/>
    <m/>
    <m/>
    <m/>
    <m/>
    <m/>
    <m/>
    <n v="50"/>
    <n v="100"/>
    <n v="0"/>
    <n v="0.5"/>
    <m/>
    <m/>
    <s v="Sim"/>
    <m/>
  </r>
  <r>
    <n v="96"/>
    <s v="V"/>
    <s v="Avenida Minas Gerais, 1405"/>
    <n v="-30.038125999999998"/>
    <n v="-50.155844999999999"/>
    <x v="0"/>
    <s v="-"/>
    <x v="2"/>
    <s v="Vapor de sódio"/>
    <n v="150"/>
    <n v="22"/>
    <n v="0"/>
    <n v="300"/>
    <n v="2"/>
    <n v="0"/>
    <n v="7"/>
    <m/>
    <m/>
    <n v="0"/>
    <n v="0"/>
    <n v="5.8"/>
    <n v="0"/>
    <n v="0"/>
    <n v="0"/>
    <n v="0"/>
    <s v="Unilateral"/>
    <s v="Braço"/>
    <n v="30.3"/>
    <n v="6.7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N/A"/>
    <n v="0.11933333333333329"/>
    <n v="2.6315789473684292E-2"/>
    <s v="-"/>
    <n v="34.35"/>
    <n v="0.39"/>
    <m/>
    <m/>
    <m/>
    <m/>
    <s v="ATENDE"/>
    <s v="ATENDE"/>
    <s v="ATENDE"/>
    <s v="ATENDE"/>
    <s v="C1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35W"/>
    <s v="LUM LED SL VT 9.1 35W"/>
    <m/>
    <n v="0"/>
    <n v="1"/>
    <n v="35"/>
    <n v="0"/>
    <n v="5955.62"/>
    <n v="0"/>
    <n v="0"/>
    <m/>
    <s v="Curto II"/>
    <m/>
    <m/>
    <m/>
    <m/>
    <m/>
    <m/>
    <m/>
    <m/>
    <m/>
    <n v="35"/>
    <n v="150"/>
    <n v="185"/>
    <n v="0.76666666666666661"/>
    <m/>
    <m/>
    <s v="Sim"/>
    <m/>
  </r>
  <r>
    <n v="96"/>
    <s v="V"/>
    <s v="Avenida Minas Gerais, 1405"/>
    <n v="-30.038125999999998"/>
    <n v="-50.155844999999999"/>
    <x v="0"/>
    <s v="-"/>
    <x v="2"/>
    <s v="Vapor de sódio"/>
    <n v="150"/>
    <n v="22"/>
    <n v="0"/>
    <n v="300"/>
    <n v="2"/>
    <n v="0"/>
    <n v="7"/>
    <m/>
    <m/>
    <n v="0"/>
    <n v="0"/>
    <n v="5.8"/>
    <n v="0"/>
    <n v="0"/>
    <n v="0"/>
    <n v="0"/>
    <s v="Unilateral"/>
    <s v="Braço"/>
    <n v="30.3"/>
    <n v="6.7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REF!"/>
    <e v="#REF!"/>
    <n v="0.34210526315789469"/>
    <s v="-"/>
    <n v="33.58"/>
    <n v="0.51"/>
    <m/>
    <m/>
    <m/>
    <m/>
    <e v="#REF!"/>
    <e v="#REF!"/>
    <s v="ATENDE"/>
    <s v="ATENDE"/>
    <s v="C1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m/>
    <n v="0"/>
    <n v="1"/>
    <n v="31"/>
    <n v="0"/>
    <n v="5270"/>
    <n v="0"/>
    <n v="0"/>
    <m/>
    <s v="Curto II"/>
    <m/>
    <m/>
    <m/>
    <m/>
    <m/>
    <m/>
    <m/>
    <m/>
    <m/>
    <n v="31"/>
    <n v="150"/>
    <n v="181"/>
    <n v="0.79333333333333333"/>
    <m/>
    <m/>
    <s v="Sim"/>
    <m/>
  </r>
  <r>
    <n v="96"/>
    <s v="V"/>
    <s v="Avenida Minas Gerais, 1405"/>
    <n v="-30.038125999999998"/>
    <n v="-50.155844999999999"/>
    <x v="0"/>
    <s v="-"/>
    <x v="2"/>
    <s v="Vapor de sódio"/>
    <n v="150"/>
    <n v="22"/>
    <n v="0"/>
    <n v="300"/>
    <n v="2"/>
    <n v="0"/>
    <n v="7"/>
    <m/>
    <m/>
    <n v="0"/>
    <n v="0"/>
    <n v="5.8"/>
    <n v="0"/>
    <n v="0"/>
    <n v="0"/>
    <n v="0"/>
    <s v="Unilateral"/>
    <s v="Braço"/>
    <n v="30.3"/>
    <n v="6.7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N/A"/>
    <n v="5.2000000000000046E-2"/>
    <n v="0.21052631578947367"/>
    <s v="-"/>
    <n v="31.56"/>
    <n v="0.46"/>
    <m/>
    <m/>
    <m/>
    <m/>
    <s v="ATENDE"/>
    <s v="ATENDE"/>
    <s v="ATENDE"/>
    <s v="ATENDE"/>
    <s v="C1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m/>
    <m/>
    <m/>
    <m/>
    <m/>
    <m/>
    <m/>
    <m/>
    <n v="30"/>
    <n v="150"/>
    <n v="180"/>
    <n v="0.8"/>
    <m/>
    <m/>
    <s v="Sim"/>
    <m/>
  </r>
  <r>
    <n v="93"/>
    <s v="VP"/>
    <s v="Avenida Florianopolis, 1124"/>
    <n v="-30.039655"/>
    <n v="-50.159373000000002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4.200000000000003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4000000000000012"/>
    <n v="-3.5714285714285698E-2"/>
    <s v="-"/>
    <n v="22.8"/>
    <n v="0.27"/>
    <m/>
    <m/>
    <m/>
    <m/>
    <s v="ATENDE"/>
    <s v="ATENDE"/>
    <s v="ATENDIMENTO LIMIAR"/>
    <s v="ATENDE"/>
    <s v="C2"/>
    <s v="P6"/>
    <e v="#VALUE!"/>
    <s v=" -"/>
    <s v=" -"/>
    <n v="3"/>
    <n v="0.6"/>
    <s v="ATENDE"/>
    <s v="ATENDE"/>
    <s v="ATENDE"/>
    <s v="P6"/>
    <n v="2.2966666666666669"/>
    <n v="9.89"/>
    <n v="3.18"/>
    <n v="3"/>
    <n v="0.6"/>
    <s v="ATENDE"/>
    <s v="ATENDE"/>
    <s v="ATENDE"/>
    <x v="0"/>
    <s v=" SL VT 9.1 65W"/>
    <s v="LUM LED SL VT 9.1 65W"/>
    <m/>
    <e v="#N/A"/>
    <n v="2"/>
    <n v="65"/>
    <n v="0"/>
    <n v="10496"/>
    <n v="0"/>
    <n v="0"/>
    <m/>
    <s v="Curto II"/>
    <m/>
    <s v=""/>
    <s v=""/>
    <m/>
    <m/>
    <m/>
    <m/>
    <m/>
    <m/>
    <n v="65"/>
    <n v="150"/>
    <n v="430"/>
    <n v="0.56666666666666665"/>
    <m/>
    <m/>
    <s v="Sim"/>
    <m/>
  </r>
  <r>
    <n v="93"/>
    <s v="VP"/>
    <s v="Avenida Florianopolis, 1124"/>
    <n v="-30.039655"/>
    <n v="-50.159373000000002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4.200000000000003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9000000000000146E-2"/>
    <n v="0.39285714285714279"/>
    <s v="-"/>
    <n v="20.78"/>
    <n v="0.3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6566666666666667"/>
    <n v="7.97"/>
    <n v="4.29"/>
    <n v="3"/>
    <n v="0.6"/>
    <s v="ATENDE"/>
    <s v="ATENDE"/>
    <s v="ATENDE"/>
    <x v="1"/>
    <s v="SX-INEVO060HF"/>
    <s v="SXINEVO060K40L12CZF7PHF"/>
    <m/>
    <e v="#N/A"/>
    <n v="2"/>
    <n v="60"/>
    <n v="0"/>
    <n v="9600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93"/>
    <s v="VP"/>
    <s v="Avenida Florianopolis, 1124"/>
    <n v="-30.039655"/>
    <n v="-50.159373000000002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4.200000000000003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8.4000000000000075E-2"/>
    <n v="0.21428571428571419"/>
    <s v="-"/>
    <n v="21.68"/>
    <n v="0.34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33"/>
    <n v="6.99"/>
    <n v="3.24"/>
    <n v="3"/>
    <n v="0.6"/>
    <s v="ATENDE"/>
    <s v="ATENDE"/>
    <s v="ATENDE"/>
    <x v="2"/>
    <s v="SIGSAGPTLRRSSNDL_60W_73IBBRS_x000a_"/>
    <s v="SIGSAGPTLRRSSNDL_60W_73IBBRS_x000a_1-10C1MUN6.5"/>
    <m/>
    <e v="#N/A"/>
    <n v="2"/>
    <n v="60"/>
    <n v="0"/>
    <n v="9453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97"/>
    <s v="PVP"/>
    <s v="Rua Amazonas, 915"/>
    <n v="-30.035375999999999"/>
    <n v="-50.148716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1111111111111112"/>
    <s v="-"/>
    <n v="9.0500000000000007"/>
    <n v="0.38"/>
    <m/>
    <m/>
    <m/>
    <m/>
    <s v="ATENDE"/>
    <s v="ATENDE"/>
    <s v="ATENDE"/>
    <s v="ATENDE"/>
    <s v="C5"/>
    <s v="P6"/>
    <n v="0.7433333333333334"/>
    <n v="5.23"/>
    <n v="0.6"/>
    <n v="3"/>
    <n v="0.6"/>
    <s v="ATENDE"/>
    <s v="ATENDE"/>
    <s v="ATENDE"/>
    <s v="P6"/>
    <n v="1.4"/>
    <n v="7.2"/>
    <n v="2.3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97"/>
    <s v="PVP"/>
    <s v="Rua Amazonas, 915"/>
    <n v="-30.035375999999999"/>
    <n v="-50.148716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400000000000015"/>
    <n v="1.166666666666667"/>
    <s v="-"/>
    <n v="8.73"/>
    <n v="0.39"/>
    <m/>
    <m/>
    <m/>
    <m/>
    <s v="ATENDE"/>
    <s v="ATENDE"/>
    <s v="ATENDE"/>
    <s v="ATENDE"/>
    <s v="C5"/>
    <s v="P6"/>
    <n v="0.44000000000000017"/>
    <n v="4.32"/>
    <n v="2.06"/>
    <n v="3"/>
    <n v="0.6"/>
    <s v="ATENDE"/>
    <s v="ATENDE"/>
    <s v="ATENDE"/>
    <s v="P6"/>
    <n v="1.1966666666666668"/>
    <n v="6.59"/>
    <n v="1.45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m/>
    <m/>
    <m/>
    <m/>
    <m/>
    <m/>
    <m/>
    <m/>
    <n v="31"/>
    <n v="100"/>
    <n v="131"/>
    <n v="0.69"/>
    <m/>
    <m/>
    <s v="Sim"/>
    <m/>
  </r>
  <r>
    <n v="97"/>
    <s v="PVP"/>
    <s v="Rua Amazonas, 915"/>
    <n v="-30.035375999999999"/>
    <n v="-50.14871699999999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666666666666672"/>
    <n v="1.6666666666666665"/>
    <s v="-"/>
    <n v="8.6"/>
    <n v="0.48"/>
    <m/>
    <m/>
    <m/>
    <m/>
    <s v="ATENDE"/>
    <s v="ATENDE"/>
    <s v="ATENDE"/>
    <s v="ATENDE"/>
    <s v="C5"/>
    <s v="P6"/>
    <n v="0.33999999999999986"/>
    <n v="4.0199999999999996"/>
    <n v="2.62"/>
    <n v="3"/>
    <n v="0.6"/>
    <s v="ATENDE"/>
    <s v="ATENDE"/>
    <s v="ATENDE"/>
    <s v="P6"/>
    <n v="1.2133333333333334"/>
    <n v="6.64"/>
    <n v="2.7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98"/>
    <s v="PVP"/>
    <s v="Rua Guanabara, 1129"/>
    <n v="-30.04220312"/>
    <n v="-50.160747239999999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8.200000000000003"/>
    <n v="7"/>
    <n v="1"/>
    <n v="0.7"/>
    <n v="1.3"/>
    <n v="0.6000000000000000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0.66666666666666674"/>
    <s v="-"/>
    <n v="8.07"/>
    <n v="0.3"/>
    <m/>
    <m/>
    <m/>
    <m/>
    <s v="ATENDE"/>
    <s v="ATENDE"/>
    <s v="ATENDE"/>
    <s v="ATENDE"/>
    <s v="C5"/>
    <s v="P6"/>
    <n v="0.42999999999999994"/>
    <n v="4.29"/>
    <n v="1.48"/>
    <n v="3"/>
    <n v="0.6"/>
    <s v="ATENDE"/>
    <s v="ATENDE"/>
    <s v="ATENDE"/>
    <s v="P6"/>
    <n v="1.3333333333333335"/>
    <n v="7"/>
    <n v="1.65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98"/>
    <s v="PVP"/>
    <s v="Rua Guanabara, 1129"/>
    <n v="-30.04220312"/>
    <n v="-50.160747239999999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8.200000000000003"/>
    <n v="7"/>
    <n v="1"/>
    <n v="0.7"/>
    <n v="1.3"/>
    <n v="0.6000000000000000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6000000000000032E-2"/>
    <n v="0.44444444444444464"/>
    <s v="-"/>
    <n v="7.77"/>
    <n v="0.26"/>
    <m/>
    <m/>
    <m/>
    <m/>
    <s v="ATENDE"/>
    <s v="ATENDE"/>
    <s v="ATENDE"/>
    <s v="ATENDE"/>
    <s v="C5"/>
    <s v="P6"/>
    <n v="0.13666666666666671"/>
    <n v="3.41"/>
    <n v="1.17"/>
    <n v="3"/>
    <n v="0.6"/>
    <s v="ATENDE"/>
    <s v="ATENDE"/>
    <s v="ATENDE"/>
    <s v="P6"/>
    <n v="1.1833333333333331"/>
    <n v="6.55"/>
    <n v="0.77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98"/>
    <s v="PVP"/>
    <s v="Rua Guanabara, 1129"/>
    <n v="-30.04220312"/>
    <n v="-50.160747239999999"/>
    <x v="1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8.200000000000003"/>
    <n v="7"/>
    <n v="1"/>
    <n v="0.7"/>
    <n v="1.3"/>
    <n v="0.6000000000000000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333333333333423E-2"/>
    <n v="0.38888888888888884"/>
    <s v="-"/>
    <n v="7.63"/>
    <n v="0.25"/>
    <m/>
    <m/>
    <m/>
    <m/>
    <s v="ATENDE"/>
    <s v="ATENDE"/>
    <s v="ATENDE"/>
    <s v="ATENDE"/>
    <s v="C5"/>
    <s v="P6"/>
    <n v="8.0000000000000071E-2"/>
    <n v="3.24"/>
    <n v="1.71"/>
    <n v="3"/>
    <n v="0.6"/>
    <s v="ATENDE"/>
    <s v="ATENDE"/>
    <s v="ATENDE"/>
    <s v="P6"/>
    <n v="1.1800000000000002"/>
    <n v="6.54"/>
    <n v="1.8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99"/>
    <s v="PV"/>
    <s v="Rua Rio de Janeiro, 2005"/>
    <n v="-30.042016409999999"/>
    <n v="-50.161849500000002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1.5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066666666666671"/>
    <n v="0.66666666666666674"/>
    <s v="-"/>
    <n v="8.48"/>
    <n v="0.3"/>
    <m/>
    <m/>
    <m/>
    <m/>
    <s v="ATENDE"/>
    <s v="ATENDE"/>
    <s v="ATENDE"/>
    <s v="ATENDE"/>
    <s v="C5"/>
    <s v="P6"/>
    <n v="1.3666666666666667"/>
    <n v="7.1"/>
    <n v="1.98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99"/>
    <s v="PV"/>
    <s v="Rua Rio de Janeiro, 2005"/>
    <n v="-30.042016409999999"/>
    <n v="-50.161849500000002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1.5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0.88888888888888906"/>
    <s v="-"/>
    <n v="8.07"/>
    <n v="0.34"/>
    <m/>
    <m/>
    <m/>
    <m/>
    <s v="ATENDE"/>
    <s v="ATENDE"/>
    <s v="ATENDE"/>
    <s v="ATENDE"/>
    <s v="C5"/>
    <s v="P6"/>
    <n v="1.2533333333333334"/>
    <n v="6.76"/>
    <n v="1.5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99"/>
    <s v="PV"/>
    <s v="Rua Rio de Janeiro, 2005"/>
    <n v="-30.042016409999999"/>
    <n v="-50.161849500000002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41.5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133333333333338"/>
    <n v="0.22222222222222232"/>
    <s v="-"/>
    <n v="9.16"/>
    <n v="0.22"/>
    <m/>
    <m/>
    <m/>
    <m/>
    <s v="ATENDE"/>
    <s v="ATENDE"/>
    <s v="ATENDE"/>
    <s v="ATENDE"/>
    <s v="C5"/>
    <s v="P6"/>
    <n v="1.3833333333333333"/>
    <n v="7.15"/>
    <n v="1.48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00"/>
    <s v="PV"/>
    <s v="Rua Rio Grande do Norte, 2214"/>
    <n v="-30.043266719999998"/>
    <n v="-50.162909999999997"/>
    <x v="1"/>
    <s v="-"/>
    <x v="1"/>
    <s v="Vapor de sódio"/>
    <n v="100"/>
    <n v="17"/>
    <n v="0"/>
    <n v="200"/>
    <n v="2"/>
    <n v="2.7"/>
    <n v="7"/>
    <m/>
    <m/>
    <n v="0"/>
    <n v="0"/>
    <n v="0"/>
    <n v="0"/>
    <n v="0"/>
    <n v="0"/>
    <n v="0"/>
    <s v="Unilateral"/>
    <s v="Braço"/>
    <n v="36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8000000000000078E-2"/>
    <n v="1.2222222222222223"/>
    <s v="-"/>
    <n v="8.16"/>
    <n v="0.4"/>
    <m/>
    <m/>
    <m/>
    <m/>
    <s v="ATENDE"/>
    <s v="ATENDE"/>
    <s v="ATENDE"/>
    <s v="ATENDE"/>
    <s v="C5"/>
    <s v="P6"/>
    <n v="1.2433333333333336"/>
    <n v="6.73"/>
    <n v="2.2999999999999998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0"/>
    <s v="PV"/>
    <s v="Rua Rio Grande do Norte, 2214"/>
    <n v="-30.043266719999998"/>
    <n v="-50.162909999999997"/>
    <x v="1"/>
    <s v="-"/>
    <x v="1"/>
    <s v="Vapor de sódio"/>
    <n v="100"/>
    <n v="17"/>
    <n v="0"/>
    <n v="200"/>
    <n v="2"/>
    <n v="2.7"/>
    <n v="7"/>
    <m/>
    <m/>
    <n v="0"/>
    <n v="0"/>
    <n v="0"/>
    <n v="0"/>
    <n v="0"/>
    <n v="0"/>
    <n v="0"/>
    <s v="Unilateral"/>
    <s v="Braço"/>
    <n v="36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9333333333333451E-2"/>
    <n v="1.3888888888888888"/>
    <s v="-"/>
    <n v="7.87"/>
    <n v="0.43"/>
    <m/>
    <m/>
    <m/>
    <m/>
    <s v="ATENDE"/>
    <s v="ATENDE"/>
    <s v="ATENDE"/>
    <s v="ATENDE"/>
    <s v="C5"/>
    <s v="P6"/>
    <n v="1.0766666666666667"/>
    <n v="6.23"/>
    <n v="1.5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0"/>
    <s v="PV"/>
    <s v="Rua Rio Grande do Norte, 2214"/>
    <n v="-30.043266719999998"/>
    <n v="-50.162909999999997"/>
    <x v="1"/>
    <s v="-"/>
    <x v="1"/>
    <s v="Vapor de sódio"/>
    <n v="100"/>
    <n v="17"/>
    <n v="0"/>
    <n v="200"/>
    <n v="2"/>
    <n v="2.7"/>
    <n v="7"/>
    <m/>
    <m/>
    <n v="0"/>
    <n v="0"/>
    <n v="0"/>
    <n v="0"/>
    <n v="0"/>
    <n v="0"/>
    <n v="0"/>
    <s v="Unilateral"/>
    <s v="Braço"/>
    <n v="36.1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1.8333333333333335"/>
    <s v="-"/>
    <n v="7.79"/>
    <n v="0.51"/>
    <m/>
    <m/>
    <m/>
    <m/>
    <s v="ATENDE"/>
    <s v="ATENDE"/>
    <s v="ATENDE"/>
    <s v="ATENDE"/>
    <s v="C5"/>
    <s v="P6"/>
    <n v="1.0833333333333335"/>
    <n v="6.25"/>
    <n v="2.78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01"/>
    <s v="PVP"/>
    <s v="Rua Santa Catarina, 2193"/>
    <n v="-30.044413389999999"/>
    <n v="-50.1660916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4000000000000039E-2"/>
    <n v="0.94444444444444442"/>
    <s v="-"/>
    <n v="7.83"/>
    <n v="0.35"/>
    <m/>
    <m/>
    <m/>
    <m/>
    <s v="ATENDE"/>
    <s v="ATENDE"/>
    <s v="ATENDE"/>
    <s v="ATENDE"/>
    <s v="C5"/>
    <s v="P6"/>
    <n v="0.66000000000000014"/>
    <n v="4.9800000000000004"/>
    <n v="2.06"/>
    <n v="3"/>
    <n v="0.6"/>
    <s v="ATENDE"/>
    <s v="ATENDE"/>
    <s v="ATENDE"/>
    <s v="P6"/>
    <n v="1.1099999999999999"/>
    <n v="6.33"/>
    <n v="1.95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1"/>
    <s v="PVP"/>
    <s v="Rua Santa Catarina, 2193"/>
    <n v="-30.044413389999999"/>
    <n v="-50.1660916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0000000000000071E-3"/>
    <n v="0.88888888888888906"/>
    <s v="-"/>
    <n v="7.56"/>
    <n v="0.34"/>
    <m/>
    <m/>
    <m/>
    <m/>
    <s v="ATENDE"/>
    <s v="ATENDE"/>
    <s v="ATENDE"/>
    <s v="ATENDE"/>
    <s v="C5"/>
    <s v="P6"/>
    <n v="0.42666666666666675"/>
    <n v="4.28"/>
    <n v="1.97"/>
    <n v="3"/>
    <n v="0.6"/>
    <s v="ATENDE"/>
    <s v="ATENDE"/>
    <s v="ATENDE"/>
    <s v="P6"/>
    <n v="0.94666666666666655"/>
    <n v="5.84"/>
    <n v="1.139999999999999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1"/>
    <s v="PVP"/>
    <s v="Rua Santa Catarina, 2193"/>
    <n v="-30.044413389999999"/>
    <n v="-50.1660916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7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"/>
    <n v="1.3888888888888888"/>
    <s v="-"/>
    <n v="7.5"/>
    <n v="0.43"/>
    <m/>
    <m/>
    <m/>
    <m/>
    <s v="ATENDE"/>
    <s v="ATENDE"/>
    <s v="ATENDE"/>
    <s v="ATENDE"/>
    <s v="C5"/>
    <s v="P6"/>
    <n v="0.30333333333333345"/>
    <n v="3.91"/>
    <n v="2.4700000000000002"/>
    <n v="3"/>
    <n v="0.6"/>
    <s v="ATENDE"/>
    <s v="ATENDE"/>
    <s v="ATENDE"/>
    <s v="P6"/>
    <n v="0.95"/>
    <n v="5.85"/>
    <n v="2.2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02"/>
    <s v="PVP"/>
    <s v="Rua Para, 2185"/>
    <n v="-30.04479778"/>
    <n v="-50.1596075"/>
    <x v="1"/>
    <s v="-"/>
    <x v="1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8400000000000003"/>
    <n v="2.3888888888888888"/>
    <s v="-"/>
    <n v="9.6300000000000008"/>
    <n v="0.61"/>
    <m/>
    <m/>
    <m/>
    <m/>
    <s v="ATENDE"/>
    <s v="ATENDE"/>
    <s v="ATENDE"/>
    <s v="ATENDE"/>
    <s v="C5"/>
    <s v="P6"/>
    <n v="0.99666666666666681"/>
    <n v="5.99"/>
    <n v="4.09"/>
    <n v="3"/>
    <n v="0.6"/>
    <s v="ATENDE"/>
    <s v="ATENDE"/>
    <s v="ATENDE"/>
    <s v="P6"/>
    <n v="1.7533333333333334"/>
    <n v="8.26"/>
    <n v="5.16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m/>
    <s v="Curto II"/>
    <m/>
    <s v=""/>
    <s v=""/>
    <m/>
    <m/>
    <m/>
    <m/>
    <m/>
    <m/>
    <n v="28"/>
    <n v="250"/>
    <n v="556"/>
    <n v="0.88800000000000001"/>
    <m/>
    <m/>
    <s v="Sim"/>
    <m/>
  </r>
  <r>
    <n v="102"/>
    <s v="PVP"/>
    <s v="Rua Para, 2185"/>
    <n v="-30.04479778"/>
    <n v="-50.1596075"/>
    <x v="1"/>
    <s v="-"/>
    <x v="1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3.2222222222222223"/>
    <s v="-"/>
    <n v="8.07"/>
    <n v="0.76"/>
    <m/>
    <m/>
    <m/>
    <m/>
    <s v="ATENDE"/>
    <s v="ATENDE"/>
    <s v="ATENDE"/>
    <s v="ATENDE"/>
    <s v="C5"/>
    <s v="P6"/>
    <n v="0.53333333333333321"/>
    <n v="4.5999999999999996"/>
    <n v="2.96"/>
    <n v="3"/>
    <n v="0.6"/>
    <s v="ATENDE"/>
    <s v="ATENDE"/>
    <s v="ATENDE"/>
    <s v="P6"/>
    <n v="1.25"/>
    <n v="6.75"/>
    <n v="4.63"/>
    <n v="3"/>
    <n v="0.6"/>
    <s v="ATENDE"/>
    <s v="ATENDE"/>
    <s v="ATENDE"/>
    <x v="1"/>
    <s v="SX-INEVO020HF"/>
    <s v="SXINEVO020K40L12CZF7PHF"/>
    <m/>
    <e v="#N/A"/>
    <n v="2"/>
    <n v="22.5"/>
    <e v="#N/A"/>
    <n v="3825"/>
    <n v="0"/>
    <n v="0"/>
    <m/>
    <s v="Curto II"/>
    <m/>
    <s v=""/>
    <s v=""/>
    <m/>
    <m/>
    <m/>
    <m/>
    <m/>
    <m/>
    <n v="22.5"/>
    <n v="250"/>
    <n v="545"/>
    <n v="0.91"/>
    <m/>
    <m/>
    <s v="Sim"/>
    <m/>
  </r>
  <r>
    <n v="102"/>
    <s v="PVP"/>
    <s v="Rua Para, 2185"/>
    <n v="-30.04479778"/>
    <n v="-50.1596075"/>
    <x v="1"/>
    <s v="-"/>
    <x v="1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58133333333333326"/>
    <n v="2.9444444444444442"/>
    <s v="-"/>
    <n v="11.86"/>
    <n v="0.71"/>
    <m/>
    <m/>
    <m/>
    <m/>
    <s v="ATENDE"/>
    <s v="ATENDE"/>
    <s v="ATENDE"/>
    <s v="ATENDE"/>
    <s v="C5"/>
    <s v="P6"/>
    <n v="0.9800000000000002"/>
    <n v="5.94"/>
    <n v="4.0599999999999996"/>
    <n v="3"/>
    <n v="0.6"/>
    <s v="ATENDE"/>
    <s v="ATENDE"/>
    <s v="ATENDE"/>
    <s v="P6"/>
    <n v="2.2400000000000002"/>
    <n v="9.7200000000000006"/>
    <n v="6.91"/>
    <n v="3"/>
    <n v="0.6"/>
    <s v="ATENDE"/>
    <s v="ATENDE"/>
    <s v="ATENDE"/>
    <x v="2"/>
    <s v="SIGSAGPTLRRSSNDL_30W_38IBBRS_x000a_"/>
    <s v="SIGSAGPTLRRSSNDL_30W_38IBBRS_x000a_1-10C1MUN6.5"/>
    <m/>
    <e v="#N/A"/>
    <n v="2"/>
    <n v="30"/>
    <n v="0"/>
    <n v="5266"/>
    <n v="0"/>
    <n v="0"/>
    <m/>
    <s v="Curto II"/>
    <m/>
    <s v=""/>
    <s v=""/>
    <m/>
    <m/>
    <m/>
    <m/>
    <m/>
    <m/>
    <n v="30"/>
    <n v="250"/>
    <n v="560"/>
    <n v="0.88"/>
    <m/>
    <m/>
    <s v="Sim"/>
    <m/>
  </r>
  <r>
    <n v="103"/>
    <s v="PVP"/>
    <s v="Rua Maranhao, 2337"/>
    <n v="-30.046217380000002"/>
    <n v="-50.157975980000003"/>
    <x v="1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1.3333333333333335"/>
    <s v="-"/>
    <n v="8.32"/>
    <n v="0.42"/>
    <m/>
    <m/>
    <m/>
    <m/>
    <s v="ATENDE"/>
    <s v="ATENDE"/>
    <s v="ATENDE"/>
    <s v="ATENDE"/>
    <s v="C5"/>
    <s v="P6"/>
    <n v="0.70333333333333337"/>
    <n v="5.1100000000000003"/>
    <n v="2.44"/>
    <n v="3"/>
    <n v="0.6"/>
    <s v="ATENDE"/>
    <s v="ATENDE"/>
    <s v="ATENDE"/>
    <s v="P6"/>
    <n v="1.3266666666666667"/>
    <n v="6.98"/>
    <n v="2.57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3"/>
    <s v="PVP"/>
    <s v="Rua Maranhao, 2337"/>
    <n v="-30.046217380000002"/>
    <n v="-50.157975980000003"/>
    <x v="1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9333333333333247E-2"/>
    <n v="1.6111111111111112"/>
    <s v="-"/>
    <n v="8.02"/>
    <n v="0.47"/>
    <m/>
    <m/>
    <m/>
    <m/>
    <s v="ATENDE"/>
    <s v="ATENDE"/>
    <s v="ATENDE"/>
    <s v="ATENDE"/>
    <s v="C5"/>
    <s v="P6"/>
    <n v="0.44333333333333336"/>
    <n v="4.33"/>
    <n v="2.44"/>
    <n v="3"/>
    <n v="0.6"/>
    <s v="ATENDE"/>
    <s v="ATENDE"/>
    <s v="ATENDE"/>
    <s v="P6"/>
    <n v="1.17"/>
    <n v="6.51"/>
    <n v="1.95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3"/>
    <s v="PVP"/>
    <s v="Rua Maranhao, 2337"/>
    <n v="-30.046217380000002"/>
    <n v="-50.157975980000003"/>
    <x v="1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8666666666666645E-2"/>
    <n v="2.0000000000000004"/>
    <s v="-"/>
    <n v="7.94"/>
    <n v="0.54"/>
    <m/>
    <m/>
    <m/>
    <m/>
    <s v="ATENDE"/>
    <s v="ATENDE"/>
    <s v="ATENDE"/>
    <s v="ATENDE"/>
    <s v="C5"/>
    <s v="P6"/>
    <n v="0.32666666666666666"/>
    <n v="3.98"/>
    <n v="2.78"/>
    <n v="3"/>
    <n v="0.6"/>
    <s v="ATENDE"/>
    <s v="ATENDE"/>
    <s v="ATENDE"/>
    <s v="P6"/>
    <n v="1.1666666666666665"/>
    <n v="6.5"/>
    <n v="3.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04"/>
    <s v="VP"/>
    <s v="Avenida Recife, 653"/>
    <n v="-30.049999039999999"/>
    <n v="-50.158751119999998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Unilateral"/>
    <s v="Braço"/>
    <n v="28.9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30699999999999994"/>
    <n v="0.39285714285714279"/>
    <s v="-"/>
    <n v="26.14"/>
    <n v="0.3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52"/>
    <n v="7.56"/>
    <n v="3.27"/>
    <n v="3"/>
    <n v="0.6"/>
    <s v="ATENDE"/>
    <s v="ATENDE"/>
    <s v="ATENDE"/>
    <x v="0"/>
    <s v=" SL VT 9.1 65W"/>
    <s v="LUM LED SL VT 9.1 65W"/>
    <m/>
    <n v="0"/>
    <n v="2"/>
    <n v="65"/>
    <n v="0"/>
    <n v="10496"/>
    <n v="0"/>
    <n v="0"/>
    <m/>
    <s v="Curto II"/>
    <m/>
    <s v=""/>
    <s v=""/>
    <m/>
    <m/>
    <m/>
    <m/>
    <m/>
    <m/>
    <n v="65"/>
    <n v="150"/>
    <n v="430"/>
    <n v="0.56666666666666665"/>
    <m/>
    <m/>
    <s v="Sim"/>
    <m/>
  </r>
  <r>
    <n v="104"/>
    <s v="VP"/>
    <s v="Avenida Recife, 653"/>
    <n v="-30.049999039999999"/>
    <n v="-50.158751119999998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Unilateral"/>
    <s v="Braço"/>
    <n v="28.9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935000000000006"/>
    <n v="1.0714285714285712"/>
    <s v="-"/>
    <n v="22.187000000000001"/>
    <n v="0.5799999999999999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84333333333333349"/>
    <n v="5.53"/>
    <n v="2.86"/>
    <n v="3"/>
    <n v="0.6"/>
    <s v="ATENDE"/>
    <s v="ATENDE"/>
    <s v="ATENDE"/>
    <x v="1"/>
    <s v="SX-INEVO050HF"/>
    <s v="SXINEVO050K40L12CZF7PHF"/>
    <m/>
    <n v="0"/>
    <n v="2"/>
    <n v="50"/>
    <n v="0"/>
    <n v="8650"/>
    <n v="0"/>
    <n v="0"/>
    <m/>
    <s v="Curto II"/>
    <m/>
    <s v=""/>
    <s v=""/>
    <m/>
    <m/>
    <m/>
    <m/>
    <m/>
    <m/>
    <n v="50"/>
    <n v="150"/>
    <n v="400"/>
    <n v="0.66666666666666674"/>
    <m/>
    <m/>
    <s v="Sim"/>
    <m/>
  </r>
  <r>
    <n v="104"/>
    <s v="VP"/>
    <s v="Avenida Recife, 653"/>
    <n v="-30.049999039999999"/>
    <n v="-50.158751119999998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Unilateral"/>
    <s v="Braço"/>
    <n v="28.9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0000000000000027E-2"/>
    <n v="0.74999999999999978"/>
    <s v="-"/>
    <n v="20.6"/>
    <n v="0.49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0.17666666666666653"/>
    <n v="3.53"/>
    <n v="1.63"/>
    <n v="3"/>
    <n v="0.6"/>
    <s v="ATENDE"/>
    <s v="ATENDE"/>
    <s v="ATENDE"/>
    <x v="2"/>
    <s v="SIGSAGPTLRRSSNDL_50W_61IBBRS_x000a_"/>
    <s v="SIGSAGPTLRRSSNDL_50W_61IBBRS_x000a_1-10C1MUN6.5"/>
    <m/>
    <n v="0"/>
    <n v="2"/>
    <n v="50"/>
    <n v="0"/>
    <n v="8163"/>
    <n v="0"/>
    <n v="0"/>
    <m/>
    <s v="Curto II"/>
    <m/>
    <s v=""/>
    <s v=""/>
    <m/>
    <m/>
    <m/>
    <m/>
    <m/>
    <m/>
    <n v="50"/>
    <n v="150"/>
    <n v="400"/>
    <n v="0.66666666666666674"/>
    <m/>
    <m/>
    <s v="Sim"/>
    <m/>
  </r>
  <r>
    <n v="105"/>
    <s v="VP"/>
    <s v="Avenida Recife, 322"/>
    <n v="-30.05106469"/>
    <n v="-50.155011819999999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2.700000000000003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5500000000000003"/>
    <n v="0.1785714285714286"/>
    <s v="-"/>
    <n v="23.1"/>
    <n v="0.33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2.686666666666667"/>
    <n v="11.06"/>
    <n v="4.18"/>
    <n v="3"/>
    <n v="0.6"/>
    <s v="ATENDE"/>
    <s v="ATENDE"/>
    <s v="ATENDE"/>
    <x v="0"/>
    <s v=" SL VT 9.1 65W"/>
    <s v="LUM LED SL VT 9.1 65W"/>
    <m/>
    <e v="#N/A"/>
    <n v="2"/>
    <n v="65"/>
    <n v="0"/>
    <n v="10496"/>
    <n v="0"/>
    <n v="0"/>
    <m/>
    <s v="Curto II"/>
    <m/>
    <s v=""/>
    <s v=""/>
    <m/>
    <m/>
    <m/>
    <m/>
    <m/>
    <m/>
    <n v="65"/>
    <n v="150"/>
    <n v="430"/>
    <n v="0.56666666666666665"/>
    <m/>
    <m/>
    <s v="Sim"/>
    <m/>
  </r>
  <r>
    <n v="105"/>
    <s v="VP"/>
    <s v="Avenida Recife, 322"/>
    <n v="-30.05106469"/>
    <n v="-50.155011819999999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2.700000000000003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5499999999999883E-2"/>
    <n v="0.85714285714285698"/>
    <s v="-"/>
    <n v="21.11"/>
    <n v="0.52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2.1133333333333333"/>
    <n v="9.34"/>
    <n v="6.39"/>
    <n v="3"/>
    <n v="0.6"/>
    <s v="ATENDE"/>
    <s v="ATENDE"/>
    <s v="ATENDE"/>
    <x v="1"/>
    <s v="SX-INEVO060HF"/>
    <s v="SXINEVO060K40L12CZF7PHF"/>
    <m/>
    <e v="#N/A"/>
    <n v="2"/>
    <n v="60"/>
    <n v="0"/>
    <n v="9600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105"/>
    <s v="VP"/>
    <s v="Avenida Recife, 322"/>
    <n v="-30.05106469"/>
    <n v="-50.155011819999999"/>
    <x v="3"/>
    <s v="-"/>
    <x v="1"/>
    <s v="Vapor de sódio"/>
    <n v="150"/>
    <n v="22"/>
    <n v="0"/>
    <n v="600"/>
    <n v="2"/>
    <n v="0"/>
    <n v="7"/>
    <m/>
    <m/>
    <n v="0"/>
    <n v="2.5"/>
    <n v="2"/>
    <n v="0"/>
    <n v="0"/>
    <n v="0"/>
    <n v="0"/>
    <s v="Canteiro central"/>
    <s v="Braço"/>
    <n v="32.700000000000003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600000000000009"/>
    <n v="0.64285714285714279"/>
    <s v="-"/>
    <n v="22.12"/>
    <n v="0.4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1.7333333333333329"/>
    <n v="8.1999999999999993"/>
    <n v="4.78"/>
    <n v="3"/>
    <n v="0.6"/>
    <s v="ATENDE"/>
    <s v="ATENDE"/>
    <s v="ATENDE"/>
    <x v="2"/>
    <s v="SIGSAGPTLRRSSNDL_60W_73IBBRS_x000a_"/>
    <s v="SIGSAGPTLRRSSNDL_60W_73IBBRS_x000a_1-10C1MUN6.5"/>
    <m/>
    <e v="#N/A"/>
    <n v="2"/>
    <n v="60"/>
    <n v="0"/>
    <n v="9453"/>
    <n v="0"/>
    <n v="0"/>
    <m/>
    <s v="Curto II"/>
    <m/>
    <s v=""/>
    <s v=""/>
    <m/>
    <m/>
    <m/>
    <m/>
    <m/>
    <m/>
    <n v="60"/>
    <n v="150"/>
    <n v="420"/>
    <n v="0.6"/>
    <m/>
    <m/>
    <s v="Sim"/>
    <m/>
  </r>
  <r>
    <n v="106"/>
    <s v="PVP"/>
    <s v="Rua Alagoas, 2205"/>
    <n v="-30.04664631"/>
    <n v="-50.15224388"/>
    <x v="1"/>
    <s v="-"/>
    <x v="1"/>
    <s v="Vapor de sódio"/>
    <n v="150"/>
    <n v="22"/>
    <n v="0"/>
    <n v="300"/>
    <n v="2"/>
    <n v="3.1"/>
    <n v="7.6"/>
    <m/>
    <m/>
    <n v="0"/>
    <n v="3.1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8"/>
    <n v="1.2777777777777777"/>
    <s v="-"/>
    <n v="9.36"/>
    <n v="0.41"/>
    <m/>
    <m/>
    <m/>
    <m/>
    <s v="ATENDE"/>
    <s v="ATENDE"/>
    <s v="ATENDE"/>
    <s v="ATENDE"/>
    <s v="C5"/>
    <s v="P6"/>
    <n v="0.15000000000000013"/>
    <n v="3.45"/>
    <n v="1.82"/>
    <n v="3"/>
    <n v="0.6"/>
    <s v="ATENDE"/>
    <s v="ATENDE"/>
    <s v="ATENDE"/>
    <s v="P6"/>
    <n v="1.9466666666666668"/>
    <n v="8.84"/>
    <n v="3.46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06"/>
    <s v="PVP"/>
    <s v="Rua Alagoas, 2205"/>
    <n v="-30.04664631"/>
    <n v="-50.15224388"/>
    <x v="1"/>
    <s v="-"/>
    <x v="1"/>
    <s v="Vapor de sódio"/>
    <n v="150"/>
    <n v="22"/>
    <n v="0"/>
    <n v="300"/>
    <n v="2"/>
    <n v="3.1"/>
    <n v="7.6"/>
    <m/>
    <m/>
    <n v="0"/>
    <n v="3.1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933333333333332"/>
    <n v="2.1666666666666665"/>
    <s v="-"/>
    <n v="8.6199999999999992"/>
    <n v="0.56999999999999995"/>
    <m/>
    <m/>
    <m/>
    <m/>
    <s v="ATENDE"/>
    <s v="ATENDE"/>
    <s v="ATENDE"/>
    <s v="ATENDE"/>
    <s v="C5"/>
    <s v="P6"/>
    <n v="0.42666666666666675"/>
    <n v="4.28"/>
    <n v="2.99"/>
    <n v="3"/>
    <n v="0.6"/>
    <s v="ATENDE"/>
    <s v="ATENDE"/>
    <s v="ATENDE"/>
    <s v="P6"/>
    <n v="1.21"/>
    <n v="6.63"/>
    <n v="1.2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10"/>
    <s v="Curto II"/>
    <m/>
    <s v=""/>
    <s v=""/>
    <m/>
    <m/>
    <m/>
    <m/>
    <m/>
    <m/>
    <n v="31"/>
    <n v="150"/>
    <n v="181"/>
    <n v="0.79333333333333333"/>
    <m/>
    <m/>
    <s v="Sim"/>
    <m/>
  </r>
  <r>
    <n v="106"/>
    <s v="PVP"/>
    <s v="Rua Alagoas, 2205"/>
    <n v="-30.04664631"/>
    <n v="-50.15224388"/>
    <x v="1"/>
    <s v="-"/>
    <x v="1"/>
    <s v="Vapor de sódio"/>
    <n v="150"/>
    <n v="22"/>
    <n v="0"/>
    <n v="300"/>
    <n v="2"/>
    <n v="3.1"/>
    <n v="7.6"/>
    <m/>
    <m/>
    <n v="0"/>
    <n v="3.1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266666666666672"/>
    <n v="2.3333333333333335"/>
    <s v="-"/>
    <n v="8.57"/>
    <n v="0.6"/>
    <m/>
    <m/>
    <m/>
    <m/>
    <s v="ATENDE"/>
    <s v="ATENDE"/>
    <s v="ATENDE"/>
    <s v="ATENDE"/>
    <s v="C5"/>
    <s v="P6"/>
    <n v="0.28666666666666663"/>
    <n v="3.86"/>
    <n v="2.76"/>
    <n v="3"/>
    <n v="0.6"/>
    <s v="ATENDE"/>
    <s v="ATENDE"/>
    <s v="ATENDE"/>
    <s v="P6"/>
    <n v="1.3033333333333332"/>
    <n v="6.91"/>
    <n v="2.8929999999999998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n v="10"/>
    <s v="Curto II"/>
    <m/>
    <s v=""/>
    <s v=""/>
    <m/>
    <m/>
    <m/>
    <m/>
    <m/>
    <m/>
    <n v="30"/>
    <n v="150"/>
    <n v="180"/>
    <n v="0.8"/>
    <m/>
    <m/>
    <s v="Sim"/>
    <m/>
  </r>
  <r>
    <n v="107"/>
    <s v="PVP"/>
    <s v="Rua Amazonas, 1543"/>
    <n v="-30.040637220000001"/>
    <n v="-50.15099904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0666666666666673E-2"/>
    <n v="0.66666666666666674"/>
    <s v="-"/>
    <n v="8.18"/>
    <n v="0.3"/>
    <m/>
    <m/>
    <m/>
    <m/>
    <s v="ATENDE"/>
    <s v="ATENDE"/>
    <s v="ATENDE"/>
    <s v="ATENDE"/>
    <s v="C5"/>
    <s v="P6"/>
    <n v="0.51"/>
    <n v="4.53"/>
    <n v="1.58"/>
    <n v="3"/>
    <n v="0.6"/>
    <s v="ATENDE"/>
    <s v="ATENDE"/>
    <s v="ATENDE"/>
    <s v="P6"/>
    <n v="1.2666666666666666"/>
    <n v="6.8"/>
    <n v="1.6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07"/>
    <s v="PVP"/>
    <s v="Rua Amazonas, 1543"/>
    <n v="-30.040637220000001"/>
    <n v="-50.15099904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0.38888888888888884"/>
    <s v="-"/>
    <n v="7.89"/>
    <n v="0.25"/>
    <m/>
    <m/>
    <m/>
    <m/>
    <s v="ATENDE"/>
    <s v="ATENDE"/>
    <s v="ATENDE"/>
    <s v="ATENDE"/>
    <s v="C5"/>
    <s v="P6"/>
    <n v="0.22666666666666679"/>
    <n v="3.68"/>
    <n v="1.28"/>
    <n v="3"/>
    <n v="0.6"/>
    <s v="ATENDE"/>
    <s v="ATENDE"/>
    <s v="ATENDE"/>
    <s v="P6"/>
    <n v="1.1000000000000001"/>
    <n v="6.3"/>
    <n v="0.7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07"/>
    <s v="PVP"/>
    <s v="Rua Amazonas, 1543"/>
    <n v="-30.040637220000001"/>
    <n v="-50.15099904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"/>
    <n v="7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3333333333333437E-2"/>
    <n v="0.94444444444444442"/>
    <s v="-"/>
    <n v="7.75"/>
    <n v="0.35"/>
    <m/>
    <m/>
    <m/>
    <m/>
    <s v="ATENDE"/>
    <s v="ATENDE"/>
    <s v="ATENDE"/>
    <s v="ATENDE"/>
    <s v="C5"/>
    <s v="P6"/>
    <n v="0.15000000000000013"/>
    <n v="3.45"/>
    <n v="1.82"/>
    <n v="3"/>
    <n v="0.6"/>
    <s v="ATENDE"/>
    <s v="ATENDE"/>
    <s v="ATENDE"/>
    <s v="P6"/>
    <n v="1.1033333333333331"/>
    <n v="6.31"/>
    <n v="1.8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n v="10"/>
    <s v="Curto II"/>
    <m/>
    <s v=""/>
    <s v=""/>
    <m/>
    <m/>
    <m/>
    <m/>
    <m/>
    <m/>
    <n v="30"/>
    <n v="100"/>
    <n v="130"/>
    <n v="0.7"/>
    <m/>
    <m/>
    <s v="Sim"/>
    <m/>
  </r>
  <r>
    <n v="108"/>
    <s v="PVP"/>
    <s v="Rua Para, 2185"/>
    <n v="-30.04479778"/>
    <n v="-50.1596075"/>
    <x v="1"/>
    <s v="-"/>
    <x v="1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8400000000000003"/>
    <n v="2.3888888888888888"/>
    <s v="-"/>
    <n v="9.6300000000000008"/>
    <n v="0.61"/>
    <m/>
    <m/>
    <m/>
    <m/>
    <s v="ATENDE"/>
    <s v="ATENDE"/>
    <s v="ATENDE"/>
    <s v="ATENDE"/>
    <s v="C5"/>
    <s v="P6"/>
    <n v="0.99666666666666681"/>
    <n v="5.99"/>
    <n v="4.09"/>
    <n v="3"/>
    <n v="0.6"/>
    <s v="ATENDE"/>
    <s v="ATENDE"/>
    <s v="ATENDE"/>
    <s v="P6"/>
    <n v="1.7533333333333334"/>
    <n v="8.26"/>
    <n v="5.16"/>
    <n v="3"/>
    <n v="0.6"/>
    <s v="ATENDE"/>
    <s v="ATENDE"/>
    <s v="ATENDE"/>
    <x v="0"/>
    <s v=" SL VT 9.1 28W"/>
    <s v="LUM LED SL VT 9.1 28W"/>
    <m/>
    <n v="0"/>
    <n v="2"/>
    <n v="28"/>
    <n v="0"/>
    <n v="4927.3500000000004"/>
    <n v="0"/>
    <n v="0"/>
    <m/>
    <s v="Curto II"/>
    <m/>
    <s v=""/>
    <s v=""/>
    <m/>
    <m/>
    <m/>
    <m/>
    <m/>
    <m/>
    <n v="28"/>
    <n v="250"/>
    <n v="556"/>
    <n v="0.88800000000000001"/>
    <m/>
    <m/>
    <s v="Sim"/>
    <m/>
  </r>
  <r>
    <n v="108"/>
    <s v="PVP"/>
    <s v="Rua Para, 2185"/>
    <n v="-30.04479778"/>
    <n v="-50.1596075"/>
    <x v="1"/>
    <s v="-"/>
    <x v="1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3.2222222222222223"/>
    <s v="-"/>
    <n v="8.07"/>
    <n v="0.76"/>
    <m/>
    <m/>
    <m/>
    <m/>
    <s v="ATENDE"/>
    <s v="ATENDE"/>
    <s v="ATENDE"/>
    <s v="ATENDE"/>
    <s v="C5"/>
    <s v="P6"/>
    <n v="0.53333333333333321"/>
    <n v="4.5999999999999996"/>
    <n v="2.96"/>
    <n v="3"/>
    <n v="0.6"/>
    <s v="ATENDE"/>
    <s v="ATENDE"/>
    <s v="ATENDE"/>
    <s v="P6"/>
    <n v="1.25"/>
    <n v="6.75"/>
    <n v="4.63"/>
    <n v="3"/>
    <n v="0.6"/>
    <s v="ATENDE"/>
    <s v="ATENDE"/>
    <s v="ATENDE"/>
    <x v="1"/>
    <s v="SX-INEVO020HF"/>
    <s v="SXINEVO020K40L12CZF7PHF"/>
    <m/>
    <n v="0"/>
    <n v="2"/>
    <n v="22.5"/>
    <n v="0"/>
    <n v="3825"/>
    <n v="0"/>
    <n v="0"/>
    <m/>
    <s v="Curto II"/>
    <m/>
    <s v=""/>
    <s v=""/>
    <m/>
    <m/>
    <m/>
    <m/>
    <m/>
    <m/>
    <n v="22.5"/>
    <n v="250"/>
    <n v="545"/>
    <n v="0.91"/>
    <m/>
    <m/>
    <s v="Sim"/>
    <m/>
  </r>
  <r>
    <n v="108"/>
    <s v="PVP"/>
    <s v="Rua Para, 2185"/>
    <n v="-30.04479778"/>
    <n v="-50.1596075"/>
    <x v="1"/>
    <s v="-"/>
    <x v="1"/>
    <s v="Vapor de sódio"/>
    <n v="250"/>
    <n v="30"/>
    <n v="0"/>
    <n v="1000"/>
    <n v="2"/>
    <n v="2.5"/>
    <n v="7"/>
    <m/>
    <m/>
    <n v="0"/>
    <n v="2.5"/>
    <n v="0"/>
    <n v="0"/>
    <n v="0"/>
    <n v="0"/>
    <n v="0"/>
    <s v="Unilateral"/>
    <s v="Braço"/>
    <n v="23.7"/>
    <n v="7.5"/>
    <n v="2"/>
    <n v="0.5"/>
    <n v="1.3"/>
    <n v="0.8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58133333333333326"/>
    <n v="2.9444444444444442"/>
    <s v="-"/>
    <n v="11.86"/>
    <n v="0.71"/>
    <m/>
    <m/>
    <m/>
    <m/>
    <s v="ATENDE"/>
    <s v="ATENDE"/>
    <s v="ATENDE"/>
    <s v="ATENDE"/>
    <s v="C5"/>
    <s v="P6"/>
    <n v="0.9800000000000002"/>
    <n v="5.94"/>
    <n v="4.0599999999999996"/>
    <n v="3"/>
    <n v="0.6"/>
    <s v="ATENDE"/>
    <s v="ATENDE"/>
    <s v="ATENDE"/>
    <s v="P6"/>
    <n v="2.2400000000000002"/>
    <n v="9.7200000000000006"/>
    <n v="6.9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m/>
    <s v="Curto II"/>
    <m/>
    <s v=""/>
    <s v=""/>
    <m/>
    <m/>
    <m/>
    <m/>
    <m/>
    <m/>
    <n v="30"/>
    <n v="250"/>
    <n v="560"/>
    <n v="0.88"/>
    <m/>
    <m/>
    <s v="Sim"/>
    <m/>
  </r>
  <r>
    <n v="109"/>
    <s v="VP"/>
    <s v="Rua Lurdes de Lima Manito, 580 [Q]"/>
    <n v="-30.069029"/>
    <n v="-50.164423999999997"/>
    <x v="1"/>
    <s v="-"/>
    <x v="1"/>
    <s v="Vapor metálico"/>
    <n v="100"/>
    <n v="17"/>
    <n v="0"/>
    <n v="200"/>
    <n v="2"/>
    <n v="0"/>
    <n v="7"/>
    <m/>
    <m/>
    <n v="0"/>
    <n v="3"/>
    <n v="7"/>
    <n v="0"/>
    <n v="0"/>
    <n v="0"/>
    <n v="0"/>
    <s v="Unilateral"/>
    <s v="Braço"/>
    <n v="35.299999999999997"/>
    <n v="7.5"/>
    <n v="1"/>
    <n v="3"/>
    <n v="1.3"/>
    <n v="-1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1066666666666674"/>
    <n v="0.7777777777777779"/>
    <s v="-"/>
    <n v="10.58"/>
    <n v="0.32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0.2566666666666666"/>
    <n v="3.77"/>
    <n v="2.1800000000000002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09"/>
    <s v="VP"/>
    <s v="Rua Lurdes de Lima Manito, 580 [Q]"/>
    <n v="-30.069029"/>
    <n v="-50.164423999999997"/>
    <x v="1"/>
    <s v="-"/>
    <x v="1"/>
    <s v="Vapor metálico"/>
    <n v="100"/>
    <n v="17"/>
    <n v="0"/>
    <n v="200"/>
    <n v="2"/>
    <n v="0"/>
    <n v="7"/>
    <m/>
    <m/>
    <n v="0"/>
    <n v="3"/>
    <n v="7"/>
    <n v="0"/>
    <n v="0"/>
    <n v="0"/>
    <n v="0"/>
    <s v="Unilateral"/>
    <s v="Braço"/>
    <n v="35.299999999999997"/>
    <n v="7.5"/>
    <n v="1"/>
    <n v="3"/>
    <n v="1.3"/>
    <n v="-1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5999999999999992"/>
    <n v="1.2222222222222223"/>
    <s v="-"/>
    <n v="12.45"/>
    <n v="0.4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0.26666666666666661"/>
    <n v="3.8"/>
    <n v="2.5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09"/>
    <s v="VP"/>
    <s v="Rua Lurdes de Lima Manito, 580 [Q]"/>
    <n v="-30.069029"/>
    <n v="-50.164423999999997"/>
    <x v="1"/>
    <s v="-"/>
    <x v="1"/>
    <s v="Vapor metálico"/>
    <n v="100"/>
    <n v="17"/>
    <n v="0"/>
    <n v="200"/>
    <n v="2"/>
    <n v="0"/>
    <n v="7"/>
    <m/>
    <m/>
    <n v="0"/>
    <n v="3"/>
    <n v="7"/>
    <n v="0"/>
    <n v="0"/>
    <n v="0"/>
    <n v="0"/>
    <s v="Unilateral"/>
    <s v="Braço"/>
    <n v="35.299999999999997"/>
    <n v="7.5"/>
    <n v="1"/>
    <n v="3"/>
    <n v="1.3"/>
    <n v="-1.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3333333333333339"/>
    <n v="1.0555555555555558"/>
    <s v="-"/>
    <n v="13"/>
    <n v="0.37"/>
    <m/>
    <m/>
    <m/>
    <m/>
    <s v="ATENDE"/>
    <s v="ATENDE"/>
    <s v="ATENDE"/>
    <s v="ATENDE"/>
    <s v="C5"/>
    <s v="P6"/>
    <s v="-"/>
    <s v="-"/>
    <s v="-"/>
    <n v="3"/>
    <n v="0.6"/>
    <s v="ATENDE"/>
    <s v="ATENDE"/>
    <s v="ATENDE"/>
    <s v="P6"/>
    <n v="0.33666666666666667"/>
    <n v="4.01"/>
    <n v="1.84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110"/>
    <s v="PVP"/>
    <s v="Rua F das Camelias, 1036 [Q]"/>
    <n v="-30.059853"/>
    <n v="-50.168180999999997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8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0666666666666602E-2"/>
    <n v="-5.5555555555555469E-2"/>
    <s v="-"/>
    <n v="7.58"/>
    <n v="0.17"/>
    <m/>
    <m/>
    <m/>
    <m/>
    <s v="ATENDE"/>
    <s v="ATENDE"/>
    <s v="ATENDIMENTO LIMIAR"/>
    <s v="ATENDE"/>
    <s v="C5"/>
    <s v="P6"/>
    <n v="0.39333333333333331"/>
    <n v="4.18"/>
    <n v="1.03"/>
    <n v="3"/>
    <n v="0.6"/>
    <s v="ATENDE"/>
    <s v="ATENDE"/>
    <s v="ATENDE"/>
    <s v="P6"/>
    <n v="1.1633333333333336"/>
    <n v="6.49"/>
    <n v="0.9"/>
    <n v="3"/>
    <n v="0.6"/>
    <s v="ATENDE"/>
    <s v="ATENDE"/>
    <s v="ATENDE"/>
    <x v="0"/>
    <s v=" SL VT 9.1 44W"/>
    <s v="LUM LED SL VT 9.1 44W"/>
    <m/>
    <n v="0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10"/>
    <s v="PVP"/>
    <s v="Rua F das Camelias, 1036 [Q]"/>
    <n v="-30.059853"/>
    <n v="-50.168180999999997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8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799999999999986"/>
    <n v="-0.11111111111111105"/>
    <s v="-"/>
    <n v="10.11"/>
    <n v="0.16"/>
    <m/>
    <m/>
    <m/>
    <m/>
    <s v="ATENDE"/>
    <s v="ATENDE"/>
    <s v="ATENDIMENTO LIMIAR"/>
    <s v="ATENDE"/>
    <s v="C5"/>
    <s v="P6"/>
    <n v="1.7466666666666666"/>
    <n v="8.24"/>
    <n v="1.82"/>
    <n v="3"/>
    <n v="0.6"/>
    <s v="ATENDE"/>
    <s v="ATENDE"/>
    <s v="ATENDE"/>
    <s v="P6"/>
    <n v="0.76666666666666661"/>
    <n v="5.3"/>
    <n v="1.02"/>
    <n v="3"/>
    <n v="0.6"/>
    <s v="ATENDE"/>
    <s v="ATENDE"/>
    <s v="ATENDE"/>
    <x v="1"/>
    <s v="SX-INEVO060HF"/>
    <s v="SXINEVO060K40L12CZF7PHF"/>
    <m/>
    <e v="#N/A"/>
    <n v="1"/>
    <n v="60"/>
    <e v="#N/A"/>
    <n v="9600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110"/>
    <s v="PVP"/>
    <s v="Rua F das Camelias, 1036 [Q]"/>
    <n v="-30.059853"/>
    <n v="-50.168180999999997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8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133333333333331"/>
    <n v="-0.11111111111111105"/>
    <s v="-"/>
    <n v="8.56"/>
    <n v="0.16"/>
    <m/>
    <m/>
    <m/>
    <m/>
    <s v="ATENDE"/>
    <s v="ATENDE"/>
    <s v="ATENDIMENTO LIMIAR"/>
    <s v="ATENDE"/>
    <s v="C5"/>
    <s v="P6"/>
    <n v="1.1433333333333331"/>
    <n v="6.43"/>
    <n v="1.28"/>
    <n v="3"/>
    <n v="0.6"/>
    <s v="ATENDE"/>
    <s v="ATENDE"/>
    <s v="ATENDE"/>
    <s v="P6"/>
    <n v="0.52333333333333343"/>
    <n v="4.57"/>
    <n v="0.97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11"/>
    <s v="PVP"/>
    <s v="Rua Nova, 51 [Q]"/>
    <n v="-30.058617999999999"/>
    <n v="-50.157390999999997"/>
    <x v="1"/>
    <s v="-"/>
    <x v="1"/>
    <s v="Vapor de sódio"/>
    <n v="100"/>
    <n v="17"/>
    <n v="0"/>
    <n v="200"/>
    <n v="2"/>
    <n v="2.4"/>
    <n v="6.7"/>
    <m/>
    <m/>
    <n v="0"/>
    <n v="2.4"/>
    <n v="0"/>
    <n v="0"/>
    <n v="0"/>
    <n v="0"/>
    <n v="0"/>
    <s v="Unilateral"/>
    <s v="Braço"/>
    <n v="32.049999999999997"/>
    <n v="6.6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800000000000006E-2"/>
    <n v="1.0555555555555558"/>
    <s v="-"/>
    <n v="8.01"/>
    <n v="0.37"/>
    <m/>
    <m/>
    <m/>
    <m/>
    <s v="ATENDE"/>
    <s v="ATENDE"/>
    <s v="ATENDE"/>
    <s v="ATENDE"/>
    <s v="C5"/>
    <s v="P6"/>
    <n v="0.55999999999999983"/>
    <n v="4.68"/>
    <n v="2.17"/>
    <n v="3"/>
    <n v="0.6"/>
    <s v="ATENDE"/>
    <s v="ATENDE"/>
    <s v="ATENDE"/>
    <s v="P6"/>
    <n v="1.0133333333333332"/>
    <n v="6.04"/>
    <n v="0.6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Médio I"/>
    <m/>
    <s v=""/>
    <s v=""/>
    <m/>
    <m/>
    <m/>
    <m/>
    <m/>
    <m/>
    <n v="28"/>
    <n v="100"/>
    <n v="128"/>
    <n v="0.72"/>
    <m/>
    <m/>
    <s v="Sim"/>
    <m/>
  </r>
  <r>
    <n v="111"/>
    <s v="PVP"/>
    <s v="Rua Nova, 51 [Q]"/>
    <n v="-30.058617999999999"/>
    <n v="-50.157390999999997"/>
    <x v="1"/>
    <s v="-"/>
    <x v="1"/>
    <s v="Vapor de sódio"/>
    <n v="100"/>
    <n v="17"/>
    <n v="0"/>
    <n v="200"/>
    <n v="2"/>
    <n v="2.4"/>
    <n v="6.7"/>
    <m/>
    <m/>
    <n v="0"/>
    <n v="2.4"/>
    <n v="0"/>
    <n v="0"/>
    <n v="0"/>
    <n v="0"/>
    <n v="0"/>
    <s v="Unilateral"/>
    <s v="Braço"/>
    <n v="32.049999999999997"/>
    <n v="6.6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2666666666666666"/>
    <n v="1.0555555555555558"/>
    <s v="-"/>
    <n v="9.9499999999999993"/>
    <n v="0.37"/>
    <m/>
    <m/>
    <m/>
    <m/>
    <s v="ATENDE"/>
    <s v="ATENDE"/>
    <s v="ATENDE"/>
    <s v="ATENDE"/>
    <s v="C5"/>
    <s v="P6"/>
    <n v="0.6100000000000001"/>
    <n v="4.83"/>
    <n v="2.4"/>
    <n v="3"/>
    <n v="0.6"/>
    <s v="ATENDE"/>
    <s v="ATENDE"/>
    <s v="ATENDE"/>
    <s v="P6"/>
    <n v="1.2600000000000002"/>
    <n v="6.78"/>
    <n v="1.43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Médio I"/>
    <m/>
    <s v=""/>
    <s v=""/>
    <m/>
    <m/>
    <m/>
    <m/>
    <m/>
    <m/>
    <n v="31"/>
    <n v="100"/>
    <n v="131"/>
    <n v="0.69"/>
    <m/>
    <m/>
    <s v="Sim"/>
    <m/>
  </r>
  <r>
    <n v="111"/>
    <s v="PVP"/>
    <s v="Rua Nova, 51 [Q]"/>
    <n v="-30.058617999999999"/>
    <n v="-50.157390999999997"/>
    <x v="1"/>
    <s v="-"/>
    <x v="1"/>
    <s v="Vapor de sódio"/>
    <n v="100"/>
    <n v="17"/>
    <n v="0"/>
    <n v="200"/>
    <n v="2"/>
    <n v="2.4"/>
    <n v="6.7"/>
    <m/>
    <m/>
    <n v="0"/>
    <n v="2.4"/>
    <n v="0"/>
    <n v="0"/>
    <n v="0"/>
    <n v="0"/>
    <n v="0"/>
    <s v="Unilateral"/>
    <s v="Braço"/>
    <n v="32.049999999999997"/>
    <n v="6.6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666666666666687"/>
    <n v="1.6666666666666665"/>
    <s v="-"/>
    <n v="9.8000000000000007"/>
    <n v="0.48"/>
    <m/>
    <m/>
    <m/>
    <m/>
    <s v="ATENDE"/>
    <s v="ATENDE"/>
    <s v="ATENDE"/>
    <s v="ATENDE"/>
    <s v="C5"/>
    <s v="P6"/>
    <n v="0.50333333333333319"/>
    <n v="4.51"/>
    <n v="3.01"/>
    <n v="3"/>
    <n v="0.6"/>
    <s v="ATENDE"/>
    <s v="ATENDE"/>
    <s v="ATENDE"/>
    <s v="P6"/>
    <n v="1.31"/>
    <n v="6.93"/>
    <n v="2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"/>
    <m/>
    <s v=""/>
    <s v=""/>
    <m/>
    <m/>
    <m/>
    <m/>
    <m/>
    <m/>
    <n v="30"/>
    <n v="100"/>
    <n v="130"/>
    <n v="0.7"/>
    <m/>
    <m/>
    <s v="Sim"/>
    <m/>
  </r>
  <r>
    <n v="112"/>
    <s v="PVP"/>
    <s v="Rua Munique, 183 [Q]"/>
    <n v="-30.079886999999999"/>
    <n v="-50.168523"/>
    <x v="1"/>
    <s v="-"/>
    <x v="1"/>
    <s v="Vapor de sódio"/>
    <n v="100"/>
    <n v="17"/>
    <n v="0"/>
    <n v="200"/>
    <n v="2"/>
    <n v="2.5"/>
    <n v="7"/>
    <m/>
    <m/>
    <n v="0"/>
    <n v="3"/>
    <n v="7"/>
    <n v="0"/>
    <n v="0"/>
    <n v="0"/>
    <n v="0"/>
    <s v="Unilateral"/>
    <s v="Braço"/>
    <n v="38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0.94444444444444442"/>
    <s v="-"/>
    <n v="7.79"/>
    <n v="0.35"/>
    <m/>
    <m/>
    <m/>
    <m/>
    <s v="ATENDE"/>
    <s v="ATENDE"/>
    <s v="ATENDE"/>
    <s v="ATENDE"/>
    <s v="C5"/>
    <s v="P6"/>
    <n v="0.57000000000000006"/>
    <n v="4.71"/>
    <n v="1.88"/>
    <n v="3"/>
    <n v="0.6"/>
    <s v="ATENDE"/>
    <s v="ATENDE"/>
    <s v="ATENDE"/>
    <s v="P6"/>
    <n v="1.0966666666666667"/>
    <n v="6.29"/>
    <n v="1.91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2"/>
    <s v="PVP"/>
    <s v="Rua Munique, 183 [Q]"/>
    <n v="-30.079886999999999"/>
    <n v="-50.168523"/>
    <x v="1"/>
    <s v="-"/>
    <x v="1"/>
    <s v="Vapor de sódio"/>
    <n v="100"/>
    <n v="17"/>
    <n v="0"/>
    <n v="200"/>
    <n v="2"/>
    <n v="2.5"/>
    <n v="7"/>
    <m/>
    <m/>
    <n v="0"/>
    <n v="3"/>
    <n v="7"/>
    <n v="0"/>
    <n v="0"/>
    <n v="0"/>
    <n v="0"/>
    <s v="Unilateral"/>
    <s v="Braço"/>
    <n v="38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666666666666595E-3"/>
    <n v="0.83333333333333348"/>
    <s v="-"/>
    <n v="7.52"/>
    <n v="0.33"/>
    <m/>
    <m/>
    <m/>
    <m/>
    <s v="ATENDE"/>
    <s v="ATENDE"/>
    <s v="ATENDE"/>
    <s v="ATENDE"/>
    <s v="C5"/>
    <s v="P6"/>
    <n v="0.32666666666666666"/>
    <n v="3.98"/>
    <n v="1.71"/>
    <n v="3"/>
    <n v="0.6"/>
    <s v="ATENDE"/>
    <s v="ATENDE"/>
    <s v="ATENDE"/>
    <s v="P6"/>
    <n v="0.93666666666666654"/>
    <n v="5.81"/>
    <n v="1.1000000000000001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2"/>
    <s v="PVP"/>
    <s v="Rua Munique, 183 [Q]"/>
    <n v="-30.079886999999999"/>
    <n v="-50.168523"/>
    <x v="1"/>
    <s v="-"/>
    <x v="1"/>
    <s v="Vapor de sódio"/>
    <n v="100"/>
    <n v="17"/>
    <n v="0"/>
    <n v="200"/>
    <n v="2"/>
    <n v="2.5"/>
    <n v="7"/>
    <m/>
    <m/>
    <n v="0"/>
    <n v="3"/>
    <n v="7"/>
    <n v="0"/>
    <n v="0"/>
    <n v="0"/>
    <n v="0"/>
    <s v="Unilateral"/>
    <s v="Braço"/>
    <n v="38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-5.3333333333333011E-3"/>
    <n v="1.3888888888888888"/>
    <s v="-"/>
    <n v="7.46"/>
    <n v="0.43"/>
    <m/>
    <m/>
    <m/>
    <m/>
    <s v="ATENDE"/>
    <s v="ATENDIMENTO LIMIAR"/>
    <s v="ATENDE"/>
    <s v="ATENDE"/>
    <s v="C5"/>
    <s v="P6"/>
    <n v="0.22333333333333338"/>
    <n v="3.67"/>
    <n v="2.2400000000000002"/>
    <n v="3"/>
    <n v="0.6"/>
    <s v="ATENDE"/>
    <s v="ATENDE"/>
    <s v="ATENDE"/>
    <s v="P6"/>
    <n v="0.94000000000000017"/>
    <n v="5.82"/>
    <n v="2.2000000000000002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3"/>
    <s v="PVP"/>
    <s v="Rua Pinheiro Veloso, 467 [Q]"/>
    <n v="-29.982123999999999"/>
    <n v="-50.122984000000002"/>
    <x v="1"/>
    <s v="-"/>
    <x v="1"/>
    <s v="Vapor de sódio"/>
    <n v="150"/>
    <n v="22"/>
    <n v="0"/>
    <n v="300"/>
    <n v="2"/>
    <n v="3.3"/>
    <n v="7"/>
    <m/>
    <m/>
    <n v="0"/>
    <n v="3.3"/>
    <n v="0"/>
    <n v="0"/>
    <n v="0"/>
    <n v="0"/>
    <n v="0"/>
    <s v="Unilateral"/>
    <s v="Braço"/>
    <n v="46"/>
    <n v="7.3"/>
    <n v="1"/>
    <n v="0.3"/>
    <n v="1.3"/>
    <n v="1"/>
    <s v="-"/>
    <s v="-"/>
    <s v="Sim"/>
    <n v="2"/>
    <n v="0"/>
    <n v="0"/>
    <n v="0"/>
    <n v="0"/>
    <n v="0"/>
    <s v="-"/>
    <n v="0"/>
    <m/>
    <n v="7.5"/>
    <n v="0.18"/>
    <s v="-"/>
    <n v="0.18"/>
    <s v="-"/>
    <n v="16"/>
    <s v="ATENDE"/>
    <n v="4.4000000000000039E-2"/>
    <n v="0.2777777777777779"/>
    <s v="-"/>
    <n v="7.83"/>
    <n v="0.23"/>
    <m/>
    <m/>
    <m/>
    <m/>
    <s v="ATENDE"/>
    <s v="ATENDE"/>
    <s v="ATENDE"/>
    <s v="ATENDE"/>
    <s v="C5"/>
    <s v="P6"/>
    <n v="0.52333333333333343"/>
    <n v="4.57"/>
    <n v="1.4"/>
    <n v="3"/>
    <n v="0.6"/>
    <s v="ATENDE"/>
    <s v="ATENDE"/>
    <s v="ATENDE"/>
    <s v="P6"/>
    <n v="0.99666666666666681"/>
    <n v="5.99"/>
    <n v="1.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113"/>
    <s v="PVP"/>
    <s v="Rua Pinheiro Veloso, 467 [Q]"/>
    <n v="-29.982123999999999"/>
    <n v="-50.122984000000002"/>
    <x v="1"/>
    <s v="-"/>
    <x v="1"/>
    <s v="Vapor de sódio"/>
    <n v="150"/>
    <n v="22"/>
    <n v="0"/>
    <n v="300"/>
    <n v="2"/>
    <n v="3.3"/>
    <n v="7"/>
    <m/>
    <m/>
    <n v="0"/>
    <n v="3.3"/>
    <n v="0"/>
    <n v="0"/>
    <n v="0"/>
    <n v="0"/>
    <n v="0"/>
    <s v="Unilateral"/>
    <s v="Braço"/>
    <n v="46"/>
    <n v="7.3"/>
    <n v="1"/>
    <n v="0.3"/>
    <n v="1.3"/>
    <n v="1"/>
    <s v="-"/>
    <s v="-"/>
    <s v="Sim"/>
    <n v="2"/>
    <n v="0"/>
    <n v="0"/>
    <n v="0"/>
    <n v="0"/>
    <n v="0"/>
    <s v="-"/>
    <n v="0"/>
    <m/>
    <n v="7.5"/>
    <n v="0.18"/>
    <s v="-"/>
    <n v="0.18"/>
    <s v="-"/>
    <n v="16"/>
    <s v="ATENDE"/>
    <n v="0.23866666666666658"/>
    <n v="0.11111111111111116"/>
    <s v="-"/>
    <n v="9.2899999999999991"/>
    <n v="0.2"/>
    <m/>
    <m/>
    <m/>
    <m/>
    <s v="ATENDE"/>
    <s v="ATENDE"/>
    <s v="ATENDE"/>
    <s v="ATENDE"/>
    <s v="C5"/>
    <s v="P6"/>
    <n v="1.8466666666666662"/>
    <n v="8.5399999999999991"/>
    <n v="4.2300000000000004"/>
    <n v="3"/>
    <n v="0.6"/>
    <s v="ATENDE"/>
    <s v="ATENDE"/>
    <s v="ATENDE"/>
    <s v="P6"/>
    <n v="0.44000000000000017"/>
    <n v="4.32"/>
    <n v="0.6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s v="Longo II"/>
    <n v="3.5"/>
    <n v="8.5"/>
    <m/>
    <m/>
    <m/>
    <m/>
    <m/>
    <m/>
    <n v="50"/>
    <n v="150"/>
    <n v="200"/>
    <n v="0.66666666666666674"/>
    <m/>
    <m/>
    <s v="Sim"/>
    <m/>
  </r>
  <r>
    <n v="113"/>
    <s v="PVP"/>
    <s v="Rua Pinheiro Veloso, 467 [Q]"/>
    <n v="-29.982123999999999"/>
    <n v="-50.122984000000002"/>
    <x v="1"/>
    <s v="-"/>
    <x v="1"/>
    <s v="Vapor de sódio"/>
    <n v="150"/>
    <n v="22"/>
    <n v="0"/>
    <n v="300"/>
    <n v="2"/>
    <n v="3.3"/>
    <n v="7"/>
    <m/>
    <m/>
    <n v="0"/>
    <n v="3.3"/>
    <n v="0"/>
    <n v="0"/>
    <n v="0"/>
    <n v="0"/>
    <n v="0"/>
    <s v="Unilateral"/>
    <s v="Braço"/>
    <n v="46"/>
    <n v="7.3"/>
    <n v="1"/>
    <n v="0.3"/>
    <n v="1.3"/>
    <n v="1"/>
    <s v="-"/>
    <s v="-"/>
    <s v="Sim"/>
    <n v="2"/>
    <n v="0"/>
    <n v="0"/>
    <n v="0"/>
    <n v="0"/>
    <n v="0"/>
    <s v="-"/>
    <n v="0"/>
    <m/>
    <n v="7.5"/>
    <n v="0.18"/>
    <s v="-"/>
    <n v="0.18"/>
    <s v="-"/>
    <n v="16"/>
    <s v="ATENDE"/>
    <n v="0.28533333333333344"/>
    <n v="-5.5555555555555469E-2"/>
    <s v="-"/>
    <n v="9.64"/>
    <n v="0.17"/>
    <m/>
    <m/>
    <m/>
    <m/>
    <s v="ATENDE"/>
    <s v="ATENDE"/>
    <s v="ATENDIMENTO LIMIAR"/>
    <s v="ATENDE"/>
    <s v="C5"/>
    <s v="P6"/>
    <n v="0.63666666666666671"/>
    <n v="4.91"/>
    <n v="1.17"/>
    <n v="3"/>
    <n v="0.6"/>
    <s v="ATENDE"/>
    <s v="ATENDE"/>
    <s v="ATENDE"/>
    <s v="P6"/>
    <n v="0.66666666666666674"/>
    <n v="5"/>
    <n v="1.03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s v="Longo I"/>
    <n v="2.8"/>
    <n v="8"/>
    <m/>
    <m/>
    <m/>
    <m/>
    <m/>
    <m/>
    <n v="50"/>
    <n v="150"/>
    <n v="200"/>
    <n v="0.66666666666666674"/>
    <m/>
    <m/>
    <s v="Sim"/>
    <m/>
  </r>
  <r>
    <n v="114"/>
    <s v="PVP"/>
    <s v="Rua A-Sete da Verbenas, 750 [Q]"/>
    <n v="-30.059200000000001"/>
    <n v="-50.15976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6111111111111112"/>
    <s v="-"/>
    <n v="9.0500000000000007"/>
    <n v="0.47"/>
    <m/>
    <m/>
    <m/>
    <m/>
    <s v="ATENDE"/>
    <s v="ATENDE"/>
    <s v="ATENDE"/>
    <s v="ATENDE"/>
    <s v="C5"/>
    <s v="P6"/>
    <n v="0.91999999999999993"/>
    <n v="5.76"/>
    <n v="3.06"/>
    <n v="3"/>
    <n v="0.6"/>
    <s v="ATENDE"/>
    <s v="ATENDE"/>
    <s v="ATENDE"/>
    <s v="P6"/>
    <n v="1.4366666666666665"/>
    <n v="7.31"/>
    <n v="3.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4"/>
    <s v="PVP"/>
    <s v="Rua A-Sete da Verbenas, 750 [Q]"/>
    <n v="-30.059200000000001"/>
    <n v="-50.15976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533333333333333"/>
    <n v="2.1111111111111116"/>
    <s v="-"/>
    <n v="8.74"/>
    <n v="0.56000000000000005"/>
    <m/>
    <m/>
    <m/>
    <m/>
    <s v="ATENDE"/>
    <s v="ATENDE"/>
    <s v="ATENDE"/>
    <s v="ATENDE"/>
    <s v="C5"/>
    <s v="P6"/>
    <n v="0.65000000000000013"/>
    <n v="4.95"/>
    <n v="3.26"/>
    <n v="3"/>
    <n v="0.6"/>
    <s v="ATENDE"/>
    <s v="ATENDE"/>
    <s v="ATENDE"/>
    <s v="P6"/>
    <n v="1.25"/>
    <n v="6.75"/>
    <n v="2.549999999999999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4"/>
    <s v="PVP"/>
    <s v="Rua A-Sete da Verbenas, 750 [Q]"/>
    <n v="-30.059200000000001"/>
    <n v="-50.159768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466666666666673"/>
    <n v="2.3888888888888888"/>
    <s v="-"/>
    <n v="8.66"/>
    <n v="0.61"/>
    <m/>
    <m/>
    <m/>
    <m/>
    <s v="ATENDE"/>
    <s v="ATENDE"/>
    <s v="ATENDE"/>
    <s v="ATENDE"/>
    <s v="C5"/>
    <s v="P6"/>
    <n v="0.5066666666666666"/>
    <n v="4.5199999999999996"/>
    <n v="3.32"/>
    <n v="3"/>
    <n v="0.6"/>
    <s v="ATENDE"/>
    <s v="ATENDE"/>
    <s v="ATENDE"/>
    <s v="P6"/>
    <n v="1.2566666666666664"/>
    <n v="6.77"/>
    <n v="3.7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5"/>
    <s v="PVP"/>
    <s v="Rua F das Camelias, 273 [Q]"/>
    <n v="-30.06222"/>
    <n v="-50.160806999999998"/>
    <x v="1"/>
    <s v="-"/>
    <x v="1"/>
    <s v="Vapor de sódio"/>
    <n v="100"/>
    <n v="17"/>
    <n v="0"/>
    <n v="200"/>
    <n v="2"/>
    <n v="3.5"/>
    <n v="7"/>
    <m/>
    <m/>
    <n v="0"/>
    <n v="4"/>
    <n v="0"/>
    <n v="0"/>
    <n v="0"/>
    <n v="0"/>
    <n v="0"/>
    <s v="Unilateral"/>
    <s v="Braço"/>
    <n v="33.9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733333333333331"/>
    <n v="1.5"/>
    <s v="-"/>
    <n v="8.5299999999999994"/>
    <n v="0.45"/>
    <m/>
    <m/>
    <m/>
    <m/>
    <s v="ATENDE"/>
    <s v="ATENDE"/>
    <s v="ATENDE"/>
    <s v="ATENDE"/>
    <s v="C5"/>
    <s v="P6"/>
    <n v="0.33333333333333326"/>
    <n v="4"/>
    <n v="1.89"/>
    <n v="3"/>
    <n v="0.6"/>
    <s v="ATENDE"/>
    <s v="ATENDE"/>
    <s v="ATENDE"/>
    <s v="P6"/>
    <n v="1.4133333333333336"/>
    <n v="7.24"/>
    <n v="2.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5"/>
    <s v="PVP"/>
    <s v="Rua F das Camelias, 273 [Q]"/>
    <n v="-30.06222"/>
    <n v="-50.160806999999998"/>
    <x v="1"/>
    <s v="-"/>
    <x v="1"/>
    <s v="Vapor de sódio"/>
    <n v="100"/>
    <n v="17"/>
    <n v="0"/>
    <n v="200"/>
    <n v="2"/>
    <n v="3.5"/>
    <n v="7"/>
    <m/>
    <m/>
    <n v="0"/>
    <n v="4"/>
    <n v="0"/>
    <n v="0"/>
    <n v="0"/>
    <n v="0"/>
    <n v="0"/>
    <s v="Unilateral"/>
    <s v="Braço"/>
    <n v="33.9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199999999999986E-2"/>
    <n v="2.1111111111111116"/>
    <s v="-"/>
    <n v="8.19"/>
    <n v="0.56000000000000005"/>
    <m/>
    <m/>
    <m/>
    <m/>
    <s v="ATENDE"/>
    <s v="ATENDE"/>
    <s v="ATENDE"/>
    <s v="ATENDE"/>
    <s v="C5"/>
    <s v="P6"/>
    <n v="2.0000000000000018E-2"/>
    <n v="3.06"/>
    <n v="1.18"/>
    <n v="3"/>
    <n v="0.6"/>
    <s v="ATENDE"/>
    <s v="ATENDE"/>
    <s v="ATENDE"/>
    <s v="P6"/>
    <n v="1.2433333333333336"/>
    <n v="6.73"/>
    <n v="2.1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5"/>
    <s v="PVP"/>
    <s v="Rua F das Camelias, 273 [Q]"/>
    <n v="-30.06222"/>
    <n v="-50.160806999999998"/>
    <x v="1"/>
    <s v="-"/>
    <x v="1"/>
    <s v="Vapor de sódio"/>
    <n v="100"/>
    <n v="17"/>
    <n v="0"/>
    <n v="200"/>
    <n v="2"/>
    <n v="3.5"/>
    <n v="7"/>
    <m/>
    <m/>
    <n v="0"/>
    <n v="4"/>
    <n v="0"/>
    <n v="0"/>
    <n v="0"/>
    <n v="0"/>
    <n v="0"/>
    <s v="Unilateral"/>
    <s v="Braço"/>
    <n v="33.9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4666666666666659E-2"/>
    <n v="2.1666666666666665"/>
    <s v="-"/>
    <n v="8.06"/>
    <n v="0.56999999999999995"/>
    <m/>
    <m/>
    <m/>
    <m/>
    <s v="ATENDE"/>
    <s v="ATENDE"/>
    <s v="ATENDE"/>
    <s v="ATENDE"/>
    <s v="C5"/>
    <s v="P6"/>
    <n v="0"/>
    <n v="3"/>
    <n v="1.64"/>
    <n v="3"/>
    <n v="0.6"/>
    <s v="ATENDE"/>
    <s v="ATENDE"/>
    <s v="ATENDE"/>
    <s v="P6"/>
    <n v="1.2566666666666664"/>
    <n v="6.77"/>
    <n v="3.2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6"/>
    <s v="PVP"/>
    <s v="Rua Santa Barbara, 330 [Q]"/>
    <n v="-30.055758000000001"/>
    <n v="-50.15897600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6666666666666634E-2"/>
    <n v="1.3888888888888888"/>
    <s v="-"/>
    <n v="7.85"/>
    <n v="0.43"/>
    <m/>
    <m/>
    <m/>
    <m/>
    <s v="ATENDE"/>
    <s v="ATENDE"/>
    <s v="ATENDE"/>
    <s v="ATENDE"/>
    <s v="C5"/>
    <s v="P6"/>
    <n v="0.54666666666666663"/>
    <n v="4.6399999999999997"/>
    <n v="2.39"/>
    <n v="3"/>
    <n v="0.6"/>
    <s v="ATENDE"/>
    <s v="ATENDE"/>
    <s v="ATENDE"/>
    <s v="P6"/>
    <n v="1.1299999999999999"/>
    <n v="6.39"/>
    <n v="2.62"/>
    <n v="3"/>
    <n v="0.6"/>
    <s v="ATENDE"/>
    <s v="ATENDE"/>
    <s v="ATENDE"/>
    <x v="0"/>
    <s v=" SL VT 9.1 28W"/>
    <s v="LUM LED SL VT 9.1 28W"/>
    <m/>
    <n v="0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16"/>
    <s v="PVP"/>
    <s v="Rua Santa Barbara, 330 [Q]"/>
    <n v="-30.055758000000001"/>
    <n v="-50.15897600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133333333333323"/>
    <n v="2.0555555555555558"/>
    <s v="-"/>
    <n v="9.76"/>
    <n v="0.55000000000000004"/>
    <m/>
    <m/>
    <m/>
    <m/>
    <s v="ATENDE"/>
    <s v="ATENDE"/>
    <s v="ATENDE"/>
    <s v="ATENDE"/>
    <s v="C5"/>
    <s v="P6"/>
    <n v="0.61333333333333329"/>
    <n v="4.84"/>
    <n v="3.06"/>
    <n v="3"/>
    <n v="0.6"/>
    <s v="ATENDE"/>
    <s v="ATENDE"/>
    <s v="ATENDE"/>
    <s v="P6"/>
    <n v="1.46"/>
    <n v="7.38"/>
    <n v="2.5499999999999998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6"/>
    <s v="PVP"/>
    <s v="Rua Santa Barbara, 330 [Q]"/>
    <n v="-30.055758000000001"/>
    <n v="-50.15897600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400000000000003"/>
    <n v="2.3888888888888888"/>
    <s v="-"/>
    <n v="9.6300000000000008"/>
    <n v="0.61"/>
    <m/>
    <m/>
    <m/>
    <m/>
    <s v="ATENDE"/>
    <s v="ATENDE"/>
    <s v="ATENDE"/>
    <s v="ATENDE"/>
    <s v="C5"/>
    <s v="P6"/>
    <n v="0.5"/>
    <n v="4.5"/>
    <n v="3.19"/>
    <n v="3"/>
    <n v="0.6"/>
    <s v="ATENDE"/>
    <s v="ATENDE"/>
    <s v="ATENDE"/>
    <s v="P6"/>
    <n v="1.4766666666666666"/>
    <n v="7.43"/>
    <n v="3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17"/>
    <s v="PVP"/>
    <s v="Rua Poco das Antas, 248 [Q]"/>
    <n v="-30.057186999999999"/>
    <n v="-50.157490000000003"/>
    <x v="1"/>
    <s v="-"/>
    <x v="1"/>
    <s v="Vapor de sódio"/>
    <n v="100"/>
    <n v="17"/>
    <n v="0"/>
    <n v="200"/>
    <n v="2"/>
    <n v="2.9"/>
    <n v="7"/>
    <m/>
    <m/>
    <n v="0"/>
    <n v="2.8"/>
    <n v="0"/>
    <n v="0"/>
    <n v="0"/>
    <n v="0"/>
    <n v="0"/>
    <s v="Unilateral"/>
    <s v="Braço"/>
    <n v="41.9"/>
    <n v="7.4"/>
    <n v="1"/>
    <n v="0.64"/>
    <n v="1.3"/>
    <n v="0.6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000000000000011"/>
    <n v="0.66666666666666674"/>
    <s v="-"/>
    <n v="8.4"/>
    <n v="0.3"/>
    <m/>
    <m/>
    <m/>
    <m/>
    <s v="ATENDE"/>
    <s v="ATENDE"/>
    <s v="ATENDE"/>
    <s v="ATENDE"/>
    <s v="C5"/>
    <s v="P6"/>
    <n v="0.65666666666666651"/>
    <n v="4.97"/>
    <n v="1.92"/>
    <n v="3"/>
    <n v="0.6"/>
    <s v="ATENDE"/>
    <s v="ATENDE"/>
    <s v="ATENDE"/>
    <s v="P6"/>
    <n v="1.3966666666666669"/>
    <n v="7.19"/>
    <n v="1.87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17"/>
    <s v="PVP"/>
    <s v="Rua Poco das Antas, 248 [Q]"/>
    <n v="-30.057186999999999"/>
    <n v="-50.157490000000003"/>
    <x v="1"/>
    <s v="-"/>
    <x v="1"/>
    <s v="Vapor de sódio"/>
    <n v="100"/>
    <n v="17"/>
    <n v="0"/>
    <n v="200"/>
    <n v="2"/>
    <n v="2.9"/>
    <n v="7"/>
    <m/>
    <m/>
    <n v="0"/>
    <n v="2.8"/>
    <n v="0"/>
    <n v="0"/>
    <n v="0"/>
    <n v="0"/>
    <n v="0"/>
    <s v="Unilateral"/>
    <s v="Braço"/>
    <n v="41.9"/>
    <n v="7.4"/>
    <n v="1"/>
    <n v="0.64"/>
    <n v="1.3"/>
    <n v="0.6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5333333333333465E-2"/>
    <n v="0.83333333333333348"/>
    <s v="-"/>
    <n v="7.99"/>
    <n v="0.33"/>
    <m/>
    <m/>
    <m/>
    <m/>
    <s v="ATENDE"/>
    <s v="ATENDE"/>
    <s v="ATENDE"/>
    <s v="ATENDE"/>
    <s v="C5"/>
    <s v="P6"/>
    <n v="0.3899999999999999"/>
    <n v="4.17"/>
    <n v="1.77"/>
    <n v="3"/>
    <n v="0.6"/>
    <s v="ATENDE"/>
    <s v="ATENDE"/>
    <s v="ATENDE"/>
    <s v="P6"/>
    <n v="1.2766666666666668"/>
    <n v="6.83"/>
    <n v="1.35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17"/>
    <s v="PVP"/>
    <s v="Rua Poco das Antas, 248 [Q]"/>
    <n v="-30.057186999999999"/>
    <n v="-50.157490000000003"/>
    <x v="1"/>
    <s v="-"/>
    <x v="1"/>
    <s v="Vapor de sódio"/>
    <n v="100"/>
    <n v="17"/>
    <n v="0"/>
    <n v="200"/>
    <n v="2"/>
    <n v="2.9"/>
    <n v="7"/>
    <m/>
    <m/>
    <n v="0"/>
    <n v="2.8"/>
    <n v="0"/>
    <n v="0"/>
    <n v="0"/>
    <n v="0"/>
    <n v="0"/>
    <s v="Unilateral"/>
    <s v="Braço"/>
    <n v="41.9"/>
    <n v="7.4"/>
    <n v="1"/>
    <n v="0.64"/>
    <n v="1.3"/>
    <n v="0.6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133333333333336"/>
    <n v="5.555555555555558E-2"/>
    <s v="-"/>
    <n v="9.01"/>
    <n v="0.19"/>
    <m/>
    <m/>
    <m/>
    <m/>
    <s v="ATENDE"/>
    <s v="ATENDE"/>
    <s v="ATENDE"/>
    <s v="ATENDE"/>
    <s v="C5"/>
    <s v="P6"/>
    <n v="0.17333333333333334"/>
    <n v="3.52"/>
    <n v="0.96"/>
    <n v="3"/>
    <n v="0.6"/>
    <s v="ATENDE"/>
    <s v="ATENDE"/>
    <s v="ATENDE"/>
    <s v="P6"/>
    <n v="1.4233333333333333"/>
    <n v="7.27"/>
    <n v="1.2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18"/>
    <s v="PVP"/>
    <s v="Rua Picada Cafe, 120 [Q]"/>
    <n v="-30.058194"/>
    <n v="-50.157175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"/>
    <n v="7.7"/>
    <n v="1"/>
    <n v="0.3"/>
    <n v="1.4"/>
    <n v="1.099999999999999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200000000000014"/>
    <n v="0.88888888888888906"/>
    <s v="-"/>
    <n v="8.64"/>
    <n v="0.34"/>
    <m/>
    <m/>
    <m/>
    <m/>
    <s v="ATENDE"/>
    <s v="ATENDE"/>
    <s v="ATENDE"/>
    <s v="ATENDE"/>
    <s v="C5"/>
    <s v="P6"/>
    <n v="0.93666666666666654"/>
    <n v="5.81"/>
    <n v="2.5"/>
    <n v="3"/>
    <n v="0.6"/>
    <s v="ATENDE"/>
    <s v="ATENDE"/>
    <s v="ATENDE"/>
    <s v="P6"/>
    <n v="1.3599999999999999"/>
    <n v="7.08"/>
    <n v="2.25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18"/>
    <s v="PVP"/>
    <s v="Rua Picada Cafe, 120 [Q]"/>
    <n v="-30.058194"/>
    <n v="-50.157175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"/>
    <n v="7.7"/>
    <n v="1"/>
    <n v="0.3"/>
    <n v="1.4"/>
    <n v="1.099999999999999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6000000000000085E-2"/>
    <n v="1.2222222222222223"/>
    <s v="-"/>
    <n v="8.2200000000000006"/>
    <n v="0.4"/>
    <m/>
    <m/>
    <m/>
    <m/>
    <s v="ATENDE"/>
    <s v="ATENDE"/>
    <s v="ATENDE"/>
    <s v="ATENDE"/>
    <s v="C5"/>
    <s v="P6"/>
    <n v="0.7433333333333334"/>
    <n v="5.23"/>
    <n v="3.04"/>
    <n v="3"/>
    <n v="0.6"/>
    <s v="ATENDE"/>
    <s v="ATENDE"/>
    <s v="ATENDE"/>
    <s v="P6"/>
    <n v="1.2366666666666668"/>
    <n v="6.71"/>
    <n v="1.99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18"/>
    <s v="PVP"/>
    <s v="Rua Picada Cafe, 120 [Q]"/>
    <n v="-30.058194"/>
    <n v="-50.157175000000002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"/>
    <n v="7.7"/>
    <n v="1"/>
    <n v="0.3"/>
    <n v="1.4"/>
    <n v="1.099999999999999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52"/>
    <n v="0.72222222222222232"/>
    <s v="-"/>
    <n v="9.39"/>
    <n v="0.31"/>
    <m/>
    <m/>
    <m/>
    <m/>
    <s v="ATENDE"/>
    <s v="ATENDE"/>
    <s v="ATENDE"/>
    <s v="ATENDE"/>
    <s v="C5"/>
    <s v="P6"/>
    <n v="0.54"/>
    <n v="4.62"/>
    <n v="1.84"/>
    <n v="3"/>
    <n v="0.6"/>
    <s v="ATENDE"/>
    <s v="ATENDE"/>
    <s v="ATENDE"/>
    <s v="P6"/>
    <n v="1.3633333333333333"/>
    <n v="7.09"/>
    <n v="2.0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19"/>
    <s v="V"/>
    <s v="Rua Junquilhos, 332 [Q]"/>
    <n v="-30.057306000000001"/>
    <n v="-50.168548999999999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2.2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22266666666666657"/>
    <n v="1.6666666666666665"/>
    <s v="-"/>
    <n v="9.17"/>
    <n v="0.48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19"/>
    <s v="V"/>
    <s v="Rua Junquilhos, 332 [Q]"/>
    <n v="-30.057306000000001"/>
    <n v="-50.168548999999999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2.2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7999999999999994"/>
    <n v="2.2222222222222223"/>
    <s v="-"/>
    <n v="8.85"/>
    <n v="0.57999999999999996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19"/>
    <s v="V"/>
    <s v="Rua Junquilhos, 332 [Q]"/>
    <n v="-30.057306000000001"/>
    <n v="-50.168548999999999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2.29999999999999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e v="#N/A"/>
    <n v="0.16933333333333334"/>
    <n v="2.4444444444444446"/>
    <s v="-"/>
    <n v="8.77"/>
    <n v="0.62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1"/>
    <s v="VP"/>
    <s v="Rua Rio Grande do Norte, 883 [Q]"/>
    <n v="-30.057268000000001"/>
    <n v="-50.169229000000001"/>
    <x v="2"/>
    <s v="-"/>
    <x v="3"/>
    <s v="LED"/>
    <n v="50"/>
    <n v="0"/>
    <n v="0"/>
    <n v="100"/>
    <n v="2"/>
    <n v="0"/>
    <n v="7"/>
    <m/>
    <m/>
    <n v="0"/>
    <n v="3.5"/>
    <n v="0"/>
    <n v="0"/>
    <n v="0"/>
    <n v="0"/>
    <n v="0"/>
    <s v="Unilateral"/>
    <s v="Braço"/>
    <n v="20.100000000000001"/>
    <n v="7.5"/>
    <n v="1"/>
    <n v="1.8"/>
    <n v="1.3"/>
    <n v="-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299999999999994"/>
    <n v="2.8888888888888888"/>
    <s v="-"/>
    <n v="13.03"/>
    <n v="0.7"/>
    <m/>
    <m/>
    <m/>
    <m/>
    <s v="ATENDE"/>
    <s v="ATENDE"/>
    <s v="ATENDE"/>
    <s v="ATENDE"/>
    <s v="C4"/>
    <s v="P4"/>
    <e v="#VALUE!"/>
    <s v=" -"/>
    <s v=" -"/>
    <n v="7.5"/>
    <n v="1.5"/>
    <s v="ATENDE"/>
    <s v="ATENDE"/>
    <s v="ATENDE"/>
    <s v="P4"/>
    <n v="-2.666666666666595E-3"/>
    <n v="7.48"/>
    <n v="5.74"/>
    <n v="7.5"/>
    <n v="1.5"/>
    <s v="ATENDE"/>
    <s v="ATENDIMENTO LIMIAR"/>
    <s v="ATENDE"/>
    <x v="0"/>
    <s v=" SL VT 9.1 28W"/>
    <s v="LUM LED SL VT 9.1 28W"/>
    <m/>
    <e v="#N/A"/>
    <n v="1"/>
    <n v="28"/>
    <n v="0"/>
    <n v="4927.3500000000004"/>
    <n v="0"/>
    <n v="0"/>
    <n v="10"/>
    <s v="Curto II"/>
    <m/>
    <s v=""/>
    <s v=""/>
    <m/>
    <m/>
    <m/>
    <m/>
    <m/>
    <m/>
    <n v="28"/>
    <n v="50"/>
    <n v="78"/>
    <n v="0.43999999999999995"/>
    <m/>
    <m/>
    <s v="Sim"/>
    <m/>
  </r>
  <r>
    <n v="121"/>
    <s v="VP"/>
    <s v="Rua Rio Grande do Norte, 883 [Q]"/>
    <n v="-30.057268000000001"/>
    <n v="-50.169229000000001"/>
    <x v="2"/>
    <s v="-"/>
    <x v="3"/>
    <s v="LED"/>
    <n v="50"/>
    <n v="0"/>
    <n v="0"/>
    <n v="100"/>
    <n v="2"/>
    <n v="0"/>
    <n v="7"/>
    <m/>
    <m/>
    <n v="0"/>
    <n v="3.5"/>
    <n v="0"/>
    <n v="0"/>
    <n v="0"/>
    <n v="0"/>
    <n v="0"/>
    <s v="Unilateral"/>
    <s v="Braço"/>
    <n v="20.100000000000001"/>
    <n v="7.5"/>
    <n v="1"/>
    <n v="1.8"/>
    <n v="1.3"/>
    <n v="-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7699999999999987"/>
    <n v="3"/>
    <s v="-"/>
    <n v="14.77"/>
    <n v="0.72"/>
    <m/>
    <m/>
    <m/>
    <m/>
    <s v="ATENDE"/>
    <s v="ATENDE"/>
    <s v="ATENDE"/>
    <s v="ATENDE"/>
    <s v="C4"/>
    <s v="P4"/>
    <e v="#VALUE!"/>
    <s v=" -"/>
    <s v=" -"/>
    <n v="7.5"/>
    <n v="1.5"/>
    <s v="ATENDE"/>
    <s v="ATENDE"/>
    <s v="ATENDE"/>
    <s v="P4"/>
    <n v="9.0666666666666673E-2"/>
    <n v="8.18"/>
    <n v="4.95"/>
    <n v="7.5"/>
    <n v="1.5"/>
    <s v="ATENDE"/>
    <s v="ATENDE"/>
    <s v="ATENDE"/>
    <x v="1"/>
    <s v="SX-INEVO040HF"/>
    <s v="SXINEVO040K40L12CZF7PHF"/>
    <m/>
    <e v="#N/A"/>
    <n v="1"/>
    <n v="39"/>
    <n v="0"/>
    <n v="6552"/>
    <n v="0"/>
    <n v="0"/>
    <n v="10"/>
    <s v="Curto II"/>
    <m/>
    <m/>
    <m/>
    <m/>
    <m/>
    <m/>
    <m/>
    <m/>
    <m/>
    <n v="39"/>
    <n v="50"/>
    <n v="89"/>
    <n v="0.21999999999999997"/>
    <m/>
    <m/>
    <s v="Sim"/>
    <m/>
  </r>
  <r>
    <n v="121"/>
    <s v="VP"/>
    <s v="Rua Rio Grande do Norte, 883 [Q]"/>
    <n v="-30.057268000000001"/>
    <n v="-50.169229000000001"/>
    <x v="2"/>
    <s v="-"/>
    <x v="3"/>
    <s v="LED"/>
    <n v="50"/>
    <n v="0"/>
    <n v="0"/>
    <n v="100"/>
    <n v="2"/>
    <n v="0"/>
    <n v="7"/>
    <m/>
    <m/>
    <n v="0"/>
    <n v="3.5"/>
    <n v="0"/>
    <n v="0"/>
    <n v="0"/>
    <n v="0"/>
    <n v="0"/>
    <s v="Unilateral"/>
    <s v="Braço"/>
    <n v="20.100000000000001"/>
    <n v="7.5"/>
    <n v="1"/>
    <n v="1.8"/>
    <n v="1.3"/>
    <n v="-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70300000000000007"/>
    <n v="2.7777777777777781"/>
    <s v="-"/>
    <n v="17.03"/>
    <n v="0.68"/>
    <m/>
    <m/>
    <m/>
    <m/>
    <s v="ATENDE"/>
    <s v="ATENDE"/>
    <s v="ATENDE"/>
    <s v="ATENDE"/>
    <s v="C4"/>
    <s v="P4"/>
    <e v="#VALUE!"/>
    <s v=" -"/>
    <s v=" -"/>
    <n v="7.5"/>
    <n v="1.5"/>
    <s v="ATENDE"/>
    <s v="ATENDE"/>
    <s v="ATENDE"/>
    <s v="P4"/>
    <n v="-1.3333333333332975E-3"/>
    <n v="7.49"/>
    <n v="4.5999999999999996"/>
    <n v="7.5"/>
    <n v="1.5"/>
    <s v="ATENDE"/>
    <s v="ATENDIMENTO LIMIAR"/>
    <s v="ATENDE"/>
    <x v="2"/>
    <s v="SIGSAGPTLRRSSNDL_40W_50IBBRS_x000a_"/>
    <s v="SIGSAGPTLRRSSNDL_40W_50IBBRS_x000a_1-10C1MUN6.5"/>
    <m/>
    <e v="#N/A"/>
    <n v="1"/>
    <n v="40"/>
    <e v="#N/A"/>
    <n v="6641"/>
    <n v="0"/>
    <n v="0"/>
    <n v="10"/>
    <s v="Curto II"/>
    <m/>
    <s v=""/>
    <s v=""/>
    <m/>
    <m/>
    <m/>
    <m/>
    <m/>
    <m/>
    <n v="40"/>
    <n v="50"/>
    <n v="90"/>
    <n v="0.19999999999999996"/>
    <m/>
    <m/>
    <s v="Sim"/>
    <m/>
  </r>
  <r>
    <n v="122"/>
    <s v="PVP"/>
    <s v="Avenida A-Treze, 217 [Q]"/>
    <n v="-30.052813"/>
    <n v="-50.162320999999999"/>
    <x v="3"/>
    <s v="-"/>
    <x v="3"/>
    <s v="Vapor de sódio"/>
    <n v="250"/>
    <n v="30"/>
    <n v="0"/>
    <n v="500"/>
    <n v="2"/>
    <n v="3.8"/>
    <n v="8"/>
    <m/>
    <m/>
    <n v="0"/>
    <n v="4"/>
    <n v="0"/>
    <n v="0"/>
    <n v="0"/>
    <n v="7.3"/>
    <n v="8.1999999999999993"/>
    <s v="Bilateral frontal"/>
    <s v="Braço"/>
    <n v="36"/>
    <n v="7"/>
    <n v="1"/>
    <n v="10"/>
    <n v="1.3"/>
    <n v="-8.6999999999999993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7.9499999999999904E-2"/>
    <n v="1.9285714285714279"/>
    <s v="-"/>
    <n v="21.59"/>
    <n v="0.82"/>
    <m/>
    <m/>
    <m/>
    <m/>
    <s v="ATENDE"/>
    <s v="ATENDE"/>
    <s v="ATENDE"/>
    <s v="ATENDE"/>
    <s v="C2"/>
    <s v="P4"/>
    <n v="0.8919999999999999"/>
    <n v="14.19"/>
    <n v="6.03"/>
    <n v="7.5"/>
    <n v="1.5"/>
    <s v="ATENDE"/>
    <s v="ATENDE"/>
    <s v="ATENDE"/>
    <s v="P4"/>
    <n v="1.2293333333333334"/>
    <n v="16.72"/>
    <n v="7.89"/>
    <n v="7.5"/>
    <n v="1.5"/>
    <s v="ATENDE"/>
    <s v="ATENDE"/>
    <s v="ATENDE"/>
    <x v="0"/>
    <s v=" SL VT 9.3 105W"/>
    <s v="LUM LED SL VT 9.3 105W"/>
    <m/>
    <e v="#N/A"/>
    <n v="1"/>
    <n v="105"/>
    <n v="0"/>
    <n v="17338.400000000001"/>
    <n v="0"/>
    <n v="0"/>
    <n v="10"/>
    <s v="Curto II"/>
    <s v="Longo II"/>
    <n v="3.5"/>
    <n v="8.5"/>
    <m/>
    <m/>
    <m/>
    <m/>
    <m/>
    <m/>
    <n v="105"/>
    <n v="250"/>
    <n v="355"/>
    <n v="0.58000000000000007"/>
    <m/>
    <m/>
    <s v="Sim"/>
    <m/>
  </r>
  <r>
    <n v="122"/>
    <s v="PVP"/>
    <s v="Avenida A-Treze, 217 [Q]"/>
    <n v="-30.052813"/>
    <n v="-50.162320999999999"/>
    <x v="3"/>
    <s v="-"/>
    <x v="3"/>
    <s v="Vapor de sódio"/>
    <n v="250"/>
    <n v="30"/>
    <n v="0"/>
    <n v="500"/>
    <n v="2"/>
    <n v="3.8"/>
    <n v="8"/>
    <m/>
    <m/>
    <n v="0"/>
    <n v="4"/>
    <n v="0"/>
    <n v="0"/>
    <n v="0"/>
    <n v="7.3"/>
    <n v="8.1999999999999993"/>
    <s v="Bilateral frontal"/>
    <s v="Braço"/>
    <n v="36"/>
    <n v="7"/>
    <n v="1"/>
    <n v="10"/>
    <n v="1.3"/>
    <n v="-8.6999999999999993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1199999999999988"/>
    <n v="2.1785714285714284"/>
    <s v="-"/>
    <n v="22.24"/>
    <n v="0.89"/>
    <m/>
    <m/>
    <m/>
    <m/>
    <s v="ATENDE"/>
    <s v="ATENDE"/>
    <s v="ATENDE"/>
    <s v="ATENDE"/>
    <s v="C2"/>
    <s v="P4"/>
    <n v="0.53466666666666662"/>
    <n v="11.51"/>
    <n v="4.93"/>
    <n v="7.5"/>
    <n v="1.5"/>
    <s v="ATENDE"/>
    <s v="ATENDE"/>
    <s v="ATENDE"/>
    <s v="P4"/>
    <n v="1.0026666666666668"/>
    <n v="15.02"/>
    <n v="7.16"/>
    <n v="7.5"/>
    <n v="1.5"/>
    <s v="ATENDE"/>
    <s v="ATENDE"/>
    <s v="ATENDE"/>
    <x v="1"/>
    <s v="SX-INLPP090HF"/>
    <s v="SXINLPP090K40L12CZF7PHF"/>
    <m/>
    <e v="#N/A"/>
    <n v="1"/>
    <n v="90"/>
    <e v="#N/A"/>
    <n v="15476"/>
    <n v="0"/>
    <n v="0"/>
    <n v="10"/>
    <s v="Curto II"/>
    <s v="Longo II"/>
    <n v="3.5"/>
    <n v="8.5"/>
    <m/>
    <m/>
    <m/>
    <m/>
    <m/>
    <m/>
    <n v="90"/>
    <n v="250"/>
    <n v="340"/>
    <n v="0.64"/>
    <m/>
    <m/>
    <s v="Sim"/>
    <m/>
  </r>
  <r>
    <n v="122"/>
    <s v="PVP"/>
    <s v="Avenida A-Treze, 217 [Q]"/>
    <n v="-30.052813"/>
    <n v="-50.162320999999999"/>
    <x v="3"/>
    <s v="-"/>
    <x v="3"/>
    <s v="Vapor de sódio"/>
    <n v="250"/>
    <n v="30"/>
    <n v="0"/>
    <n v="500"/>
    <n v="2"/>
    <n v="3.8"/>
    <n v="8"/>
    <m/>
    <m/>
    <n v="0"/>
    <n v="4"/>
    <n v="0"/>
    <n v="0"/>
    <n v="0"/>
    <n v="7.3"/>
    <n v="8.1999999999999993"/>
    <s v="Bilateral frontal"/>
    <s v="Braço"/>
    <n v="36"/>
    <n v="7"/>
    <n v="1"/>
    <n v="10"/>
    <n v="1.3"/>
    <n v="-8.6999999999999993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2850000000000006"/>
    <n v="2.1428571428571428"/>
    <s v="-"/>
    <n v="22.57"/>
    <n v="0.88"/>
    <m/>
    <m/>
    <m/>
    <m/>
    <s v="ATENDE"/>
    <s v="ATENDE"/>
    <s v="ATENDE"/>
    <s v="ATENDE"/>
    <s v="C2"/>
    <s v="P4"/>
    <n v="0.86133333333333351"/>
    <n v="13.96"/>
    <n v="7.37"/>
    <n v="7.5"/>
    <n v="1.5"/>
    <s v="ATENDE"/>
    <s v="ATENDE"/>
    <s v="ATENDE"/>
    <s v="P4"/>
    <n v="1.3226666666666671"/>
    <n v="17.420000000000002"/>
    <n v="9.61"/>
    <n v="7.5"/>
    <n v="1.5"/>
    <s v="ATENDE"/>
    <s v="ATENDE"/>
    <s v="ATENDE"/>
    <x v="2"/>
    <s v="SIGMAGPTLRRSMNDL120W_82IBBR_x000a_"/>
    <s v="SIGMAGPTLRRSMNDL120W_82IBBR_x000a_S1-10C1MUN6.5"/>
    <m/>
    <e v="#N/A"/>
    <n v="1"/>
    <n v="120"/>
    <n v="0"/>
    <n v="19640"/>
    <n v="0"/>
    <n v="0"/>
    <n v="10"/>
    <s v="Curto II"/>
    <s v="Longo II"/>
    <n v="3.5"/>
    <n v="8.5"/>
    <m/>
    <m/>
    <m/>
    <m/>
    <m/>
    <m/>
    <n v="120"/>
    <n v="250"/>
    <n v="370"/>
    <n v="0.52"/>
    <m/>
    <m/>
    <s v="Sim"/>
    <m/>
  </r>
  <r>
    <n v="120"/>
    <s v="PVP"/>
    <s v="Rua Arthur Hoffmeister, 775 [Q]"/>
    <n v="-29.987065999999999"/>
    <n v="-50.126257000000003"/>
    <x v="1"/>
    <s v="-"/>
    <x v="1"/>
    <s v="Vapor de sódio"/>
    <n v="100"/>
    <n v="17"/>
    <n v="0"/>
    <n v="200"/>
    <n v="2"/>
    <n v="4"/>
    <n v="8"/>
    <m/>
    <m/>
    <n v="0"/>
    <n v="4"/>
    <n v="0"/>
    <n v="0"/>
    <n v="0"/>
    <n v="0"/>
    <n v="0"/>
    <s v="Bilateral alternada"/>
    <s v="Braço"/>
    <n v="23.5"/>
    <n v="7"/>
    <n v="1"/>
    <n v="0.5"/>
    <n v="1.3"/>
    <n v="0.8"/>
    <s v="-"/>
    <s v="-"/>
    <s v="Sim"/>
    <n v="3"/>
    <n v="0"/>
    <n v="0"/>
    <n v="0"/>
    <n v="0"/>
    <n v="0"/>
    <s v="-"/>
    <n v="0"/>
    <m/>
    <n v="7.5"/>
    <n v="0.18"/>
    <s v="-"/>
    <n v="0.18"/>
    <s v="-"/>
    <n v="16"/>
    <s v="ATENDE"/>
    <n v="0.58400000000000007"/>
    <n v="3.4444444444444446"/>
    <s v="-"/>
    <n v="11.88"/>
    <n v="0.8"/>
    <m/>
    <m/>
    <m/>
    <m/>
    <s v="ATENDE"/>
    <s v="ATENDE"/>
    <s v="ATENDE"/>
    <s v="ATENDE"/>
    <s v="C5"/>
    <s v="P6"/>
    <n v="1.3333333333333335"/>
    <n v="7"/>
    <n v="4.2300000000000004"/>
    <n v="3"/>
    <n v="0.6"/>
    <s v="ATENDE"/>
    <s v="ATENDE"/>
    <s v="ATENDE"/>
    <s v="P6"/>
    <n v="1.3333333333333335"/>
    <n v="7"/>
    <n v="4.2300000000000004"/>
    <n v="3"/>
    <n v="0.6"/>
    <s v="ATENDE"/>
    <s v="ATENDE"/>
    <s v="ATENDE"/>
    <x v="0"/>
    <s v=" SL VT 9.1 17W"/>
    <s v="LUM LED SL VT 9.1 17W"/>
    <m/>
    <n v="0"/>
    <n v="1"/>
    <n v="17"/>
    <n v="0"/>
    <n v="2929.66"/>
    <n v="0"/>
    <n v="0"/>
    <m/>
    <s v="Curto II"/>
    <m/>
    <s v=""/>
    <s v=""/>
    <m/>
    <m/>
    <m/>
    <m/>
    <m/>
    <m/>
    <n v="17"/>
    <n v="100"/>
    <n v="117"/>
    <n v="0.83"/>
    <m/>
    <m/>
    <s v="Sim"/>
    <m/>
  </r>
  <r>
    <n v="120"/>
    <s v="PVP"/>
    <s v="Rua Arthur Hoffmeister, 775 [Q]"/>
    <n v="-29.987065999999999"/>
    <n v="-50.126257000000003"/>
    <x v="1"/>
    <s v="-"/>
    <x v="1"/>
    <s v="Vapor de sódio"/>
    <n v="100"/>
    <n v="17"/>
    <n v="0"/>
    <n v="200"/>
    <n v="2"/>
    <n v="4"/>
    <n v="8"/>
    <m/>
    <m/>
    <n v="0"/>
    <n v="4"/>
    <n v="0"/>
    <n v="0"/>
    <n v="0"/>
    <n v="0"/>
    <n v="0"/>
    <s v="Bilateral alternada"/>
    <s v="Braço"/>
    <n v="23.5"/>
    <n v="7"/>
    <n v="1"/>
    <n v="0.5"/>
    <n v="1.3"/>
    <n v="0.8"/>
    <s v="-"/>
    <s v="-"/>
    <s v="Sim"/>
    <n v="3"/>
    <n v="0"/>
    <n v="0"/>
    <n v="0"/>
    <n v="0"/>
    <n v="0"/>
    <s v="-"/>
    <n v="0"/>
    <m/>
    <n v="7.5"/>
    <n v="0.18"/>
    <s v="-"/>
    <n v="0.18"/>
    <s v="-"/>
    <n v="16"/>
    <s v="ATENDE"/>
    <n v="1.1333333333333333"/>
    <n v="3.1111111111111116"/>
    <s v="-"/>
    <n v="16"/>
    <n v="0.74"/>
    <m/>
    <m/>
    <m/>
    <m/>
    <s v="ATENDE"/>
    <s v="ATENDE"/>
    <s v="ATENDE"/>
    <s v="ATENDE"/>
    <s v="C5"/>
    <s v="P6"/>
    <n v="1.7333333333333329"/>
    <n v="8.1999999999999993"/>
    <n v="4.08"/>
    <n v="3"/>
    <n v="0.6"/>
    <s v="ATENDE"/>
    <s v="ATENDE"/>
    <s v="ATENDE"/>
    <s v="P6"/>
    <n v="1.7333333333333329"/>
    <n v="8.1999999999999993"/>
    <n v="4.08"/>
    <n v="3"/>
    <n v="0.6"/>
    <s v="ATENDE"/>
    <s v="ATENDE"/>
    <s v="ATENDE"/>
    <x v="1"/>
    <s v="SX-INEVO020HF"/>
    <s v="SXINEVO020K40L12CZF7PHF"/>
    <m/>
    <n v="0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120"/>
    <s v="PVP"/>
    <s v="Rua Arthur Hoffmeister, 775 [Q]"/>
    <n v="-29.987065999999999"/>
    <n v="-50.126257000000003"/>
    <x v="1"/>
    <s v="-"/>
    <x v="1"/>
    <s v="Vapor de sódio"/>
    <n v="100"/>
    <n v="17"/>
    <n v="0"/>
    <n v="200"/>
    <n v="2"/>
    <n v="4"/>
    <n v="8"/>
    <m/>
    <m/>
    <n v="0"/>
    <n v="4"/>
    <n v="0"/>
    <n v="0"/>
    <n v="0"/>
    <n v="0"/>
    <n v="0"/>
    <s v="Bilateral alternada"/>
    <s v="Braço"/>
    <n v="23.5"/>
    <n v="7"/>
    <n v="1"/>
    <n v="0.5"/>
    <n v="1.3"/>
    <n v="0.8"/>
    <s v="-"/>
    <s v="-"/>
    <s v="Sim"/>
    <n v="3"/>
    <n v="0"/>
    <n v="0"/>
    <n v="0"/>
    <n v="0"/>
    <n v="0"/>
    <s v="-"/>
    <n v="0"/>
    <m/>
    <n v="7.5"/>
    <n v="0.18"/>
    <s v="-"/>
    <n v="0.18"/>
    <s v="-"/>
    <n v="16"/>
    <s v="ATENDE"/>
    <n v="2.158666666666667"/>
    <n v="3"/>
    <s v="-"/>
    <n v="23.69"/>
    <n v="0.72"/>
    <m/>
    <m/>
    <m/>
    <m/>
    <s v="ATENDE"/>
    <s v="ATENDE"/>
    <s v="ATENDE"/>
    <s v="ATENDE"/>
    <s v="C5"/>
    <s v="P6"/>
    <n v="2.9666666666666668"/>
    <n v="11.9"/>
    <n v="7.15"/>
    <n v="3"/>
    <n v="0.6"/>
    <s v="ATENDE"/>
    <s v="ATENDE"/>
    <s v="ATENDE"/>
    <s v="P6"/>
    <n v="2.9666666666666668"/>
    <n v="11.9"/>
    <n v="7.1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3"/>
    <s v="PVP"/>
    <s v="Rua Bem-me-quer, 576 [Q]"/>
    <n v="-30.062231000000001"/>
    <n v="-50.15829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2000000000000028E-2"/>
    <n v="1.1111111111111112"/>
    <s v="-"/>
    <n v="7.74"/>
    <n v="0.38"/>
    <m/>
    <m/>
    <m/>
    <m/>
    <s v="ATENDE"/>
    <s v="ATENDE"/>
    <s v="ATENDE"/>
    <s v="ATENDE"/>
    <s v="C5"/>
    <s v="P6"/>
    <n v="0.30666666666666664"/>
    <n v="3.92"/>
    <n v="1.79"/>
    <n v="3"/>
    <n v="0.6"/>
    <s v="ATENDE"/>
    <s v="ATENDE"/>
    <s v="ATENDE"/>
    <s v="P6"/>
    <n v="1.2466666666666666"/>
    <n v="6.74"/>
    <n v="2.2200000000000002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23"/>
    <s v="PVP"/>
    <s v="Rua Bem-me-quer, 576 [Q]"/>
    <n v="-30.062231000000001"/>
    <n v="-50.15829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266666666666674"/>
    <n v="1.8333333333333335"/>
    <s v="-"/>
    <n v="8.7200000000000006"/>
    <n v="0.51"/>
    <m/>
    <m/>
    <m/>
    <m/>
    <s v="ATENDE"/>
    <s v="ATENDE"/>
    <s v="ATENDE"/>
    <s v="ATENDE"/>
    <s v="C5"/>
    <s v="P6"/>
    <n v="0.30000000000000004"/>
    <n v="3.9"/>
    <n v="2.39"/>
    <n v="3"/>
    <n v="0.6"/>
    <s v="ATENDE"/>
    <s v="ATENDE"/>
    <s v="ATENDE"/>
    <s v="P6"/>
    <n v="1.6166666666666667"/>
    <n v="7.85"/>
    <n v="2.7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23"/>
    <s v="PVP"/>
    <s v="Rua Bem-me-quer, 576 [Q]"/>
    <n v="-30.062231000000001"/>
    <n v="-50.15829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333333333333322"/>
    <n v="1.0555555555555558"/>
    <s v="-"/>
    <n v="9.6999999999999993"/>
    <n v="0.37"/>
    <m/>
    <m/>
    <m/>
    <m/>
    <s v="ATENDE"/>
    <s v="ATENDE"/>
    <s v="ATENDE"/>
    <s v="ATENDE"/>
    <s v="C5"/>
    <s v="P6"/>
    <n v="7.3333333333333472E-2"/>
    <n v="3.22"/>
    <n v="1.57"/>
    <n v="3"/>
    <n v="0.6"/>
    <s v="ATENDE"/>
    <s v="ATENDE"/>
    <s v="ATENDE"/>
    <s v="P6"/>
    <n v="1.7799999999999998"/>
    <n v="8.34"/>
    <n v="2.9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25"/>
    <s v="PVP"/>
    <s v="Rua Julio de Castilhos, 308 [Q]"/>
    <n v="-29.984749000000001"/>
    <n v="-50.126472"/>
    <x v="2"/>
    <s v="-"/>
    <x v="3"/>
    <s v="Vapor de sódio"/>
    <n v="100"/>
    <n v="17"/>
    <n v="0"/>
    <n v="200"/>
    <n v="2"/>
    <n v="4"/>
    <n v="10"/>
    <m/>
    <m/>
    <n v="0"/>
    <n v="2.8"/>
    <n v="0"/>
    <n v="0"/>
    <n v="0"/>
    <n v="0"/>
    <n v="0"/>
    <s v="Unilateral"/>
    <s v="Braço"/>
    <n v="36.700000000000003"/>
    <n v="6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69799999999999995"/>
    <n v="1.2777777777777777"/>
    <s v="-"/>
    <n v="16.98"/>
    <n v="0.41"/>
    <m/>
    <m/>
    <m/>
    <m/>
    <s v="ATENDE"/>
    <s v="ATENDE"/>
    <s v="ATENDE"/>
    <s v="ATENDE"/>
    <s v="C4"/>
    <s v="P4"/>
    <n v="0.44799999999999995"/>
    <n v="10.86"/>
    <n v="4.2300000000000004"/>
    <n v="7.5"/>
    <n v="1.5"/>
    <s v="ATENDE"/>
    <s v="ATENDE"/>
    <s v="ATENDE"/>
    <s v="-"/>
    <e v="#VALUE!"/>
    <n v="8.69"/>
    <n v="4.92"/>
    <s v="-"/>
    <s v="-"/>
    <s v="-"/>
    <s v="-"/>
    <s v="-"/>
    <x v="0"/>
    <s v=" SL VT 9.1 85W"/>
    <s v="LUM LED SL VT 9.1 85W"/>
    <m/>
    <e v="#N/A"/>
    <n v="1"/>
    <n v="85"/>
    <n v="0"/>
    <n v="14489"/>
    <n v="0"/>
    <n v="0"/>
    <m/>
    <s v="Curto II"/>
    <m/>
    <s v=""/>
    <s v=""/>
    <m/>
    <m/>
    <m/>
    <m/>
    <m/>
    <m/>
    <n v="85"/>
    <n v="100"/>
    <n v="185"/>
    <n v="0.15000000000000002"/>
    <m/>
    <m/>
    <s v="Sim"/>
    <m/>
  </r>
  <r>
    <n v="125"/>
    <s v="PVP"/>
    <s v="Rua Julio de Castilhos, 308 [Q]"/>
    <n v="-29.984749000000001"/>
    <n v="-50.126472"/>
    <x v="2"/>
    <s v="-"/>
    <x v="3"/>
    <s v="Vapor de sódio"/>
    <n v="100"/>
    <n v="17"/>
    <n v="0"/>
    <n v="200"/>
    <n v="2"/>
    <n v="4"/>
    <n v="10"/>
    <m/>
    <m/>
    <n v="0"/>
    <n v="2.8"/>
    <n v="0"/>
    <n v="0"/>
    <n v="0"/>
    <n v="0"/>
    <n v="0"/>
    <s v="Unilateral"/>
    <s v="Braço"/>
    <n v="36.700000000000003"/>
    <n v="6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81299999999999994"/>
    <n v="1.1111111111111112"/>
    <s v="-"/>
    <n v="18.13"/>
    <n v="0.38"/>
    <m/>
    <m/>
    <m/>
    <m/>
    <s v="ATENDE"/>
    <s v="ATENDE"/>
    <s v="ATENDE"/>
    <s v="ATENDE"/>
    <s v="C4"/>
    <s v="P4"/>
    <n v="0.29200000000000004"/>
    <n v="9.69"/>
    <n v="3.59"/>
    <n v="7.5"/>
    <n v="1.5"/>
    <s v="ATENDE"/>
    <s v="ATENDE"/>
    <s v="ATENDE"/>
    <s v="-"/>
    <e v="#VALUE!"/>
    <n v="8.24"/>
    <n v="3.88"/>
    <s v="-"/>
    <s v="-"/>
    <s v="-"/>
    <s v="-"/>
    <s v="-"/>
    <x v="1"/>
    <s v="SX-INLPP070HF"/>
    <s v="SXINLPP070K40L12CZF7PHF"/>
    <m/>
    <e v="#N/A"/>
    <n v="1"/>
    <n v="70"/>
    <n v="0"/>
    <n v="11970"/>
    <n v="0"/>
    <n v="0"/>
    <m/>
    <s v="Curto II"/>
    <m/>
    <s v=""/>
    <s v=""/>
    <m/>
    <m/>
    <m/>
    <m/>
    <m/>
    <m/>
    <n v="70"/>
    <n v="100"/>
    <n v="170"/>
    <n v="0.30000000000000004"/>
    <m/>
    <m/>
    <s v="Sim"/>
    <m/>
  </r>
  <r>
    <n v="125"/>
    <s v="PVP"/>
    <s v="Rua Julio de Castilhos, 308 [Q]"/>
    <n v="-29.984749000000001"/>
    <n v="-50.126472"/>
    <x v="2"/>
    <m/>
    <x v="3"/>
    <s v="Vapor de sódio"/>
    <n v="100"/>
    <n v="17"/>
    <n v="0"/>
    <n v="200"/>
    <n v="2"/>
    <n v="4"/>
    <n v="10"/>
    <m/>
    <m/>
    <n v="0"/>
    <n v="2.8"/>
    <n v="0"/>
    <n v="0"/>
    <n v="0"/>
    <n v="0"/>
    <n v="0"/>
    <s v="Unilateral"/>
    <s v="Braço"/>
    <n v="36.700000000000003"/>
    <n v="6"/>
    <n v="1"/>
    <n v="0.3"/>
    <n v="1.5"/>
    <n v="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81400000000000006"/>
    <n v="1.6666666666666665"/>
    <s v="-"/>
    <n v="18.14"/>
    <n v="0.48"/>
    <m/>
    <m/>
    <m/>
    <m/>
    <s v="ATENDE"/>
    <s v="ATENDE"/>
    <s v="ATENDE"/>
    <s v="ATENDE"/>
    <s v="C4"/>
    <s v="P4"/>
    <n v="4.5333333333333226E-2"/>
    <n v="7.84"/>
    <n v="3.92"/>
    <n v="7.5"/>
    <n v="1.5"/>
    <s v="ATENDE"/>
    <s v="ATENDE"/>
    <s v="ATENDE"/>
    <s v="-"/>
    <e v="#VALUE!"/>
    <n v="8.36"/>
    <n v="3.42"/>
    <s v="-"/>
    <s v="-"/>
    <s v="-"/>
    <s v="-"/>
    <s v="-"/>
    <x v="2"/>
    <s v="SIGSAGPTLRRSSNDL_68W_83IBBRS_x000a_"/>
    <s v="SIGSAGPTLRRSSNDL_68W_83IBBRS_x000a_1-10C1MUN6.5"/>
    <m/>
    <e v="#N/A"/>
    <n v="1"/>
    <n v="68"/>
    <n v="0"/>
    <n v="10884"/>
    <n v="0"/>
    <n v="0"/>
    <n v="10"/>
    <s v="Curto II"/>
    <m/>
    <s v=""/>
    <s v=""/>
    <m/>
    <m/>
    <m/>
    <m/>
    <m/>
    <m/>
    <n v="68"/>
    <n v="100"/>
    <n v="168"/>
    <n v="0.31999999999999995"/>
    <m/>
    <m/>
    <s v="Sim"/>
    <m/>
  </r>
  <r>
    <n v="124"/>
    <s v="PV"/>
    <s v="Rua Santa Barbara, 274 [Q]"/>
    <n v="-30.056794"/>
    <n v="-50.159466000000002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8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333333333333329"/>
    <n v="0"/>
    <s v="-"/>
    <n v="8.35"/>
    <n v="0.18"/>
    <m/>
    <m/>
    <m/>
    <m/>
    <s v="ATENDE"/>
    <s v="ATENDE"/>
    <s v="ATENDE"/>
    <s v="ATENDE"/>
    <s v="C5"/>
    <s v="P6"/>
    <n v="1.2233333333333332"/>
    <n v="6.67"/>
    <n v="1.1399999999999999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124"/>
    <s v="PV"/>
    <s v="Rua Santa Barbara, 274 [Q]"/>
    <n v="-30.056794"/>
    <n v="-50.159466000000002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8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466666666666685"/>
    <n v="3"/>
    <s v="-"/>
    <n v="9.7100000000000009"/>
    <n v="0.72"/>
    <m/>
    <m/>
    <m/>
    <m/>
    <s v="ATENDE"/>
    <s v="ATENDE"/>
    <s v="ATENDE"/>
    <s v="ATENDE"/>
    <s v="C5"/>
    <s v="P6"/>
    <n v="1.5"/>
    <n v="7.5"/>
    <n v="4.08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24"/>
    <s v="PV"/>
    <s v="Rua Santa Barbara, 274 [Q]"/>
    <n v="-30.056794"/>
    <n v="-50.159466000000002"/>
    <x v="1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8.9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7333333333333494E-2"/>
    <n v="3.1111111111111116"/>
    <s v="-"/>
    <n v="8.23"/>
    <n v="0.74"/>
    <m/>
    <m/>
    <m/>
    <m/>
    <s v="ATENDE"/>
    <s v="ATENDE"/>
    <s v="ATENDE"/>
    <s v="ATENDE"/>
    <s v="C5"/>
    <s v="P6"/>
    <n v="1.3266666666666667"/>
    <n v="6.98"/>
    <n v="4.84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27"/>
    <s v="PV"/>
    <s v="Avenida Beira-Mar, 46 [E]"/>
    <n v="-30.067663899999999"/>
    <n v="-50.159883919999999"/>
    <x v="0"/>
    <s v="-"/>
    <x v="1"/>
    <s v="Vapor de sódio"/>
    <n v="100"/>
    <n v="17"/>
    <n v="0"/>
    <n v="200"/>
    <n v="2"/>
    <n v="2.5"/>
    <n v="6.5"/>
    <m/>
    <m/>
    <n v="0"/>
    <n v="0"/>
    <n v="0"/>
    <n v="0"/>
    <n v="0"/>
    <n v="0"/>
    <n v="0"/>
    <s v="Unilateral"/>
    <s v="Braço"/>
    <n v="41.4"/>
    <n v="7.5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8.0333333333333146E-2"/>
    <n v="0"/>
    <s v="-"/>
    <n v="32.409999999999997"/>
    <n v="0.38"/>
    <m/>
    <m/>
    <m/>
    <m/>
    <s v="ATENDE"/>
    <s v="ATENDE"/>
    <s v="ATENDE"/>
    <s v="ATENDE"/>
    <s v="C1"/>
    <s v="P6"/>
    <n v="5.5866666666666669"/>
    <n v="19.760000000000002"/>
    <n v="8.43"/>
    <n v="3"/>
    <n v="0.6"/>
    <s v="ATENDE"/>
    <s v="ATENDE"/>
    <s v="ATENDE"/>
    <s v="-"/>
    <s v="-"/>
    <s v="-"/>
    <s v="-"/>
    <s v="-"/>
    <s v="-"/>
    <s v="-"/>
    <s v="-"/>
    <s v="-"/>
    <x v="0"/>
    <s v=" SL VT 9.6 190W"/>
    <s v="LUM LED SL VT 9.6 190W"/>
    <m/>
    <e v="#N/A"/>
    <n v="1"/>
    <n v="190"/>
    <n v="0"/>
    <n v="28644.799999999999"/>
    <n v="0"/>
    <n v="0"/>
    <m/>
    <s v="Curto II"/>
    <s v="Longo II"/>
    <n v="3.5"/>
    <n v="8.5"/>
    <s v="APEA"/>
    <n v="1"/>
    <m/>
    <s v="Reduzido espaçamento de 41.40 mts para 2.70mts, mantendo os mesmos parâmetros"/>
    <m/>
    <m/>
    <n v="190"/>
    <n v="100"/>
    <n v="290"/>
    <n v="-0.89999999999999991"/>
    <m/>
    <m/>
    <s v="Sim"/>
    <m/>
  </r>
  <r>
    <n v="127"/>
    <s v="PV"/>
    <s v="Avenida Beira-Mar, 46 [E]"/>
    <n v="-30.067663899999999"/>
    <n v="-50.159883919999999"/>
    <x v="0"/>
    <s v="-"/>
    <x v="1"/>
    <s v="Vapor de sódio"/>
    <n v="100"/>
    <n v="17"/>
    <n v="0"/>
    <n v="200"/>
    <n v="2"/>
    <n v="2.5"/>
    <n v="6.5"/>
    <m/>
    <m/>
    <n v="0"/>
    <n v="0"/>
    <n v="0"/>
    <n v="0"/>
    <n v="0"/>
    <n v="0"/>
    <n v="0"/>
    <s v="Unilateral"/>
    <s v="Braço"/>
    <n v="41.4"/>
    <n v="7.5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e v="#REF!"/>
    <n v="-6.6666666666670427E-4"/>
    <e v="#REF!"/>
    <s v="-"/>
    <n v="29.98"/>
    <n v="0.37"/>
    <m/>
    <m/>
    <m/>
    <m/>
    <e v="#REF!"/>
    <s v="ATENDIMENTO LIMIAR"/>
    <e v="#REF!"/>
    <s v="ATENDE"/>
    <s v="C1"/>
    <s v="P6"/>
    <n v="7.9599999999999991"/>
    <n v="26.88"/>
    <n v="11.4"/>
    <n v="3"/>
    <n v="0.6"/>
    <s v="ATENDE"/>
    <s v="ATENDE"/>
    <s v="ATENDE"/>
    <s v="-"/>
    <s v="-"/>
    <s v="-"/>
    <s v="-"/>
    <s v="-"/>
    <s v="-"/>
    <s v="-"/>
    <s v="-"/>
    <s v="-"/>
    <x v="1"/>
    <s v="SX-INLPP150HF"/>
    <s v="SXINLPP150K40L12CZF7PHF"/>
    <m/>
    <n v="0"/>
    <n v="1"/>
    <n v="137"/>
    <n v="0"/>
    <n v="23817"/>
    <n v="0"/>
    <n v="0"/>
    <m/>
    <s v="Curto II"/>
    <m/>
    <m/>
    <m/>
    <m/>
    <m/>
    <m/>
    <m/>
    <m/>
    <m/>
    <n v="137"/>
    <n v="100"/>
    <n v="237"/>
    <n v="-0.37000000000000011"/>
    <m/>
    <m/>
    <s v="Sim"/>
    <m/>
  </r>
  <r>
    <n v="127"/>
    <s v="PV"/>
    <s v="Avenida Beira-Mar, 46 [E]"/>
    <n v="-30.067663899999999"/>
    <n v="-50.159883919999999"/>
    <x v="0"/>
    <s v="-"/>
    <x v="1"/>
    <s v="Vapor de sódio"/>
    <n v="100"/>
    <n v="17"/>
    <n v="0"/>
    <n v="200"/>
    <n v="2"/>
    <n v="2.5"/>
    <n v="6.5"/>
    <m/>
    <m/>
    <n v="0"/>
    <n v="0"/>
    <n v="0"/>
    <n v="0"/>
    <n v="0"/>
    <n v="0"/>
    <n v="0"/>
    <s v="Unilateral"/>
    <s v="Braço"/>
    <n v="41.4"/>
    <n v="7.5"/>
    <n v="1"/>
    <n v="0.5"/>
    <n v="1.3"/>
    <n v="0.8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0.10366666666666657"/>
    <n v="-2.6315789473684181E-2"/>
    <s v="-"/>
    <n v="33.11"/>
    <n v="0.71"/>
    <m/>
    <m/>
    <m/>
    <m/>
    <s v="ATENDE"/>
    <s v="ATENDE"/>
    <s v="ATENDIMENTO LIMIAR"/>
    <s v="ATENDE"/>
    <s v="C1"/>
    <s v="P6"/>
    <n v="8.5966666666666658"/>
    <n v="28.79"/>
    <n v="19.829999999999998"/>
    <n v="3"/>
    <n v="0.6"/>
    <s v="ATENDE"/>
    <s v="ATENDE"/>
    <s v="ATENDE"/>
    <s v="-"/>
    <s v="-"/>
    <s v="-"/>
    <s v="-"/>
    <s v="-"/>
    <s v="-"/>
    <s v="-"/>
    <s v="-"/>
    <s v="-"/>
    <x v="2"/>
    <s v="SIGMAGPTLRRSMNDL_80W_56IBBR_x000a_"/>
    <s v="SIGMAGPTLRRSMNDL_80W_56IBBR_x000a_S1-10C1MUN6.5"/>
    <m/>
    <n v="0"/>
    <n v="1"/>
    <n v="80"/>
    <n v="0"/>
    <n v="13209"/>
    <n v="0"/>
    <n v="0"/>
    <m/>
    <s v="Curto II"/>
    <m/>
    <m/>
    <m/>
    <m/>
    <m/>
    <m/>
    <s v="Redução do distanciamento entre postes de 41.40 para 21.70"/>
    <m/>
    <m/>
    <n v="80"/>
    <n v="100"/>
    <n v="180"/>
    <n v="0.19999999999999996"/>
    <m/>
    <m/>
    <s v="Sim"/>
    <m/>
  </r>
  <r>
    <n v="128"/>
    <s v="PV"/>
    <s v="Avenida Beira-Mar, 188 [E]"/>
    <n v="-30.06966345"/>
    <n v="-50.160751869999999"/>
    <x v="0"/>
    <s v="-"/>
    <x v="1"/>
    <s v="Vapor de sódio"/>
    <n v="150"/>
    <n v="22"/>
    <n v="0"/>
    <n v="300"/>
    <n v="2"/>
    <n v="3.5"/>
    <n v="6"/>
    <m/>
    <m/>
    <n v="0"/>
    <n v="0"/>
    <n v="0"/>
    <n v="0"/>
    <n v="0"/>
    <n v="0"/>
    <n v="0"/>
    <s v="Unilateral"/>
    <s v="Braço"/>
    <n v="35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6.8333333333333135E-2"/>
    <n v="0.89473684210526305"/>
    <s v="-"/>
    <n v="32.049999999999997"/>
    <n v="0.72"/>
    <m/>
    <m/>
    <m/>
    <m/>
    <s v="ATENDE"/>
    <s v="ATENDE"/>
    <s v="ATENDE"/>
    <s v="ATENDE"/>
    <s v="C1"/>
    <s v="P6"/>
    <n v="16.09"/>
    <n v="51.27"/>
    <n v="36.35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100W"/>
    <s v="LUM LED SL VT 9.1 100W"/>
    <m/>
    <e v="#N/A"/>
    <n v="1"/>
    <n v="100"/>
    <n v="0"/>
    <n v="15900"/>
    <n v="0"/>
    <n v="0"/>
    <m/>
    <s v="Curto II"/>
    <m/>
    <m/>
    <m/>
    <s v="APEA"/>
    <n v="1"/>
    <m/>
    <s v="Redução do distanciamento entre postes de 35.7 para 17.85"/>
    <m/>
    <m/>
    <n v="100"/>
    <n v="150"/>
    <n v="250"/>
    <n v="0.33333333333333337"/>
    <m/>
    <m/>
    <s v="Sim"/>
    <m/>
  </r>
  <r>
    <n v="128"/>
    <s v="PV"/>
    <s v="Avenida Beira-Mar, 188 [E]"/>
    <n v="-30.06966345"/>
    <n v="-50.160751869999999"/>
    <x v="0"/>
    <s v="-"/>
    <x v="1"/>
    <s v="Vapor de sódio"/>
    <n v="150"/>
    <n v="22"/>
    <n v="0"/>
    <n v="300"/>
    <n v="2"/>
    <n v="3.5"/>
    <n v="6"/>
    <m/>
    <m/>
    <n v="0"/>
    <n v="0"/>
    <n v="0"/>
    <n v="0"/>
    <n v="0"/>
    <n v="0"/>
    <n v="0"/>
    <s v="Unilateral"/>
    <s v="Braço"/>
    <n v="35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2666666666666622E-2"/>
    <n v="0.89473684210526305"/>
    <s v="-"/>
    <n v="30.98"/>
    <n v="0.72"/>
    <m/>
    <m/>
    <m/>
    <m/>
    <s v="ATENDE"/>
    <s v="ATENDE"/>
    <s v="ATENDE"/>
    <s v="ATENDE"/>
    <s v="C1"/>
    <s v="P6"/>
    <n v="12.363333333333335"/>
    <n v="40.090000000000003"/>
    <n v="31.21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LPP070HF"/>
    <s v="SXINLPP070K40L12CZF7PHF"/>
    <m/>
    <n v="0"/>
    <n v="1"/>
    <n v="70"/>
    <n v="0"/>
    <n v="11970"/>
    <n v="0"/>
    <n v="0"/>
    <m/>
    <s v="Curto II"/>
    <m/>
    <m/>
    <m/>
    <s v="APEA"/>
    <n v="1"/>
    <m/>
    <s v="Redução do distanciamento entre postes de 35.7 para 17.85"/>
    <m/>
    <m/>
    <n v="70"/>
    <n v="150"/>
    <n v="220"/>
    <n v="0.53333333333333333"/>
    <m/>
    <m/>
    <s v="Sim"/>
    <m/>
  </r>
  <r>
    <n v="128"/>
    <s v="PV"/>
    <s v="Avenida Beira-Mar, 188 [E]"/>
    <n v="-30.06966345"/>
    <n v="-50.160751869999999"/>
    <x v="0"/>
    <s v="-"/>
    <x v="1"/>
    <s v="Vapor de sódio"/>
    <n v="150"/>
    <n v="22"/>
    <n v="0"/>
    <n v="300"/>
    <n v="2"/>
    <n v="3.5"/>
    <n v="6"/>
    <m/>
    <m/>
    <n v="0"/>
    <n v="0"/>
    <n v="0"/>
    <n v="0"/>
    <n v="0"/>
    <n v="0"/>
    <n v="0"/>
    <s v="Unilateral"/>
    <s v="Braço"/>
    <n v="35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499999999999992E-2"/>
    <n v="0.76315789473684226"/>
    <s v="-"/>
    <n v="31.05"/>
    <n v="0.67"/>
    <m/>
    <m/>
    <m/>
    <m/>
    <s v="ATENDE"/>
    <s v="ATENDE"/>
    <s v="ATENDE"/>
    <s v="ATENDE"/>
    <s v="C1"/>
    <s v="P6"/>
    <n v="14.626666666666667"/>
    <n v="46.88"/>
    <n v="36.26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90W112IBBRS_x000a_"/>
    <s v="SIGSAGPTLRRSSNDL_90W112IBBRS_x000a_1-10C1MUN6.5"/>
    <m/>
    <n v="0"/>
    <n v="1"/>
    <n v="90"/>
    <n v="0"/>
    <n v="13859"/>
    <n v="0"/>
    <n v="0"/>
    <m/>
    <s v="Curto II"/>
    <m/>
    <m/>
    <m/>
    <s v="APEA"/>
    <n v="1"/>
    <m/>
    <s v="Redução do distanciamento entre postes de 35.7 para 17.85"/>
    <m/>
    <m/>
    <n v="90"/>
    <n v="150"/>
    <n v="240"/>
    <n v="0.4"/>
    <m/>
    <m/>
    <s v="Sim"/>
    <m/>
  </r>
  <r>
    <n v="129"/>
    <s v="PV"/>
    <s v="Avenida Beira-Mar, 562 [E]"/>
    <n v="-30.07239839"/>
    <n v="-50.161871669999996"/>
    <x v="0"/>
    <s v="-"/>
    <x v="1"/>
    <s v="Vapor de sódio"/>
    <n v="150"/>
    <n v="22"/>
    <n v="0"/>
    <n v="600"/>
    <n v="2"/>
    <n v="2.8"/>
    <n v="6.5"/>
    <m/>
    <m/>
    <n v="0"/>
    <n v="0"/>
    <n v="0"/>
    <n v="0"/>
    <n v="0"/>
    <n v="0"/>
    <n v="0"/>
    <s v="Unilateral"/>
    <s v="Braço"/>
    <n v="35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20900000000000007"/>
    <n v="7.8947368421052655E-2"/>
    <s v="-"/>
    <n v="36.270000000000003"/>
    <n v="0.41"/>
    <m/>
    <m/>
    <m/>
    <m/>
    <s v="ATENDE"/>
    <s v="ATENDE"/>
    <s v="ATENDE"/>
    <s v="ATENDE"/>
    <s v="C1"/>
    <s v="P6"/>
    <n v="15.366666666666667"/>
    <n v="49.1"/>
    <n v="19.79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120W"/>
    <s v="LUM LED SL VT 9.1 120W"/>
    <m/>
    <e v="#N/A"/>
    <n v="2"/>
    <n v="120"/>
    <n v="0"/>
    <n v="18730"/>
    <n v="0"/>
    <n v="0"/>
    <n v="10"/>
    <s v="Curto II"/>
    <m/>
    <m/>
    <m/>
    <m/>
    <m/>
    <m/>
    <m/>
    <m/>
    <m/>
    <n v="120"/>
    <n v="150"/>
    <n v="540"/>
    <n v="0.19999999999999996"/>
    <m/>
    <m/>
    <s v="Sim"/>
    <m/>
  </r>
  <r>
    <n v="129"/>
    <s v="PV"/>
    <s v="Avenida Beira-Mar, 562 [E]"/>
    <n v="-30.07239839"/>
    <n v="-50.161871669999996"/>
    <x v="0"/>
    <s v="-"/>
    <x v="1"/>
    <s v="Vapor de sódio"/>
    <n v="150"/>
    <n v="22"/>
    <n v="0"/>
    <n v="600"/>
    <n v="2"/>
    <n v="2.8"/>
    <n v="6.5"/>
    <m/>
    <m/>
    <n v="0"/>
    <n v="0"/>
    <n v="0"/>
    <n v="0"/>
    <n v="0"/>
    <n v="0"/>
    <n v="0"/>
    <s v="Unilateral"/>
    <s v="Braço"/>
    <n v="35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3.6666666666665959E-3"/>
    <n v="2.6315789473684292E-2"/>
    <s v="-"/>
    <n v="29.89"/>
    <n v="0.39"/>
    <m/>
    <m/>
    <m/>
    <m/>
    <s v="ATENDE"/>
    <s v="ATENDIMENTO LIMIAR"/>
    <s v="ATENDE"/>
    <s v="ATENDE"/>
    <s v="C1"/>
    <s v="P6"/>
    <n v="12.946666666666667"/>
    <n v="41.84"/>
    <n v="18.2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LPP080HF"/>
    <s v="SXINLPP080K40L12CZF7PHF"/>
    <m/>
    <e v="#N/A"/>
    <n v="2"/>
    <n v="79"/>
    <n v="0"/>
    <n v="13359"/>
    <n v="0"/>
    <n v="0"/>
    <m/>
    <s v="Curto II"/>
    <m/>
    <m/>
    <m/>
    <m/>
    <m/>
    <m/>
    <m/>
    <m/>
    <m/>
    <n v="79"/>
    <n v="150"/>
    <n v="458"/>
    <n v="0.47333333333333338"/>
    <m/>
    <m/>
    <s v="Sim"/>
    <m/>
  </r>
  <r>
    <n v="129"/>
    <s v="PV"/>
    <s v="Avenida Beira-Mar, 562 [E]"/>
    <n v="-30.07239839"/>
    <n v="-50.161871669999996"/>
    <x v="0"/>
    <s v="-"/>
    <x v="1"/>
    <s v="Vapor de sódio"/>
    <n v="150"/>
    <n v="22"/>
    <n v="0"/>
    <n v="600"/>
    <n v="2"/>
    <n v="2.8"/>
    <n v="6.5"/>
    <m/>
    <m/>
    <n v="0"/>
    <n v="0"/>
    <n v="0"/>
    <n v="0"/>
    <n v="0"/>
    <n v="0"/>
    <n v="0"/>
    <s v="Unilateral"/>
    <s v="Braço"/>
    <n v="35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-3.6666666666665959E-3"/>
    <n v="0.26315789473684204"/>
    <s v="-"/>
    <n v="29.89"/>
    <n v="0.48"/>
    <m/>
    <m/>
    <m/>
    <m/>
    <s v="ATENDE"/>
    <s v="ATENDIMENTO LIMIAR"/>
    <s v="ATENDE"/>
    <s v="ATENDE"/>
    <s v="C1"/>
    <s v="P6"/>
    <n v="11.223333333333334"/>
    <n v="36.67"/>
    <n v="16.079999999999998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100W125IBBRS_x000a_"/>
    <s v="SIGSAGPTLRRSSNDL100W125IBBRS_x000a_1-10C1MUN6.5"/>
    <m/>
    <e v="#N/A"/>
    <n v="2"/>
    <n v="100"/>
    <n v="0"/>
    <n v="15162"/>
    <n v="0"/>
    <n v="0"/>
    <n v="10"/>
    <s v="Curto II"/>
    <m/>
    <m/>
    <m/>
    <m/>
    <m/>
    <m/>
    <m/>
    <m/>
    <m/>
    <n v="100"/>
    <n v="150"/>
    <n v="500"/>
    <n v="0.33333333333333337"/>
    <m/>
    <m/>
    <s v="Sim"/>
    <m/>
  </r>
  <r>
    <n v="130"/>
    <s v="PVP"/>
    <s v="Rua Zakynthos, 345 [E]"/>
    <n v="-30.073477369999999"/>
    <n v="-50.163653850000003"/>
    <x v="2"/>
    <s v="-"/>
    <x v="1"/>
    <s v="Vapor de sódio"/>
    <n v="100"/>
    <n v="17"/>
    <n v="0"/>
    <n v="200"/>
    <n v="2"/>
    <n v="2.5"/>
    <n v="6.5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00000000000008E-2"/>
    <n v="0.83333333333333348"/>
    <s v="-"/>
    <n v="10.9"/>
    <n v="0.33"/>
    <m/>
    <m/>
    <m/>
    <m/>
    <s v="ATENDE"/>
    <s v="ATENDE"/>
    <s v="ATENDE"/>
    <s v="ATENDE"/>
    <s v="C4"/>
    <s v="P6"/>
    <n v="1.5066666666666664"/>
    <n v="7.52"/>
    <n v="3.11"/>
    <n v="3"/>
    <n v="0.6"/>
    <s v="ATENDE"/>
    <s v="ATENDE"/>
    <s v="ATENDE"/>
    <s v="P6"/>
    <n v="1.9633333333333334"/>
    <n v="8.89"/>
    <n v="2.81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30"/>
    <s v="PVP"/>
    <s v="Rua Zakynthos, 345 [E]"/>
    <n v="-30.073477369999999"/>
    <n v="-50.163653850000003"/>
    <x v="2"/>
    <s v="-"/>
    <x v="1"/>
    <s v="Vapor de sódio"/>
    <n v="100"/>
    <n v="17"/>
    <n v="0"/>
    <n v="200"/>
    <n v="2"/>
    <n v="2.5"/>
    <n v="6.5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900000000000015"/>
    <n v="1"/>
    <s v="-"/>
    <n v="12.89"/>
    <n v="0.36"/>
    <m/>
    <m/>
    <m/>
    <m/>
    <s v="ATENDE"/>
    <s v="ATENDE"/>
    <s v="ATENDE"/>
    <s v="ATENDE"/>
    <s v="C4"/>
    <s v="P6"/>
    <n v="1.9666666666666668"/>
    <n v="8.9"/>
    <n v="5.51"/>
    <n v="3"/>
    <n v="0.6"/>
    <s v="ATENDE"/>
    <s v="ATENDE"/>
    <s v="ATENDE"/>
    <s v="P6"/>
    <n v="2.34"/>
    <n v="10.02"/>
    <n v="2.4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30"/>
    <s v="PVP"/>
    <s v="Rua Zakynthos, 345 [E]"/>
    <n v="-30.073477369999999"/>
    <n v="-50.163653850000003"/>
    <x v="2"/>
    <s v="-"/>
    <x v="1"/>
    <s v="Vapor de sódio"/>
    <n v="100"/>
    <n v="17"/>
    <n v="0"/>
    <n v="200"/>
    <n v="2"/>
    <n v="2.5"/>
    <n v="6.5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4000000000000012E-2"/>
    <n v="0.72222222222222232"/>
    <s v="-"/>
    <n v="10.14"/>
    <n v="0.31"/>
    <m/>
    <m/>
    <m/>
    <m/>
    <s v="ATENDE"/>
    <s v="ATENDE"/>
    <s v="ATENDE"/>
    <s v="ATENDE"/>
    <s v="C4"/>
    <s v="P6"/>
    <n v="0.74666666666666681"/>
    <n v="5.24"/>
    <n v="2.11"/>
    <n v="3"/>
    <n v="0.6"/>
    <s v="ATENDE"/>
    <s v="ATENDE"/>
    <s v="ATENDE"/>
    <s v="P6"/>
    <n v="1.5433333333333334"/>
    <n v="7.63"/>
    <n v="2.220000000000000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31"/>
    <s v="PVP"/>
    <s v="Rua Bremen, 50 [E]"/>
    <n v="-30.078163350000001"/>
    <n v="-50.164971940000001"/>
    <x v="2"/>
    <s v="-"/>
    <x v="1"/>
    <s v="Vapor de sódio"/>
    <n v="100"/>
    <n v="17"/>
    <n v="0"/>
    <n v="200"/>
    <n v="1"/>
    <n v="2.5"/>
    <n v="7"/>
    <m/>
    <m/>
    <n v="0"/>
    <n v="2.5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1.0555555555555558"/>
    <s v="-"/>
    <n v="11.1"/>
    <n v="0.37"/>
    <m/>
    <m/>
    <m/>
    <m/>
    <s v="ATENDE"/>
    <s v="ATENDE"/>
    <s v="ATENDE"/>
    <s v="ATENDE"/>
    <s v="C4"/>
    <s v="P6"/>
    <n v="1.3233333333333333"/>
    <n v="6.97"/>
    <n v="3.17"/>
    <n v="3"/>
    <n v="0.6"/>
    <s v="ATENDE"/>
    <s v="ATENDE"/>
    <s v="ATENDE"/>
    <s v="P6"/>
    <n v="2.1799999999999997"/>
    <n v="9.5399999999999991"/>
    <n v="3.24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31"/>
    <s v="PVP"/>
    <s v="Rua Bremen, 50 [E]"/>
    <n v="-30.078163350000001"/>
    <n v="-50.164971940000001"/>
    <x v="2"/>
    <s v="-"/>
    <x v="1"/>
    <s v="Vapor de sódio"/>
    <n v="100"/>
    <n v="17"/>
    <n v="0"/>
    <n v="200"/>
    <n v="1"/>
    <n v="2.5"/>
    <n v="7"/>
    <m/>
    <m/>
    <n v="0"/>
    <n v="2.5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600000000000005"/>
    <n v="1.4444444444444446"/>
    <s v="-"/>
    <n v="13.06"/>
    <n v="0.44"/>
    <m/>
    <m/>
    <m/>
    <m/>
    <s v="ATENDE"/>
    <s v="ATENDE"/>
    <s v="ATENDE"/>
    <s v="ATENDE"/>
    <s v="C4"/>
    <s v="P6"/>
    <n v="1.69"/>
    <n v="8.07"/>
    <n v="5.56"/>
    <n v="3"/>
    <n v="0.6"/>
    <s v="ATENDE"/>
    <s v="ATENDE"/>
    <s v="ATENDE"/>
    <s v="P6"/>
    <n v="2.6199999999999997"/>
    <n v="10.86"/>
    <n v="3.1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31"/>
    <s v="PVP"/>
    <s v="Rua Bremen, 50 [E]"/>
    <n v="-30.078163350000001"/>
    <n v="-50.164971940000001"/>
    <x v="2"/>
    <s v="-"/>
    <x v="1"/>
    <s v="Vapor de sódio"/>
    <n v="100"/>
    <n v="17"/>
    <n v="0"/>
    <n v="200"/>
    <n v="1"/>
    <n v="2.5"/>
    <n v="7"/>
    <m/>
    <m/>
    <n v="0"/>
    <n v="2.5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999999999999906E-2"/>
    <n v="1.1111111111111112"/>
    <s v="-"/>
    <n v="10.19"/>
    <n v="0.38"/>
    <m/>
    <m/>
    <m/>
    <m/>
    <s v="ATENDE"/>
    <s v="ATENDE"/>
    <s v="ATENDE"/>
    <s v="ATENDE"/>
    <s v="C4"/>
    <s v="P6"/>
    <n v="0.4800000000000002"/>
    <n v="4.4400000000000004"/>
    <n v="2.14"/>
    <n v="3"/>
    <n v="0.6"/>
    <s v="ATENDE"/>
    <s v="ATENDE"/>
    <s v="ATENDE"/>
    <s v="P6"/>
    <n v="1.7566666666666664"/>
    <n v="8.27"/>
    <n v="2.8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32"/>
    <s v="PVP"/>
    <s v="Rua Colonia, 47 [E]"/>
    <n v="-30.080141390000001"/>
    <n v="-50.167203170000001"/>
    <x v="2"/>
    <s v="-"/>
    <x v="1"/>
    <s v="Vapor de sódio"/>
    <n v="100"/>
    <n v="17"/>
    <n v="0"/>
    <n v="200"/>
    <n v="2"/>
    <n v="3"/>
    <n v="6"/>
    <m/>
    <m/>
    <n v="0"/>
    <n v="3"/>
    <n v="0"/>
    <n v="0"/>
    <n v="0"/>
    <n v="0"/>
    <n v="0"/>
    <s v="Unilateral"/>
    <s v="Braço"/>
    <n v="26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600000000000013"/>
    <n v="2.3888888888888888"/>
    <s v="-"/>
    <n v="11.46"/>
    <n v="0.61"/>
    <m/>
    <m/>
    <m/>
    <m/>
    <s v="ATENDE"/>
    <s v="ATENDE"/>
    <s v="ATENDE"/>
    <s v="ATENDE"/>
    <s v="C4"/>
    <s v="P6"/>
    <n v="1.7100000000000004"/>
    <n v="8.1300000000000008"/>
    <n v="5.15"/>
    <n v="3"/>
    <n v="0.6"/>
    <s v="ATENDE"/>
    <s v="ATENDE"/>
    <s v="ATENDE"/>
    <s v="P6"/>
    <n v="1.8699999999999997"/>
    <n v="8.61"/>
    <n v="5.0199999999999996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32"/>
    <s v="PVP"/>
    <s v="Rua Colonia, 47 [E]"/>
    <n v="-30.080141390000001"/>
    <n v="-50.167203170000001"/>
    <x v="2"/>
    <s v="-"/>
    <x v="1"/>
    <s v="Vapor de sódio"/>
    <n v="100"/>
    <n v="17"/>
    <n v="0"/>
    <n v="200"/>
    <n v="2"/>
    <n v="3"/>
    <n v="6"/>
    <m/>
    <m/>
    <n v="0"/>
    <n v="3"/>
    <n v="0"/>
    <n v="0"/>
    <n v="0"/>
    <n v="0"/>
    <n v="0"/>
    <s v="Unilateral"/>
    <s v="Braço"/>
    <n v="26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3.166666666666667"/>
    <s v="-"/>
    <n v="11.1"/>
    <n v="0.75"/>
    <m/>
    <m/>
    <m/>
    <m/>
    <s v="ATENDE"/>
    <s v="ATENDE"/>
    <s v="ATENDE"/>
    <s v="ATENDE"/>
    <s v="C4"/>
    <s v="P6"/>
    <n v="1.4433333333333334"/>
    <n v="7.33"/>
    <n v="5.08"/>
    <n v="3"/>
    <n v="0.6"/>
    <s v="ATENDE"/>
    <s v="ATENDE"/>
    <s v="ATENDE"/>
    <s v="P6"/>
    <n v="1.6099999999999999"/>
    <n v="7.83"/>
    <n v="5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32"/>
    <s v="PVP"/>
    <s v="Rua Colonia, 47 [E]"/>
    <n v="-30.080141390000001"/>
    <n v="-50.167203170000001"/>
    <x v="2"/>
    <s v="-"/>
    <x v="1"/>
    <s v="Vapor de sódio"/>
    <n v="100"/>
    <n v="17"/>
    <n v="0"/>
    <n v="200"/>
    <n v="2"/>
    <n v="3"/>
    <n v="6"/>
    <m/>
    <m/>
    <n v="0"/>
    <n v="3"/>
    <n v="0"/>
    <n v="0"/>
    <n v="0"/>
    <n v="0"/>
    <n v="0"/>
    <s v="Unilateral"/>
    <s v="Braço"/>
    <n v="26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199999999999988"/>
    <n v="3"/>
    <s v="-"/>
    <n v="11.12"/>
    <n v="0.72"/>
    <m/>
    <m/>
    <m/>
    <m/>
    <s v="ATENDE"/>
    <s v="ATENDE"/>
    <s v="ATENDE"/>
    <s v="ATENDE"/>
    <s v="C4"/>
    <s v="P6"/>
    <n v="1.2133333333333334"/>
    <n v="6.64"/>
    <n v="4.6900000000000004"/>
    <n v="3"/>
    <n v="0.6"/>
    <s v="ATENDE"/>
    <s v="ATENDE"/>
    <s v="ATENDE"/>
    <s v="P6"/>
    <n v="1.6433333333333331"/>
    <n v="7.93"/>
    <n v="5.1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33"/>
    <s v="VP"/>
    <s v="Rua Creta, 486 [E]"/>
    <n v="-30.071880050000001"/>
    <n v="-50.164533329999998"/>
    <x v="2"/>
    <s v="-"/>
    <x v="1"/>
    <s v="Vapor de sódio"/>
    <n v="100"/>
    <n v="17"/>
    <n v="0"/>
    <n v="200"/>
    <n v="2"/>
    <n v="0"/>
    <n v="6.5"/>
    <m/>
    <m/>
    <n v="0"/>
    <n v="3"/>
    <n v="3"/>
    <n v="0"/>
    <n v="0"/>
    <n v="0"/>
    <n v="0"/>
    <s v="Canteiro central"/>
    <s v="Braço"/>
    <n v="40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0000000000000036E-2"/>
    <n v="0.7777777777777779"/>
    <s v="-"/>
    <n v="10.4"/>
    <n v="0.32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1.2066666666666666"/>
    <n v="6.62"/>
    <n v="2.63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3"/>
    <s v="VP"/>
    <s v="Rua Creta, 486 [E]"/>
    <n v="-30.071880050000001"/>
    <n v="-50.164533329999998"/>
    <x v="2"/>
    <s v="-"/>
    <x v="1"/>
    <s v="Vapor de sódio"/>
    <n v="100"/>
    <n v="17"/>
    <n v="0"/>
    <n v="200"/>
    <n v="2"/>
    <n v="0"/>
    <n v="6.5"/>
    <m/>
    <m/>
    <n v="0"/>
    <n v="3"/>
    <n v="3"/>
    <n v="0"/>
    <n v="0"/>
    <n v="0"/>
    <n v="0"/>
    <s v="Canteiro central"/>
    <s v="Braço"/>
    <n v="40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3100000000000009"/>
    <n v="0.94444444444444442"/>
    <s v="-"/>
    <n v="12.31"/>
    <n v="0.35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1.5666666666666669"/>
    <n v="7.7"/>
    <n v="4.389999999999999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3"/>
    <s v="VP"/>
    <s v="Rua Creta, 486 [E]"/>
    <n v="-30.071880050000001"/>
    <n v="-50.164533329999998"/>
    <x v="2"/>
    <s v="-"/>
    <x v="1"/>
    <s v="Vapor de sódio"/>
    <n v="100"/>
    <n v="17"/>
    <n v="0"/>
    <n v="200"/>
    <n v="2"/>
    <n v="0"/>
    <n v="6.5"/>
    <m/>
    <m/>
    <n v="0"/>
    <n v="3"/>
    <n v="3"/>
    <n v="0"/>
    <n v="0"/>
    <n v="0"/>
    <n v="0"/>
    <s v="Canteiro central"/>
    <s v="Braço"/>
    <n v="40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00000000000001"/>
    <n v="0.50000000000000022"/>
    <s v="-"/>
    <n v="11.41"/>
    <n v="0.27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58333333333333326"/>
    <n v="4.75"/>
    <n v="1.5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4"/>
    <s v="PVP"/>
    <s v="Rua Projetada [E]"/>
    <n v="-30.071405049999999"/>
    <n v="-50.166035000000001"/>
    <x v="2"/>
    <s v="-"/>
    <x v="1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99999999999999"/>
    <n v="1"/>
    <s v="-"/>
    <n v="11.17"/>
    <n v="0.36"/>
    <m/>
    <m/>
    <m/>
    <m/>
    <s v="ATENDE"/>
    <s v="ATENDE"/>
    <s v="ATENDE"/>
    <s v="ATENDE"/>
    <s v="C4"/>
    <s v="P6"/>
    <n v="1.5100000000000002"/>
    <n v="7.53"/>
    <n v="3.41"/>
    <n v="3"/>
    <n v="0.6"/>
    <s v="ATENDE"/>
    <s v="ATENDE"/>
    <s v="ATENDE"/>
    <s v="-"/>
    <e v="#VALUE!"/>
    <n v="8.85"/>
    <n v="3.02"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4"/>
    <s v="PVP"/>
    <s v="Rua Projetada [E]"/>
    <n v="-30.071405049999999"/>
    <n v="-50.166035000000001"/>
    <x v="2"/>
    <s v="-"/>
    <x v="1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99999999999995"/>
    <n v="1.3333333333333335"/>
    <s v="-"/>
    <n v="13.23"/>
    <n v="0.42"/>
    <m/>
    <m/>
    <m/>
    <m/>
    <s v="ATENDE"/>
    <s v="ATENDE"/>
    <s v="ATENDE"/>
    <s v="ATENDE"/>
    <s v="C4"/>
    <s v="P6"/>
    <n v="1.9499999999999997"/>
    <n v="8.85"/>
    <n v="6.09"/>
    <n v="3"/>
    <n v="0.6"/>
    <s v="ATENDE"/>
    <s v="ATENDE"/>
    <s v="ATENDE"/>
    <s v="-"/>
    <e v="#VALUE!"/>
    <n v="9.86"/>
    <n v="2.61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4"/>
    <s v="PVP"/>
    <s v="Rua Projetada [E]"/>
    <n v="-30.071405049999999"/>
    <n v="-50.166035000000001"/>
    <x v="2"/>
    <s v="-"/>
    <x v="1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0000000000000027E-2"/>
    <n v="1.1111111111111112"/>
    <s v="-"/>
    <n v="10.3"/>
    <n v="0.38"/>
    <m/>
    <m/>
    <m/>
    <m/>
    <s v="ATENDE"/>
    <s v="ATENDE"/>
    <s v="ATENDE"/>
    <s v="ATENDE"/>
    <s v="C4"/>
    <s v="P6"/>
    <n v="0.69000000000000017"/>
    <n v="5.07"/>
    <n v="2.5099999999999998"/>
    <n v="3"/>
    <n v="0.6"/>
    <s v="ATENDE"/>
    <s v="ATENDE"/>
    <s v="ATENDE"/>
    <s v="-"/>
    <e v="#VALUE!"/>
    <n v="7.52"/>
    <n v="2.52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35"/>
    <s v="PVP"/>
    <s v="Rua A-Doze das Carvinas, 196 [E]"/>
    <n v="-30.064066329999999"/>
    <n v="-50.164497599999997"/>
    <x v="2"/>
    <s v="-"/>
    <x v="1"/>
    <s v="Vapor de sódio"/>
    <n v="70"/>
    <n v="14"/>
    <n v="0"/>
    <n v="140"/>
    <n v="2"/>
    <n v="3"/>
    <n v="7"/>
    <m/>
    <m/>
    <n v="0"/>
    <n v="3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1.0555555555555558"/>
    <s v="-"/>
    <n v="11.1"/>
    <n v="0.37"/>
    <m/>
    <m/>
    <m/>
    <m/>
    <s v="ATENDE"/>
    <s v="ATENDE"/>
    <s v="ATENDE"/>
    <s v="ATENDE"/>
    <s v="C4"/>
    <s v="P6"/>
    <n v="1.2233333333333332"/>
    <n v="6.67"/>
    <n v="3.01"/>
    <n v="3"/>
    <n v="0.6"/>
    <s v="ATENDE"/>
    <s v="ATENDE"/>
    <s v="ATENDE"/>
    <s v="P6"/>
    <n v="2.0533333333333332"/>
    <n v="9.16"/>
    <n v="3.09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70"/>
    <n v="122"/>
    <n v="0.25714285714285712"/>
    <m/>
    <m/>
    <s v="Sim"/>
    <m/>
  </r>
  <r>
    <n v="135"/>
    <s v="PVP"/>
    <s v="Rua A-Doze das Carvinas, 196 [E]"/>
    <n v="-30.064066329999999"/>
    <n v="-50.164497599999997"/>
    <x v="2"/>
    <s v="-"/>
    <x v="1"/>
    <s v="Vapor de sódio"/>
    <n v="70"/>
    <n v="14"/>
    <n v="0"/>
    <n v="140"/>
    <n v="2"/>
    <n v="3"/>
    <n v="7"/>
    <m/>
    <m/>
    <n v="0"/>
    <n v="3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600000000000006"/>
    <n v="1.4444444444444446"/>
    <s v="-"/>
    <n v="13.16"/>
    <n v="0.44"/>
    <m/>
    <m/>
    <m/>
    <m/>
    <s v="ATENDE"/>
    <s v="ATENDE"/>
    <s v="ATENDE"/>
    <s v="ATENDE"/>
    <s v="C4"/>
    <s v="P6"/>
    <n v="1.5466666666666664"/>
    <n v="7.64"/>
    <n v="5.18"/>
    <n v="3"/>
    <n v="0.6"/>
    <s v="ATENDE"/>
    <s v="ATENDE"/>
    <s v="ATENDE"/>
    <s v="P6"/>
    <n v="2.4299999999999997"/>
    <n v="10.29"/>
    <n v="2.7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70"/>
    <n v="120"/>
    <n v="0.2857142857142857"/>
    <m/>
    <m/>
    <s v="Sim"/>
    <m/>
  </r>
  <r>
    <n v="135"/>
    <s v="PVP"/>
    <s v="Rua A-Doze das Carvinas, 196 [E]"/>
    <n v="-30.064066329999999"/>
    <n v="-50.164497599999997"/>
    <x v="2"/>
    <s v="-"/>
    <x v="1"/>
    <s v="Vapor de sódio"/>
    <n v="70"/>
    <n v="14"/>
    <n v="0"/>
    <n v="140"/>
    <n v="2"/>
    <n v="3"/>
    <n v="7"/>
    <m/>
    <m/>
    <n v="0"/>
    <n v="3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999999999999906E-2"/>
    <n v="1.1111111111111112"/>
    <s v="-"/>
    <n v="10.19"/>
    <n v="0.38"/>
    <m/>
    <m/>
    <m/>
    <m/>
    <s v="ATENDE"/>
    <s v="ATENDE"/>
    <s v="ATENDE"/>
    <s v="ATENDE"/>
    <s v="C4"/>
    <s v="P6"/>
    <n v="0.37666666666666671"/>
    <n v="4.13"/>
    <n v="1.9"/>
    <n v="3"/>
    <n v="0.6"/>
    <s v="ATENDE"/>
    <s v="ATENDE"/>
    <s v="ATENDE"/>
    <s v="P6"/>
    <n v="1.6166666666666667"/>
    <n v="7.85"/>
    <n v="2.6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70"/>
    <n v="110"/>
    <n v="0.4285714285714286"/>
    <m/>
    <m/>
    <s v="Sim"/>
    <m/>
  </r>
  <r>
    <n v="136"/>
    <s v="PVP"/>
    <s v="Rua dos Lirios, 22 [E]"/>
    <n v="-30.06542645"/>
    <n v="-50.16582184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99999999999999"/>
    <n v="1"/>
    <s v="-"/>
    <n v="11.17"/>
    <n v="0.36"/>
    <m/>
    <m/>
    <m/>
    <m/>
    <s v="ATENDE"/>
    <s v="ATENDE"/>
    <s v="ATENDE"/>
    <s v="ATENDE"/>
    <s v="C4"/>
    <s v="P6"/>
    <n v="1.4066666666666667"/>
    <n v="7.22"/>
    <n v="3.25"/>
    <n v="3"/>
    <n v="0.6"/>
    <s v="ATENDE"/>
    <s v="ATENDE"/>
    <s v="ATENDE"/>
    <s v="P6"/>
    <n v="2.0866666666666664"/>
    <n v="9.26"/>
    <n v="31.7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6"/>
    <s v="PVP"/>
    <s v="Rua dos Lirios, 22 [E]"/>
    <n v="-30.06542645"/>
    <n v="-50.16582184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99999999999995"/>
    <n v="1.3333333333333335"/>
    <s v="-"/>
    <n v="13.23"/>
    <n v="0.42"/>
    <m/>
    <m/>
    <m/>
    <m/>
    <s v="ATENDE"/>
    <s v="ATENDE"/>
    <s v="ATENDE"/>
    <s v="ATENDE"/>
    <s v="C4"/>
    <s v="P6"/>
    <n v="1.8033333333333332"/>
    <n v="8.41"/>
    <n v="5.73"/>
    <n v="3"/>
    <n v="0.6"/>
    <s v="ATENDE"/>
    <s v="ATENDE"/>
    <s v="ATENDE"/>
    <s v="P6"/>
    <n v="2.4733333333333332"/>
    <n v="10.42"/>
    <n v="2.96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6"/>
    <s v="PVP"/>
    <s v="Rua dos Lirios, 22 [E]"/>
    <n v="-30.06542645"/>
    <n v="-50.16582184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0000000000000027E-2"/>
    <n v="1.1111111111111112"/>
    <s v="-"/>
    <n v="10.3"/>
    <n v="0.38"/>
    <m/>
    <m/>
    <m/>
    <m/>
    <s v="ATENDE"/>
    <s v="ATENDE"/>
    <s v="ATENDE"/>
    <s v="ATENDE"/>
    <s v="C4"/>
    <s v="P6"/>
    <n v="0.57333333333333325"/>
    <n v="4.72"/>
    <n v="2.2599999999999998"/>
    <n v="3"/>
    <n v="0.6"/>
    <s v="ATENDE"/>
    <s v="ATENDE"/>
    <s v="ATENDE"/>
    <s v="P6"/>
    <n v="1.6466666666666669"/>
    <n v="7.94"/>
    <n v="2.75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37"/>
    <s v="PVP"/>
    <s v="Rua B das Begonias, 922 [E]"/>
    <n v="-30.063194800000002"/>
    <n v="-50.16792425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0.88888888888888906"/>
    <s v="-"/>
    <n v="10.74"/>
    <n v="0.34"/>
    <m/>
    <m/>
    <m/>
    <m/>
    <s v="ATENDE"/>
    <s v="ATENDE"/>
    <s v="ATENDE"/>
    <s v="ATENDE"/>
    <s v="C4"/>
    <s v="P6"/>
    <n v="1.3133333333333335"/>
    <n v="6.94"/>
    <n v="2.93"/>
    <n v="3"/>
    <n v="0.6"/>
    <s v="ATENDE"/>
    <s v="ATENDE"/>
    <s v="ATENDE"/>
    <s v="P6"/>
    <n v="1.9633333333333334"/>
    <n v="8.89"/>
    <n v="2.81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37"/>
    <s v="PVP"/>
    <s v="Rua B das Begonias, 922 [E]"/>
    <n v="-30.063194800000002"/>
    <n v="-50.16792425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200000000000002"/>
    <n v="1.0555555555555558"/>
    <s v="-"/>
    <n v="12.72"/>
    <n v="0.37"/>
    <m/>
    <m/>
    <m/>
    <m/>
    <s v="ATENDE"/>
    <s v="ATENDE"/>
    <s v="ATENDE"/>
    <s v="ATENDE"/>
    <s v="C4"/>
    <s v="P6"/>
    <n v="1.6966666666666668"/>
    <n v="8.09"/>
    <n v="5.1100000000000003"/>
    <n v="3"/>
    <n v="0.6"/>
    <s v="ATENDE"/>
    <s v="ATENDE"/>
    <s v="ATENDE"/>
    <s v="P6"/>
    <n v="2.34"/>
    <n v="10.02"/>
    <n v="2.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37"/>
    <s v="PVP"/>
    <s v="Rua B das Begonias, 922 [E]"/>
    <n v="-30.063194800000002"/>
    <n v="-50.16792425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-1.0000000000000009E-2"/>
    <n v="0.7777777777777779"/>
    <s v="-"/>
    <n v="9.9"/>
    <n v="0.32"/>
    <m/>
    <m/>
    <m/>
    <m/>
    <s v="ATENDE"/>
    <s v="ATENDIMENTO LIMIAR"/>
    <s v="ATENDE"/>
    <s v="ATENDE"/>
    <s v="C4"/>
    <s v="P6"/>
    <n v="0.51333333333333342"/>
    <n v="4.54"/>
    <n v="1.86"/>
    <n v="3"/>
    <n v="0.6"/>
    <s v="ATENDE"/>
    <s v="ATENDE"/>
    <s v="ATENDE"/>
    <s v="P6"/>
    <n v="1.5433333333333334"/>
    <n v="7.63"/>
    <n v="2.220000000000000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38"/>
    <s v="VP"/>
    <s v="Rua Vitoria Regia, 321 [E]"/>
    <n v="-30.061733820000001"/>
    <n v="-50.168336490000002"/>
    <x v="2"/>
    <s v="-"/>
    <x v="1"/>
    <s v="Vapor de sódio"/>
    <n v="150"/>
    <n v="22"/>
    <n v="0"/>
    <n v="300"/>
    <n v="2"/>
    <n v="0"/>
    <n v="7"/>
    <m/>
    <m/>
    <n v="0"/>
    <n v="3"/>
    <n v="0"/>
    <n v="0"/>
    <n v="0"/>
    <n v="0"/>
    <n v="0"/>
    <s v="Unilateral"/>
    <s v="Braço"/>
    <n v="41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000000000000014E-2"/>
    <n v="0.2777777777777779"/>
    <s v="-"/>
    <n v="10.16"/>
    <n v="0.2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2333333333333329"/>
    <n v="4.87"/>
    <n v="1.46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38"/>
    <s v="VP"/>
    <s v="Rua Vitoria Regia, 321 [E]"/>
    <n v="-30.061733820000001"/>
    <n v="-50.168336490000002"/>
    <x v="2"/>
    <s v="-"/>
    <x v="1"/>
    <s v="Vapor de sódio"/>
    <n v="150"/>
    <n v="22"/>
    <n v="0"/>
    <n v="300"/>
    <n v="2"/>
    <n v="0"/>
    <n v="7"/>
    <m/>
    <m/>
    <n v="0"/>
    <n v="3"/>
    <n v="0"/>
    <n v="0"/>
    <n v="0"/>
    <n v="0"/>
    <n v="0"/>
    <s v="Unilateral"/>
    <s v="Braço"/>
    <n v="41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900000000000001"/>
    <n v="0.83333333333333348"/>
    <s v="-"/>
    <n v="11.39"/>
    <n v="0.3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67333333333333312"/>
    <n v="5.0199999999999996"/>
    <n v="2.12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38"/>
    <s v="VP"/>
    <s v="Rua Vitoria Regia, 321 [E]"/>
    <n v="-30.061733820000001"/>
    <n v="-50.168336490000002"/>
    <x v="2"/>
    <s v="-"/>
    <x v="1"/>
    <s v="Vapor de sódio"/>
    <n v="150"/>
    <n v="22"/>
    <n v="0"/>
    <n v="300"/>
    <n v="2"/>
    <n v="0"/>
    <n v="7"/>
    <m/>
    <m/>
    <n v="0"/>
    <n v="3"/>
    <n v="0"/>
    <n v="0"/>
    <n v="0"/>
    <n v="0"/>
    <n v="0"/>
    <s v="Unilateral"/>
    <s v="Braço"/>
    <n v="41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2999999999999954E-2"/>
    <n v="0.22222222222222232"/>
    <s v="-"/>
    <n v="10.73"/>
    <n v="0.22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34333333333333349"/>
    <n v="4.03"/>
    <n v="1.07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139"/>
    <s v="PVP"/>
    <s v="Rua Vitoria Regia, 431 [E]"/>
    <n v="-30.06011586"/>
    <n v="-50.167653190000003"/>
    <x v="2"/>
    <s v="-"/>
    <x v="1"/>
    <s v="Vapor de sódio"/>
    <n v="100"/>
    <n v="17"/>
    <n v="0"/>
    <n v="200"/>
    <n v="2"/>
    <n v="2.8"/>
    <n v="7"/>
    <m/>
    <m/>
    <n v="0"/>
    <n v="2.8"/>
    <n v="0"/>
    <n v="0"/>
    <n v="0"/>
    <n v="0"/>
    <n v="0"/>
    <s v="Unilateral"/>
    <s v="Braço"/>
    <n v="27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899999999999999"/>
    <n v="1.6111111111111112"/>
    <s v="-"/>
    <n v="11.19"/>
    <n v="0.47"/>
    <m/>
    <m/>
    <m/>
    <m/>
    <s v="ATENDE"/>
    <s v="ATENDE"/>
    <s v="ATENDE"/>
    <s v="ATENDE"/>
    <s v="C4"/>
    <s v="P6"/>
    <n v="0.99666666666666681"/>
    <n v="5.99"/>
    <n v="3.55"/>
    <n v="3"/>
    <n v="0.6"/>
    <s v="ATENDE"/>
    <s v="ATENDE"/>
    <s v="ATENDE"/>
    <s v="P6"/>
    <n v="3.7700000000000005"/>
    <n v="14.31"/>
    <n v="7.8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39"/>
    <s v="PVP"/>
    <s v="Rua Vitoria Regia, 431 [E]"/>
    <n v="-30.06011586"/>
    <n v="-50.167653190000003"/>
    <x v="2"/>
    <s v="-"/>
    <x v="1"/>
    <s v="Vapor de sódio"/>
    <n v="100"/>
    <n v="17"/>
    <n v="0"/>
    <n v="200"/>
    <n v="2"/>
    <n v="2.8"/>
    <n v="7"/>
    <m/>
    <m/>
    <n v="0"/>
    <n v="2.8"/>
    <n v="0"/>
    <n v="0"/>
    <n v="0"/>
    <n v="0"/>
    <n v="0"/>
    <s v="Unilateral"/>
    <s v="Braço"/>
    <n v="27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199999999999988"/>
    <n v="2.8888888888888888"/>
    <s v="-"/>
    <n v="11.12"/>
    <n v="0.7"/>
    <m/>
    <m/>
    <m/>
    <m/>
    <s v="ATENDE"/>
    <s v="ATENDE"/>
    <s v="ATENDE"/>
    <s v="ATENDE"/>
    <s v="C4"/>
    <s v="P6"/>
    <n v="1.2666666666666666"/>
    <n v="6.8"/>
    <n v="4.76"/>
    <n v="3"/>
    <n v="0.6"/>
    <s v="ATENDE"/>
    <s v="ATENDE"/>
    <s v="ATENDE"/>
    <s v="P6"/>
    <n v="2.2266666666666666"/>
    <n v="9.68"/>
    <n v="5.83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m/>
    <m/>
    <m/>
    <m/>
    <m/>
    <m/>
    <m/>
    <m/>
    <n v="39"/>
    <n v="100"/>
    <n v="139"/>
    <n v="0.61"/>
    <m/>
    <m/>
    <s v="Sim"/>
    <m/>
  </r>
  <r>
    <n v="139"/>
    <s v="PVP"/>
    <s v="Rua Vitoria Regia, 431 [E]"/>
    <n v="-30.06011586"/>
    <n v="-50.167653190000003"/>
    <x v="2"/>
    <s v="-"/>
    <x v="1"/>
    <s v="Vapor de sódio"/>
    <n v="100"/>
    <n v="17"/>
    <n v="0"/>
    <n v="200"/>
    <n v="2"/>
    <n v="2.8"/>
    <n v="7"/>
    <m/>
    <m/>
    <n v="0"/>
    <n v="2.8"/>
    <n v="0"/>
    <n v="0"/>
    <n v="0"/>
    <n v="0"/>
    <n v="0"/>
    <s v="Unilateral"/>
    <s v="Braço"/>
    <n v="27.6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199999999999987"/>
    <n v="2.3333333333333335"/>
    <s v="-"/>
    <n v="13.52"/>
    <n v="0.6"/>
    <m/>
    <m/>
    <m/>
    <m/>
    <s v="ATENDE"/>
    <s v="ATENDE"/>
    <s v="ATENDE"/>
    <s v="ATENDE"/>
    <s v="C4"/>
    <s v="P6"/>
    <n v="1.0899999999999999"/>
    <n v="6.27"/>
    <n v="4.83"/>
    <n v="3"/>
    <n v="0.6"/>
    <s v="ATENDE"/>
    <s v="ATENDE"/>
    <s v="ATENDE"/>
    <s v="P6"/>
    <n v="4.7733333333333334"/>
    <n v="17.32"/>
    <n v="12.5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40"/>
    <s v="PVP"/>
    <s v="Avenida Jardim Atlantico, 553 [E]"/>
    <n v="-30.06193056"/>
    <n v="-50.164006309999998"/>
    <x v="3"/>
    <s v="-"/>
    <x v="3"/>
    <s v="LED"/>
    <n v="50"/>
    <n v="0"/>
    <n v="0"/>
    <n v="100"/>
    <n v="2"/>
    <n v="3.5"/>
    <n v="7"/>
    <m/>
    <m/>
    <n v="0"/>
    <n v="3"/>
    <n v="0"/>
    <n v="0"/>
    <n v="0"/>
    <n v="3.5"/>
    <n v="3"/>
    <s v="Canteiro central"/>
    <s v="Braço"/>
    <n v="36.5"/>
    <n v="7.5"/>
    <n v="1"/>
    <n v="5.5"/>
    <n v="1.3"/>
    <n v="-4.2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549999999999993"/>
    <n v="0.53571428571428559"/>
    <s v="-"/>
    <n v="22.11"/>
    <n v="0.43"/>
    <m/>
    <m/>
    <m/>
    <m/>
    <s v="ATENDE"/>
    <s v="ATENDE"/>
    <s v="ATENDE"/>
    <s v="ATENDE"/>
    <s v="C2"/>
    <s v="P4"/>
    <n v="3.7333333333333441E-2"/>
    <n v="7.78"/>
    <n v="4.67"/>
    <n v="7.5"/>
    <n v="1.5"/>
    <s v="ATENDE"/>
    <s v="ATENDE"/>
    <s v="ATENDE"/>
    <s v="P4"/>
    <n v="4.4213333333333331"/>
    <n v="40.659999999999997"/>
    <n v="19.7"/>
    <n v="7.5"/>
    <n v="1.5"/>
    <s v="ATENDE"/>
    <s v="ATENDE"/>
    <s v="ATENDE"/>
    <x v="0"/>
    <s v=" SL VT 9.1 170W"/>
    <s v="LUM LED SL VT 9.1 170W"/>
    <m/>
    <e v="#N/A"/>
    <n v="1"/>
    <n v="170"/>
    <n v="0"/>
    <n v="26748"/>
    <n v="0"/>
    <n v="0"/>
    <n v="10"/>
    <s v="Curto II"/>
    <m/>
    <s v=""/>
    <s v=""/>
    <m/>
    <m/>
    <m/>
    <m/>
    <m/>
    <m/>
    <n v="170"/>
    <n v="50"/>
    <n v="220"/>
    <n v="-2.4"/>
    <m/>
    <m/>
    <s v="Sim"/>
    <m/>
  </r>
  <r>
    <n v="140"/>
    <s v="PVP"/>
    <s v="Avenida Jardim Atlantico, 553 [E]"/>
    <n v="-30.06193056"/>
    <n v="-50.164006309999998"/>
    <x v="3"/>
    <s v="-"/>
    <x v="3"/>
    <s v="LED"/>
    <n v="50"/>
    <n v="0"/>
    <n v="0"/>
    <n v="100"/>
    <n v="2"/>
    <n v="3.5"/>
    <n v="7"/>
    <m/>
    <m/>
    <n v="0"/>
    <n v="3"/>
    <n v="0"/>
    <n v="0"/>
    <n v="0"/>
    <n v="3.5"/>
    <n v="3"/>
    <s v="Canteiro central"/>
    <s v="Braço"/>
    <n v="36.5"/>
    <n v="7.5"/>
    <n v="1"/>
    <n v="5.5"/>
    <n v="1.3"/>
    <n v="-4.2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1.4499999999999957E-2"/>
    <n v="1.214285714285714"/>
    <s v="-"/>
    <n v="20.29"/>
    <n v="0.62"/>
    <m/>
    <m/>
    <m/>
    <m/>
    <s v="ATENDE"/>
    <s v="ATENDE"/>
    <s v="ATENDE"/>
    <s v="ATENDE"/>
    <s v="C2"/>
    <s v="P4"/>
    <n v="0.10666666666666669"/>
    <n v="8.3000000000000007"/>
    <n v="6.23"/>
    <n v="7.5"/>
    <n v="1.5"/>
    <s v="ATENDE"/>
    <s v="ATENDE"/>
    <s v="ATENDE"/>
    <s v="P4"/>
    <n v="3.6213333333333333"/>
    <n v="34.659999999999997"/>
    <n v="27.67"/>
    <n v="7.5"/>
    <n v="1.5"/>
    <s v="ATENDE"/>
    <s v="ATENDE"/>
    <s v="ATENDE"/>
    <x v="1"/>
    <s v="SX-INLPP070HF"/>
    <s v="SXINLPP070K40L12CZF7PHF"/>
    <m/>
    <n v="0"/>
    <n v="1"/>
    <n v="70"/>
    <n v="0"/>
    <n v="11970"/>
    <n v="0"/>
    <n v="0"/>
    <n v="10"/>
    <s v="Curto II"/>
    <s v="Longo I"/>
    <n v="2.8"/>
    <n v="8"/>
    <s v="APES-2"/>
    <n v="1"/>
    <m/>
    <s v="Redução do distanciamento entre postes 36.5 para 18.25"/>
    <m/>
    <m/>
    <n v="70"/>
    <n v="50"/>
    <n v="120"/>
    <n v="-0.39999999999999991"/>
    <m/>
    <m/>
    <s v="Sim"/>
    <m/>
  </r>
  <r>
    <n v="140"/>
    <s v="PVP"/>
    <s v="Avenida Jardim Atlantico, 553 [E]"/>
    <n v="-30.06193056"/>
    <n v="-50.164006309999998"/>
    <x v="3"/>
    <s v="-"/>
    <x v="3"/>
    <s v="LED"/>
    <n v="50"/>
    <n v="0"/>
    <n v="0"/>
    <n v="100"/>
    <n v="2"/>
    <n v="3.5"/>
    <n v="7"/>
    <m/>
    <m/>
    <n v="0"/>
    <n v="3"/>
    <n v="0"/>
    <n v="0"/>
    <n v="0"/>
    <n v="3.5"/>
    <n v="3"/>
    <s v="Canteiro central"/>
    <s v="Braço"/>
    <n v="36.5"/>
    <n v="7.5"/>
    <n v="1"/>
    <n v="5.5"/>
    <n v="1.3"/>
    <n v="-4.2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4265000000000001"/>
    <n v="0.5714285714285714"/>
    <s v="-"/>
    <n v="28.53"/>
    <n v="0.44"/>
    <m/>
    <m/>
    <m/>
    <m/>
    <s v="ATENDE"/>
    <s v="ATENDE"/>
    <s v="ATENDE"/>
    <s v="ATENDE"/>
    <s v="C2"/>
    <s v="P4"/>
    <n v="0.15333333333333332"/>
    <n v="8.65"/>
    <n v="6.06"/>
    <n v="7.5"/>
    <n v="1.5"/>
    <s v="ATENDE"/>
    <s v="ATENDE"/>
    <s v="ATENDE"/>
    <s v="P4"/>
    <n v="6.1013333333333328"/>
    <n v="53.26"/>
    <n v="17.97"/>
    <n v="7.5"/>
    <n v="1.5"/>
    <s v="ATENDE"/>
    <s v="ATENDE"/>
    <s v="ATENDE"/>
    <x v="2"/>
    <s v="TAUMAGPTLRRTMNDL183W_95IBB"/>
    <s v="TAUMAGPTLRRTMNDL183W_95IBB_x000a_RS1-10C1MUN6.5"/>
    <m/>
    <n v="0"/>
    <n v="1"/>
    <n v="183"/>
    <n v="0"/>
    <n v="30866"/>
    <n v="0"/>
    <n v="0"/>
    <n v="10"/>
    <s v="Curto II"/>
    <m/>
    <s v=""/>
    <s v=""/>
    <m/>
    <m/>
    <m/>
    <m/>
    <m/>
    <m/>
    <n v="183"/>
    <n v="50"/>
    <n v="233"/>
    <n v="-2.66"/>
    <m/>
    <m/>
    <s v="Sim"/>
    <m/>
  </r>
  <r>
    <n v="141"/>
    <s v="PVP"/>
    <s v="Rua F das Camelias, 447 [E]"/>
    <n v="-30.06161883"/>
    <n v="-50.162760810000002"/>
    <x v="2"/>
    <s v="-"/>
    <x v="1"/>
    <s v="Vapor de sódio"/>
    <n v="100"/>
    <n v="17"/>
    <n v="0"/>
    <n v="400"/>
    <n v="2"/>
    <n v="2.5"/>
    <n v="7"/>
    <m/>
    <m/>
    <n v="0"/>
    <n v="2.5"/>
    <n v="0"/>
    <n v="0"/>
    <n v="0"/>
    <n v="0"/>
    <n v="0"/>
    <s v="Unilateral"/>
    <s v="Braço"/>
    <n v="29"/>
    <n v="7.8"/>
    <n v="2"/>
    <n v="0.5"/>
    <n v="1.3"/>
    <n v="0.8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16900000000000004"/>
    <n v="2.0555555555555558"/>
    <s v="-"/>
    <n v="11.69"/>
    <n v="0.55000000000000004"/>
    <m/>
    <m/>
    <m/>
    <m/>
    <s v="ATENDE"/>
    <s v="ATENDE"/>
    <s v="ATENDE"/>
    <s v="ATENDE"/>
    <s v="C4"/>
    <s v="P6"/>
    <n v="1.5566666666666666"/>
    <n v="7.67"/>
    <n v="4.8"/>
    <n v="3"/>
    <n v="0.6"/>
    <s v="ATENDE"/>
    <s v="ATENDE"/>
    <s v="ATENDE"/>
    <s v="P6"/>
    <n v="2.3766666666666669"/>
    <n v="10.130000000000001"/>
    <n v="5.28"/>
    <n v="3"/>
    <n v="0.6"/>
    <s v="ATENDE"/>
    <s v="ATENDE"/>
    <s v="ATENDE"/>
    <x v="0"/>
    <s v=" SL VT 9.1 44W"/>
    <s v="LUM LED SL VT 9.1 44W"/>
    <m/>
    <e v="#N/A"/>
    <n v="2"/>
    <n v="44"/>
    <n v="0"/>
    <n v="7657.99"/>
    <n v="0"/>
    <n v="0"/>
    <m/>
    <s v="Curto II"/>
    <m/>
    <m/>
    <m/>
    <m/>
    <m/>
    <m/>
    <m/>
    <m/>
    <m/>
    <n v="44"/>
    <n v="100"/>
    <n v="288"/>
    <n v="0.56000000000000005"/>
    <m/>
    <m/>
    <s v="Sim"/>
    <m/>
  </r>
  <r>
    <n v="141"/>
    <s v="PVP"/>
    <s v="Rua F das Camelias, 447 [E]"/>
    <n v="-30.06161883"/>
    <n v="-50.162760810000002"/>
    <x v="2"/>
    <s v="-"/>
    <x v="1"/>
    <s v="Vapor de sódio"/>
    <n v="100"/>
    <n v="17"/>
    <n v="0"/>
    <n v="400"/>
    <n v="2"/>
    <n v="2.5"/>
    <n v="7"/>
    <m/>
    <m/>
    <n v="0"/>
    <n v="2.5"/>
    <n v="0"/>
    <n v="0"/>
    <n v="0"/>
    <n v="0"/>
    <n v="0"/>
    <s v="Unilateral"/>
    <s v="Braço"/>
    <n v="29"/>
    <n v="7.8"/>
    <n v="2"/>
    <n v="0.5"/>
    <n v="1.3"/>
    <n v="0.8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31400000000000006"/>
    <n v="2.4444444444444446"/>
    <s v="-"/>
    <n v="13.14"/>
    <n v="0.62"/>
    <m/>
    <m/>
    <m/>
    <m/>
    <s v="ATENDE"/>
    <s v="ATENDE"/>
    <s v="ATENDE"/>
    <s v="ATENDE"/>
    <s v="C4"/>
    <s v="P6"/>
    <n v="1.0966666666666667"/>
    <n v="6.29"/>
    <n v="4.6100000000000003"/>
    <n v="3"/>
    <n v="0.6"/>
    <s v="ATENDE"/>
    <s v="ATENDE"/>
    <s v="ATENDE"/>
    <s v="P6"/>
    <n v="4.7433333333333332"/>
    <n v="17.23"/>
    <n v="12.84"/>
    <n v="3"/>
    <n v="0.6"/>
    <s v="ATENDE"/>
    <s v="ATENDE"/>
    <s v="ATENDE"/>
    <x v="1"/>
    <s v="SX-INEVO030HF"/>
    <s v="SXINEVO030K40L12CZF7PHF"/>
    <m/>
    <e v="#N/A"/>
    <n v="2"/>
    <n v="31"/>
    <n v="0"/>
    <n v="5270"/>
    <n v="0"/>
    <n v="0"/>
    <m/>
    <s v="Curto II"/>
    <m/>
    <m/>
    <m/>
    <m/>
    <m/>
    <m/>
    <m/>
    <m/>
    <m/>
    <n v="31"/>
    <n v="100"/>
    <n v="262"/>
    <n v="0.69"/>
    <m/>
    <m/>
    <s v="Sim"/>
    <m/>
  </r>
  <r>
    <n v="141"/>
    <s v="PVP"/>
    <s v="Rua F das Camelias, 447 [E]"/>
    <n v="-30.06161883"/>
    <n v="-50.162760810000002"/>
    <x v="2"/>
    <s v="-"/>
    <x v="1"/>
    <s v="Vapor de sódio"/>
    <n v="100"/>
    <n v="17"/>
    <n v="0"/>
    <n v="400"/>
    <n v="2"/>
    <n v="2.5"/>
    <n v="7"/>
    <m/>
    <m/>
    <n v="0"/>
    <n v="2.5"/>
    <n v="0"/>
    <n v="0"/>
    <n v="0"/>
    <n v="0"/>
    <n v="0"/>
    <s v="Unilateral"/>
    <s v="Braço"/>
    <n v="29"/>
    <n v="7.8"/>
    <n v="2"/>
    <n v="0.5"/>
    <n v="1.3"/>
    <n v="0.8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35199999999999987"/>
    <n v="2.3333333333333335"/>
    <s v="-"/>
    <n v="13.52"/>
    <n v="0.6"/>
    <m/>
    <m/>
    <m/>
    <m/>
    <s v="ATENDE"/>
    <s v="ATENDE"/>
    <s v="ATENDE"/>
    <s v="ATENDE"/>
    <s v="C4"/>
    <s v="P6"/>
    <n v="1.0899999999999999"/>
    <n v="6.27"/>
    <n v="4.83"/>
    <n v="3"/>
    <n v="0.6"/>
    <s v="ATENDE"/>
    <s v="ATENDE"/>
    <s v="ATENDE"/>
    <s v="P6"/>
    <n v="4.7733333333333334"/>
    <n v="17.32"/>
    <n v="12.59"/>
    <n v="3"/>
    <n v="0.6"/>
    <s v="ATENDE"/>
    <s v="ATENDE"/>
    <s v="ATENDE"/>
    <x v="2"/>
    <s v="SIGSAGPTLRRSSNDL_30W_38IBBRS_x000a_"/>
    <s v="SIGSAGPTLRRSSNDL_30W_38IBBRS_x000a_1-10C1MUN6.5"/>
    <m/>
    <e v="#N/A"/>
    <n v="2"/>
    <n v="30"/>
    <e v="#N/A"/>
    <n v="5266"/>
    <n v="0"/>
    <n v="0"/>
    <m/>
    <s v="Curto II"/>
    <m/>
    <m/>
    <m/>
    <m/>
    <m/>
    <m/>
    <m/>
    <m/>
    <m/>
    <n v="30"/>
    <n v="100"/>
    <n v="260"/>
    <n v="0.7"/>
    <m/>
    <m/>
    <s v="Sim"/>
    <m/>
  </r>
  <r>
    <n v="142"/>
    <s v="PVP"/>
    <s v="Rua A-Seis dos Jasmins, 314 [E]"/>
    <n v="-30.063974089999999"/>
    <n v="-50.161727929999998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20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8"/>
    <n v="2.7777777777777781"/>
    <s v="-"/>
    <n v="11.1"/>
    <n v="0.68"/>
    <m/>
    <m/>
    <m/>
    <m/>
    <s v="ATENDE"/>
    <s v="ATENDE"/>
    <s v="ATENDE"/>
    <s v="ATENDE"/>
    <s v="C5"/>
    <s v="P6"/>
    <n v="1.37"/>
    <n v="7.11"/>
    <n v="5.25"/>
    <n v="3"/>
    <n v="0.6"/>
    <s v="ATENDE"/>
    <s v="ATENDE"/>
    <s v="ATENDE"/>
    <s v="P6"/>
    <n v="2.0533333333333332"/>
    <n v="9.16"/>
    <n v="6.4"/>
    <n v="3"/>
    <n v="0.6"/>
    <s v="ATENDE"/>
    <s v="ATENDE"/>
    <s v="ATENDE"/>
    <x v="0"/>
    <s v=" SL VT 9.1 28W"/>
    <s v="LUM LED SL VT 9.1 28W"/>
    <m/>
    <n v="0"/>
    <n v="1"/>
    <n v="28"/>
    <e v="#N/A"/>
    <n v="4927.3500000000004"/>
    <n v="0"/>
    <n v="0"/>
    <m/>
    <s v="Curto II"/>
    <m/>
    <s v=""/>
    <s v=""/>
    <m/>
    <m/>
    <m/>
    <m/>
    <m/>
    <m/>
    <n v="28"/>
    <n v="50"/>
    <n v="78"/>
    <n v="0.43999999999999995"/>
    <m/>
    <m/>
    <s v="Sim"/>
    <m/>
  </r>
  <r>
    <n v="142"/>
    <s v="PVP"/>
    <s v="Rua A-Seis dos Jasmins, 314 [E]"/>
    <n v="-30.063974089999999"/>
    <n v="-50.161727929999998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20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866666666666658"/>
    <n v="3.4444444444444446"/>
    <s v="-"/>
    <n v="9.2899999999999991"/>
    <n v="0.8"/>
    <m/>
    <m/>
    <m/>
    <m/>
    <s v="ATENDE"/>
    <s v="ATENDE"/>
    <s v="ATENDE"/>
    <s v="ATENDE"/>
    <s v="C5"/>
    <s v="P6"/>
    <n v="0.84666666666666668"/>
    <n v="5.54"/>
    <n v="3.81"/>
    <n v="3"/>
    <n v="0.6"/>
    <s v="ATENDE"/>
    <s v="ATENDE"/>
    <s v="ATENDE"/>
    <s v="P6"/>
    <n v="1.48"/>
    <n v="7.44"/>
    <n v="5.5"/>
    <n v="3"/>
    <n v="0.6"/>
    <s v="ATENDE"/>
    <s v="ATENDE"/>
    <s v="ATENDE"/>
    <x v="1"/>
    <s v="SX-INEVO020HF"/>
    <s v="SXINEVO020K40L12CZF7PHF"/>
    <m/>
    <e v="#N/A"/>
    <n v="1"/>
    <n v="22.5"/>
    <e v="#N/A"/>
    <n v="3825"/>
    <n v="0"/>
    <n v="0"/>
    <m/>
    <s v="Curto II"/>
    <m/>
    <s v=""/>
    <s v=""/>
    <m/>
    <m/>
    <m/>
    <m/>
    <m/>
    <m/>
    <n v="22.5"/>
    <n v="50"/>
    <n v="72.5"/>
    <n v="0.55000000000000004"/>
    <m/>
    <m/>
    <s v="Sim"/>
    <m/>
  </r>
  <r>
    <n v="142"/>
    <s v="PVP"/>
    <s v="Rua A-Seis dos Jasmins, 314 [E]"/>
    <n v="-30.063974089999999"/>
    <n v="-50.161727929999998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20.7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82666666666666666"/>
    <n v="3.0555555555555554"/>
    <s v="-"/>
    <n v="13.7"/>
    <n v="0.73"/>
    <m/>
    <m/>
    <m/>
    <m/>
    <s v="ATENDE"/>
    <s v="ATENDE"/>
    <s v="ATENDE"/>
    <s v="ATENDE"/>
    <s v="C5"/>
    <s v="P6"/>
    <n v="1.3833333333333333"/>
    <n v="7.15"/>
    <n v="5.31"/>
    <n v="3"/>
    <n v="0.6"/>
    <s v="ATENDE"/>
    <s v="ATENDE"/>
    <s v="ATENDE"/>
    <s v="P6"/>
    <n v="2.5666666666666664"/>
    <n v="10.7"/>
    <n v="7.9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Sim"/>
    <m/>
  </r>
  <r>
    <n v="143"/>
    <s v="PVP"/>
    <s v="Rua B das Begonias, 307 [E]"/>
    <n v="-30.065071530000001"/>
    <n v="-50.162077719999999"/>
    <x v="1"/>
    <s v="-"/>
    <x v="1"/>
    <s v="Vapor de sódio"/>
    <n v="100"/>
    <n v="17"/>
    <n v="0"/>
    <n v="200"/>
    <n v="2"/>
    <n v="3"/>
    <n v="7"/>
    <m/>
    <m/>
    <n v="0"/>
    <n v="4.5"/>
    <n v="0"/>
    <n v="0"/>
    <n v="0"/>
    <n v="0"/>
    <n v="0"/>
    <s v="Unilateral"/>
    <s v="Braço"/>
    <n v="33.1"/>
    <n v="6.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2666666666666613E-2"/>
    <n v="1"/>
    <s v="-"/>
    <n v="7.67"/>
    <n v="0.36"/>
    <m/>
    <m/>
    <m/>
    <m/>
    <s v="ATENDE"/>
    <s v="ATENDE"/>
    <s v="ATENDE"/>
    <s v="ATENDE"/>
    <s v="C5"/>
    <s v="P6"/>
    <n v="9.9999999999999867E-2"/>
    <n v="3.3"/>
    <n v="1.35"/>
    <n v="3"/>
    <n v="0.6"/>
    <s v="ATENDE"/>
    <s v="ATENDE"/>
    <s v="ATENDE"/>
    <s v="P6"/>
    <n v="0.94333333333333336"/>
    <n v="5.83"/>
    <n v="1.96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43"/>
    <s v="PVP"/>
    <s v="Rua B das Begonias, 307 [E]"/>
    <n v="-30.065071530000001"/>
    <n v="-50.162077719999999"/>
    <x v="1"/>
    <s v="-"/>
    <x v="1"/>
    <s v="Vapor de sódio"/>
    <n v="100"/>
    <n v="17"/>
    <n v="0"/>
    <n v="200"/>
    <n v="2"/>
    <n v="3"/>
    <n v="7"/>
    <m/>
    <m/>
    <n v="0"/>
    <n v="4.5"/>
    <n v="0"/>
    <n v="0"/>
    <n v="0"/>
    <n v="0"/>
    <n v="0"/>
    <s v="Unilateral"/>
    <s v="Braço"/>
    <n v="33.1"/>
    <n v="6.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733333333333317"/>
    <n v="0.7777777777777779"/>
    <s v="-"/>
    <n v="9.2799999999999994"/>
    <n v="0.32"/>
    <m/>
    <m/>
    <m/>
    <m/>
    <s v="ATENDE"/>
    <s v="ATENDE"/>
    <s v="ATENDE"/>
    <s v="ATENDE"/>
    <s v="C5"/>
    <s v="P6"/>
    <n v="0.29666666666666663"/>
    <n v="3.89"/>
    <n v="1.84"/>
    <n v="3"/>
    <n v="0.6"/>
    <s v="ATENDE"/>
    <s v="ATENDE"/>
    <s v="ATENDE"/>
    <s v="P6"/>
    <n v="0.90000000000000013"/>
    <n v="5.7"/>
    <n v="0.6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43"/>
    <s v="PVP"/>
    <s v="Rua B das Begonias, 307 [E]"/>
    <n v="-30.065071530000001"/>
    <n v="-50.162077719999999"/>
    <x v="1"/>
    <s v="-"/>
    <x v="1"/>
    <s v="Vapor de sódio"/>
    <n v="100"/>
    <n v="17"/>
    <n v="0"/>
    <n v="200"/>
    <n v="2"/>
    <n v="3"/>
    <n v="7"/>
    <m/>
    <m/>
    <n v="0"/>
    <n v="4.5"/>
    <n v="0"/>
    <n v="0"/>
    <n v="0"/>
    <n v="0"/>
    <n v="0"/>
    <s v="Unilateral"/>
    <s v="Braço"/>
    <n v="33.1"/>
    <n v="6.6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466666666666677"/>
    <n v="1.2777777777777777"/>
    <s v="-"/>
    <n v="8.9600000000000009"/>
    <n v="0.41"/>
    <m/>
    <m/>
    <m/>
    <m/>
    <s v="ATENDE"/>
    <s v="ATENDE"/>
    <s v="ATENDE"/>
    <s v="ATENDE"/>
    <s v="C5"/>
    <s v="P6"/>
    <n v="0.38666666666666671"/>
    <n v="4.16"/>
    <n v="2.72"/>
    <n v="3"/>
    <n v="0.6"/>
    <s v="ATENDE"/>
    <s v="ATENDE"/>
    <s v="ATENDE"/>
    <s v="P6"/>
    <n v="0.80333333333333345"/>
    <n v="5.41"/>
    <n v="1.36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44"/>
    <s v="PVP"/>
    <s v="Rua T-Oito, 266 [E]"/>
    <n v="-30.063777380000001"/>
    <n v="-50.16233673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34.299999999999997"/>
    <n v="7.3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400000000000016"/>
    <n v="1.2222222222222223"/>
    <s v="-"/>
    <n v="8.8800000000000008"/>
    <n v="0.4"/>
    <m/>
    <m/>
    <m/>
    <m/>
    <s v="ATENDE"/>
    <s v="ATENDE"/>
    <s v="ATENDE"/>
    <s v="ATENDE"/>
    <s v="C5"/>
    <s v="P6"/>
    <n v="0.82333333333333325"/>
    <n v="5.47"/>
    <n v="2.54"/>
    <n v="3"/>
    <n v="0.6"/>
    <s v="ATENDE"/>
    <s v="ATENDE"/>
    <s v="ATENDE"/>
    <s v="P6"/>
    <n v="1.2333333333333334"/>
    <n v="6.7"/>
    <n v="2.5299999999999998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Médio I"/>
    <m/>
    <s v=""/>
    <s v=""/>
    <m/>
    <m/>
    <m/>
    <m/>
    <m/>
    <m/>
    <n v="35"/>
    <n v="100"/>
    <n v="135"/>
    <n v="0.65"/>
    <m/>
    <m/>
    <s v="Sim"/>
    <m/>
  </r>
  <r>
    <n v="144"/>
    <s v="PVP"/>
    <s v="Rua T-Oito, 266 [E]"/>
    <n v="-30.063777380000001"/>
    <n v="-50.16233673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34.299999999999997"/>
    <n v="7.3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399999999999991"/>
    <n v="1.3888888888888888"/>
    <s v="-"/>
    <n v="8.58"/>
    <n v="0.43"/>
    <m/>
    <m/>
    <m/>
    <m/>
    <s v="ATENDE"/>
    <s v="ATENDE"/>
    <s v="ATENDE"/>
    <s v="ATENDE"/>
    <s v="C5"/>
    <s v="P6"/>
    <n v="0.55333333333333345"/>
    <n v="4.66"/>
    <n v="2.5099999999999998"/>
    <n v="3"/>
    <n v="0.6"/>
    <s v="ATENDE"/>
    <s v="ATENDE"/>
    <s v="ATENDE"/>
    <s v="P6"/>
    <n v="1.0233333333333334"/>
    <n v="6.07"/>
    <n v="1.72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Médio I"/>
    <m/>
    <s v=""/>
    <s v=""/>
    <m/>
    <m/>
    <m/>
    <m/>
    <m/>
    <m/>
    <n v="31"/>
    <n v="100"/>
    <n v="131"/>
    <n v="0.69"/>
    <m/>
    <m/>
    <s v="Sim"/>
    <m/>
  </r>
  <r>
    <n v="144"/>
    <s v="PVP"/>
    <s v="Rua T-Oito, 266 [E]"/>
    <n v="-30.063777380000001"/>
    <n v="-50.16233673"/>
    <x v="1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34.299999999999997"/>
    <n v="7.3"/>
    <n v="1"/>
    <n v="0.3"/>
    <n v="1.6"/>
    <n v="1.3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466666666666671"/>
    <n v="1.8333333333333335"/>
    <s v="-"/>
    <n v="8.51"/>
    <n v="0.51"/>
    <m/>
    <m/>
    <m/>
    <m/>
    <s v="ATENDE"/>
    <s v="ATENDE"/>
    <s v="ATENDE"/>
    <s v="ATENDE"/>
    <s v="C5"/>
    <s v="P6"/>
    <n v="0.42666666666666675"/>
    <n v="4.28"/>
    <n v="2.86"/>
    <n v="3"/>
    <n v="0.6"/>
    <s v="ATENDE"/>
    <s v="ATENDE"/>
    <s v="ATENDE"/>
    <s v="P6"/>
    <n v="1.0466666666666664"/>
    <n v="6.14"/>
    <n v="2.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"/>
    <m/>
    <s v=""/>
    <s v=""/>
    <m/>
    <m/>
    <m/>
    <m/>
    <m/>
    <m/>
    <n v="30"/>
    <n v="100"/>
    <n v="130"/>
    <n v="0.7"/>
    <m/>
    <m/>
    <s v="Sim"/>
    <m/>
  </r>
  <r>
    <n v="145"/>
    <s v="PVP"/>
    <s v="Rua Rondonia, 1995"/>
    <n v="-30.041405050000002"/>
    <n v="-50.163428330000002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0"/>
    <n v="7.5"/>
    <n v="1"/>
    <n v="0.5"/>
    <n v="2"/>
    <n v="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-5.0000000000001155E-3"/>
    <n v="1.8888888888888893"/>
    <s v="-"/>
    <n v="9.9499999999999993"/>
    <n v="0.52"/>
    <m/>
    <m/>
    <m/>
    <m/>
    <s v="ATENDE"/>
    <s v="ATENDIMENTO LIMIAR"/>
    <s v="ATENDE"/>
    <s v="ATENDE"/>
    <s v="C4"/>
    <s v="P6"/>
    <n v="1.2966666666666664"/>
    <n v="6.89"/>
    <n v="4.0599999999999996"/>
    <n v="3"/>
    <n v="0.6"/>
    <s v="ATENDE"/>
    <s v="ATENDE"/>
    <s v="ATENDE"/>
    <s v="P6"/>
    <n v="1.4233333333333333"/>
    <n v="7.27"/>
    <n v="3.73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Médio I"/>
    <m/>
    <m/>
    <m/>
    <m/>
    <m/>
    <m/>
    <m/>
    <m/>
    <m/>
    <n v="35"/>
    <n v="150"/>
    <n v="185"/>
    <n v="0.76666666666666661"/>
    <m/>
    <m/>
    <s v="Sim"/>
    <m/>
  </r>
  <r>
    <n v="145"/>
    <s v="PVP"/>
    <s v="Rua Rondonia, 1995"/>
    <n v="-30.041405050000002"/>
    <n v="-50.163428330000002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0"/>
    <n v="7.5"/>
    <n v="1"/>
    <n v="0.5"/>
    <n v="2"/>
    <n v="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2.4444444444444446"/>
    <s v="-"/>
    <n v="11.31"/>
    <n v="0.62"/>
    <m/>
    <m/>
    <m/>
    <m/>
    <s v="ATENDE"/>
    <s v="ATENDE"/>
    <s v="ATENDE"/>
    <s v="ATENDE"/>
    <s v="C4"/>
    <s v="P6"/>
    <n v="1.4966666666666666"/>
    <n v="7.49"/>
    <n v="5.67"/>
    <n v="3"/>
    <n v="0.6"/>
    <s v="ATENDE"/>
    <s v="ATENDE"/>
    <s v="ATENDE"/>
    <s v="P6"/>
    <n v="1.7866666666666666"/>
    <n v="8.36"/>
    <n v="4.6399999999999997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Médio I"/>
    <m/>
    <m/>
    <m/>
    <m/>
    <m/>
    <m/>
    <m/>
    <m/>
    <m/>
    <n v="39"/>
    <n v="150"/>
    <n v="189"/>
    <n v="0.74"/>
    <m/>
    <m/>
    <s v="Sim"/>
    <m/>
  </r>
  <r>
    <n v="145"/>
    <s v="PVP"/>
    <s v="Rua Rondonia, 1995"/>
    <n v="-30.041405050000002"/>
    <n v="-50.163428330000002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0"/>
    <n v="7.5"/>
    <n v="1"/>
    <n v="0.5"/>
    <n v="2"/>
    <n v="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299999999999993"/>
    <n v="2.5555555555555558"/>
    <s v="-"/>
    <n v="12.93"/>
    <n v="0.64"/>
    <m/>
    <m/>
    <m/>
    <m/>
    <s v="ATENDE"/>
    <s v="ATENDE"/>
    <s v="ATENDE"/>
    <s v="ATENDE"/>
    <s v="C4"/>
    <s v="P6"/>
    <n v="1.2399999999999998"/>
    <n v="6.72"/>
    <n v="4.5599999999999996"/>
    <n v="3"/>
    <n v="0.6"/>
    <s v="ATENDE"/>
    <s v="ATENDE"/>
    <s v="ATENDE"/>
    <s v="P6"/>
    <n v="1.92"/>
    <n v="8.76"/>
    <n v="5.3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Médio I"/>
    <m/>
    <s v=""/>
    <s v=""/>
    <m/>
    <m/>
    <m/>
    <m/>
    <m/>
    <m/>
    <n v="40"/>
    <n v="150"/>
    <n v="190"/>
    <n v="0.73333333333333339"/>
    <m/>
    <m/>
    <s v="Sim"/>
    <m/>
  </r>
  <r>
    <n v="146"/>
    <s v="PVP"/>
    <s v="Rua Brasilia, 2239"/>
    <n v="-30.046407030000001"/>
    <n v="-50.154886769999997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5.3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2.5555555555555558"/>
    <s v="-"/>
    <n v="11.67"/>
    <n v="0.64"/>
    <m/>
    <m/>
    <m/>
    <m/>
    <s v="ATENDE"/>
    <s v="ATENDE"/>
    <s v="ATENDE"/>
    <s v="ATENDE"/>
    <s v="C4"/>
    <s v="P6"/>
    <n v="1.4300000000000002"/>
    <n v="7.29"/>
    <n v="4.8899999999999997"/>
    <n v="3"/>
    <n v="0.6"/>
    <s v="ATENDE"/>
    <s v="ATENDE"/>
    <s v="ATENDE"/>
    <s v="P6"/>
    <n v="2.2066666666666666"/>
    <n v="9.6199999999999992"/>
    <n v="5.97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46"/>
    <s v="PVP"/>
    <s v="Rua Brasilia, 2239"/>
    <n v="-30.046407030000001"/>
    <n v="-50.154886769999997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5.3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799999999999989"/>
    <n v="3.2222222222222223"/>
    <s v="-"/>
    <n v="11.28"/>
    <n v="0.76"/>
    <m/>
    <m/>
    <m/>
    <m/>
    <s v="ATENDE"/>
    <s v="ATENDE"/>
    <s v="ATENDE"/>
    <s v="ATENDE"/>
    <s v="C4"/>
    <s v="P6"/>
    <n v="1.0766666666666667"/>
    <n v="6.23"/>
    <n v="3.98"/>
    <n v="3"/>
    <n v="0.6"/>
    <s v="ATENDE"/>
    <s v="ATENDE"/>
    <s v="ATENDE"/>
    <s v="P6"/>
    <n v="1.9666666666666668"/>
    <n v="8.9"/>
    <n v="6.12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146"/>
    <s v="PVP"/>
    <s v="Rua Brasilia, 2239"/>
    <n v="-30.046407030000001"/>
    <n v="-50.154886769999997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5.3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0000000000001"/>
    <n v="2.9444444444444442"/>
    <s v="-"/>
    <n v="11.16"/>
    <n v="0.71"/>
    <m/>
    <m/>
    <m/>
    <m/>
    <s v="ATENDE"/>
    <s v="ATENDE"/>
    <s v="ATENDE"/>
    <s v="ATENDE"/>
    <s v="C4"/>
    <s v="P6"/>
    <n v="0.90000000000000013"/>
    <n v="5.7"/>
    <n v="3.87"/>
    <n v="3"/>
    <n v="0.6"/>
    <s v="ATENDE"/>
    <s v="ATENDE"/>
    <s v="ATENDE"/>
    <s v="P6"/>
    <n v="1.9766666666666666"/>
    <n v="8.93"/>
    <n v="6.1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147"/>
    <s v="VP"/>
    <s v="Rua Espirito Santo, 2156"/>
    <n v="-30.04569167"/>
    <n v="-50.155676730000003"/>
    <x v="2"/>
    <s v="-"/>
    <x v="1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22.8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2000000000000046E-2"/>
    <n v="2.2222222222222223"/>
    <s v="-"/>
    <n v="10.52"/>
    <n v="0.57999999999999996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97333333333333338"/>
    <n v="5.92"/>
    <n v="3.95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47"/>
    <s v="VP"/>
    <s v="Rua Espirito Santo, 2156"/>
    <n v="-30.04569167"/>
    <n v="-50.155676730000003"/>
    <x v="2"/>
    <s v="-"/>
    <x v="1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22.8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699999999999994"/>
    <n v="3.0555555555555554"/>
    <s v="-"/>
    <n v="13.07"/>
    <n v="0.73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97666666666666657"/>
    <n v="5.93"/>
    <n v="3.34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47"/>
    <s v="VP"/>
    <s v="Rua Espirito Santo, 2156"/>
    <n v="-30.04569167"/>
    <n v="-50.155676730000003"/>
    <x v="2"/>
    <s v="-"/>
    <x v="1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22.8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600000000000003"/>
    <n v="2.666666666666667"/>
    <s v="-"/>
    <n v="12.86"/>
    <n v="0.66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86333333333333329"/>
    <n v="5.59"/>
    <n v="3.5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48"/>
    <s v="VP"/>
    <s v="Avenida Manaus, 486"/>
    <n v="-30.045915019999999"/>
    <n v="-50.155268810000003"/>
    <x v="3"/>
    <s v="-"/>
    <x v="1"/>
    <s v="Vapor de sódio"/>
    <n v="100"/>
    <n v="17"/>
    <n v="0"/>
    <n v="400"/>
    <n v="2"/>
    <n v="0"/>
    <n v="6.5"/>
    <m/>
    <m/>
    <n v="0"/>
    <n v="2.5"/>
    <n v="2"/>
    <n v="0"/>
    <n v="0"/>
    <n v="0"/>
    <n v="0"/>
    <s v="Canteiro central"/>
    <s v="Braço"/>
    <n v="32.5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4.8499999999999988E-2"/>
    <n v="0.64285714285714279"/>
    <s v="-"/>
    <n v="20.97"/>
    <n v="0.4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8600000000000003"/>
    <n v="14.58"/>
    <n v="7.04"/>
    <n v="3"/>
    <n v="0.6"/>
    <s v="ATENDE"/>
    <s v="ATENDE"/>
    <s v="ATENDE"/>
    <x v="0"/>
    <s v=" SL VT 9.1 85W"/>
    <s v="LUM LED SL VT 9.1 85W"/>
    <m/>
    <e v="#N/A"/>
    <n v="2"/>
    <n v="85"/>
    <n v="0"/>
    <n v="14489"/>
    <n v="0"/>
    <n v="0"/>
    <m/>
    <s v="Curto II"/>
    <m/>
    <s v=""/>
    <s v=""/>
    <m/>
    <m/>
    <m/>
    <m/>
    <m/>
    <m/>
    <n v="85"/>
    <n v="100"/>
    <n v="370"/>
    <n v="0.15000000000000002"/>
    <m/>
    <m/>
    <s v="Sim"/>
    <m/>
  </r>
  <r>
    <n v="148"/>
    <s v="VP"/>
    <s v="Avenida Manaus, 486"/>
    <n v="-30.045915019999999"/>
    <n v="-50.155268810000003"/>
    <x v="3"/>
    <s v="-"/>
    <x v="1"/>
    <s v="Vapor de sódio"/>
    <n v="100"/>
    <n v="17"/>
    <n v="0"/>
    <n v="400"/>
    <n v="2"/>
    <n v="0"/>
    <n v="6.5"/>
    <m/>
    <m/>
    <n v="0"/>
    <n v="2.5"/>
    <n v="2"/>
    <n v="0"/>
    <n v="0"/>
    <n v="0"/>
    <n v="0"/>
    <s v="Canteiro central"/>
    <s v="Braço"/>
    <n v="32.5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8.1499999999999906E-2"/>
    <n v="0.78571428571428559"/>
    <s v="-"/>
    <n v="21.63"/>
    <n v="0.5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9233333333333329"/>
    <n v="14.77"/>
    <n v="8.9"/>
    <n v="3"/>
    <n v="0.6"/>
    <s v="ATENDE"/>
    <s v="ATENDE"/>
    <s v="ATENDE"/>
    <x v="1"/>
    <s v="SX-INLPP080HF"/>
    <s v="SXINLPP080K40L12CZF7PHF"/>
    <m/>
    <n v="0"/>
    <n v="2"/>
    <n v="79"/>
    <n v="0"/>
    <n v="13359"/>
    <n v="0"/>
    <n v="0"/>
    <m/>
    <s v="Curto II"/>
    <m/>
    <s v=""/>
    <s v=""/>
    <m/>
    <m/>
    <m/>
    <m/>
    <m/>
    <m/>
    <n v="79"/>
    <n v="100"/>
    <n v="358"/>
    <n v="0.20999999999999996"/>
    <m/>
    <m/>
    <s v="Sim"/>
    <m/>
  </r>
  <r>
    <n v="148"/>
    <s v="VP"/>
    <s v="Avenida Manaus, 486"/>
    <n v="-30.045915019999999"/>
    <n v="-50.155268810000003"/>
    <x v="3"/>
    <s v="-"/>
    <x v="1"/>
    <s v="Vapor de sódio"/>
    <n v="100"/>
    <n v="17"/>
    <n v="0"/>
    <n v="400"/>
    <n v="2"/>
    <n v="0"/>
    <n v="6.5"/>
    <m/>
    <m/>
    <n v="0"/>
    <n v="2.5"/>
    <n v="2"/>
    <n v="0"/>
    <n v="0"/>
    <n v="0"/>
    <n v="0"/>
    <s v="Canteiro central"/>
    <s v="Braço"/>
    <n v="32.5"/>
    <n v="7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9499999999999869E-2"/>
    <n v="1.0714285714285712"/>
    <s v="-"/>
    <n v="20.79"/>
    <n v="0.57999999999999996"/>
    <m/>
    <m/>
    <m/>
    <m/>
    <s v="ATENDE"/>
    <s v="ATENDE"/>
    <s v="ATENDE"/>
    <s v="ATENDE"/>
    <s v="C2"/>
    <s v="P6"/>
    <e v="#VALUE!"/>
    <s v=" -"/>
    <s v=" -"/>
    <n v="3"/>
    <n v="0.6"/>
    <s v="ATENDE"/>
    <s v="ATENDE"/>
    <s v="ATENDE"/>
    <s v="P6"/>
    <n v="3.2"/>
    <n v="12.6"/>
    <n v="9.52"/>
    <n v="3"/>
    <n v="0.6"/>
    <s v="ATENDE"/>
    <s v="ATENDE"/>
    <s v="ATENDE"/>
    <x v="2"/>
    <s v="SIGMAGPTLRRSMNDL_80W_56IBBR_x000a_"/>
    <s v="SIGMAGPTLRRSMNDL_80W_56IBBR_x000a_S1-10C1MUN6.5"/>
    <m/>
    <n v="0"/>
    <n v="2"/>
    <n v="80"/>
    <n v="0"/>
    <n v="13209"/>
    <n v="0"/>
    <n v="0"/>
    <m/>
    <s v="Curto II"/>
    <m/>
    <s v=""/>
    <s v=""/>
    <m/>
    <m/>
    <m/>
    <m/>
    <m/>
    <m/>
    <n v="80"/>
    <n v="100"/>
    <n v="360"/>
    <n v="0.19999999999999996"/>
    <m/>
    <m/>
    <s v="Sim"/>
    <m/>
  </r>
  <r>
    <n v="149"/>
    <s v="PVP"/>
    <s v="Rua Brasilia, 2239"/>
    <n v="-30.046170879999998"/>
    <n v="-50.154762759999997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2.1111111111111116"/>
    <s v="-"/>
    <n v="10.01"/>
    <n v="0.56000000000000005"/>
    <m/>
    <m/>
    <m/>
    <m/>
    <s v="ATENDE"/>
    <s v="ATENDE"/>
    <s v="ATENDE"/>
    <s v="ATENDE"/>
    <s v="C4"/>
    <s v="P6"/>
    <n v="1.0833333333333335"/>
    <n v="6.25"/>
    <n v="3.75"/>
    <n v="3"/>
    <n v="0.6"/>
    <s v="ATENDE"/>
    <s v="ATENDE"/>
    <s v="ATENDE"/>
    <s v="P6"/>
    <n v="1.7466666666666666"/>
    <n v="8.24"/>
    <n v="4.230000000000000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49"/>
    <s v="PVP"/>
    <s v="Rua Brasilia, 2239"/>
    <n v="-30.046170879999998"/>
    <n v="-50.154762759999997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00000000000001"/>
    <n v="2.666666666666667"/>
    <s v="-"/>
    <n v="11.33"/>
    <n v="0.66"/>
    <m/>
    <m/>
    <m/>
    <m/>
    <s v="ATENDE"/>
    <s v="ATENDE"/>
    <s v="ATENDE"/>
    <s v="ATENDE"/>
    <s v="C4"/>
    <s v="P6"/>
    <n v="1.2200000000000002"/>
    <n v="6.66"/>
    <n v="4.55"/>
    <n v="3"/>
    <n v="0.6"/>
    <s v="ATENDE"/>
    <s v="ATENDE"/>
    <s v="ATENDE"/>
    <s v="P6"/>
    <n v="2.1966666666666668"/>
    <n v="9.59"/>
    <n v="5.4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49"/>
    <s v="PVP"/>
    <s v="Rua Brasilia, 2239"/>
    <n v="-30.046170879999998"/>
    <n v="-50.154762759999997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29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499999999999992"/>
    <n v="2.3888888888888888"/>
    <s v="-"/>
    <n v="12.85"/>
    <n v="0.61"/>
    <m/>
    <m/>
    <m/>
    <m/>
    <s v="ATENDE"/>
    <s v="ATENDE"/>
    <s v="ATENDE"/>
    <s v="ATENDE"/>
    <s v="C4"/>
    <s v="P6"/>
    <n v="0.91666666666666674"/>
    <n v="5.75"/>
    <n v="3.83"/>
    <n v="3"/>
    <n v="0.6"/>
    <s v="ATENDE"/>
    <s v="ATENDE"/>
    <s v="ATENDE"/>
    <s v="P6"/>
    <n v="2.39"/>
    <n v="10.17"/>
    <n v="6.2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150"/>
    <s v="PVP"/>
    <s v="Rua Guanabara, 69"/>
    <n v="-30.04504665"/>
    <n v="-50.150679850000003"/>
    <x v="3"/>
    <s v="-"/>
    <x v="1"/>
    <s v="Vapor de sódio"/>
    <n v="150"/>
    <n v="22"/>
    <n v="0"/>
    <n v="0"/>
    <n v="2"/>
    <n v="2.5"/>
    <n v="10"/>
    <m/>
    <m/>
    <n v="0"/>
    <n v="2.5"/>
    <n v="0"/>
    <n v="0"/>
    <n v="0"/>
    <n v="0"/>
    <n v="0"/>
    <s v="Unilateral"/>
    <s v="Braço"/>
    <n v="35.1"/>
    <n v="7.5"/>
    <n v="0"/>
    <n v="0.5"/>
    <n v="1.5"/>
    <n v="1"/>
    <s v="-"/>
    <s v="-"/>
    <s v="Não"/>
    <n v="0"/>
    <n v="0"/>
    <n v="0"/>
    <n v="0"/>
    <n v="0"/>
    <n v="0"/>
    <s v="-"/>
    <n v="0"/>
    <m/>
    <n v="20"/>
    <n v="0.28000000000000003"/>
    <s v="-"/>
    <n v="0.28000000000000003"/>
    <s v="-"/>
    <n v="14"/>
    <s v="ATENDE"/>
    <n v="7.4000000000000066E-2"/>
    <n v="0.39285714285714279"/>
    <s v="-"/>
    <n v="21.48"/>
    <n v="0.39"/>
    <m/>
    <m/>
    <m/>
    <m/>
    <s v="ATENDE"/>
    <s v="ATENDE"/>
    <s v="ATENDE"/>
    <s v="ATENDE"/>
    <s v="C2"/>
    <s v="P6"/>
    <n v="3.3433333333333328"/>
    <n v="13.03"/>
    <n v="5.05"/>
    <n v="3"/>
    <n v="0.6"/>
    <s v="ATENDE"/>
    <s v="ATENDE"/>
    <s v="ATENDE"/>
    <s v="P6"/>
    <n v="3.3266666666666671"/>
    <n v="12.98"/>
    <n v="8.77"/>
    <n v="3"/>
    <n v="0.6"/>
    <s v="ATENDE"/>
    <s v="ATENDE"/>
    <s v="ATENDE"/>
    <x v="0"/>
    <s v=" SL VT 9.1 100W"/>
    <s v="LUM LED SL VT 9.1 100W"/>
    <m/>
    <e v="#N/A"/>
    <n v="0"/>
    <n v="100"/>
    <n v="0"/>
    <n v="15900"/>
    <n v="0"/>
    <n v="0"/>
    <m/>
    <s v="Curto II"/>
    <s v="Longo II"/>
    <m/>
    <m/>
    <m/>
    <m/>
    <m/>
    <m/>
    <m/>
    <m/>
    <n v="100"/>
    <n v="150"/>
    <n v="0"/>
    <n v="0.33333333333333337"/>
    <m/>
    <m/>
    <s v="Sim"/>
    <m/>
  </r>
  <r>
    <n v="150"/>
    <s v="PVP"/>
    <s v="Rua Guanabara, 69"/>
    <n v="-30.04504665"/>
    <n v="-50.150679850000003"/>
    <x v="3"/>
    <s v="-"/>
    <x v="1"/>
    <s v="Vapor de sódio"/>
    <n v="150"/>
    <n v="22"/>
    <n v="0"/>
    <n v="0"/>
    <n v="2"/>
    <n v="2.5"/>
    <n v="10"/>
    <m/>
    <m/>
    <n v="0"/>
    <n v="2.5"/>
    <n v="0"/>
    <n v="0"/>
    <n v="0"/>
    <n v="0"/>
    <n v="0"/>
    <s v="Unilateral"/>
    <s v="Braço"/>
    <n v="35.1"/>
    <n v="7.5"/>
    <n v="0"/>
    <n v="0.5"/>
    <n v="1.5"/>
    <n v="1"/>
    <s v="-"/>
    <s v="-"/>
    <s v="Não"/>
    <n v="0"/>
    <n v="0"/>
    <n v="0"/>
    <n v="0"/>
    <n v="0"/>
    <n v="0"/>
    <s v="-"/>
    <n v="0"/>
    <m/>
    <n v="20"/>
    <n v="0.28000000000000003"/>
    <s v="-"/>
    <n v="0.28000000000000003"/>
    <s v="-"/>
    <n v="14"/>
    <s v="ATENDE"/>
    <n v="0.11199999999999988"/>
    <n v="0.24999999999999978"/>
    <s v="-"/>
    <n v="22.24"/>
    <n v="0.35"/>
    <m/>
    <m/>
    <m/>
    <m/>
    <s v="ATENDE"/>
    <s v="ATENDE"/>
    <s v="ATENDE"/>
    <s v="ATENDE"/>
    <s v="C2"/>
    <s v="P6"/>
    <n v="1.2066666666666666"/>
    <n v="6.62"/>
    <n v="2.87"/>
    <n v="3"/>
    <n v="0.6"/>
    <s v="ATENDE"/>
    <s v="ATENDE"/>
    <s v="ATENDE"/>
    <s v="P6"/>
    <n v="6.1133333333333333"/>
    <n v="21.34"/>
    <n v="9.4700000000000006"/>
    <n v="3"/>
    <n v="0.6"/>
    <s v="ATENDE"/>
    <s v="ATENDE"/>
    <s v="ATENDE"/>
    <x v="1"/>
    <s v="SX-INLPP090HF"/>
    <s v="SXINLPP090K40L12CZF7PHF"/>
    <m/>
    <e v="#N/A"/>
    <n v="0"/>
    <n v="90"/>
    <e v="#N/A"/>
    <n v="15476"/>
    <n v="0"/>
    <n v="0"/>
    <m/>
    <s v="Curto II"/>
    <m/>
    <m/>
    <m/>
    <m/>
    <m/>
    <m/>
    <m/>
    <m/>
    <m/>
    <n v="90"/>
    <n v="150"/>
    <n v="0"/>
    <n v="0.4"/>
    <m/>
    <m/>
    <s v="Sim"/>
    <m/>
  </r>
  <r>
    <n v="150"/>
    <s v="PVP"/>
    <s v="Rua Guanabara, 69"/>
    <n v="-30.04504665"/>
    <n v="-50.150679850000003"/>
    <x v="3"/>
    <s v="-"/>
    <x v="1"/>
    <s v="Vapor de sódio"/>
    <n v="150"/>
    <n v="22"/>
    <n v="0"/>
    <n v="0"/>
    <n v="2"/>
    <n v="2.5"/>
    <n v="10"/>
    <m/>
    <m/>
    <n v="0"/>
    <n v="2.5"/>
    <n v="0"/>
    <n v="0"/>
    <n v="0"/>
    <n v="0"/>
    <n v="0"/>
    <s v="Unilateral"/>
    <s v="Braço"/>
    <n v="35.1"/>
    <n v="7.5"/>
    <n v="0"/>
    <n v="0.5"/>
    <n v="1.5"/>
    <n v="1"/>
    <s v="-"/>
    <s v="-"/>
    <s v="Não"/>
    <n v="0"/>
    <n v="0"/>
    <n v="0"/>
    <n v="0"/>
    <n v="0"/>
    <n v="0"/>
    <s v="-"/>
    <n v="0"/>
    <m/>
    <n v="20"/>
    <n v="0.28000000000000003"/>
    <s v="-"/>
    <n v="0.28000000000000003"/>
    <s v="-"/>
    <n v="14"/>
    <s v="ATENDE"/>
    <n v="-2.5000000000000577E-3"/>
    <n v="0.14285714285714279"/>
    <s v="-"/>
    <n v="19.95"/>
    <n v="0.32"/>
    <m/>
    <m/>
    <m/>
    <m/>
    <s v="ATENDE"/>
    <s v="ATENDIMENTO LIMIAR"/>
    <s v="ATENDE"/>
    <s v="ATENDE"/>
    <s v="C2"/>
    <s v="P6"/>
    <n v="0.28333333333333344"/>
    <n v="3.85"/>
    <n v="1.39"/>
    <n v="3"/>
    <n v="0.6"/>
    <s v="ATENDE"/>
    <s v="ATENDE"/>
    <s v="ATENDE"/>
    <s v="P6"/>
    <n v="5.1733333333333329"/>
    <n v="18.52"/>
    <n v="8.01"/>
    <n v="3"/>
    <n v="0.6"/>
    <s v="ATENDE"/>
    <s v="ATENDE"/>
    <s v="ATENDE"/>
    <x v="2"/>
    <s v="SIGSAGPTLRRSSNDL100W125IBBRS_x000a_"/>
    <s v="SIGSAGPTLRRSSNDL100W125IBBRS_x000a_1-10C1MUN6.5"/>
    <m/>
    <e v="#N/A"/>
    <n v="0"/>
    <n v="100"/>
    <n v="0"/>
    <n v="15162"/>
    <n v="0"/>
    <n v="0"/>
    <m/>
    <s v="Curto II"/>
    <m/>
    <m/>
    <m/>
    <m/>
    <m/>
    <m/>
    <m/>
    <m/>
    <m/>
    <n v="100"/>
    <n v="150"/>
    <n v="0"/>
    <n v="0.33333333333333337"/>
    <m/>
    <m/>
    <s v="Sim"/>
    <m/>
  </r>
  <r>
    <n v="151"/>
    <s v="PVP"/>
    <s v="Rua Picada Cafe, 2671"/>
    <n v="-30.050441450000001"/>
    <n v="-50.15389025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00000000000003"/>
    <n v="1.2222222222222223"/>
    <s v="-"/>
    <n v="11.59"/>
    <n v="0.4"/>
    <m/>
    <m/>
    <m/>
    <m/>
    <s v="ATENDE"/>
    <s v="ATENDE"/>
    <s v="ATENDE"/>
    <s v="ATENDE"/>
    <s v="C4"/>
    <s v="P6"/>
    <n v="1.48"/>
    <n v="7.44"/>
    <n v="3.59"/>
    <n v="3"/>
    <n v="0.6"/>
    <s v="ATENDE"/>
    <s v="ATENDE"/>
    <s v="ATENDE"/>
    <s v="P6"/>
    <n v="2.23"/>
    <n v="9.69"/>
    <n v="3.64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51"/>
    <s v="PVP"/>
    <s v="Rua Picada Cafe, 2671"/>
    <n v="-30.050441450000001"/>
    <n v="-50.15389025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79"/>
    <n v="1.6666666666666665"/>
    <s v="-"/>
    <n v="13.79"/>
    <n v="0.48"/>
    <m/>
    <m/>
    <m/>
    <m/>
    <s v="ATENDE"/>
    <s v="ATENDE"/>
    <s v="ATENDE"/>
    <s v="ATENDE"/>
    <s v="C4"/>
    <s v="P6"/>
    <n v="1.8866666666666667"/>
    <n v="8.66"/>
    <n v="6.26"/>
    <n v="3"/>
    <n v="0.6"/>
    <s v="ATENDE"/>
    <s v="ATENDE"/>
    <s v="ATENDE"/>
    <s v="P6"/>
    <n v="2.65"/>
    <n v="10.95"/>
    <n v="3.86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1"/>
    <s v="PVP"/>
    <s v="Rua Picada Cafe, 2671"/>
    <n v="-30.050441450000001"/>
    <n v="-50.15389025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3559999999999999"/>
    <n v="1.5"/>
    <s v="-"/>
    <n v="23.56"/>
    <n v="0.45"/>
    <m/>
    <m/>
    <m/>
    <m/>
    <s v="ATENDE"/>
    <s v="ATENDE"/>
    <s v="ATENDE"/>
    <s v="ATENDE"/>
    <s v="C4"/>
    <s v="P6"/>
    <n v="2.5933333333333333"/>
    <n v="10.78"/>
    <n v="5.9"/>
    <n v="3"/>
    <n v="0.6"/>
    <s v="ATENDE"/>
    <s v="ATENDE"/>
    <s v="ATENDE"/>
    <s v="P6"/>
    <n v="5.1533333333333333"/>
    <n v="18.46"/>
    <n v="7.61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n v="0"/>
    <n v="15162"/>
    <n v="0"/>
    <n v="0"/>
    <m/>
    <s v="Curto II"/>
    <m/>
    <m/>
    <m/>
    <m/>
    <m/>
    <m/>
    <m/>
    <m/>
    <m/>
    <n v="100"/>
    <n v="100"/>
    <n v="200"/>
    <n v="0"/>
    <m/>
    <m/>
    <s v="Sim"/>
    <m/>
  </r>
  <r>
    <n v="152"/>
    <s v="PVP"/>
    <s v="Rua Picada Cafe, 565"/>
    <n v="-30.054592670000002"/>
    <n v="-50.155678109999997"/>
    <x v="2"/>
    <s v="-"/>
    <x v="1"/>
    <s v="Vapor de sódio"/>
    <n v="150"/>
    <n v="22"/>
    <n v="0"/>
    <n v="300"/>
    <n v="2"/>
    <n v="2.5"/>
    <n v="6.5"/>
    <m/>
    <m/>
    <n v="0"/>
    <n v="2.5"/>
    <n v="0"/>
    <n v="0"/>
    <n v="0"/>
    <n v="0"/>
    <n v="0"/>
    <s v="Unilateral"/>
    <s v="Braço"/>
    <n v="39.200000000000003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6000000000000059E-2"/>
    <n v="0.83333333333333348"/>
    <s v="-"/>
    <n v="10.66"/>
    <n v="0.33"/>
    <m/>
    <m/>
    <m/>
    <m/>
    <s v="ATENDE"/>
    <s v="ATENDE"/>
    <s v="ATENDE"/>
    <s v="ATENDE"/>
    <s v="C4"/>
    <s v="P6"/>
    <n v="1.4066666666666667"/>
    <s v="7,22"/>
    <n v="2.96"/>
    <n v="3"/>
    <n v="0.6"/>
    <s v="ATENDE"/>
    <s v="ATENDE"/>
    <s v="ATENDE"/>
    <s v="P6"/>
    <n v="1.98"/>
    <n v="8.94"/>
    <n v="2.75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m/>
    <m/>
    <m/>
    <m/>
    <m/>
    <m/>
    <m/>
    <m/>
    <n v="52"/>
    <n v="150"/>
    <n v="202"/>
    <n v="0.65333333333333332"/>
    <m/>
    <m/>
    <s v="Sim"/>
    <m/>
  </r>
  <r>
    <n v="152"/>
    <s v="PVP"/>
    <s v="Rua Picada Cafe, 565"/>
    <n v="-30.054592670000002"/>
    <n v="-50.155678109999997"/>
    <x v="2"/>
    <s v="-"/>
    <x v="1"/>
    <s v="Vapor de sódio"/>
    <n v="150"/>
    <n v="22"/>
    <n v="0"/>
    <n v="300"/>
    <n v="2"/>
    <n v="2.5"/>
    <n v="6.5"/>
    <m/>
    <m/>
    <n v="0"/>
    <n v="2.5"/>
    <n v="0"/>
    <n v="0"/>
    <n v="0"/>
    <n v="0"/>
    <n v="0"/>
    <s v="Unilateral"/>
    <s v="Braço"/>
    <n v="39.200000000000003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09999999999999"/>
    <n v="1"/>
    <s v="-"/>
    <n v="12.61"/>
    <n v="0.36"/>
    <m/>
    <m/>
    <m/>
    <m/>
    <s v="ATENDE"/>
    <s v="ATENDE"/>
    <s v="ATENDE"/>
    <s v="ATENDE"/>
    <s v="C4"/>
    <s v="P6"/>
    <n v="1.8333333333333335"/>
    <s v="8,50"/>
    <n v="5.13"/>
    <n v="3"/>
    <n v="0.6"/>
    <s v="ATENDE"/>
    <s v="ATENDE"/>
    <s v="ATENDE"/>
    <s v="P6"/>
    <n v="2.3833333333333333"/>
    <n v="10.15"/>
    <n v="2.39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m/>
    <m/>
    <m/>
    <m/>
    <m/>
    <m/>
    <m/>
    <m/>
    <n v="50"/>
    <n v="150"/>
    <n v="200"/>
    <n v="0.66666666666666674"/>
    <m/>
    <m/>
    <s v="Sim"/>
    <m/>
  </r>
  <r>
    <n v="152"/>
    <s v="PVP"/>
    <s v="Rua Picada Cafe, 565"/>
    <n v="-30.054592670000002"/>
    <n v="-50.155678109999997"/>
    <x v="2"/>
    <s v="-"/>
    <x v="1"/>
    <s v="Vapor de sódio"/>
    <n v="150"/>
    <n v="22"/>
    <n v="0"/>
    <n v="300"/>
    <n v="2"/>
    <n v="2.5"/>
    <n v="6.5"/>
    <m/>
    <m/>
    <n v="0"/>
    <n v="2.5"/>
    <n v="0"/>
    <n v="0"/>
    <n v="0"/>
    <n v="0"/>
    <n v="0"/>
    <s v="Unilateral"/>
    <s v="Braço"/>
    <n v="39.200000000000003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1840000000000002"/>
    <n v="0.72222222222222232"/>
    <s v="-"/>
    <n v="21.84"/>
    <n v="0.31"/>
    <m/>
    <m/>
    <m/>
    <m/>
    <s v="ATENDE"/>
    <s v="ATENDE"/>
    <s v="ATENDE"/>
    <s v="ATENDE"/>
    <s v="C4"/>
    <s v="P6"/>
    <n v="2.6566666666666667"/>
    <n v="10.97"/>
    <n v="4.3099999999999996"/>
    <n v="3"/>
    <n v="0.6"/>
    <s v="ATENDE"/>
    <s v="ATENDE"/>
    <s v="ATENDE"/>
    <s v="P6"/>
    <n v="4.7033333333333331"/>
    <n v="17.11"/>
    <n v="4.78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n v="0"/>
    <n v="15162"/>
    <n v="0"/>
    <n v="0"/>
    <m/>
    <s v="Curto II"/>
    <m/>
    <m/>
    <m/>
    <m/>
    <m/>
    <m/>
    <m/>
    <m/>
    <m/>
    <n v="100"/>
    <n v="150"/>
    <n v="250"/>
    <n v="0.33333333333333337"/>
    <m/>
    <m/>
    <s v="Sim"/>
    <m/>
  </r>
  <r>
    <n v="153"/>
    <s v="PVP"/>
    <s v="Rua Arroio do Meio, 668"/>
    <n v="-30.0534766"/>
    <n v="-50.156580300000002"/>
    <x v="1"/>
    <s v="-"/>
    <x v="1"/>
    <s v="Vapor de sódio"/>
    <n v="100"/>
    <n v="17"/>
    <n v="0"/>
    <n v="200"/>
    <n v="2"/>
    <n v="3"/>
    <n v="7.2"/>
    <m/>
    <m/>
    <n v="0"/>
    <n v="3"/>
    <n v="0"/>
    <n v="0"/>
    <n v="0"/>
    <n v="0"/>
    <n v="0"/>
    <s v="Unilateral"/>
    <s v="Braço"/>
    <n v="38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1333333333333426E-2"/>
    <n v="0.94444444444444442"/>
    <s v="-"/>
    <n v="7.66"/>
    <n v="0.35"/>
    <m/>
    <m/>
    <m/>
    <m/>
    <s v="ATENDE"/>
    <s v="ATENDE"/>
    <s v="ATENDE"/>
    <s v="ATENDE"/>
    <s v="C5"/>
    <s v="P6"/>
    <n v="0.45999999999999996"/>
    <n v="4.38"/>
    <n v="1.72"/>
    <n v="3"/>
    <n v="0.6"/>
    <s v="ATENDE"/>
    <s v="ATENDE"/>
    <s v="ATENDE"/>
    <s v="P6"/>
    <n v="1.0233333333333334"/>
    <n v="6.07"/>
    <n v="1.7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m/>
    <m/>
    <m/>
    <m/>
    <m/>
    <m/>
    <m/>
    <m/>
    <n v="35"/>
    <n v="100"/>
    <n v="135"/>
    <n v="0.65"/>
    <m/>
    <m/>
    <s v="Sim"/>
    <m/>
  </r>
  <r>
    <n v="153"/>
    <s v="PVP"/>
    <s v="Rua Arroio do Meio, 668"/>
    <n v="-30.0534766"/>
    <n v="-50.156580300000002"/>
    <x v="1"/>
    <s v="-"/>
    <x v="1"/>
    <s v="Vapor de sódio"/>
    <n v="100"/>
    <n v="17"/>
    <n v="0"/>
    <n v="200"/>
    <n v="2"/>
    <n v="3"/>
    <n v="7.2"/>
    <m/>
    <m/>
    <n v="0"/>
    <n v="3"/>
    <n v="0"/>
    <n v="0"/>
    <n v="0"/>
    <n v="0"/>
    <n v="0"/>
    <s v="Unilateral"/>
    <s v="Braço"/>
    <n v="38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599999999999992"/>
    <n v="1.3888888888888888"/>
    <s v="-"/>
    <n v="8.67"/>
    <n v="0.43"/>
    <m/>
    <m/>
    <m/>
    <m/>
    <s v="ATENDE"/>
    <s v="ATENDE"/>
    <s v="ATENDE"/>
    <s v="ATENDE"/>
    <s v="C5"/>
    <s v="P6"/>
    <n v="0.5199999999999998"/>
    <n v="4.5599999999999996"/>
    <n v="2.62"/>
    <n v="3"/>
    <n v="0.6"/>
    <s v="ATENDE"/>
    <s v="ATENDE"/>
    <s v="ATENDE"/>
    <s v="P6"/>
    <n v="1.3399999999999999"/>
    <n v="7.02"/>
    <n v="2.02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m/>
    <m/>
    <m/>
    <m/>
    <m/>
    <m/>
    <m/>
    <m/>
    <n v="39"/>
    <n v="100"/>
    <n v="139"/>
    <n v="0.61"/>
    <m/>
    <m/>
    <s v="Sim"/>
    <m/>
  </r>
  <r>
    <n v="153"/>
    <s v="PVP"/>
    <s v="Rua Arroio do Meio, 668"/>
    <n v="-30.0534766"/>
    <n v="-50.156580300000002"/>
    <x v="1"/>
    <s v="-"/>
    <x v="1"/>
    <s v="Vapor de sódio"/>
    <n v="100"/>
    <n v="17"/>
    <n v="0"/>
    <n v="200"/>
    <n v="2"/>
    <n v="3"/>
    <n v="7.2"/>
    <m/>
    <m/>
    <n v="0"/>
    <n v="3"/>
    <n v="0"/>
    <n v="0"/>
    <n v="0"/>
    <n v="0"/>
    <n v="0"/>
    <s v="Unilateral"/>
    <s v="Braço"/>
    <n v="38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666666666666687"/>
    <n v="0.7777777777777779"/>
    <s v="-"/>
    <n v="9.8000000000000007"/>
    <n v="0.32"/>
    <m/>
    <m/>
    <m/>
    <m/>
    <s v="ATENDE"/>
    <s v="ATENDE"/>
    <s v="ATENDE"/>
    <s v="ATENDE"/>
    <s v="C5"/>
    <s v="P6"/>
    <n v="0.29000000000000004"/>
    <n v="3.87"/>
    <n v="1.57"/>
    <n v="3"/>
    <n v="0.6"/>
    <s v="ATENDE"/>
    <s v="ATENDE"/>
    <s v="ATENDE"/>
    <s v="P6"/>
    <n v="1.4766666666666666"/>
    <n v="7.43"/>
    <n v="2.1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54"/>
    <s v="PVP"/>
    <s v="Rua Cristo, 695, 95593,"/>
    <n v="-30.053164769999999"/>
    <n v="-50.158508840000003"/>
    <x v="2"/>
    <s v="-"/>
    <x v="1"/>
    <s v="Vapor de sódio"/>
    <n v="100"/>
    <n v="17"/>
    <n v="0"/>
    <n v="200"/>
    <n v="2"/>
    <n v="2"/>
    <n v="7"/>
    <m/>
    <m/>
    <n v="0"/>
    <n v="3"/>
    <n v="0"/>
    <n v="0"/>
    <n v="0"/>
    <n v="0"/>
    <n v="0"/>
    <s v="Unilateral"/>
    <s v="Braço"/>
    <n v="33.5"/>
    <n v="7.5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000000000000012"/>
    <n v="1.3333333333333335"/>
    <s v="-"/>
    <n v="11.3"/>
    <n v="0.42"/>
    <m/>
    <m/>
    <m/>
    <m/>
    <s v="ATENDE"/>
    <s v="ATENDE"/>
    <s v="ATENDE"/>
    <s v="ATENDE"/>
    <s v="C4"/>
    <s v="-"/>
    <e v="#VALUE!"/>
    <n v="5.4"/>
    <n v="2.97"/>
    <s v="-"/>
    <s v="-"/>
    <s v="-"/>
    <s v="-"/>
    <s v="-"/>
    <s v="P6"/>
    <n v="3.2666666666666666"/>
    <n v="12.8"/>
    <n v="5.16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54"/>
    <s v="PVP"/>
    <s v="Rua Cristo, 695, 95593,"/>
    <n v="-30.053164769999999"/>
    <n v="-50.158508840000003"/>
    <x v="2"/>
    <s v="-"/>
    <x v="1"/>
    <s v="Vapor de sódio"/>
    <n v="100"/>
    <n v="17"/>
    <n v="0"/>
    <n v="200"/>
    <n v="2"/>
    <n v="2"/>
    <n v="7"/>
    <m/>
    <m/>
    <n v="0"/>
    <n v="3"/>
    <n v="0"/>
    <n v="0"/>
    <n v="0"/>
    <n v="0"/>
    <n v="0"/>
    <s v="Unilateral"/>
    <s v="Braço"/>
    <n v="33.5"/>
    <n v="7.5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3899999999999997"/>
    <n v="2.3333333333333335"/>
    <s v="-"/>
    <n v="13.39"/>
    <n v="0.6"/>
    <m/>
    <m/>
    <m/>
    <m/>
    <s v="ATENDE"/>
    <s v="ATENDE"/>
    <s v="ATENDE"/>
    <s v="ATENDE"/>
    <s v="C4"/>
    <s v="-"/>
    <e v="#VALUE!"/>
    <n v="5.65"/>
    <n v="3.08"/>
    <s v="-"/>
    <s v="-"/>
    <s v="-"/>
    <s v="-"/>
    <s v="-"/>
    <s v="P6"/>
    <n v="4.0466666666666669"/>
    <n v="15.14"/>
    <n v="7.3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4"/>
    <s v="PVP"/>
    <s v="Rua Cristo, 695, 95593,"/>
    <n v="-30.053164769999999"/>
    <n v="-50.158508840000003"/>
    <x v="2"/>
    <s v="-"/>
    <x v="1"/>
    <s v="Vapor de sódio"/>
    <n v="100"/>
    <n v="17"/>
    <n v="0"/>
    <n v="200"/>
    <n v="2"/>
    <n v="2"/>
    <n v="7"/>
    <m/>
    <m/>
    <n v="0"/>
    <n v="3"/>
    <n v="0"/>
    <n v="0"/>
    <n v="0"/>
    <n v="0"/>
    <n v="0"/>
    <s v="Unilateral"/>
    <s v="Braço"/>
    <n v="33.5"/>
    <n v="7.5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600000000000017"/>
    <n v="2.0000000000000004"/>
    <s v="-"/>
    <n v="11.96"/>
    <n v="0.54"/>
    <m/>
    <m/>
    <m/>
    <m/>
    <s v="ATENDE"/>
    <s v="ATENDE"/>
    <s v="ATENDE"/>
    <s v="ATENDE"/>
    <s v="C4"/>
    <s v="-"/>
    <e v="#VALUE!"/>
    <n v="5.01"/>
    <n v="3.53"/>
    <s v="-"/>
    <s v="-"/>
    <s v="-"/>
    <s v="-"/>
    <s v="-"/>
    <s v="P6"/>
    <n v="1.4566666666666666"/>
    <n v="7.37"/>
    <n v="6.25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5"/>
    <s v="V"/>
    <s v="Rua Santo Cristo, 551"/>
    <n v="-30.053901969999998"/>
    <n v="-50.158925859999997"/>
    <x v="1"/>
    <s v="-"/>
    <x v="2"/>
    <s v="Vapor de sódio"/>
    <n v="100"/>
    <n v="17"/>
    <n v="0"/>
    <n v="400"/>
    <n v="2"/>
    <n v="0"/>
    <n v="7"/>
    <m/>
    <m/>
    <n v="0"/>
    <n v="0"/>
    <n v="0"/>
    <n v="0"/>
    <n v="0"/>
    <n v="0"/>
    <n v="0"/>
    <s v="Unilateral"/>
    <s v="Braço"/>
    <n v="34.5"/>
    <n v="7.3"/>
    <n v="2"/>
    <n v="0.3"/>
    <n v="1.3"/>
    <n v="1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e v="#N/A"/>
    <n v="0.16933333333333334"/>
    <n v="1.2777777777777777"/>
    <s v="-"/>
    <n v="8.77"/>
    <n v="0.41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0"/>
    <s v=" SL VT 9.1 35W"/>
    <s v="LUM LED SL VT 9.1 35W"/>
    <s v="p.24"/>
    <e v="#N/A"/>
    <n v="2"/>
    <n v="35"/>
    <e v="#N/A"/>
    <n v="5955.62"/>
    <e v="#N/A"/>
    <n v="0"/>
    <m/>
    <s v="Curto II"/>
    <m/>
    <m/>
    <m/>
    <m/>
    <m/>
    <m/>
    <m/>
    <m/>
    <m/>
    <n v="35"/>
    <n v="100"/>
    <n v="270"/>
    <n v="0.65"/>
    <m/>
    <m/>
    <s v="Sim"/>
    <m/>
  </r>
  <r>
    <n v="155"/>
    <s v="V"/>
    <s v="Rua Santo Cristo, 551"/>
    <n v="-30.053901969999998"/>
    <n v="-50.158925859999997"/>
    <x v="1"/>
    <s v="-"/>
    <x v="2"/>
    <s v="Vapor de sódio"/>
    <n v="100"/>
    <n v="17"/>
    <n v="0"/>
    <n v="400"/>
    <n v="2"/>
    <n v="0"/>
    <n v="7"/>
    <m/>
    <m/>
    <n v="0"/>
    <n v="0"/>
    <n v="0"/>
    <n v="0"/>
    <n v="0"/>
    <n v="0"/>
    <n v="0"/>
    <s v="Unilateral"/>
    <s v="Braço"/>
    <n v="34.5"/>
    <n v="7.3"/>
    <n v="2"/>
    <n v="0.3"/>
    <n v="1.3"/>
    <n v="1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e v="#N/A"/>
    <n v="0.12800000000000011"/>
    <n v="1.5"/>
    <s v="-"/>
    <n v="8.4600000000000009"/>
    <n v="0.45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1"/>
    <s v="SX-INEVO030HF"/>
    <s v="SXINEVO030K40L12CZF7PHF"/>
    <s v="t.30.1"/>
    <e v="#N/A"/>
    <n v="2"/>
    <n v="31"/>
    <e v="#N/A"/>
    <n v="5270"/>
    <e v="#N/A"/>
    <n v="0"/>
    <m/>
    <s v="Curto II"/>
    <m/>
    <m/>
    <m/>
    <m/>
    <m/>
    <m/>
    <m/>
    <m/>
    <m/>
    <n v="31"/>
    <n v="100"/>
    <n v="262"/>
    <n v="0.69"/>
    <m/>
    <m/>
    <s v="Sim"/>
    <m/>
  </r>
  <r>
    <n v="155"/>
    <s v="V"/>
    <s v="Rua Santo Cristo, 551"/>
    <n v="-30.053901969999998"/>
    <n v="-50.158925859999997"/>
    <x v="1"/>
    <s v="-"/>
    <x v="2"/>
    <s v="Vapor de sódio"/>
    <n v="100"/>
    <n v="17"/>
    <n v="0"/>
    <n v="400"/>
    <n v="2"/>
    <n v="0"/>
    <n v="7"/>
    <m/>
    <m/>
    <n v="0"/>
    <n v="0"/>
    <n v="0"/>
    <n v="0"/>
    <n v="0"/>
    <n v="0"/>
    <n v="0"/>
    <s v="Unilateral"/>
    <s v="Braço"/>
    <n v="34.5"/>
    <n v="7.3"/>
    <n v="2"/>
    <n v="0.3"/>
    <n v="1.3"/>
    <n v="1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e v="#N/A"/>
    <n v="0.11733333333333351"/>
    <n v="1.8888888888888893"/>
    <s v="-"/>
    <n v="8.3800000000000008"/>
    <n v="0.52"/>
    <m/>
    <m/>
    <m/>
    <m/>
    <s v="ATENDE"/>
    <s v="ATENDE"/>
    <s v="ATENDE"/>
    <s v="ATENDE"/>
    <s v="C5"/>
    <n v="0"/>
    <e v="#VALUE!"/>
    <s v=" -"/>
    <s v=" -"/>
    <e v="#N/A"/>
    <e v="#N/A"/>
    <e v="#N/A"/>
    <e v="#N/A"/>
    <e v="#N/A"/>
    <n v="0"/>
    <e v="#VALUE!"/>
    <s v=" -"/>
    <s v=" -"/>
    <e v="#N/A"/>
    <e v="#N/A"/>
    <e v="#N/A"/>
    <e v="#N/A"/>
    <e v="#N/A"/>
    <x v="2"/>
    <s v="SIGSAGPTLRRSSNDL_30W_38IBBRS_x000a_"/>
    <s v="SIGSAGPTLRRSSNDL_30W_38IBBRS_x000a_1-10C1MUN6.5"/>
    <s v="u.36"/>
    <e v="#N/A"/>
    <n v="2"/>
    <n v="30"/>
    <e v="#N/A"/>
    <n v="5266"/>
    <e v="#N/A"/>
    <n v="0"/>
    <m/>
    <s v="Curto II"/>
    <m/>
    <m/>
    <m/>
    <m/>
    <m/>
    <m/>
    <m/>
    <m/>
    <m/>
    <n v="30"/>
    <n v="100"/>
    <n v="260"/>
    <n v="0.7"/>
    <m/>
    <m/>
    <s v="Sim"/>
    <m/>
  </r>
  <r>
    <n v="156"/>
    <s v="PVP"/>
    <s v="Rua Santo Antonio, 721"/>
    <n v="-30.052250180000001"/>
    <n v="-50.15862290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4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6000000000000023E-2"/>
    <n v="0.72222222222222232"/>
    <s v="-"/>
    <n v="10.26"/>
    <n v="0.31"/>
    <m/>
    <m/>
    <m/>
    <m/>
    <s v="ATENDE"/>
    <s v="ATENDE"/>
    <s v="ATENDE"/>
    <s v="ATENDE"/>
    <s v="C4"/>
    <s v="P6"/>
    <n v="1.2399999999999998"/>
    <n v="6.72"/>
    <n v="2.66"/>
    <n v="3"/>
    <n v="0.6"/>
    <s v="ATENDE"/>
    <s v="ATENDE"/>
    <s v="ATENDE"/>
    <s v="P6"/>
    <n v="1.7799999999999998"/>
    <n v="8.34"/>
    <n v="2.4300000000000002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m/>
    <m/>
    <m/>
    <m/>
    <m/>
    <m/>
    <m/>
    <m/>
    <n v="52"/>
    <n v="100"/>
    <n v="152"/>
    <n v="0.48"/>
    <m/>
    <m/>
    <s v="Sim"/>
    <m/>
  </r>
  <r>
    <n v="156"/>
    <s v="PVP"/>
    <s v="Rua Santo Antonio, 721"/>
    <n v="-30.052250180000001"/>
    <n v="-50.15862290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4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500000000000009"/>
    <n v="0.7777777777777779"/>
    <s v="-"/>
    <n v="12.25"/>
    <n v="0.32"/>
    <m/>
    <m/>
    <m/>
    <m/>
    <s v="ATENDE"/>
    <s v="ATENDE"/>
    <s v="ATENDE"/>
    <s v="ATENDE"/>
    <s v="C4"/>
    <s v="P6"/>
    <n v="1.62"/>
    <n v="7.86"/>
    <s v="4,48"/>
    <n v="3"/>
    <n v="0.6"/>
    <s v="ATENDE"/>
    <s v="ATENDE"/>
    <s v="ATENDE"/>
    <s v="P6"/>
    <n v="2.1166666666666667"/>
    <n v="9.35"/>
    <n v="1.86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6"/>
    <s v="PVP"/>
    <s v="Rua Santo Antonio, 721"/>
    <n v="-30.052250180000001"/>
    <n v="-50.15862290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4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400000000000011"/>
    <n v="0.44444444444444464"/>
    <s v="-"/>
    <n v="11.24"/>
    <n v="0.26"/>
    <m/>
    <m/>
    <m/>
    <m/>
    <s v="ATENDE"/>
    <s v="ATENDE"/>
    <s v="ATENDE"/>
    <s v="ATENDE"/>
    <s v="C4"/>
    <s v="P6"/>
    <n v="0.63333333333333353"/>
    <n v="4.9000000000000004"/>
    <n v="1.55"/>
    <n v="3"/>
    <n v="0.6"/>
    <s v="ATENDE"/>
    <s v="ATENDE"/>
    <s v="ATENDE"/>
    <s v="P6"/>
    <n v="1.9333333333333336"/>
    <n v="8.8000000000000007"/>
    <n v="2.4300000000000002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m/>
    <s v="Curto II"/>
    <m/>
    <m/>
    <m/>
    <m/>
    <m/>
    <m/>
    <m/>
    <m/>
    <m/>
    <n v="50"/>
    <n v="100"/>
    <n v="150"/>
    <n v="0.5"/>
    <m/>
    <m/>
    <s v="Sim"/>
    <m/>
  </r>
  <r>
    <n v="157"/>
    <s v="PVP"/>
    <s v="Rua Santo Angelo, 559"/>
    <n v="-30.053380310000001"/>
    <n v="-50.15984997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3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0999999999999925E-2"/>
    <n v="2.2222222222222223"/>
    <s v="-"/>
    <n v="10.41"/>
    <n v="0.57999999999999996"/>
    <m/>
    <m/>
    <m/>
    <m/>
    <s v="ATENDE"/>
    <s v="ATENDE"/>
    <s v="ATENDE"/>
    <s v="ATENDE"/>
    <s v="C4"/>
    <s v="P6"/>
    <n v="1.1299999999999999"/>
    <n v="6.39"/>
    <n v="3.97"/>
    <n v="3"/>
    <n v="0.6"/>
    <s v="ATENDE"/>
    <s v="ATENDE"/>
    <s v="ATENDE"/>
    <s v="P6"/>
    <n v="1.9100000000000001"/>
    <n v="8.73"/>
    <n v="4.730000000000000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m/>
    <m/>
    <m/>
    <m/>
    <m/>
    <m/>
    <m/>
    <m/>
    <n v="35"/>
    <n v="100"/>
    <n v="135"/>
    <n v="0.65"/>
    <m/>
    <m/>
    <s v="Sim"/>
    <m/>
  </r>
  <r>
    <n v="157"/>
    <s v="PVP"/>
    <s v="Rua Santo Angelo, 559"/>
    <n v="-30.053380310000001"/>
    <n v="-50.15984997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3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9999999999998916E-3"/>
    <n v="3.0555555555555554"/>
    <s v="-"/>
    <n v="10.029999999999999"/>
    <n v="0.73"/>
    <m/>
    <m/>
    <m/>
    <m/>
    <s v="ATENDE"/>
    <s v="ATENDE"/>
    <s v="ATENDE"/>
    <s v="ATENDE"/>
    <s v="C4"/>
    <s v="P6"/>
    <n v="0.80333333333333345"/>
    <n v="5.41"/>
    <n v="3.57"/>
    <n v="3"/>
    <n v="0.6"/>
    <s v="ATENDE"/>
    <s v="ATENDE"/>
    <s v="ATENDE"/>
    <s v="P6"/>
    <n v="1.7100000000000004"/>
    <n v="8.1300000000000008"/>
    <n v="4.940000000000000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m/>
    <m/>
    <m/>
    <m/>
    <m/>
    <m/>
    <m/>
    <m/>
    <n v="31"/>
    <n v="100"/>
    <n v="131"/>
    <n v="0.69"/>
    <m/>
    <m/>
    <s v="Sim"/>
    <m/>
  </r>
  <r>
    <n v="157"/>
    <s v="PVP"/>
    <s v="Rua Santo Angelo, 559"/>
    <n v="-30.053380310000001"/>
    <n v="-50.15984997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3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3299999999999996"/>
    <n v="2.4444444444444446"/>
    <s v="-"/>
    <n v="13.33"/>
    <n v="0.62"/>
    <m/>
    <m/>
    <m/>
    <m/>
    <s v="ATENDE"/>
    <s v="ATENDE"/>
    <s v="ATENDE"/>
    <s v="ATENDE"/>
    <s v="C4"/>
    <s v="P6"/>
    <n v="0.93666666666666654"/>
    <n v="5.81"/>
    <n v="4"/>
    <n v="3"/>
    <n v="0.6"/>
    <s v="ATENDE"/>
    <s v="ATENDE"/>
    <s v="ATENDE"/>
    <s v="P6"/>
    <n v="2.6033333333333335"/>
    <n v="10.81"/>
    <n v="7.0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58"/>
    <s v="PVP"/>
    <s v="Rua Sao Francisco de Assis, 2771"/>
    <n v="-30.05010532"/>
    <n v="-50.160348130000003"/>
    <x v="2"/>
    <s v="-"/>
    <x v="1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35.299999999999997"/>
    <n v="7.3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999999999999947E-2"/>
    <n v="2.1111111111111116"/>
    <s v="-"/>
    <n v="10.65"/>
    <n v="0.56000000000000005"/>
    <m/>
    <m/>
    <m/>
    <m/>
    <s v="ATENDE"/>
    <s v="ATENDE"/>
    <s v="ATENDE"/>
    <s v="ATENDE"/>
    <s v="C4"/>
    <s v="P6"/>
    <n v="1.1166666666666667"/>
    <n v="6.35"/>
    <n v="3.82"/>
    <n v="3"/>
    <n v="0.6"/>
    <s v="ATENDE"/>
    <s v="ATENDE"/>
    <s v="ATENDE"/>
    <s v="P6"/>
    <n v="1.9933333333333336"/>
    <n v="8.98"/>
    <n v="4.7"/>
    <n v="3"/>
    <n v="0.6"/>
    <s v="ATENDE"/>
    <s v="ATENDE"/>
    <s v="ATENDE"/>
    <x v="0"/>
    <s v=" SL VT 9.1 35W"/>
    <s v="LUM LED SL VT 9.1 35W"/>
    <m/>
    <n v="0"/>
    <n v="1"/>
    <n v="35"/>
    <e v="#N/A"/>
    <n v="5955.62"/>
    <n v="0"/>
    <n v="0"/>
    <m/>
    <s v="Curto II"/>
    <m/>
    <m/>
    <m/>
    <m/>
    <m/>
    <m/>
    <m/>
    <m/>
    <m/>
    <n v="35"/>
    <n v="100"/>
    <n v="135"/>
    <n v="0.65"/>
    <m/>
    <m/>
    <s v="Sim"/>
    <m/>
  </r>
  <r>
    <n v="158"/>
    <s v="PVP"/>
    <s v="Rua Sao Francisco de Assis, 2771"/>
    <n v="-30.05010532"/>
    <n v="-50.160348130000003"/>
    <x v="2"/>
    <s v="-"/>
    <x v="1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35.299999999999997"/>
    <n v="7.3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6000000000000023E-2"/>
    <n v="3"/>
    <s v="-"/>
    <n v="10.26"/>
    <n v="0.72"/>
    <m/>
    <m/>
    <m/>
    <m/>
    <s v="ATENDE"/>
    <s v="ATENDE"/>
    <s v="ATENDE"/>
    <s v="ATENDE"/>
    <s v="C4"/>
    <s v="P6"/>
    <n v="0.77333333333333343"/>
    <n v="5.32"/>
    <n v="3.45"/>
    <n v="3"/>
    <n v="0.6"/>
    <s v="ATENDE"/>
    <s v="ATENDE"/>
    <s v="ATENDE"/>
    <s v="P6"/>
    <n v="1.7899999999999996"/>
    <n v="8.3699999999999992"/>
    <n v="4.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m/>
    <m/>
    <m/>
    <m/>
    <m/>
    <m/>
    <m/>
    <m/>
    <n v="31"/>
    <n v="100"/>
    <n v="131"/>
    <n v="0.69"/>
    <m/>
    <m/>
    <s v="Sim"/>
    <m/>
  </r>
  <r>
    <n v="158"/>
    <s v="PVP"/>
    <s v="Rua Sao Francisco de Assis, 2771"/>
    <n v="-30.05010532"/>
    <n v="-50.160348130000003"/>
    <x v="2"/>
    <s v="-"/>
    <x v="1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35.299999999999997"/>
    <n v="7.3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5000000000000124E-2"/>
    <n v="2.666666666666667"/>
    <s v="-"/>
    <n v="10.15"/>
    <n v="0.66"/>
    <m/>
    <m/>
    <m/>
    <m/>
    <s v="ATENDE"/>
    <s v="ATENDE"/>
    <s v="ATENDE"/>
    <s v="ATENDE"/>
    <s v="C4"/>
    <s v="P6"/>
    <n v="0.6399999999999999"/>
    <n v="4.92"/>
    <n v="3.41"/>
    <n v="3"/>
    <n v="0.6"/>
    <s v="ATENDE"/>
    <s v="ATENDE"/>
    <s v="ATENDE"/>
    <s v="P6"/>
    <n v="1.7833333333333332"/>
    <n v="8.35"/>
    <n v="5.3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m/>
    <m/>
    <m/>
    <m/>
    <m/>
    <m/>
    <m/>
    <m/>
    <n v="30"/>
    <n v="100"/>
    <n v="130"/>
    <n v="0.7"/>
    <m/>
    <m/>
    <s v="Sim"/>
    <m/>
  </r>
  <r>
    <n v="159"/>
    <s v="PVP"/>
    <s v="Rua Sao Francisco de Assis, 2611"/>
    <n v="-30.048748509999999"/>
    <n v="-50.159768489999998"/>
    <x v="2"/>
    <s v="-"/>
    <x v="1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29.9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799999999999994"/>
    <n v="1.8333333333333335"/>
    <s v="-"/>
    <n v="11.78"/>
    <n v="0.51"/>
    <m/>
    <m/>
    <m/>
    <m/>
    <s v="ATENDE"/>
    <s v="ATENDE"/>
    <s v="ATENDE"/>
    <s v="ATENDE"/>
    <s v="C4"/>
    <s v="P6"/>
    <n v="1.54"/>
    <n v="7.62"/>
    <n v="4.5"/>
    <n v="3"/>
    <n v="0.6"/>
    <s v="ATENDE"/>
    <s v="ATENDE"/>
    <s v="ATENDE"/>
    <s v="-"/>
    <e v="#VALUE!"/>
    <n v="9.9499999999999993"/>
    <n v="4.84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m/>
    <m/>
    <m/>
    <m/>
    <m/>
    <m/>
    <m/>
    <m/>
    <n v="44"/>
    <n v="100"/>
    <n v="144"/>
    <n v="0.56000000000000005"/>
    <m/>
    <m/>
    <s v="Sim"/>
    <m/>
  </r>
  <r>
    <n v="159"/>
    <s v="PVP"/>
    <s v="Rua Sao Francisco de Assis, 2611"/>
    <n v="-30.048748509999999"/>
    <n v="-50.159768489999998"/>
    <x v="2"/>
    <s v="-"/>
    <x v="1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29.9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200000000000011"/>
    <n v="2.6111111111111112"/>
    <s v="-"/>
    <n v="11.22"/>
    <n v="0.65"/>
    <m/>
    <m/>
    <m/>
    <m/>
    <s v="ATENDE"/>
    <s v="ATENDE"/>
    <s v="ATENDE"/>
    <s v="ATENDE"/>
    <s v="C4"/>
    <s v="P6"/>
    <n v="1.2433333333333336"/>
    <n v="6.73"/>
    <n v="4.75"/>
    <n v="3"/>
    <n v="0.6"/>
    <s v="ATENDE"/>
    <s v="ATENDE"/>
    <s v="ATENDE"/>
    <s v="-"/>
    <e v="#VALUE!"/>
    <n v="9.4700000000000006"/>
    <n v="5.37"/>
    <s v="-"/>
    <s v="-"/>
    <s v="-"/>
    <s v="-"/>
    <s v="-"/>
    <x v="1"/>
    <s v="SX-INEVO040HF"/>
    <s v="SXINEVO040K40L12CZF7PHF"/>
    <m/>
    <e v="#N/A"/>
    <n v="1"/>
    <n v="39"/>
    <e v="#N/A"/>
    <n v="6552"/>
    <e v="#N/A"/>
    <n v="0"/>
    <m/>
    <s v="Curto II"/>
    <m/>
    <m/>
    <m/>
    <m/>
    <m/>
    <m/>
    <m/>
    <m/>
    <m/>
    <n v="39"/>
    <n v="100"/>
    <n v="139"/>
    <n v="0.61"/>
    <m/>
    <m/>
    <s v="Sim"/>
    <m/>
  </r>
  <r>
    <n v="159"/>
    <s v="PVP"/>
    <s v="Rua Sao Francisco de Assis, 2611"/>
    <n v="-30.048748509999999"/>
    <n v="-50.159768489999998"/>
    <x v="2"/>
    <s v="-"/>
    <x v="1"/>
    <s v="Vapor de sódio"/>
    <n v="100"/>
    <n v="17"/>
    <n v="0"/>
    <n v="200"/>
    <n v="2"/>
    <n v="2.2999999999999998"/>
    <n v="7"/>
    <m/>
    <m/>
    <n v="0"/>
    <n v="2.5"/>
    <n v="0"/>
    <n v="0"/>
    <n v="0"/>
    <n v="0"/>
    <n v="0"/>
    <s v="Unilateral"/>
    <s v="Braço"/>
    <n v="29.9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400000000000002"/>
    <n v="2.3888888888888888"/>
    <s v="-"/>
    <n v="12.74"/>
    <n v="0.61"/>
    <m/>
    <m/>
    <m/>
    <m/>
    <s v="ATENDE"/>
    <s v="ATENDE"/>
    <s v="ATENDE"/>
    <s v="ATENDE"/>
    <s v="C4"/>
    <s v="P6"/>
    <n v="0.95"/>
    <n v="5.85"/>
    <n v="3.87"/>
    <n v="3"/>
    <n v="0.6"/>
    <s v="ATENDE"/>
    <s v="ATENDE"/>
    <s v="ATENDE"/>
    <s v="-"/>
    <e v="#VALUE!"/>
    <n v="10.039999999999999"/>
    <n v="6.15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m/>
    <m/>
    <m/>
    <m/>
    <m/>
    <m/>
    <m/>
    <m/>
    <n v="40"/>
    <n v="100"/>
    <n v="140"/>
    <n v="0.6"/>
    <m/>
    <m/>
    <s v="Sim"/>
    <m/>
  </r>
  <r>
    <n v="160"/>
    <s v="PVP"/>
    <s v="Rua Sao Vendelino, 2813"/>
    <n v="-30.050013799999999"/>
    <n v="-50.16401649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3999999999999861E-2"/>
    <n v="1.6111111111111112"/>
    <s v="-"/>
    <n v="10.94"/>
    <n v="0.47"/>
    <m/>
    <m/>
    <m/>
    <m/>
    <s v="ATENDE"/>
    <s v="ATENDE"/>
    <s v="ATENDE"/>
    <s v="ATENDE"/>
    <s v="C4"/>
    <s v="P6"/>
    <n v="1.2933333333333334"/>
    <n v="6.88"/>
    <n v="3.81"/>
    <n v="3"/>
    <n v="0.6"/>
    <s v="ATENDE"/>
    <s v="ATENDE"/>
    <s v="ATENDE"/>
    <s v="P6"/>
    <n v="2.1433333333333331"/>
    <n v="9.43"/>
    <n v="4.0599999999999996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m/>
    <m/>
    <m/>
    <m/>
    <m/>
    <m/>
    <m/>
    <m/>
    <n v="44"/>
    <n v="100"/>
    <n v="144"/>
    <n v="0.56000000000000005"/>
    <m/>
    <m/>
    <s v="Sim"/>
    <m/>
  </r>
  <r>
    <n v="160"/>
    <s v="PVP"/>
    <s v="Rua Sao Vendelino, 2813"/>
    <n v="-30.050013799999999"/>
    <n v="-50.16401649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0000000000000036E-2"/>
    <n v="2.5"/>
    <s v="-"/>
    <n v="10.4"/>
    <n v="0.63"/>
    <m/>
    <m/>
    <m/>
    <m/>
    <s v="ATENDE"/>
    <s v="ATENDE"/>
    <s v="ATENDE"/>
    <s v="ATENDE"/>
    <s v="C4"/>
    <s v="P6"/>
    <n v="0.9933333333333334"/>
    <n v="5.98"/>
    <n v="4.2229999999999999"/>
    <n v="3"/>
    <n v="0.6"/>
    <s v="ATENDE"/>
    <s v="ATENDE"/>
    <s v="ATENDE"/>
    <s v="P6"/>
    <n v="2"/>
    <n v="9"/>
    <n v="4.7300000000000004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m/>
    <m/>
    <m/>
    <m/>
    <m/>
    <m/>
    <m/>
    <m/>
    <n v="39"/>
    <n v="100"/>
    <n v="139"/>
    <n v="0.61"/>
    <m/>
    <m/>
    <s v="Sim"/>
    <m/>
  </r>
  <r>
    <n v="160"/>
    <s v="PVP"/>
    <s v="Rua Sao Vendelino, 2813"/>
    <n v="-30.050013799999999"/>
    <n v="-50.16401649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899999999999983"/>
    <n v="2.1111111111111116"/>
    <s v="-"/>
    <s v="11,79"/>
    <n v="0.56000000000000005"/>
    <m/>
    <m/>
    <m/>
    <m/>
    <s v="ATENDE"/>
    <s v="ATENDE"/>
    <s v="ATENDE"/>
    <s v="ATENDE"/>
    <s v="C4"/>
    <s v="P6"/>
    <n v="0.71333333333333315"/>
    <n v="5.14"/>
    <n v="3.2"/>
    <n v="3"/>
    <n v="0.6"/>
    <s v="ATENDE"/>
    <s v="ATENDE"/>
    <s v="ATENDE"/>
    <s v="P6"/>
    <n v="2.186666666666667"/>
    <s v="9,56"/>
    <n v="5.110000000000000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m/>
    <m/>
    <m/>
    <m/>
    <m/>
    <m/>
    <m/>
    <m/>
    <n v="40"/>
    <n v="100"/>
    <n v="140"/>
    <n v="0.6"/>
    <m/>
    <m/>
    <s v="Sim"/>
    <m/>
  </r>
  <r>
    <n v="161"/>
    <s v="PVP"/>
    <s v="Rua Rio Grande do Norte, 277"/>
    <n v="-30.050855309999999"/>
    <n v="-50.16634486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000000000000016E-2"/>
    <n v="1.3333333333333335"/>
    <s v="-"/>
    <n v="10.18"/>
    <n v="0.42"/>
    <m/>
    <m/>
    <m/>
    <m/>
    <s v="ATENDE"/>
    <s v="ATENDE"/>
    <s v="ATENDE"/>
    <s v="ATENDE"/>
    <s v="C4"/>
    <s v="P6"/>
    <n v="1.1633333333333336"/>
    <n v="6.49"/>
    <n v="3.34"/>
    <n v="3"/>
    <n v="0.6"/>
    <s v="ATENDE"/>
    <s v="ATENDE"/>
    <s v="ATENDE"/>
    <s v="-"/>
    <e v="#VALUE!"/>
    <n v="8.6199999999999992"/>
    <n v="3.38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1"/>
    <s v="PVP"/>
    <s v="Rua Rio Grande do Norte, 277"/>
    <n v="-30.050855309999999"/>
    <n v="-50.16634486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1.2777777777777777"/>
    <s v="-"/>
    <n v="10.74"/>
    <n v="0.41"/>
    <m/>
    <m/>
    <m/>
    <m/>
    <s v="ATENDE"/>
    <s v="ATENDE"/>
    <s v="ATENDE"/>
    <s v="ATENDE"/>
    <s v="C4"/>
    <s v="P6"/>
    <n v="0.5199999999999998"/>
    <n v="4.5599999999999996"/>
    <n v="2.38"/>
    <n v="3"/>
    <n v="0.6"/>
    <s v="ATENDE"/>
    <s v="ATENDE"/>
    <s v="ATENDE"/>
    <s v="-"/>
    <e v="#VALUE!"/>
    <n v="9.07"/>
    <n v="2.4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61"/>
    <s v="PVP"/>
    <s v="Rua Rio Grande do Norte, 277"/>
    <n v="-30.050855309999999"/>
    <n v="-50.16634486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2999999999999972E-2"/>
    <n v="1.6666666666666665"/>
    <s v="-"/>
    <n v="10.93"/>
    <n v="0.48"/>
    <m/>
    <m/>
    <m/>
    <m/>
    <s v="ATENDE"/>
    <s v="ATENDE"/>
    <s v="ATENDE"/>
    <s v="ATENDE"/>
    <s v="C4"/>
    <s v="P6"/>
    <n v="0.58999999999999986"/>
    <n v="4.7699999999999996"/>
    <n v="2.7"/>
    <n v="3"/>
    <n v="0.6"/>
    <s v="ATENDE"/>
    <s v="ATENDE"/>
    <s v="ATENDE"/>
    <s v="-"/>
    <e v="#VALUE!"/>
    <n v="8.8699999999999992"/>
    <s v="3,99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n v="0"/>
    <n v="0"/>
    <m/>
    <s v="Curto II"/>
    <s v="Curto I"/>
    <n v="1.2"/>
    <n v="6.5"/>
    <m/>
    <m/>
    <m/>
    <m/>
    <m/>
    <m/>
    <n v="40"/>
    <n v="100"/>
    <n v="140"/>
    <n v="0.6"/>
    <m/>
    <m/>
    <s v="Sim"/>
    <m/>
  </r>
  <r>
    <n v="162"/>
    <s v="PVP"/>
    <s v="Rua Sao Sebastiao do Cai, 2857"/>
    <n v="-30.048725900000001"/>
    <n v="-50.1641245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100000000000013E-2"/>
    <n v="1.3333333333333335"/>
    <s v="-"/>
    <n v="10.210000000000001"/>
    <n v="0.42"/>
    <m/>
    <m/>
    <m/>
    <m/>
    <s v="ATENDE"/>
    <s v="ATENDE"/>
    <s v="ATENDE"/>
    <s v="ATENDE"/>
    <s v="C4"/>
    <s v="P6"/>
    <n v="1.1999999999999997"/>
    <n v="6.6"/>
    <n v="3.38"/>
    <n v="3"/>
    <n v="0.6"/>
    <s v="ATENDE"/>
    <s v="ATENDE"/>
    <s v="ATENDE"/>
    <s v="P6"/>
    <n v="1.8266666666666667"/>
    <n v="8.48"/>
    <n v="3.3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2"/>
    <s v="PVP"/>
    <s v="Rua Sao Sebastiao do Cai, 2857"/>
    <n v="-30.048725900000001"/>
    <n v="-50.1641245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1900000000000004"/>
    <n v="1.8888888888888893"/>
    <s v="-"/>
    <n v="14.19"/>
    <n v="0.52"/>
    <m/>
    <m/>
    <m/>
    <m/>
    <s v="ATENDE"/>
    <s v="ATENDE"/>
    <s v="ATENDE"/>
    <s v="ATENDE"/>
    <s v="C4"/>
    <s v="P6"/>
    <n v="2.0066666666666664"/>
    <n v="9.02"/>
    <n v="6.65"/>
    <n v="3"/>
    <n v="0.6"/>
    <s v="ATENDE"/>
    <s v="ATENDE"/>
    <s v="ATENDE"/>
    <s v="P6"/>
    <n v="2.7266666666666666"/>
    <n v="11.18"/>
    <n v="4.3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62"/>
    <s v="PVP"/>
    <s v="Rua Sao Sebastiao do Cai, 2857"/>
    <n v="-30.048725900000001"/>
    <n v="-50.1641245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399999999999987"/>
    <n v="1.7222222222222223"/>
    <s v="-"/>
    <n v="11.04"/>
    <n v="0.49"/>
    <m/>
    <m/>
    <m/>
    <m/>
    <s v="ATENDE"/>
    <s v="ATENDE"/>
    <s v="ATENDE"/>
    <s v="ATENDE"/>
    <s v="C4"/>
    <s v="P6"/>
    <n v="0.68666666666666654"/>
    <n v="5.0599999999999996"/>
    <n v="2.91"/>
    <n v="3"/>
    <n v="0.6"/>
    <s v="ATENDE"/>
    <s v="ATENDE"/>
    <s v="ATENDE"/>
    <s v="P6"/>
    <n v="1.8366666666666664"/>
    <n v="8.51"/>
    <n v="3.8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63"/>
    <s v="PV"/>
    <s v="Rua Sao Jorge, 1156"/>
    <n v="-30.046629719999999"/>
    <n v="-50.161162439999998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0999999999999961E-2"/>
    <n v="1.5"/>
    <s v="-"/>
    <n v="10.81"/>
    <n v="0.45"/>
    <m/>
    <m/>
    <m/>
    <m/>
    <s v="ATENDE"/>
    <s v="ATENDE"/>
    <s v="ATENDE"/>
    <s v="ATENDE"/>
    <s v="C4"/>
    <s v="P6"/>
    <n v="2.0466666666666669"/>
    <n v="9.14"/>
    <n v="3.87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3"/>
    <s v="PV"/>
    <s v="Rua Sao Jorge, 1156"/>
    <n v="-30.046629719999999"/>
    <n v="-50.161162439999998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8000000000000025E-2"/>
    <n v="2.4444444444444446"/>
    <s v="-"/>
    <n v="10.28"/>
    <n v="0.62"/>
    <m/>
    <m/>
    <m/>
    <m/>
    <s v="ATENDE"/>
    <s v="ATENDE"/>
    <s v="ATENDE"/>
    <s v="ATENDE"/>
    <s v="C4"/>
    <s v="P6"/>
    <n v="1.9033333333333338"/>
    <n v="8.7100000000000009"/>
    <n v="4.41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163"/>
    <s v="PV"/>
    <s v="Rua Sao Jorge, 1156"/>
    <n v="-30.046629719999999"/>
    <n v="-50.161162439999998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2.0555555555555558"/>
    <s v="-"/>
    <n v="11.67"/>
    <n v="0.55000000000000004"/>
    <m/>
    <m/>
    <m/>
    <m/>
    <s v="ATENDE"/>
    <s v="ATENDE"/>
    <s v="ATENDE"/>
    <s v="ATENDE"/>
    <s v="C4"/>
    <s v="P6"/>
    <n v="2.0766666666666667"/>
    <n v="9.23"/>
    <n v="4.76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64"/>
    <s v="PVP"/>
    <s v="Rua Parana, 2381"/>
    <n v="-30.045665530000001"/>
    <n v="-50.161360610000003"/>
    <x v="2"/>
    <s v="-"/>
    <x v="1"/>
    <s v="Vapor metálico"/>
    <n v="100"/>
    <n v="17"/>
    <n v="0"/>
    <n v="200"/>
    <n v="2"/>
    <n v="2.5"/>
    <n v="6.8"/>
    <m/>
    <m/>
    <n v="0"/>
    <n v="2.5"/>
    <n v="0"/>
    <n v="0"/>
    <n v="0"/>
    <n v="0"/>
    <n v="0"/>
    <s v="Unilateral"/>
    <s v="Braço"/>
    <n v="34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2999999999999927E-2"/>
    <n v="1.1111111111111112"/>
    <s v="-"/>
    <n v="10.43"/>
    <n v="0.38"/>
    <m/>
    <m/>
    <m/>
    <m/>
    <s v="ATENDE"/>
    <s v="ATENDE"/>
    <s v="ATENDE"/>
    <s v="ATENDE"/>
    <s v="C4"/>
    <s v="P6"/>
    <n v="1.7200000000000002"/>
    <n v="8.16"/>
    <n v="4.01"/>
    <n v="3"/>
    <n v="0.6"/>
    <s v="ATENDE"/>
    <s v="ATENDE"/>
    <s v="ATENDE"/>
    <s v="P6"/>
    <n v="1.25"/>
    <n v="6.75"/>
    <n v="2.95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Médio II"/>
    <m/>
    <s v=""/>
    <s v=""/>
    <m/>
    <m/>
    <m/>
    <m/>
    <m/>
    <m/>
    <n v="44"/>
    <n v="100"/>
    <n v="144"/>
    <n v="0.56000000000000005"/>
    <m/>
    <m/>
    <s v="Sim"/>
    <m/>
  </r>
  <r>
    <n v="164"/>
    <s v="PVP"/>
    <s v="Rua Parana, 2381"/>
    <n v="-30.045665530000001"/>
    <n v="-50.161360610000003"/>
    <x v="2"/>
    <s v="-"/>
    <x v="1"/>
    <s v="Vapor metálico"/>
    <n v="100"/>
    <n v="17"/>
    <n v="0"/>
    <n v="200"/>
    <n v="2"/>
    <n v="2.5"/>
    <n v="6.8"/>
    <m/>
    <m/>
    <n v="0"/>
    <n v="2.5"/>
    <n v="0"/>
    <n v="0"/>
    <n v="0"/>
    <n v="0"/>
    <n v="0"/>
    <s v="Unilateral"/>
    <s v="Braço"/>
    <n v="34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600000000000009"/>
    <n v="1.166666666666667"/>
    <s v="-"/>
    <n v="11.06"/>
    <n v="0.39"/>
    <m/>
    <m/>
    <m/>
    <m/>
    <s v="ATENDE"/>
    <s v="ATENDE"/>
    <s v="ATENDE"/>
    <s v="ATENDE"/>
    <s v="C4"/>
    <s v="P6"/>
    <n v="0.83666666666666667"/>
    <n v="5.51"/>
    <n v="2.96"/>
    <n v="3"/>
    <n v="0.6"/>
    <s v="ATENDE"/>
    <s v="ATENDE"/>
    <s v="ATENDE"/>
    <s v="P6"/>
    <n v="1.8333333333333335"/>
    <n v="8.5"/>
    <n v="2.2599999999999998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Médio II"/>
    <s v="Curto II"/>
    <n v="1.4"/>
    <n v="6.5"/>
    <m/>
    <m/>
    <m/>
    <m/>
    <m/>
    <m/>
    <n v="39"/>
    <n v="100"/>
    <n v="139"/>
    <n v="0.61"/>
    <m/>
    <m/>
    <s v="Sim"/>
    <m/>
  </r>
  <r>
    <n v="164"/>
    <s v="PVP"/>
    <s v="Rua Parana, 2381"/>
    <n v="-30.045665530000001"/>
    <n v="-50.161360610000003"/>
    <x v="2"/>
    <s v="-"/>
    <x v="1"/>
    <s v="Vapor metálico"/>
    <n v="100"/>
    <n v="17"/>
    <n v="0"/>
    <n v="200"/>
    <n v="2"/>
    <n v="2.5"/>
    <n v="6.8"/>
    <m/>
    <m/>
    <n v="0"/>
    <n v="2.5"/>
    <n v="0"/>
    <n v="0"/>
    <n v="0"/>
    <n v="0"/>
    <n v="0"/>
    <s v="Unilateral"/>
    <s v="Braço"/>
    <n v="34.299999999999997"/>
    <n v="7.5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9999999999999"/>
    <n v="1.5"/>
    <s v="-"/>
    <n v="11.42"/>
    <n v="0.45"/>
    <m/>
    <m/>
    <m/>
    <m/>
    <s v="ATENDE"/>
    <s v="ATENDE"/>
    <s v="ATENDE"/>
    <s v="ATENDE"/>
    <s v="C4"/>
    <s v="P6"/>
    <n v="1.46"/>
    <n v="7.38"/>
    <n v="4.26"/>
    <n v="3"/>
    <n v="0.6"/>
    <s v="ATENDE"/>
    <s v="ATENDE"/>
    <s v="ATENDE"/>
    <s v="P6"/>
    <n v="1.1499999999999999"/>
    <n v="6.45"/>
    <n v="2.97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Médio II"/>
    <m/>
    <s v=""/>
    <s v=""/>
    <m/>
    <m/>
    <m/>
    <m/>
    <m/>
    <m/>
    <n v="40"/>
    <n v="100"/>
    <n v="140"/>
    <n v="0.6"/>
    <m/>
    <m/>
    <s v="Sim"/>
    <m/>
  </r>
  <r>
    <n v="165"/>
    <s v="PV"/>
    <s v="Rua Rio de Janeiro, 2333"/>
    <n v="-30.044685049999998"/>
    <n v="-50.163065000000003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0"/>
    <n v="7.5"/>
    <n v="1"/>
    <n v="0.5"/>
    <n v="2.5"/>
    <n v="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000000000000085E-2"/>
    <n v="0.11111111111111116"/>
    <s v="-"/>
    <n v="10.96"/>
    <n v="0.2"/>
    <m/>
    <m/>
    <m/>
    <m/>
    <s v="ATENDE"/>
    <s v="ATENDE"/>
    <s v="ATENDE"/>
    <s v="ATENDE"/>
    <s v="C4"/>
    <s v="P6"/>
    <n v="1.3966666666666669"/>
    <n v="7.19"/>
    <n v="1.3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Médio II"/>
    <m/>
    <s v=""/>
    <s v=""/>
    <m/>
    <m/>
    <m/>
    <m/>
    <m/>
    <m/>
    <n v="65"/>
    <n v="100"/>
    <n v="165"/>
    <n v="0.35"/>
    <m/>
    <m/>
    <s v="Sim"/>
    <m/>
  </r>
  <r>
    <n v="165"/>
    <s v="PV"/>
    <s v="Rua Rio de Janeiro, 2333"/>
    <n v="-30.044685049999998"/>
    <n v="-50.163065000000003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0"/>
    <n v="7.5"/>
    <n v="1"/>
    <n v="0.5"/>
    <n v="2.5"/>
    <n v="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1799999999999993"/>
    <n v="0.11111111111111116"/>
    <s v="-"/>
    <n v="14.18"/>
    <n v="0.2"/>
    <m/>
    <m/>
    <m/>
    <m/>
    <s v="ATENDE"/>
    <s v="ATENDE"/>
    <s v="ATENDE"/>
    <s v="ATENDE"/>
    <s v="C4"/>
    <s v="P6"/>
    <n v="2.3566666666666669"/>
    <n v="10.07"/>
    <n v="1.84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m/>
    <s v="Médio II"/>
    <m/>
    <s v=""/>
    <s v=""/>
    <m/>
    <m/>
    <m/>
    <m/>
    <m/>
    <m/>
    <n v="70"/>
    <n v="100"/>
    <n v="170"/>
    <n v="0.30000000000000004"/>
    <m/>
    <m/>
    <s v="Sim"/>
    <m/>
  </r>
  <r>
    <n v="165"/>
    <s v="PV"/>
    <s v="Rua Rio de Janeiro, 2333"/>
    <n v="-30.044685049999998"/>
    <n v="-50.163065000000003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50"/>
    <n v="7.5"/>
    <n v="1"/>
    <n v="0.5"/>
    <n v="2.5"/>
    <n v="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600000000000014"/>
    <n v="2.833333333333333"/>
    <s v="-"/>
    <s v="11,56"/>
    <n v="0.69"/>
    <m/>
    <m/>
    <m/>
    <m/>
    <s v="ATENDE"/>
    <s v="ATENDE"/>
    <s v="ATENDE"/>
    <s v="ATENDE"/>
    <s v="C4"/>
    <s v="P6"/>
    <n v="1.3666666666666667"/>
    <n v="7.1"/>
    <n v="4.9800000000000004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I"/>
    <m/>
    <m/>
    <m/>
    <s v="APEA"/>
    <n v="1"/>
    <m/>
    <s v="Reduzido espaçamento de 50 mts para 25 mts, mantendo os mesmos parâmetros"/>
    <m/>
    <m/>
    <n v="30"/>
    <n v="100"/>
    <n v="130"/>
    <n v="0.7"/>
    <m/>
    <m/>
    <s v="Sim"/>
    <m/>
  </r>
  <r>
    <n v="166"/>
    <s v="VP"/>
    <s v="Avenida Manaus, 1564"/>
    <n v="-30.042741719999999"/>
    <n v="-50.166589999999999"/>
    <x v="2"/>
    <s v="-"/>
    <x v="1"/>
    <s v="Vapor de sódio"/>
    <n v="150"/>
    <n v="22"/>
    <n v="0"/>
    <n v="300"/>
    <n v="2"/>
    <n v="0"/>
    <n v="7"/>
    <m/>
    <m/>
    <n v="0"/>
    <n v="2.5"/>
    <n v="0"/>
    <n v="0"/>
    <n v="0"/>
    <n v="0"/>
    <n v="0"/>
    <s v="Unilateral"/>
    <s v="Braço"/>
    <n v="34.299999999999997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099999999999985"/>
    <n v="0.72222222222222232"/>
    <s v="-"/>
    <n v="12.11"/>
    <n v="0.31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-"/>
    <e v="#VALUE!"/>
    <n v="5.16"/>
    <n v="2.19"/>
    <s v="-"/>
    <s v="-"/>
    <s v="-"/>
    <s v="-"/>
    <s v="-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166"/>
    <s v="VP"/>
    <s v="Avenida Manaus, 1564"/>
    <n v="-30.042741719999999"/>
    <n v="-50.166589999999999"/>
    <x v="2"/>
    <s v="-"/>
    <x v="1"/>
    <s v="Vapor de sódio"/>
    <n v="150"/>
    <n v="22"/>
    <n v="0"/>
    <n v="300"/>
    <n v="2"/>
    <n v="0"/>
    <n v="7"/>
    <m/>
    <m/>
    <n v="0"/>
    <n v="2.5"/>
    <n v="0"/>
    <n v="0"/>
    <n v="0"/>
    <n v="0"/>
    <n v="0"/>
    <s v="Unilateral"/>
    <s v="Braço"/>
    <n v="34.299999999999997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000000000000009"/>
    <n v="1.4444444444444446"/>
    <s v="-"/>
    <n v="13.5"/>
    <n v="0.44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-"/>
    <e v="#VALUE!"/>
    <n v="4.9400000000000004"/>
    <n v="3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s v="APEA"/>
    <n v="1"/>
    <m/>
    <s v="Reduzido espaçamento de 72,5 mts para 36.25 mts, mantendo os mesmos parâmetros"/>
    <m/>
    <m/>
    <n v="39"/>
    <n v="150"/>
    <n v="189"/>
    <n v="0.74"/>
    <m/>
    <m/>
    <s v="Sim"/>
    <m/>
  </r>
  <r>
    <n v="166"/>
    <s v="VP"/>
    <s v="Avenida Manaus, 1564"/>
    <n v="-30.042741719999999"/>
    <n v="-50.166589999999999"/>
    <x v="2"/>
    <s v="-"/>
    <x v="1"/>
    <s v="Vapor de sódio"/>
    <n v="150"/>
    <n v="22"/>
    <n v="0"/>
    <n v="300"/>
    <n v="2"/>
    <n v="0"/>
    <n v="7"/>
    <m/>
    <m/>
    <n v="0"/>
    <n v="2.5"/>
    <n v="0"/>
    <n v="0"/>
    <n v="0"/>
    <n v="0"/>
    <n v="0"/>
    <s v="Unilateral"/>
    <s v="Braço"/>
    <n v="34.299999999999997"/>
    <n v="7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9999999999999"/>
    <n v="1.2777777777777777"/>
    <s v="-"/>
    <n v="11.34"/>
    <n v="0.41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-"/>
    <e v="#VALUE!"/>
    <n v="4.12"/>
    <n v="2.5099999999999998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167"/>
    <s v="PVP"/>
    <s v="Rua Pernambuco, 1191"/>
    <n v="-30.035559970000001"/>
    <n v="-50.15764892"/>
    <x v="2"/>
    <s v="-"/>
    <x v="1"/>
    <s v="Vapor de sódio"/>
    <n v="100"/>
    <n v="17"/>
    <n v="0"/>
    <n v="200"/>
    <n v="2"/>
    <n v="2.8"/>
    <n v="7.2"/>
    <m/>
    <m/>
    <n v="0"/>
    <n v="2.6"/>
    <n v="0"/>
    <n v="0"/>
    <n v="0"/>
    <n v="0"/>
    <n v="0"/>
    <s v="Unilateral"/>
    <s v="Braço"/>
    <n v="34.799999999999997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1.3333333333333335"/>
    <s v="-"/>
    <n v="10.01"/>
    <n v="0.42"/>
    <m/>
    <m/>
    <m/>
    <m/>
    <s v="ATENDE"/>
    <s v="ATENDE"/>
    <s v="ATENDE"/>
    <s v="ATENDE"/>
    <s v="C4"/>
    <s v="P6"/>
    <n v="1.0366666666666666"/>
    <n v="6.11"/>
    <n v="3.14"/>
    <n v="3"/>
    <n v="0.6"/>
    <s v="ATENDE"/>
    <s v="ATENDE"/>
    <s v="ATENDE"/>
    <s v="P6"/>
    <n v="1.7966666666666669"/>
    <n v="8.39"/>
    <n v="3.2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7"/>
    <s v="PVP"/>
    <s v="Rua Pernambuco, 1191"/>
    <n v="-30.035559970000001"/>
    <n v="-50.15764892"/>
    <x v="2"/>
    <s v="-"/>
    <x v="1"/>
    <s v="Vapor de sódio"/>
    <n v="100"/>
    <n v="17"/>
    <n v="0"/>
    <n v="200"/>
    <n v="2"/>
    <n v="2.8"/>
    <n v="7.2"/>
    <m/>
    <m/>
    <n v="0"/>
    <n v="2.6"/>
    <n v="0"/>
    <n v="0"/>
    <n v="0"/>
    <n v="0"/>
    <n v="0"/>
    <s v="Unilateral"/>
    <s v="Braço"/>
    <n v="34.799999999999997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19999999999999"/>
    <n v="1.8888888888888893"/>
    <s v="-"/>
    <n v="13.92"/>
    <n v="0.52"/>
    <m/>
    <m/>
    <m/>
    <m/>
    <s v="ATENDE"/>
    <s v="ATENDE"/>
    <s v="ATENDE"/>
    <s v="ATENDE"/>
    <s v="C4"/>
    <s v="P6"/>
    <n v="1.7366666666666668"/>
    <n v="8.2100000000000009"/>
    <n v="6.05"/>
    <n v="3"/>
    <n v="0.6"/>
    <s v="ATENDE"/>
    <s v="ATENDE"/>
    <s v="ATENDE"/>
    <s v="P6"/>
    <n v="2.69"/>
    <n v="11.07"/>
    <n v="4.0999999999999996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67"/>
    <s v="PVP"/>
    <s v="Rua Pernambuco, 1191"/>
    <n v="-30.035559970000001"/>
    <n v="-50.15764892"/>
    <x v="2"/>
    <s v="-"/>
    <x v="1"/>
    <s v="Vapor de sódio"/>
    <n v="100"/>
    <n v="17"/>
    <n v="0"/>
    <n v="200"/>
    <n v="2"/>
    <n v="2.8"/>
    <n v="7.2"/>
    <m/>
    <m/>
    <n v="0"/>
    <n v="2.6"/>
    <n v="0"/>
    <n v="0"/>
    <n v="0"/>
    <n v="0"/>
    <n v="0"/>
    <s v="Unilateral"/>
    <s v="Braço"/>
    <n v="34.799999999999997"/>
    <n v="7.5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999999999999956E-2"/>
    <n v="1.5555555555555558"/>
    <s v="-"/>
    <n v="10.75"/>
    <n v="0.46"/>
    <m/>
    <m/>
    <m/>
    <m/>
    <s v="ATENDE"/>
    <s v="ATENDE"/>
    <s v="ATENDE"/>
    <s v="ATENDE"/>
    <s v="C4"/>
    <s v="P6"/>
    <n v="0.4800000000000002"/>
    <n v="4.4400000000000004"/>
    <n v="2.42"/>
    <n v="3"/>
    <n v="0.6"/>
    <s v="ATENDE"/>
    <s v="ATENDE"/>
    <s v="ATENDE"/>
    <s v="P6"/>
    <n v="1.813333333333333"/>
    <n v="8.44"/>
    <n v="3.65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68"/>
    <s v="PVP"/>
    <s v="Rua Sao Paulo, 1427"/>
    <n v="-30.036046349999999"/>
    <n v="-50.163120710000001"/>
    <x v="2"/>
    <s v="-"/>
    <x v="1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3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99999999999994E-2"/>
    <n v="1.1111111111111112"/>
    <s v="-"/>
    <n v="10.57"/>
    <n v="0.38"/>
    <m/>
    <m/>
    <m/>
    <m/>
    <s v="ATENDE"/>
    <s v="ATENDE"/>
    <s v="ATENDE"/>
    <s v="ATENDE"/>
    <s v="C4"/>
    <s v="P6"/>
    <n v="1.04"/>
    <n v="6.12"/>
    <n v="2.88"/>
    <n v="3"/>
    <n v="0.6"/>
    <s v="ATENDE"/>
    <s v="ATENDE"/>
    <s v="ATENDE"/>
    <s v="P6"/>
    <n v="1.9833333333333329"/>
    <n v="8.9499999999999993"/>
    <n v="3.04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68"/>
    <s v="PVP"/>
    <s v="Rua Sao Paulo, 1427"/>
    <n v="-30.036046349999999"/>
    <n v="-50.163120710000001"/>
    <x v="2"/>
    <s v="-"/>
    <x v="1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3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3"/>
    <n v="1.6111111111111112"/>
    <s v="-"/>
    <n v="10.06"/>
    <n v="0.47"/>
    <m/>
    <m/>
    <m/>
    <m/>
    <s v="ATENDE"/>
    <s v="ATENDE"/>
    <s v="ATENDE"/>
    <s v="ATENDE"/>
    <s v="C4"/>
    <s v="P6"/>
    <n v="0.69000000000000017"/>
    <n v="5.07"/>
    <n v="3.14"/>
    <n v="3"/>
    <n v="0.6"/>
    <s v="ATENDE"/>
    <s v="ATENDE"/>
    <s v="ATENDE"/>
    <s v="P6"/>
    <n v="1.83"/>
    <n v="8.49"/>
    <n v="2.8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68"/>
    <s v="PVP"/>
    <s v="Rua Sao Paulo, 1427"/>
    <n v="-30.036046349999999"/>
    <n v="-50.163120710000001"/>
    <x v="2"/>
    <s v="-"/>
    <x v="1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3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1"/>
    <s v="-"/>
    <n v="11.31"/>
    <n v="0.36"/>
    <m/>
    <m/>
    <m/>
    <m/>
    <s v="ATENDE"/>
    <s v="ATENDE"/>
    <s v="ATENDE"/>
    <s v="ATENDE"/>
    <s v="C4"/>
    <s v="P6"/>
    <n v="0.41666666666666674"/>
    <n v="4.25"/>
    <n v="1.89"/>
    <n v="3"/>
    <n v="0.6"/>
    <s v="ATENDE"/>
    <s v="ATENDE"/>
    <s v="ATENDE"/>
    <s v="P6"/>
    <n v="2"/>
    <n v="9"/>
    <n v="3.04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69"/>
    <s v="VP"/>
    <s v="Avenida Curitiba, 1572"/>
    <n v="-30.035742979999998"/>
    <n v="-50.162462300000001"/>
    <x v="3"/>
    <s v="-"/>
    <x v="1"/>
    <s v="Vapor de sódio"/>
    <n v="150"/>
    <n v="22"/>
    <n v="0"/>
    <n v="600"/>
    <n v="2"/>
    <n v="2.9"/>
    <n v="7.5"/>
    <m/>
    <m/>
    <n v="0"/>
    <n v="0"/>
    <n v="6"/>
    <n v="0"/>
    <n v="0"/>
    <n v="0"/>
    <n v="0"/>
    <s v="Canteiro central"/>
    <s v="Braço"/>
    <n v="32"/>
    <n v="7"/>
    <n v="2"/>
    <n v="3"/>
    <n v="1.3"/>
    <n v="-1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3000000000000012"/>
    <n v="7.1428571428571397E-2"/>
    <s v="-"/>
    <n v="22.6"/>
    <n v="0.3"/>
    <m/>
    <m/>
    <m/>
    <m/>
    <s v="ATENDE"/>
    <s v="ATENDE"/>
    <s v="ATENDE"/>
    <s v="ATENDE"/>
    <s v="C2"/>
    <s v="P6"/>
    <n v="1.1366666666666667"/>
    <n v="6.41"/>
    <n v="2.19"/>
    <n v="3"/>
    <n v="0.6"/>
    <s v="ATENDE"/>
    <s v="ATENDE"/>
    <s v="ATENDE"/>
    <s v="-"/>
    <e v="#VALUE!"/>
    <s v=" -"/>
    <s v=" -"/>
    <s v="-"/>
    <s v="-"/>
    <s v="-"/>
    <s v="-"/>
    <s v="-"/>
    <x v="0"/>
    <s v=" SL VT 9.1 85W"/>
    <s v="LUM LED SL VT 9.1 85W"/>
    <m/>
    <e v="#N/A"/>
    <n v="2"/>
    <n v="85"/>
    <n v="0"/>
    <n v="14489"/>
    <n v="0"/>
    <n v="0"/>
    <n v="10"/>
    <s v="Curto II"/>
    <m/>
    <s v=""/>
    <s v=""/>
    <m/>
    <m/>
    <m/>
    <m/>
    <m/>
    <m/>
    <n v="85"/>
    <n v="150"/>
    <n v="470"/>
    <n v="0.43333333333333335"/>
    <m/>
    <m/>
    <s v="Sim"/>
    <m/>
  </r>
  <r>
    <n v="169"/>
    <s v="VP"/>
    <s v="Avenida Curitiba, 1572"/>
    <n v="-30.035742979999998"/>
    <n v="-50.162462300000001"/>
    <x v="3"/>
    <s v="-"/>
    <x v="1"/>
    <s v="Vapor de sódio"/>
    <n v="150"/>
    <n v="22"/>
    <n v="0"/>
    <n v="600"/>
    <n v="2"/>
    <n v="2.9"/>
    <n v="7.5"/>
    <m/>
    <m/>
    <n v="0"/>
    <n v="0"/>
    <n v="6"/>
    <n v="0"/>
    <n v="0"/>
    <n v="0"/>
    <n v="0"/>
    <s v="Canteiro central"/>
    <s v="Braço"/>
    <n v="32"/>
    <n v="7"/>
    <n v="2"/>
    <n v="3"/>
    <n v="1.3"/>
    <n v="-1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1.0499999999999954E-2"/>
    <n v="0.3214285714285714"/>
    <s v="-"/>
    <n v="20.21"/>
    <n v="0.37"/>
    <m/>
    <m/>
    <m/>
    <m/>
    <s v="ATENDE"/>
    <s v="ATENDE"/>
    <s v="ATENDE"/>
    <s v="ATENDE"/>
    <s v="C2"/>
    <s v="P6"/>
    <n v="0.76"/>
    <n v="5.28"/>
    <n v="1.35"/>
    <n v="3"/>
    <n v="0.6"/>
    <s v="ATENDE"/>
    <s v="ATENDE"/>
    <s v="ATENDE"/>
    <s v="-"/>
    <e v="#VALUE!"/>
    <s v=" -"/>
    <s v=" -"/>
    <s v="-"/>
    <s v="-"/>
    <s v="-"/>
    <s v="-"/>
    <s v="-"/>
    <x v="1"/>
    <s v="SX-INLPP070HF"/>
    <s v="SXINLPP070K40L12CZF7PHF"/>
    <m/>
    <e v="#N/A"/>
    <n v="2"/>
    <n v="70"/>
    <n v="0"/>
    <n v="11970"/>
    <n v="0"/>
    <n v="0"/>
    <n v="8"/>
    <s v="Curto II"/>
    <m/>
    <m/>
    <m/>
    <m/>
    <m/>
    <m/>
    <m/>
    <m/>
    <m/>
    <n v="70"/>
    <n v="150"/>
    <n v="440"/>
    <n v="0.53333333333333333"/>
    <m/>
    <m/>
    <s v="Sim"/>
    <m/>
  </r>
  <r>
    <n v="169"/>
    <s v="VP"/>
    <s v="Avenida Curitiba, 1572"/>
    <n v="-30.035742979999998"/>
    <n v="-50.162462300000001"/>
    <x v="3"/>
    <s v="-"/>
    <x v="1"/>
    <s v="Vapor de sódio"/>
    <n v="150"/>
    <n v="22"/>
    <n v="0"/>
    <n v="600"/>
    <n v="2"/>
    <n v="2.9"/>
    <n v="7.5"/>
    <m/>
    <m/>
    <n v="0"/>
    <n v="0"/>
    <n v="6"/>
    <n v="0"/>
    <n v="0"/>
    <n v="0"/>
    <n v="0"/>
    <s v="Canteiro central"/>
    <s v="Braço"/>
    <n v="32"/>
    <n v="7"/>
    <n v="2"/>
    <n v="3"/>
    <n v="1.3"/>
    <n v="-1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2000000000000046E-2"/>
    <n v="0.53571428571428559"/>
    <s v="-"/>
    <n v="21.04"/>
    <n v="0.43"/>
    <m/>
    <m/>
    <m/>
    <m/>
    <s v="ATENDE"/>
    <s v="ATENDE"/>
    <s v="ATENDE"/>
    <s v="ATENDE"/>
    <s v="C2"/>
    <s v="P6"/>
    <n v="0.29000000000000004"/>
    <n v="3.87"/>
    <n v="1.33"/>
    <n v="3"/>
    <n v="0.6"/>
    <s v="ATENDE"/>
    <s v="ATENDE"/>
    <s v="ATENDE"/>
    <s v="-"/>
    <e v="#VALUE!"/>
    <s v=" -"/>
    <s v=" -"/>
    <s v="-"/>
    <s v="-"/>
    <s v="-"/>
    <s v="-"/>
    <s v="-"/>
    <x v="2"/>
    <s v="SIGMAGPTLRRSMNDL_80W_56IBBR_x000a_"/>
    <s v="SIGMAGPTLRRSMNDL_80W_56IBBR_x000a_S1-10C1MUN6.5"/>
    <m/>
    <e v="#N/A"/>
    <n v="2"/>
    <n v="80"/>
    <n v="0"/>
    <n v="13209"/>
    <n v="0"/>
    <n v="0"/>
    <n v="5"/>
    <s v="Curto II"/>
    <m/>
    <m/>
    <m/>
    <m/>
    <m/>
    <m/>
    <m/>
    <m/>
    <m/>
    <n v="80"/>
    <n v="150"/>
    <n v="460"/>
    <n v="0.46666666666666667"/>
    <m/>
    <m/>
    <s v="Sim"/>
    <m/>
  </r>
  <r>
    <n v="170"/>
    <s v="PVP"/>
    <s v="Rua Santa Catarina, 1443"/>
    <n v="-30.036167890000002"/>
    <n v="-50.162467149999998"/>
    <x v="2"/>
    <s v="-"/>
    <x v="1"/>
    <s v="Vapor de sódio"/>
    <n v="100"/>
    <n v="17"/>
    <n v="0"/>
    <n v="200"/>
    <n v="2"/>
    <n v="2.5"/>
    <n v="7"/>
    <m/>
    <m/>
    <n v="0"/>
    <n v="2.7"/>
    <n v="0"/>
    <n v="0"/>
    <n v="0"/>
    <n v="0"/>
    <n v="0"/>
    <s v="Unilateral"/>
    <s v="Braço"/>
    <n v="7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700000000000001"/>
    <n v="1.1111111111111112"/>
    <s v="-"/>
    <n v="11.37"/>
    <n v="0.38"/>
    <m/>
    <m/>
    <m/>
    <m/>
    <s v="ATENDE"/>
    <s v="ATENDE"/>
    <s v="ATENDE"/>
    <s v="ATENDE"/>
    <s v="C4"/>
    <s v="P6"/>
    <n v="1.3733333333333335"/>
    <n v="7.12"/>
    <n v="3.31"/>
    <n v="3"/>
    <n v="0.6"/>
    <s v="ATENDE"/>
    <s v="ATENDE"/>
    <s v="ATENDE"/>
    <s v="P6"/>
    <n v="2.1999999999999997"/>
    <n v="9.6"/>
    <n v="3.4"/>
    <n v="3"/>
    <n v="0.6"/>
    <s v="ATENDE"/>
    <s v="ATENDE"/>
    <s v="ATENDE"/>
    <x v="0"/>
    <s v=" SL VT 9.1 52W"/>
    <s v="LUM LED SL VT 9.1 52W"/>
    <m/>
    <n v="0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70"/>
    <s v="PVP"/>
    <s v="Rua Santa Catarina, 1443"/>
    <n v="-30.036167890000002"/>
    <n v="-50.162467149999998"/>
    <x v="2"/>
    <s v="-"/>
    <x v="1"/>
    <s v="Vapor de sódio"/>
    <n v="100"/>
    <n v="17"/>
    <n v="0"/>
    <n v="200"/>
    <n v="2"/>
    <n v="2.5"/>
    <n v="7"/>
    <m/>
    <m/>
    <n v="0"/>
    <n v="2.7"/>
    <n v="0"/>
    <n v="0"/>
    <n v="0"/>
    <n v="0"/>
    <n v="0"/>
    <s v="Unilateral"/>
    <s v="Braço"/>
    <n v="7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699999999999998"/>
    <n v="1.5555555555555558"/>
    <s v="-"/>
    <n v="13.47"/>
    <n v="0.46"/>
    <m/>
    <m/>
    <m/>
    <m/>
    <s v="ATENDE"/>
    <s v="ATENDE"/>
    <s v="ATENDE"/>
    <s v="ATENDE"/>
    <s v="C4"/>
    <s v="P6"/>
    <n v="1.7466666666666666"/>
    <n v="8.24"/>
    <n v="5.8"/>
    <n v="3"/>
    <n v="0.6"/>
    <s v="ATENDE"/>
    <s v="ATENDE"/>
    <s v="ATENDE"/>
    <s v="P6"/>
    <n v="2.6199999999999997"/>
    <n v="10.86"/>
    <n v="3.39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70"/>
    <s v="PVP"/>
    <s v="Rua Santa Catarina, 1443"/>
    <n v="-30.036167890000002"/>
    <n v="-50.162467149999998"/>
    <x v="2"/>
    <s v="-"/>
    <x v="1"/>
    <s v="Vapor de sódio"/>
    <n v="100"/>
    <n v="17"/>
    <n v="0"/>
    <n v="200"/>
    <n v="2"/>
    <n v="2.5"/>
    <n v="7"/>
    <m/>
    <m/>
    <n v="0"/>
    <n v="2.7"/>
    <n v="0"/>
    <n v="0"/>
    <n v="0"/>
    <n v="0"/>
    <n v="0"/>
    <s v="Unilateral"/>
    <s v="Braço"/>
    <n v="72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6000000000000041E-2"/>
    <n v="1.2777777777777777"/>
    <s v="-"/>
    <n v="10.46"/>
    <n v="0.41"/>
    <m/>
    <m/>
    <m/>
    <m/>
    <s v="ATENDE"/>
    <s v="ATENDE"/>
    <s v="ATENDE"/>
    <s v="ATENDE"/>
    <s v="C4"/>
    <s v="P6"/>
    <n v="0.51666666666666661"/>
    <n v="4.55"/>
    <n v="2.29"/>
    <n v="3"/>
    <n v="0.6"/>
    <s v="ATENDE"/>
    <s v="ATENDE"/>
    <s v="ATENDE"/>
    <s v="P6"/>
    <n v="1.7566666666666664"/>
    <n v="8.27"/>
    <n v="3.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1"/>
    <s v="VP"/>
    <s v="Rua Sergipe, 1272"/>
    <n v="-30.034873739999998"/>
    <n v="-50.162887660000003"/>
    <x v="1"/>
    <s v="-"/>
    <x v="1"/>
    <s v="Vapor de sódio"/>
    <n v="100"/>
    <n v="17"/>
    <n v="0"/>
    <n v="200"/>
    <n v="2"/>
    <n v="0"/>
    <n v="7.5"/>
    <m/>
    <m/>
    <n v="0"/>
    <n v="3.2"/>
    <n v="0"/>
    <n v="0"/>
    <n v="0"/>
    <n v="0"/>
    <n v="0"/>
    <s v="Bilateral alternada"/>
    <s v="Braço"/>
    <n v="28"/>
    <n v="7"/>
    <n v="1"/>
    <n v="0.3"/>
    <n v="1.3"/>
    <n v="1"/>
    <s v="-"/>
    <s v="-"/>
    <s v="Não"/>
    <n v="3"/>
    <n v="0"/>
    <n v="0"/>
    <n v="0"/>
    <n v="0"/>
    <n v="0"/>
    <s v="-"/>
    <n v="0"/>
    <m/>
    <n v="7.5"/>
    <n v="0.18"/>
    <s v="-"/>
    <n v="0.18"/>
    <s v="-"/>
    <n v="16"/>
    <s v="ATENDE"/>
    <n v="0.36933333333333329"/>
    <n v="3.4444444444444446"/>
    <s v="-"/>
    <n v="10.27"/>
    <n v="0.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1.2233333333333332"/>
    <n v="6.67"/>
    <n v="4.49"/>
    <n v="3"/>
    <n v="0.6"/>
    <s v="ATENDE"/>
    <s v="ATENDE"/>
    <s v="ATENDE"/>
    <x v="0"/>
    <s v=" SL VT 9.1 17W"/>
    <s v="LUM LED SL VT 9.1 17W"/>
    <m/>
    <e v="#N/A"/>
    <n v="1"/>
    <n v="17"/>
    <n v="0"/>
    <n v="2929.66"/>
    <n v="0"/>
    <n v="0"/>
    <m/>
    <s v="Curto II"/>
    <m/>
    <s v=""/>
    <s v=""/>
    <m/>
    <m/>
    <m/>
    <m/>
    <m/>
    <m/>
    <n v="17"/>
    <n v="100"/>
    <n v="117"/>
    <n v="0.83"/>
    <m/>
    <m/>
    <s v="Sim"/>
    <m/>
  </r>
  <r>
    <n v="171"/>
    <s v="VP"/>
    <s v="Rua Sergipe, 1272"/>
    <n v="-30.034873739999998"/>
    <n v="-50.162887660000003"/>
    <x v="1"/>
    <s v="-"/>
    <x v="1"/>
    <s v="Vapor de sódio"/>
    <n v="100"/>
    <n v="17"/>
    <n v="0"/>
    <n v="200"/>
    <n v="2"/>
    <n v="0"/>
    <n v="7.5"/>
    <m/>
    <m/>
    <n v="0"/>
    <n v="3.2"/>
    <n v="0"/>
    <n v="0"/>
    <n v="0"/>
    <n v="0"/>
    <n v="0"/>
    <s v="Bilateral alternada"/>
    <s v="Braço"/>
    <n v="28"/>
    <n v="7"/>
    <n v="1"/>
    <n v="0.3"/>
    <n v="1.3"/>
    <n v="1"/>
    <s v="-"/>
    <s v="-"/>
    <s v="Não"/>
    <n v="3"/>
    <n v="0"/>
    <n v="0"/>
    <n v="0"/>
    <n v="0"/>
    <n v="0"/>
    <s v="-"/>
    <n v="0"/>
    <m/>
    <n v="7.5"/>
    <n v="0.18"/>
    <s v="-"/>
    <n v="0.18"/>
    <s v="-"/>
    <n v="16"/>
    <s v="ATENDE"/>
    <n v="0.89600000000000013"/>
    <n v="3.0555555555555554"/>
    <s v="-"/>
    <n v="14.22"/>
    <n v="0.7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1.7033333333333331"/>
    <n v="8.11"/>
    <n v="3.97"/>
    <n v="3"/>
    <n v="0.6"/>
    <s v="ATENDE"/>
    <s v="ATENDE"/>
    <s v="ATENDE"/>
    <x v="1"/>
    <s v="SX-INEVO020HF"/>
    <s v="SXINEVO020K40L12CZF7PHF"/>
    <m/>
    <e v="#N/A"/>
    <n v="1"/>
    <n v="22.5"/>
    <e v="#N/A"/>
    <n v="3825"/>
    <e v="#N/A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171"/>
    <s v="VP"/>
    <s v="Rua Sergipe, 1272"/>
    <n v="-30.034873739999998"/>
    <n v="-50.162887660000003"/>
    <x v="1"/>
    <s v="-"/>
    <x v="1"/>
    <s v="Vapor de sódio"/>
    <n v="100"/>
    <n v="17"/>
    <n v="0"/>
    <n v="200"/>
    <n v="2"/>
    <n v="0"/>
    <n v="7.5"/>
    <m/>
    <m/>
    <n v="0"/>
    <n v="3.2"/>
    <n v="0"/>
    <n v="0"/>
    <n v="0"/>
    <n v="0"/>
    <n v="0"/>
    <s v="Bilateral alternada"/>
    <s v="Braço"/>
    <n v="28"/>
    <n v="7"/>
    <n v="1"/>
    <n v="0.3"/>
    <n v="1.3"/>
    <n v="1"/>
    <s v="-"/>
    <s v="-"/>
    <s v="Não"/>
    <n v="3"/>
    <n v="0"/>
    <n v="0"/>
    <n v="0"/>
    <n v="0"/>
    <n v="0"/>
    <s v="-"/>
    <n v="0"/>
    <m/>
    <n v="7.5"/>
    <n v="0.18"/>
    <s v="-"/>
    <n v="0.18"/>
    <s v="-"/>
    <n v="16"/>
    <s v="ATENDE"/>
    <n v="1.7626666666666666"/>
    <n v="2.9444444444444442"/>
    <s v="-"/>
    <n v="20.72"/>
    <n v="0.71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2.8200000000000003"/>
    <n v="11.46"/>
    <n v="6.7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172"/>
    <s v="PVP"/>
    <s v="Estrada do Agual, 681"/>
    <n v="-30.034049150000001"/>
    <n v="-50.168407449999997"/>
    <x v="2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7.2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0.7777777777777779"/>
    <s v="-"/>
    <n v="11.67"/>
    <n v="0.32"/>
    <m/>
    <m/>
    <m/>
    <m/>
    <s v="ATENDE"/>
    <s v="ATENDE"/>
    <s v="ATENDE"/>
    <s v="ATENDE"/>
    <s v="C4"/>
    <s v="P6"/>
    <n v="2.0933333333333333"/>
    <n v="9.2799999999999994"/>
    <n v="2.67"/>
    <n v="3"/>
    <n v="0.6"/>
    <s v="ATENDE"/>
    <s v="ATENDE"/>
    <s v="ATENDE"/>
    <s v="P6"/>
    <n v="1.17"/>
    <n v="6.51"/>
    <n v="2.64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72"/>
    <s v="PVP"/>
    <s v="Estrada do Agual, 681"/>
    <n v="-30.034049150000001"/>
    <n v="-50.168407449999997"/>
    <x v="2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7.2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300000000000001"/>
    <n v="0.83333333333333348"/>
    <s v="-"/>
    <n v="13.83"/>
    <n v="0.33"/>
    <m/>
    <m/>
    <m/>
    <m/>
    <s v="ATENDE"/>
    <s v="ATENDE"/>
    <s v="ATENDE"/>
    <s v="ATENDE"/>
    <s v="C4"/>
    <s v="P6"/>
    <n v="2.436666666666667"/>
    <n v="10.31"/>
    <n v="1.83"/>
    <n v="3"/>
    <n v="0.6"/>
    <s v="ATENDE"/>
    <s v="ATENDE"/>
    <s v="ATENDE"/>
    <s v="P6"/>
    <n v="1.4366666666666665"/>
    <n v="7.31"/>
    <n v="4.21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72"/>
    <s v="PVP"/>
    <s v="Estrada do Agual, 681"/>
    <n v="-30.034049150000001"/>
    <n v="-50.168407449999997"/>
    <x v="2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7.2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000000000000057E-2"/>
    <n v="0.44444444444444464"/>
    <s v="-"/>
    <n v="10.64"/>
    <n v="0.26"/>
    <m/>
    <m/>
    <m/>
    <m/>
    <s v="ATENDE"/>
    <s v="ATENDE"/>
    <s v="ATENDE"/>
    <s v="ATENDE"/>
    <s v="C4"/>
    <s v="P6"/>
    <n v="1.6266666666666665"/>
    <n v="7.88"/>
    <n v="1.84"/>
    <n v="3"/>
    <n v="0.6"/>
    <s v="ATENDE"/>
    <s v="ATENDE"/>
    <s v="ATENDE"/>
    <s v="P6"/>
    <n v="0.27"/>
    <n v="3.81"/>
    <n v="1.2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3"/>
    <s v="PV"/>
    <s v="Avenida Florianopolis, 1722"/>
    <n v="-30.03782335"/>
    <n v="-50.165285679999997"/>
    <x v="2"/>
    <s v="-"/>
    <x v="1"/>
    <s v="Vapor de sódio"/>
    <n v="150"/>
    <n v="22"/>
    <n v="0"/>
    <n v="300"/>
    <n v="2"/>
    <n v="4.5"/>
    <n v="8"/>
    <m/>
    <m/>
    <n v="0"/>
    <n v="0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1000000000000174E-2"/>
    <n v="1"/>
    <s v="-"/>
    <n v="10.71"/>
    <n v="0.36"/>
    <m/>
    <m/>
    <m/>
    <m/>
    <s v="ATENDE"/>
    <s v="ATENDE"/>
    <s v="ATENDE"/>
    <s v="ATENDE"/>
    <s v="C4"/>
    <s v="P6"/>
    <n v="1.65"/>
    <n v="7.95"/>
    <n v="2.64"/>
    <n v="3"/>
    <n v="0.6"/>
    <s v="ATENDE"/>
    <s v="ATENDE"/>
    <s v="ATENDE"/>
    <s v="-"/>
    <e v="#VALUE!"/>
    <m/>
    <m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173"/>
    <s v="PV"/>
    <s v="Avenida Florianopolis, 1722"/>
    <n v="-30.03782335"/>
    <n v="-50.165285679999997"/>
    <x v="2"/>
    <s v="-"/>
    <x v="1"/>
    <s v="Vapor de sódio"/>
    <n v="150"/>
    <n v="22"/>
    <n v="0"/>
    <n v="300"/>
    <n v="2"/>
    <n v="4.5"/>
    <n v="8"/>
    <m/>
    <m/>
    <n v="0"/>
    <n v="0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"/>
    <n v="1.5555555555555558"/>
    <s v="-"/>
    <n v="12.7"/>
    <n v="0.46"/>
    <m/>
    <m/>
    <m/>
    <m/>
    <s v="ATENDE"/>
    <s v="ATENDE"/>
    <s v="ATENDE"/>
    <s v="ATENDE"/>
    <s v="C4"/>
    <s v="P6"/>
    <n v="1.8900000000000001"/>
    <n v="8.67"/>
    <n v="1.75"/>
    <n v="3"/>
    <n v="0.6"/>
    <s v="ATENDE"/>
    <s v="ATENDE"/>
    <s v="ATENDE"/>
    <s v="-"/>
    <e v="#VALUE!"/>
    <m/>
    <m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173"/>
    <s v="PV"/>
    <s v="Avenida Florianopolis, 1722"/>
    <n v="-30.03782335"/>
    <n v="-50.165285679999997"/>
    <x v="2"/>
    <s v="-"/>
    <x v="1"/>
    <s v="Vapor de sódio"/>
    <n v="150"/>
    <n v="22"/>
    <n v="0"/>
    <n v="300"/>
    <n v="2"/>
    <n v="4.5"/>
    <n v="8"/>
    <m/>
    <m/>
    <n v="0"/>
    <n v="0"/>
    <n v="0"/>
    <n v="0"/>
    <n v="0"/>
    <n v="0"/>
    <n v="0"/>
    <s v="Unilateral"/>
    <s v="Braço"/>
    <n v="3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300000000000001"/>
    <n v="0.72222222222222232"/>
    <s v="-"/>
    <n v="11.33"/>
    <n v="0.31"/>
    <m/>
    <m/>
    <m/>
    <m/>
    <s v="ATENDE"/>
    <s v="ATENDE"/>
    <s v="ATENDE"/>
    <s v="ATENDE"/>
    <s v="C4"/>
    <s v="P6"/>
    <n v="1.7533333333333334"/>
    <n v="8.26"/>
    <n v="2.85"/>
    <n v="3"/>
    <n v="0.6"/>
    <s v="ATENDE"/>
    <s v="ATENDE"/>
    <s v="ATENDE"/>
    <s v="-"/>
    <e v="#VALUE!"/>
    <m/>
    <m/>
    <s v="-"/>
    <s v="-"/>
    <s v="-"/>
    <s v="-"/>
    <s v="-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174"/>
    <s v="PVP"/>
    <s v="Rua Rio Grande do Sul, 1613"/>
    <n v="-30.03875481"/>
    <n v="-50.161531420000003"/>
    <x v="2"/>
    <s v="-"/>
    <x v="1"/>
    <s v="Vapor de sódio"/>
    <n v="100"/>
    <n v="17"/>
    <n v="0"/>
    <n v="200"/>
    <n v="2"/>
    <n v="3.2"/>
    <n v="7"/>
    <m/>
    <m/>
    <n v="0"/>
    <n v="3.1"/>
    <n v="0"/>
    <n v="0"/>
    <n v="0"/>
    <n v="0"/>
    <n v="0"/>
    <s v="Unilateral"/>
    <s v="Braço"/>
    <n v="32.700000000000003"/>
    <n v="6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3000000000000123E-2"/>
    <n v="1"/>
    <s v="-"/>
    <n v="10.130000000000001"/>
    <n v="0.36"/>
    <m/>
    <m/>
    <m/>
    <m/>
    <s v="ATENDE"/>
    <s v="ATENDE"/>
    <s v="ATENDE"/>
    <s v="ATENDE"/>
    <s v="C4"/>
    <s v="P6"/>
    <n v="1.4300000000000002"/>
    <n v="7.29"/>
    <n v="2.13"/>
    <n v="3"/>
    <n v="0.6"/>
    <s v="ATENDE"/>
    <s v="ATENDE"/>
    <s v="ATENDE"/>
    <s v="P6"/>
    <n v="0.58000000000000007"/>
    <n v="4.74"/>
    <n v="1.8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74"/>
    <s v="PVP"/>
    <s v="Rua Rio Grande do Sul, 1613"/>
    <n v="-30.03875481"/>
    <n v="-50.161531420000003"/>
    <x v="2"/>
    <s v="-"/>
    <x v="1"/>
    <s v="Vapor de sódio"/>
    <n v="100"/>
    <n v="17"/>
    <n v="0"/>
    <n v="200"/>
    <n v="2"/>
    <n v="3.2"/>
    <n v="7"/>
    <m/>
    <m/>
    <n v="0"/>
    <n v="3.1"/>
    <n v="0"/>
    <n v="0"/>
    <n v="0"/>
    <n v="0"/>
    <n v="0"/>
    <s v="Unilateral"/>
    <s v="Braço"/>
    <n v="32.700000000000003"/>
    <n v="6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99999999999991"/>
    <n v="1.5"/>
    <s v="-"/>
    <n v="11.44"/>
    <n v="0.45"/>
    <m/>
    <m/>
    <m/>
    <m/>
    <s v="ATENDE"/>
    <s v="ATENDE"/>
    <s v="ATENDE"/>
    <s v="ATENDE"/>
    <s v="C4"/>
    <s v="P6"/>
    <n v="1.7866666666666666"/>
    <n v="8.36"/>
    <n v="2.2999999999999998"/>
    <n v="3"/>
    <n v="0.6"/>
    <s v="ATENDE"/>
    <s v="ATENDE"/>
    <s v="ATENDE"/>
    <s v="P6"/>
    <n v="0.55000000000000004"/>
    <n v="4.6500000000000004"/>
    <n v="2.2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74"/>
    <s v="PVP"/>
    <s v="Rua Rio Grande do Sul, 1613"/>
    <n v="-30.03875481"/>
    <n v="-50.161531420000003"/>
    <x v="2"/>
    <s v="-"/>
    <x v="1"/>
    <s v="Vapor de sódio"/>
    <n v="100"/>
    <n v="17"/>
    <n v="0"/>
    <n v="200"/>
    <n v="2"/>
    <n v="3.2"/>
    <n v="7"/>
    <m/>
    <m/>
    <n v="0"/>
    <n v="3.1"/>
    <n v="0"/>
    <n v="0"/>
    <n v="0"/>
    <n v="0"/>
    <n v="0"/>
    <s v="Unilateral"/>
    <s v="Braço"/>
    <n v="32.700000000000003"/>
    <n v="6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800000000000002"/>
    <n v="0.83333333333333348"/>
    <s v="-"/>
    <n v="12.78"/>
    <n v="0.33"/>
    <m/>
    <m/>
    <m/>
    <m/>
    <s v="ATENDE"/>
    <s v="ATENDE"/>
    <s v="ATENDE"/>
    <s v="ATENDE"/>
    <s v="C4"/>
    <s v="P6"/>
    <n v="1.936666666666667"/>
    <n v="8.81"/>
    <n v="2.52"/>
    <n v="3"/>
    <n v="0.6"/>
    <s v="ATENDE"/>
    <s v="ATENDE"/>
    <s v="ATENDE"/>
    <s v="P6"/>
    <n v="0.28666666666666663"/>
    <n v="3.86"/>
    <n v="1.3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5"/>
    <s v="PVP"/>
    <s v="Rua Rio de Janeiro, 1631"/>
    <n v="-30.03884146"/>
    <n v="-50.16046191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1.2222222222222223"/>
    <s v="-"/>
    <n v="10.51"/>
    <n v="0.4"/>
    <m/>
    <m/>
    <m/>
    <m/>
    <s v="ATENDE"/>
    <s v="ATENDE"/>
    <s v="ATENDE"/>
    <s v="ATENDE"/>
    <s v="C4"/>
    <s v="P6"/>
    <n v="1.9466666666666668"/>
    <n v="8.84"/>
    <n v="3.24"/>
    <n v="3"/>
    <n v="0.6"/>
    <s v="ATENDE"/>
    <s v="ATENDE"/>
    <s v="ATENDE"/>
    <s v="P6"/>
    <n v="1.1366666666666667"/>
    <n v="6.41"/>
    <n v="3.17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75"/>
    <s v="PVP"/>
    <s v="Rua Rio de Janeiro, 1631"/>
    <n v="-30.03884146"/>
    <n v="-50.16046191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1.8888888888888893"/>
    <s v="-"/>
    <n v="10.01"/>
    <n v="0.52"/>
    <m/>
    <m/>
    <m/>
    <m/>
    <s v="ATENDE"/>
    <s v="ATENDE"/>
    <s v="ATENDE"/>
    <s v="ATENDE"/>
    <s v="C4"/>
    <s v="P6"/>
    <n v="1.8000000000000003"/>
    <n v="8.4"/>
    <n v="3.28"/>
    <n v="3"/>
    <n v="0.6"/>
    <s v="ATENDE"/>
    <s v="ATENDE"/>
    <s v="ATENDE"/>
    <s v="P6"/>
    <n v="0.82666666666666688"/>
    <n v="5.48"/>
    <n v="3.75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175"/>
    <s v="PVP"/>
    <s v="Rua Rio de Janeiro, 1631"/>
    <n v="-30.03884146"/>
    <n v="-50.16046191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5"/>
    <n v="7.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000000000000012"/>
    <n v="1.3333333333333335"/>
    <s v="-"/>
    <n v="11.3"/>
    <n v="0.42"/>
    <m/>
    <m/>
    <m/>
    <m/>
    <s v="ATENDE"/>
    <s v="ATENDE"/>
    <s v="ATENDE"/>
    <s v="ATENDE"/>
    <s v="C4"/>
    <s v="P6"/>
    <n v="1.9633333333333334"/>
    <n v="8.89"/>
    <n v="3.51"/>
    <n v="3"/>
    <n v="0.6"/>
    <s v="ATENDE"/>
    <s v="ATENDE"/>
    <s v="ATENDE"/>
    <s v="P6"/>
    <n v="0.55333333333333345"/>
    <n v="4.66"/>
    <n v="2.3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76"/>
    <s v="PVP"/>
    <s v="Rua Piaui, 1843"/>
    <n v="-30.04091764"/>
    <n v="-50.160665510000001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00000000000003"/>
    <n v="7.3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800000000000006E-2"/>
    <n v="1.3333333333333335"/>
    <s v="-"/>
    <n v="10.68"/>
    <n v="0.42"/>
    <m/>
    <m/>
    <m/>
    <m/>
    <s v="ATENDE"/>
    <s v="ATENDE"/>
    <s v="ATENDE"/>
    <s v="ATENDE"/>
    <s v="C4"/>
    <s v="P6"/>
    <n v="1.9433333333333334"/>
    <n v="8.83"/>
    <n v="3.46"/>
    <n v="3"/>
    <n v="0.6"/>
    <s v="ATENDE"/>
    <s v="ATENDE"/>
    <s v="ATENDE"/>
    <s v="P6"/>
    <n v="1.2399999999999998"/>
    <n v="6.72"/>
    <n v="3.44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76"/>
    <s v="PVP"/>
    <s v="Rua Piaui, 1843"/>
    <n v="-30.04091764"/>
    <n v="-50.160665510000001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00000000000003"/>
    <n v="7.3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000000000000014E-2"/>
    <n v="2.0555555555555558"/>
    <s v="-"/>
    <n v="10.16"/>
    <n v="0.55000000000000004"/>
    <m/>
    <m/>
    <m/>
    <m/>
    <s v="ATENDE"/>
    <s v="ATENDE"/>
    <s v="ATENDE"/>
    <s v="ATENDE"/>
    <s v="C4"/>
    <s v="P6"/>
    <n v="1.7899999999999996"/>
    <n v="8.3699999999999992"/>
    <n v="3.65"/>
    <n v="3"/>
    <n v="0.6"/>
    <s v="ATENDE"/>
    <s v="ATENDE"/>
    <s v="ATENDE"/>
    <s v="P6"/>
    <n v="0.94666666666666655"/>
    <n v="5.84"/>
    <n v="4.07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76"/>
    <s v="PVP"/>
    <s v="Rua Piaui, 1843"/>
    <n v="-30.04091764"/>
    <n v="-50.160665510000001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00000000000003"/>
    <n v="7.3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99999999999991"/>
    <n v="1.6666666666666665"/>
    <s v="-"/>
    <n v="11.52"/>
    <n v="0.48"/>
    <m/>
    <m/>
    <m/>
    <m/>
    <s v="ATENDE"/>
    <s v="ATENDE"/>
    <s v="ATENDE"/>
    <s v="ATENDE"/>
    <s v="C4"/>
    <s v="P6"/>
    <n v="1.9466666666666668"/>
    <n v="8.84"/>
    <n v="3.93"/>
    <n v="3"/>
    <n v="0.6"/>
    <s v="ATENDE"/>
    <s v="ATENDE"/>
    <s v="ATENDE"/>
    <s v="P6"/>
    <n v="0.67333333333333312"/>
    <n v="5.0199999999999996"/>
    <n v="2.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7"/>
    <s v="PVP"/>
    <s v="Rua Piaui, 1835"/>
    <n v="-30.04031518"/>
    <n v="-50.160413179999999"/>
    <x v="2"/>
    <s v="-"/>
    <x v="1"/>
    <s v="Vapor de sódio"/>
    <n v="100"/>
    <n v="17"/>
    <n v="0"/>
    <n v="200"/>
    <n v="2"/>
    <n v="2.6"/>
    <n v="7"/>
    <m/>
    <m/>
    <n v="0"/>
    <n v="2.5"/>
    <n v="0"/>
    <n v="0"/>
    <n v="0"/>
    <n v="0"/>
    <n v="0"/>
    <s v="Unilateral"/>
    <s v="Braço"/>
    <n v="34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999999999999897E-3"/>
    <n v="1.3333333333333335"/>
    <s v="-"/>
    <n v="10.09"/>
    <n v="0.42"/>
    <m/>
    <m/>
    <m/>
    <m/>
    <s v="ATENDE"/>
    <s v="ATENDE"/>
    <s v="ATENDE"/>
    <s v="ATENDE"/>
    <s v="C4"/>
    <s v="P6"/>
    <n v="1.8233333333333337"/>
    <n v="8.4700000000000006"/>
    <n v="3.27"/>
    <n v="3"/>
    <n v="0.6"/>
    <s v="ATENDE"/>
    <s v="ATENDE"/>
    <s v="ATENDE"/>
    <s v="P6"/>
    <n v="1.1466666666666669"/>
    <n v="6.44"/>
    <n v="3.27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77"/>
    <s v="PVP"/>
    <s v="Rua Piaui, 1835"/>
    <n v="-30.04031518"/>
    <n v="-50.160413179999999"/>
    <x v="2"/>
    <s v="-"/>
    <x v="1"/>
    <s v="Vapor de sódio"/>
    <n v="100"/>
    <n v="17"/>
    <n v="0"/>
    <n v="200"/>
    <n v="2"/>
    <n v="2.6"/>
    <n v="7"/>
    <m/>
    <m/>
    <n v="0"/>
    <n v="2.5"/>
    <n v="0"/>
    <n v="0"/>
    <n v="0"/>
    <n v="0"/>
    <n v="0"/>
    <s v="Unilateral"/>
    <s v="Braço"/>
    <n v="34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300000000000002"/>
    <n v="1.8333333333333335"/>
    <s v="-"/>
    <n v="14.03"/>
    <n v="0.51"/>
    <m/>
    <m/>
    <m/>
    <m/>
    <s v="ATENDE"/>
    <s v="ATENDE"/>
    <s v="ATENDE"/>
    <s v="ATENDE"/>
    <s v="C4"/>
    <s v="P6"/>
    <n v="2.73"/>
    <n v="11.19"/>
    <n v="4.24"/>
    <n v="3"/>
    <n v="0.6"/>
    <s v="ATENDE"/>
    <s v="ATENDE"/>
    <s v="ATENDE"/>
    <s v="P6"/>
    <n v="1.92"/>
    <n v="8.76"/>
    <n v="6.4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77"/>
    <s v="PVP"/>
    <s v="Rua Piaui, 1835"/>
    <n v="-30.04031518"/>
    <n v="-50.160413179999999"/>
    <x v="2"/>
    <s v="-"/>
    <x v="1"/>
    <s v="Vapor de sódio"/>
    <n v="100"/>
    <n v="17"/>
    <n v="0"/>
    <n v="200"/>
    <n v="2"/>
    <n v="2.6"/>
    <n v="7"/>
    <m/>
    <m/>
    <n v="0"/>
    <n v="2.5"/>
    <n v="0"/>
    <n v="0"/>
    <n v="0"/>
    <n v="0"/>
    <n v="0"/>
    <s v="Unilateral"/>
    <s v="Braço"/>
    <n v="34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00000000000008E-2"/>
    <n v="1.6111111111111112"/>
    <s v="-"/>
    <n v="10.9"/>
    <n v="0.47"/>
    <m/>
    <m/>
    <m/>
    <m/>
    <s v="ATENDE"/>
    <s v="ATENDE"/>
    <s v="ATENDE"/>
    <s v="ATENDE"/>
    <s v="C4"/>
    <s v="P6"/>
    <n v="1.8433333333333333"/>
    <n v="8.5299999999999994"/>
    <n v="3.73"/>
    <n v="3"/>
    <n v="0.6"/>
    <s v="ATENDE"/>
    <s v="ATENDE"/>
    <s v="ATENDE"/>
    <s v="P6"/>
    <n v="0.62333333333333329"/>
    <n v="4.87"/>
    <n v="2.7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78"/>
    <s v="VP"/>
    <s v="Avenida Florianopolis, 1006"/>
    <n v="-30.039983920000001"/>
    <n v="-50.158086500000003"/>
    <x v="3"/>
    <s v="-"/>
    <x v="1"/>
    <s v="Vapor de sódio"/>
    <n v="100"/>
    <n v="17"/>
    <n v="0"/>
    <n v="400"/>
    <n v="2"/>
    <n v="0"/>
    <n v="7"/>
    <m/>
    <m/>
    <n v="0"/>
    <n v="2.5"/>
    <n v="2"/>
    <n v="0"/>
    <n v="0"/>
    <n v="0"/>
    <n v="0"/>
    <s v="Canteiro central"/>
    <s v="Braço"/>
    <n v="31.1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1449999999999991"/>
    <n v="0.24999999999999978"/>
    <s v="-"/>
    <n v="24.29"/>
    <n v="0.3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8.8733333333333331"/>
    <n v="29.62"/>
    <n v="16.48"/>
    <n v="3"/>
    <n v="0.6"/>
    <s v="ATENDE"/>
    <s v="ATENDE"/>
    <s v="ATENDE"/>
    <x v="0"/>
    <s v=" SL VT 9.1 65W"/>
    <s v="LUM LED SL VT 9.1 65W"/>
    <m/>
    <e v="#N/A"/>
    <n v="2"/>
    <n v="65"/>
    <n v="0"/>
    <n v="10496"/>
    <n v="0"/>
    <n v="0"/>
    <m/>
    <s v="Curto II"/>
    <m/>
    <s v=""/>
    <s v=""/>
    <m/>
    <m/>
    <m/>
    <m/>
    <m/>
    <m/>
    <n v="65"/>
    <n v="100"/>
    <n v="330"/>
    <n v="0.35"/>
    <m/>
    <m/>
    <s v="Sim"/>
    <m/>
  </r>
  <r>
    <n v="178"/>
    <s v="VP"/>
    <s v="Avenida Florianopolis, 1006"/>
    <n v="-30.039983920000001"/>
    <n v="-50.158086500000003"/>
    <x v="3"/>
    <s v="-"/>
    <x v="1"/>
    <s v="Vapor de sódio"/>
    <n v="100"/>
    <n v="17"/>
    <n v="0"/>
    <n v="400"/>
    <n v="2"/>
    <n v="0"/>
    <n v="7"/>
    <m/>
    <m/>
    <n v="0"/>
    <n v="2.5"/>
    <n v="2"/>
    <n v="0"/>
    <n v="0"/>
    <n v="0"/>
    <n v="0"/>
    <s v="Canteiro central"/>
    <s v="Braço"/>
    <n v="31.1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0499999999999972E-2"/>
    <n v="0.96428571428571419"/>
    <s v="-"/>
    <n v="20.61"/>
    <n v="0.5500000000000000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7.65"/>
    <n v="25.95"/>
    <n v="16.190000000000001"/>
    <n v="3"/>
    <n v="0.6"/>
    <s v="ATENDE"/>
    <s v="ATENDE"/>
    <s v="ATENDE"/>
    <x v="1"/>
    <s v="SX-INEVO050HF"/>
    <s v="SXINEVO050K40L12CZF7PHF"/>
    <m/>
    <e v="#N/A"/>
    <n v="2"/>
    <n v="50"/>
    <e v="#N/A"/>
    <n v="8650"/>
    <n v="0"/>
    <n v="0"/>
    <m/>
    <s v="Curto II"/>
    <m/>
    <s v=""/>
    <s v=""/>
    <m/>
    <m/>
    <m/>
    <m/>
    <m/>
    <m/>
    <n v="50"/>
    <n v="100"/>
    <n v="300"/>
    <n v="0.5"/>
    <m/>
    <m/>
    <s v="Sim"/>
    <m/>
  </r>
  <r>
    <n v="178"/>
    <s v="VP"/>
    <s v="Avenida Florianopolis, 1006"/>
    <n v="-30.039983920000001"/>
    <n v="-50.158086500000003"/>
    <x v="3"/>
    <s v="-"/>
    <x v="1"/>
    <s v="Vapor de sódio"/>
    <n v="100"/>
    <n v="17"/>
    <n v="0"/>
    <n v="400"/>
    <n v="2"/>
    <n v="0"/>
    <n v="7"/>
    <m/>
    <m/>
    <n v="0"/>
    <n v="2.5"/>
    <n v="2"/>
    <n v="0"/>
    <n v="0"/>
    <n v="0"/>
    <n v="0"/>
    <s v="Canteiro central"/>
    <s v="Braço"/>
    <n v="31.1"/>
    <n v="7.5"/>
    <n v="2"/>
    <n v="1"/>
    <n v="1.3"/>
    <n v="0.3000000000000000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6250000000000009"/>
    <n v="0.74999999999999978"/>
    <s v="-"/>
    <n v="23.25"/>
    <n v="0.49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9.0033333333333339"/>
    <n v="30.01"/>
    <n v="19.14"/>
    <n v="3"/>
    <n v="0.6"/>
    <s v="ATENDE"/>
    <s v="ATENDE"/>
    <s v="ATENDE"/>
    <x v="2"/>
    <s v="SIGSAGPTLRRSSNDL_60W_73IBBRS_x000a_"/>
    <s v="SIGSAGPTLRRSSNDL_60W_73IBBRS_x000a_1-10C1MUN6.5"/>
    <m/>
    <e v="#N/A"/>
    <n v="2"/>
    <n v="60"/>
    <n v="0"/>
    <n v="9453"/>
    <n v="0"/>
    <n v="0"/>
    <m/>
    <s v="Curto II"/>
    <m/>
    <s v=""/>
    <s v=""/>
    <m/>
    <m/>
    <m/>
    <m/>
    <m/>
    <m/>
    <n v="60"/>
    <n v="100"/>
    <n v="320"/>
    <n v="0.4"/>
    <m/>
    <m/>
    <s v="Sim"/>
    <m/>
  </r>
  <r>
    <n v="179"/>
    <s v="PVP"/>
    <s v="Rua Maranhao, 1749"/>
    <n v="-30.041302420000001"/>
    <n v="-50.15584578"/>
    <x v="2"/>
    <s v="-"/>
    <x v="1"/>
    <s v="Vapor de sódio"/>
    <n v="100"/>
    <n v="17"/>
    <n v="0"/>
    <n v="200"/>
    <n v="2"/>
    <n v="2.5"/>
    <n v="6.9"/>
    <m/>
    <m/>
    <n v="0"/>
    <n v="2.5"/>
    <n v="0"/>
    <n v="0"/>
    <n v="0"/>
    <n v="0"/>
    <n v="0"/>
    <s v="Unilateral"/>
    <s v="Braço"/>
    <n v="36.799999999999997"/>
    <n v="7.5"/>
    <n v="1"/>
    <n v="0.7"/>
    <n v="1.3"/>
    <n v="0.60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199999999999988"/>
    <n v="1.1111111111111112"/>
    <s v="-"/>
    <n v="11.12"/>
    <n v="0.38"/>
    <m/>
    <m/>
    <m/>
    <m/>
    <s v="ATENDE"/>
    <s v="ATENDE"/>
    <s v="ATENDE"/>
    <s v="ATENDE"/>
    <s v="C4"/>
    <s v="P6"/>
    <n v="2.2933333333333334"/>
    <n v="9.8800000000000008"/>
    <n v="3.36"/>
    <n v="3"/>
    <n v="0.6"/>
    <s v="ATENDE"/>
    <s v="ATENDE"/>
    <s v="ATENDE"/>
    <s v="P6"/>
    <n v="1.2966666666666664"/>
    <n v="6.89"/>
    <n v="3.1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79"/>
    <s v="PVP"/>
    <s v="Rua Maranhao, 1749"/>
    <n v="-30.041302420000001"/>
    <n v="-50.15584578"/>
    <x v="2"/>
    <s v="-"/>
    <x v="1"/>
    <s v="Vapor de sódio"/>
    <n v="100"/>
    <n v="17"/>
    <n v="0"/>
    <n v="200"/>
    <n v="2"/>
    <n v="2.5"/>
    <n v="6.9"/>
    <m/>
    <m/>
    <n v="0"/>
    <n v="2.5"/>
    <n v="0"/>
    <n v="0"/>
    <n v="0"/>
    <n v="0"/>
    <n v="0"/>
    <s v="Unilateral"/>
    <s v="Braço"/>
    <n v="36.799999999999997"/>
    <n v="7.5"/>
    <n v="1"/>
    <n v="0.7"/>
    <n v="1.3"/>
    <n v="0.60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800000000000006"/>
    <n v="1.5555555555555558"/>
    <s v="-"/>
    <n v="13.18"/>
    <n v="0.46"/>
    <m/>
    <m/>
    <m/>
    <m/>
    <s v="ATENDE"/>
    <s v="ATENDE"/>
    <s v="ATENDE"/>
    <s v="ATENDE"/>
    <s v="C4"/>
    <s v="P6"/>
    <n v="2.7833333333333332"/>
    <n v="11.35"/>
    <n v="3.41"/>
    <n v="3"/>
    <n v="0.6"/>
    <s v="ATENDE"/>
    <s v="ATENDE"/>
    <s v="ATENDE"/>
    <s v="P6"/>
    <n v="1.6466666666666669"/>
    <n v="7.94"/>
    <n v="5.55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79"/>
    <s v="PVP"/>
    <s v="Rua Maranhao, 1749"/>
    <n v="-30.041302420000001"/>
    <n v="-50.15584578"/>
    <x v="2"/>
    <s v="-"/>
    <x v="1"/>
    <s v="Vapor de sódio"/>
    <n v="100"/>
    <n v="17"/>
    <n v="0"/>
    <n v="200"/>
    <n v="2"/>
    <n v="2.5"/>
    <n v="6.9"/>
    <m/>
    <m/>
    <n v="0"/>
    <n v="2.5"/>
    <n v="0"/>
    <n v="0"/>
    <n v="0"/>
    <n v="0"/>
    <n v="0"/>
    <s v="Unilateral"/>
    <s v="Braço"/>
    <n v="36.799999999999997"/>
    <n v="7.5"/>
    <n v="1"/>
    <n v="0.7"/>
    <n v="1.3"/>
    <n v="0.60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999999999999906E-2"/>
    <n v="1.1111111111111112"/>
    <s v="-"/>
    <n v="10.19"/>
    <n v="0.38"/>
    <m/>
    <m/>
    <m/>
    <m/>
    <s v="ATENDE"/>
    <s v="ATENDE"/>
    <s v="ATENDE"/>
    <s v="ATENDE"/>
    <s v="C4"/>
    <s v="P6"/>
    <n v="1.8833333333333333"/>
    <n v="8.65"/>
    <n v="3.02"/>
    <n v="3"/>
    <n v="0.6"/>
    <s v="ATENDE"/>
    <s v="ATENDE"/>
    <s v="ATENDE"/>
    <s v="P6"/>
    <n v="0.44333333333333336"/>
    <n v="4.33"/>
    <n v="2.1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80"/>
    <s v="PV"/>
    <s v="Rua Brasilia, 1627"/>
    <n v="-30.041259669999999"/>
    <n v="-50.152653659999999"/>
    <x v="2"/>
    <s v="-"/>
    <x v="1"/>
    <s v="Vapor de sódio"/>
    <n v="100"/>
    <n v="17"/>
    <n v="0"/>
    <n v="200"/>
    <n v="2"/>
    <n v="2.8"/>
    <n v="7.2"/>
    <m/>
    <m/>
    <n v="0"/>
    <n v="0"/>
    <n v="0"/>
    <n v="0"/>
    <n v="0"/>
    <n v="0"/>
    <n v="0"/>
    <s v="Unilateral"/>
    <s v="Braço"/>
    <n v="33.5"/>
    <n v="6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999999999999911E-2"/>
    <n v="0.50000000000000022"/>
    <s v="-"/>
    <n v="10.25"/>
    <n v="0.27"/>
    <m/>
    <m/>
    <m/>
    <m/>
    <s v="ATENDE"/>
    <s v="ATENDE"/>
    <s v="ATENDE"/>
    <s v="ATENDE"/>
    <s v="C4"/>
    <s v="P6"/>
    <n v="1.7033333333333331"/>
    <n v="8.11"/>
    <n v="1.74"/>
    <n v="3"/>
    <n v="0.6"/>
    <s v="ATENDE"/>
    <s v="ATENDE"/>
    <s v="ATENDE"/>
    <s v="-"/>
    <e v="#VALUE!"/>
    <m/>
    <m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80"/>
    <s v="PV"/>
    <s v="Rua Brasilia, 1627"/>
    <n v="-30.041259669999999"/>
    <n v="-50.152653659999999"/>
    <x v="2"/>
    <s v="-"/>
    <x v="1"/>
    <s v="Vapor de sódio"/>
    <n v="100"/>
    <n v="17"/>
    <n v="0"/>
    <n v="200"/>
    <n v="2"/>
    <n v="2.8"/>
    <n v="7.2"/>
    <m/>
    <m/>
    <n v="0"/>
    <n v="0"/>
    <n v="0"/>
    <n v="0"/>
    <n v="0"/>
    <n v="0"/>
    <n v="0"/>
    <s v="Unilateral"/>
    <s v="Braço"/>
    <n v="33.5"/>
    <n v="6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99999999999991"/>
    <n v="1"/>
    <s v="-"/>
    <n v="11.52"/>
    <n v="0.36"/>
    <m/>
    <m/>
    <m/>
    <m/>
    <s v="ATENDE"/>
    <s v="ATENDE"/>
    <s v="ATENDE"/>
    <s v="ATENDE"/>
    <s v="C4"/>
    <s v="P6"/>
    <n v="2.1133333333333333"/>
    <n v="9.34"/>
    <n v="1.83"/>
    <n v="3"/>
    <n v="0.6"/>
    <s v="ATENDE"/>
    <s v="ATENDE"/>
    <s v="ATENDE"/>
    <s v="-"/>
    <e v="#VALUE!"/>
    <m/>
    <m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80"/>
    <s v="PV"/>
    <s v="Rua Brasilia, 1627"/>
    <n v="-30.041259669999999"/>
    <n v="-50.152653659999999"/>
    <x v="2"/>
    <s v="-"/>
    <x v="1"/>
    <s v="Vapor de sódio"/>
    <n v="100"/>
    <n v="17"/>
    <n v="0"/>
    <n v="200"/>
    <n v="2"/>
    <n v="2.8"/>
    <n v="7.2"/>
    <m/>
    <m/>
    <n v="0"/>
    <n v="0"/>
    <n v="0"/>
    <n v="0"/>
    <n v="0"/>
    <n v="0"/>
    <n v="0"/>
    <s v="Unilateral"/>
    <s v="Braço"/>
    <n v="33.5"/>
    <n v="6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400000000000001"/>
    <n v="0.11111111111111116"/>
    <s v="-"/>
    <n v="12.64"/>
    <n v="0.2"/>
    <m/>
    <m/>
    <m/>
    <m/>
    <s v="ATENDE"/>
    <s v="ATENDE"/>
    <s v="ATENDE"/>
    <s v="ATENDE"/>
    <s v="C4"/>
    <s v="P6"/>
    <n v="2.2833333333333332"/>
    <n v="9.85"/>
    <n v="1.88"/>
    <n v="3"/>
    <n v="0.6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81"/>
    <s v="PVP"/>
    <s v="Rua Alagoas, 4744"/>
    <n v="-30.042515430000002"/>
    <n v="-50.150456069999997"/>
    <x v="2"/>
    <s v="-"/>
    <x v="1"/>
    <s v="Vapor de sódio"/>
    <n v="150"/>
    <n v="22"/>
    <n v="0"/>
    <n v="300"/>
    <n v="2"/>
    <n v="2.7"/>
    <n v="7"/>
    <m/>
    <m/>
    <n v="0"/>
    <n v="2.5"/>
    <n v="0"/>
    <n v="0"/>
    <n v="0"/>
    <n v="0"/>
    <n v="0"/>
    <s v="Unilateral"/>
    <s v="Braço"/>
    <n v="33.1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0000000000001"/>
    <n v="1.2777777777777777"/>
    <s v="-"/>
    <n v="11.16"/>
    <n v="0.41"/>
    <m/>
    <m/>
    <m/>
    <m/>
    <s v="ATENDE"/>
    <s v="ATENDE"/>
    <s v="ATENDE"/>
    <s v="ATENDE"/>
    <s v="C4"/>
    <s v="P6"/>
    <n v="2.1233333333333331"/>
    <n v="9.3699999999999992"/>
    <n v="3.49"/>
    <n v="3"/>
    <n v="0.6"/>
    <s v="ATENDE"/>
    <s v="ATENDE"/>
    <s v="ATENDE"/>
    <s v="P6"/>
    <n v="1.1600000000000001"/>
    <n v="6.48"/>
    <n v="3.29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181"/>
    <s v="PVP"/>
    <s v="Rua Alagoas, 4744"/>
    <n v="-30.042515430000002"/>
    <n v="-50.150456069999997"/>
    <x v="2"/>
    <s v="-"/>
    <x v="1"/>
    <s v="Vapor de sódio"/>
    <n v="150"/>
    <n v="22"/>
    <n v="0"/>
    <n v="300"/>
    <n v="2"/>
    <n v="2.7"/>
    <n v="7"/>
    <m/>
    <m/>
    <n v="0"/>
    <n v="2.5"/>
    <n v="0"/>
    <n v="0"/>
    <n v="0"/>
    <n v="0"/>
    <n v="0"/>
    <s v="Unilateral"/>
    <s v="Braço"/>
    <n v="33.1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999999999999943E-2"/>
    <n v="2.0555555555555558"/>
    <s v="-"/>
    <n v="10.61"/>
    <n v="0.55000000000000004"/>
    <m/>
    <m/>
    <m/>
    <m/>
    <s v="ATENDE"/>
    <s v="ATENDE"/>
    <s v="ATENDE"/>
    <s v="ATENDE"/>
    <s v="C4"/>
    <s v="P6"/>
    <n v="1.9600000000000004"/>
    <n v="8.8800000000000008"/>
    <n v="3.53"/>
    <n v="3"/>
    <n v="0.6"/>
    <s v="ATENDE"/>
    <s v="ATENDE"/>
    <s v="ATENDE"/>
    <s v="P6"/>
    <n v="0.78666666666666685"/>
    <n v="5.36"/>
    <n v="3.48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181"/>
    <s v="PVP"/>
    <s v="Rua Alagoas, 4744"/>
    <n v="-30.042515430000002"/>
    <n v="-50.150456069999997"/>
    <x v="2"/>
    <s v="-"/>
    <x v="1"/>
    <s v="Vapor de sódio"/>
    <n v="150"/>
    <n v="22"/>
    <n v="0"/>
    <n v="300"/>
    <n v="2"/>
    <n v="2.7"/>
    <n v="7"/>
    <m/>
    <m/>
    <n v="0"/>
    <n v="2.5"/>
    <n v="0"/>
    <n v="0"/>
    <n v="0"/>
    <n v="0"/>
    <n v="0"/>
    <s v="Unilateral"/>
    <s v="Braço"/>
    <n v="33.1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199999999999995"/>
    <n v="1.3888888888888888"/>
    <s v="-"/>
    <n v="11.92"/>
    <n v="0.43"/>
    <m/>
    <m/>
    <m/>
    <m/>
    <s v="ATENDE"/>
    <s v="ATENDE"/>
    <s v="ATENDE"/>
    <s v="ATENDE"/>
    <s v="C4"/>
    <s v="P6"/>
    <n v="2.1333333333333333"/>
    <n v="9.4"/>
    <n v="3.81"/>
    <n v="3"/>
    <n v="0.6"/>
    <s v="ATENDE"/>
    <s v="ATENDE"/>
    <s v="ATENDE"/>
    <s v="P6"/>
    <n v="0.49666666666666681"/>
    <n v="4.49"/>
    <n v="2.27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182"/>
    <s v="PVP"/>
    <s v="Rua S, 266"/>
    <n v="-30.029451609999999"/>
    <n v="-50.16498936"/>
    <x v="2"/>
    <s v="-"/>
    <x v="1"/>
    <s v="Vapor de sódio"/>
    <n v="100"/>
    <n v="17"/>
    <n v="0"/>
    <n v="200"/>
    <n v="2"/>
    <n v="3"/>
    <n v="8.3000000000000007"/>
    <m/>
    <m/>
    <n v="0"/>
    <n v="3"/>
    <n v="0"/>
    <n v="0"/>
    <n v="0"/>
    <n v="0"/>
    <n v="0"/>
    <s v="Unilateral"/>
    <s v="Braço"/>
    <n v="29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300000000000004"/>
    <n v="1.4444444444444446"/>
    <s v="-"/>
    <n v="11.73"/>
    <n v="0.44"/>
    <m/>
    <m/>
    <m/>
    <m/>
    <s v="ATENDE"/>
    <s v="ATENDE"/>
    <s v="ATENDE"/>
    <s v="ATENDE"/>
    <s v="C4"/>
    <s v="P6"/>
    <n v="2.3699999999999997"/>
    <n v="10.11"/>
    <n v="4.46"/>
    <n v="3"/>
    <n v="0.6"/>
    <s v="ATENDE"/>
    <s v="ATENDE"/>
    <s v="ATENDE"/>
    <s v="P6"/>
    <n v="0.67666666666666675"/>
    <n v="5.03"/>
    <n v="2.9"/>
    <n v="3"/>
    <n v="0.6"/>
    <s v="ATENDE"/>
    <s v="ATENDE"/>
    <s v="ATENDE"/>
    <x v="0"/>
    <s v=" SL VT 9.1 44W"/>
    <s v="LUM LED SL VT 9.1 44W"/>
    <m/>
    <n v="0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82"/>
    <s v="PVP"/>
    <s v="Rua S, 266"/>
    <n v="-30.029451609999999"/>
    <n v="-50.16498936"/>
    <x v="2"/>
    <s v="-"/>
    <x v="1"/>
    <s v="Vapor de sódio"/>
    <n v="100"/>
    <n v="17"/>
    <n v="0"/>
    <n v="200"/>
    <n v="2"/>
    <n v="3"/>
    <n v="8.3000000000000007"/>
    <m/>
    <m/>
    <n v="0"/>
    <n v="3"/>
    <n v="0"/>
    <n v="0"/>
    <n v="0"/>
    <n v="0"/>
    <n v="0"/>
    <s v="Unilateral"/>
    <s v="Braço"/>
    <n v="29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80000000000001"/>
    <n v="2.1666666666666665"/>
    <s v="-"/>
    <n v="11.08"/>
    <n v="0.56999999999999995"/>
    <m/>
    <m/>
    <m/>
    <m/>
    <s v="ATENDE"/>
    <s v="ATENDE"/>
    <s v="ATENDE"/>
    <s v="ATENDE"/>
    <s v="C4"/>
    <s v="P6"/>
    <n v="2.1799999999999997"/>
    <n v="9.5399999999999991"/>
    <n v="4.82"/>
    <n v="3"/>
    <n v="0.6"/>
    <s v="ATENDE"/>
    <s v="ATENDE"/>
    <s v="ATENDE"/>
    <s v="P6"/>
    <n v="0.11333333333333329"/>
    <n v="3.34"/>
    <n v="1.4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82"/>
    <s v="PVP"/>
    <s v="Rua S, 266"/>
    <n v="-30.029451609999999"/>
    <n v="-50.16498936"/>
    <x v="2"/>
    <s v="-"/>
    <x v="1"/>
    <s v="Vapor de sódio"/>
    <n v="100"/>
    <n v="17"/>
    <n v="0"/>
    <n v="200"/>
    <n v="2"/>
    <n v="3"/>
    <n v="8.3000000000000007"/>
    <m/>
    <m/>
    <n v="0"/>
    <n v="3"/>
    <n v="0"/>
    <n v="0"/>
    <n v="0"/>
    <n v="0"/>
    <n v="0"/>
    <s v="Unilateral"/>
    <s v="Braço"/>
    <n v="29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300000000000009"/>
    <n v="1.8333333333333335"/>
    <s v="-"/>
    <n v="12.23"/>
    <n v="0.51"/>
    <m/>
    <m/>
    <m/>
    <m/>
    <s v="ATENDE"/>
    <s v="ATENDE"/>
    <s v="ATENDE"/>
    <s v="ATENDE"/>
    <s v="C4"/>
    <s v="P6"/>
    <n v="2.0233333333333334"/>
    <n v="9.07"/>
    <n v="4.22"/>
    <n v="3"/>
    <n v="0.6"/>
    <s v="ATENDE"/>
    <s v="ATENDE"/>
    <s v="ATENDE"/>
    <s v="P6"/>
    <n v="0.31666666666666665"/>
    <n v="3.95"/>
    <n v="2.4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83"/>
    <s v="PVP"/>
    <s v="Rua R, 1323"/>
    <n v="-30.030908849999999"/>
    <n v="-50.164884309999998"/>
    <x v="2"/>
    <s v="-"/>
    <x v="1"/>
    <s v="Vapor de sódio"/>
    <n v="100"/>
    <n v="17"/>
    <n v="0"/>
    <n v="200"/>
    <n v="2"/>
    <n v="2.5"/>
    <n v="8.5"/>
    <m/>
    <m/>
    <n v="0"/>
    <n v="2.6"/>
    <n v="0"/>
    <n v="0"/>
    <n v="0"/>
    <n v="0"/>
    <n v="0"/>
    <s v="Unilateral"/>
    <s v="Braço"/>
    <n v="19.899999999999999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000000000000012"/>
    <n v="2.1666666666666665"/>
    <s v="-"/>
    <n v="11.4"/>
    <n v="0.56999999999999995"/>
    <m/>
    <m/>
    <m/>
    <m/>
    <s v="ATENDE"/>
    <s v="ATENDE"/>
    <s v="ATENDE"/>
    <s v="ATENDE"/>
    <s v="C4"/>
    <s v="P6"/>
    <n v="2.3733333333333331"/>
    <n v="10.119999999999999"/>
    <n v="6.87"/>
    <n v="3"/>
    <n v="0.6"/>
    <s v="ATENDE"/>
    <s v="ATENDE"/>
    <s v="ATENDE"/>
    <s v="P6"/>
    <n v="0.6399999999999999"/>
    <n v="4.92"/>
    <n v="3.47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83"/>
    <s v="PVP"/>
    <s v="Rua R, 1323"/>
    <n v="-30.030908849999999"/>
    <n v="-50.164884309999998"/>
    <x v="2"/>
    <s v="-"/>
    <x v="1"/>
    <s v="Vapor de sódio"/>
    <n v="100"/>
    <n v="17"/>
    <n v="0"/>
    <n v="200"/>
    <n v="2"/>
    <n v="2.5"/>
    <n v="8.5"/>
    <m/>
    <m/>
    <n v="0"/>
    <n v="2.6"/>
    <n v="0"/>
    <n v="0"/>
    <n v="0"/>
    <n v="0"/>
    <n v="0"/>
    <s v="Unilateral"/>
    <s v="Braço"/>
    <n v="19.899999999999999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800000000000013"/>
    <n v="2.0000000000000004"/>
    <s v="-"/>
    <n v="13.98"/>
    <n v="0.54"/>
    <m/>
    <m/>
    <m/>
    <m/>
    <s v="ATENDE"/>
    <s v="ATENDE"/>
    <s v="ATENDE"/>
    <s v="ATENDE"/>
    <s v="C4"/>
    <s v="P6"/>
    <n v="2.9066666666666667"/>
    <n v="11.72"/>
    <n v="8.59"/>
    <n v="3"/>
    <n v="0.6"/>
    <s v="ATENDE"/>
    <s v="ATENDE"/>
    <s v="ATENDE"/>
    <s v="P6"/>
    <n v="0.29333333333333322"/>
    <n v="3.88"/>
    <n v="1.95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183"/>
    <s v="PVP"/>
    <s v="Rua R, 1323"/>
    <n v="-30.030908849999999"/>
    <n v="-50.164884309999998"/>
    <x v="2"/>
    <s v="-"/>
    <x v="1"/>
    <s v="Vapor de sódio"/>
    <n v="100"/>
    <n v="17"/>
    <n v="0"/>
    <n v="200"/>
    <n v="2"/>
    <n v="2.5"/>
    <n v="8.5"/>
    <m/>
    <m/>
    <n v="0"/>
    <n v="2.6"/>
    <n v="0"/>
    <n v="0"/>
    <n v="0"/>
    <n v="0"/>
    <n v="0"/>
    <s v="Unilateral"/>
    <s v="Braço"/>
    <n v="19.899999999999999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6699999999999999"/>
    <n v="2.0000000000000004"/>
    <s v="-"/>
    <n v="13.67"/>
    <n v="0.54"/>
    <m/>
    <m/>
    <m/>
    <m/>
    <s v="ATENDE"/>
    <s v="ATENDE"/>
    <s v="ATENDE"/>
    <s v="ATENDE"/>
    <s v="C4"/>
    <s v="P6"/>
    <n v="2.9333333333333336"/>
    <n v="11.8"/>
    <n v="8.58"/>
    <n v="3"/>
    <n v="0.6"/>
    <s v="ATENDE"/>
    <s v="ATENDE"/>
    <s v="ATENDE"/>
    <s v="P6"/>
    <n v="0.37333333333333329"/>
    <n v="4.12"/>
    <n v="2.63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184"/>
    <s v="PVP"/>
    <s v="Rua Sergipe, 804"/>
    <n v="-30.030655769999999"/>
    <n v="-50.161536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999999999999947E-2"/>
    <n v="0.50000000000000022"/>
    <s v="-"/>
    <n v="10.65"/>
    <n v="0.27"/>
    <m/>
    <m/>
    <m/>
    <m/>
    <s v="ATENDE"/>
    <s v="ATENDE"/>
    <s v="ATENDE"/>
    <s v="ATENDE"/>
    <s v="C4"/>
    <s v="P6"/>
    <n v="2.0266666666666668"/>
    <n v="9.08"/>
    <n v="2.16"/>
    <n v="3"/>
    <n v="0.6"/>
    <s v="ATENDE"/>
    <s v="ATENDE"/>
    <s v="ATENDE"/>
    <s v="P6"/>
    <n v="1.0500000000000003"/>
    <n v="6.15"/>
    <n v="2.21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84"/>
    <s v="PVP"/>
    <s v="Rua Sergipe, 804"/>
    <n v="-30.030655769999999"/>
    <n v="-50.161536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300000000000012"/>
    <n v="0.38888888888888884"/>
    <s v="-"/>
    <n v="12.63"/>
    <n v="0.25"/>
    <m/>
    <m/>
    <m/>
    <m/>
    <s v="ATENDE"/>
    <s v="ATENDE"/>
    <s v="ATENDE"/>
    <s v="ATENDE"/>
    <s v="C4"/>
    <s v="P6"/>
    <n v="2.4233333333333333"/>
    <n v="10.27"/>
    <n v="1.33"/>
    <n v="3"/>
    <n v="0.6"/>
    <s v="ATENDE"/>
    <s v="ATENDE"/>
    <s v="ATENDE"/>
    <s v="P6"/>
    <n v="1.3199999999999998"/>
    <n v="6.96"/>
    <n v="3.32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84"/>
    <s v="PVP"/>
    <s v="Rua Sergipe, 804"/>
    <n v="-30.030655769999999"/>
    <n v="-50.161536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00000000000003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600000000000013"/>
    <n v="0"/>
    <s v="-"/>
    <n v="11.46"/>
    <n v="0.18"/>
    <m/>
    <m/>
    <m/>
    <m/>
    <s v="ATENDE"/>
    <s v="ATENDE"/>
    <s v="ATENDE"/>
    <s v="ATENDE"/>
    <s v="C4"/>
    <s v="P6"/>
    <n v="1.9066666666666667"/>
    <n v="8.7200000000000006"/>
    <n v="1.23"/>
    <n v="3"/>
    <n v="0.6"/>
    <s v="ATENDE"/>
    <s v="ATENDE"/>
    <s v="ATENDE"/>
    <s v="P6"/>
    <n v="0.66999999999999993"/>
    <n v="5.01"/>
    <n v="1.69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n v="0"/>
    <n v="8163"/>
    <n v="0"/>
    <n v="0"/>
    <n v="5"/>
    <s v="Curto II"/>
    <m/>
    <s v=""/>
    <s v=""/>
    <m/>
    <m/>
    <m/>
    <m/>
    <m/>
    <m/>
    <n v="50"/>
    <n v="100"/>
    <n v="150"/>
    <n v="0.5"/>
    <m/>
    <m/>
    <s v="Sim"/>
    <m/>
  </r>
  <r>
    <n v="185"/>
    <s v="PVP"/>
    <s v="Rua Rio Grande do Sul, 749"/>
    <n v="-30.031288830000001"/>
    <n v="-50.158288659999997"/>
    <x v="2"/>
    <s v="-"/>
    <x v="1"/>
    <s v="Vapor de sódio"/>
    <n v="100"/>
    <n v="17"/>
    <n v="0"/>
    <n v="200"/>
    <n v="2"/>
    <n v="2.5"/>
    <n v="7.2"/>
    <m/>
    <m/>
    <n v="0"/>
    <n v="2.5"/>
    <n v="0"/>
    <n v="0"/>
    <n v="0"/>
    <n v="0"/>
    <n v="0"/>
    <s v="Unilateral"/>
    <s v="Braço"/>
    <n v="30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3"/>
    <n v="1.5555555555555558"/>
    <s v="-"/>
    <n v="10.02"/>
    <n v="0.46"/>
    <m/>
    <m/>
    <m/>
    <m/>
    <s v="ATENDE"/>
    <s v="ATENDE"/>
    <s v="ATENDE"/>
    <s v="ATENDE"/>
    <s v="C4"/>
    <s v="P6"/>
    <n v="1.7966666666666669"/>
    <n v="8.39"/>
    <n v="3.46"/>
    <n v="3"/>
    <n v="0.6"/>
    <s v="ATENDE"/>
    <s v="ATENDE"/>
    <s v="ATENDE"/>
    <s v="P6"/>
    <n v="0.77333333333333343"/>
    <n v="5.32"/>
    <n v="2.8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85"/>
    <s v="PVP"/>
    <s v="Rua Rio Grande do Sul, 749"/>
    <n v="-30.031288830000001"/>
    <n v="-50.158288659999997"/>
    <x v="2"/>
    <s v="-"/>
    <x v="1"/>
    <s v="Vapor de sódio"/>
    <n v="100"/>
    <n v="17"/>
    <n v="0"/>
    <n v="200"/>
    <n v="2"/>
    <n v="2.5"/>
    <n v="7.2"/>
    <m/>
    <m/>
    <n v="0"/>
    <n v="2.5"/>
    <n v="0"/>
    <n v="0"/>
    <n v="0"/>
    <n v="0"/>
    <n v="0"/>
    <s v="Unilateral"/>
    <s v="Braço"/>
    <n v="30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2.4444444444444446"/>
    <s v="-"/>
    <n v="11.31"/>
    <n v="0.62"/>
    <m/>
    <m/>
    <m/>
    <m/>
    <s v="ATENDE"/>
    <s v="ATENDE"/>
    <s v="ATENDE"/>
    <s v="ATENDE"/>
    <s v="C4"/>
    <s v="P6"/>
    <n v="2.25"/>
    <n v="9.75"/>
    <n v="4.68"/>
    <n v="3"/>
    <n v="0.6"/>
    <s v="ATENDE"/>
    <s v="ATENDE"/>
    <s v="ATENDE"/>
    <s v="P6"/>
    <n v="0.8"/>
    <n v="5.4"/>
    <n v="3.17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85"/>
    <s v="PVP"/>
    <s v="Rua Rio Grande do Sul, 749"/>
    <n v="-30.031288830000001"/>
    <n v="-50.158288659999997"/>
    <x v="2"/>
    <s v="-"/>
    <x v="1"/>
    <s v="Vapor de sódio"/>
    <n v="100"/>
    <n v="17"/>
    <n v="0"/>
    <n v="200"/>
    <n v="2"/>
    <n v="2.5"/>
    <n v="7.2"/>
    <m/>
    <m/>
    <n v="0"/>
    <n v="2.5"/>
    <n v="0"/>
    <n v="0"/>
    <n v="0"/>
    <n v="0"/>
    <n v="0"/>
    <s v="Unilateral"/>
    <s v="Braço"/>
    <n v="30.8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6500000000000012"/>
    <n v="1.7222222222222223"/>
    <s v="-"/>
    <n v="12.65"/>
    <n v="0.49"/>
    <m/>
    <m/>
    <m/>
    <m/>
    <s v="ATENDE"/>
    <s v="ATENDE"/>
    <s v="ATENDE"/>
    <s v="ATENDE"/>
    <s v="C4"/>
    <s v="P6"/>
    <n v="2.4466666666666668"/>
    <n v="10.34"/>
    <n v="5.0599999999999996"/>
    <n v="3"/>
    <n v="0.6"/>
    <s v="ATENDE"/>
    <s v="ATENDE"/>
    <s v="ATENDE"/>
    <s v="P6"/>
    <n v="0.49666666666666681"/>
    <n v="4.49"/>
    <n v="2.4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86"/>
    <s v="PVP"/>
    <s v="Rua Belem, 965"/>
    <n v="-30.0313479"/>
    <n v="-50.156897989999997"/>
    <x v="2"/>
    <s v="-"/>
    <x v="1"/>
    <s v="Vapor de sódio"/>
    <n v="100"/>
    <n v="17"/>
    <n v="0"/>
    <n v="200"/>
    <n v="2"/>
    <n v="2.5"/>
    <n v="9.9"/>
    <m/>
    <m/>
    <n v="0"/>
    <n v="2.5"/>
    <n v="0"/>
    <n v="0"/>
    <n v="0"/>
    <n v="0"/>
    <n v="0"/>
    <s v="Unilateral"/>
    <s v="Braço"/>
    <n v="34.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999999999999977E-2"/>
    <n v="0.7777777777777779"/>
    <s v="-"/>
    <n v="10.99"/>
    <n v="0.32"/>
    <m/>
    <m/>
    <m/>
    <m/>
    <s v="ATENDE"/>
    <s v="ATENDE"/>
    <s v="ATENDE"/>
    <s v="ATENDE"/>
    <s v="C4"/>
    <s v="P6"/>
    <n v="2.5433333333333334"/>
    <n v="10.63"/>
    <n v="3.7"/>
    <n v="3"/>
    <n v="0.6"/>
    <s v="ATENDE"/>
    <s v="ATENDE"/>
    <s v="ATENDE"/>
    <s v="P6"/>
    <n v="0.12666666666666671"/>
    <n v="3.38"/>
    <n v="2.0099999999999998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86"/>
    <s v="PVP"/>
    <s v="Rua Belem, 965"/>
    <n v="-30.0313479"/>
    <n v="-50.156897989999997"/>
    <x v="2"/>
    <s v="-"/>
    <x v="1"/>
    <s v="Vapor de sódio"/>
    <n v="100"/>
    <n v="17"/>
    <n v="0"/>
    <n v="200"/>
    <n v="2"/>
    <n v="2.5"/>
    <n v="9.9"/>
    <m/>
    <m/>
    <n v="0"/>
    <n v="2.5"/>
    <n v="0"/>
    <n v="0"/>
    <n v="0"/>
    <n v="0"/>
    <n v="0"/>
    <s v="Unilateral"/>
    <s v="Braço"/>
    <n v="34.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299999999999993"/>
    <n v="1.5555555555555558"/>
    <s v="-"/>
    <n v="12.93"/>
    <n v="0.46"/>
    <m/>
    <m/>
    <m/>
    <m/>
    <s v="ATENDE"/>
    <s v="ATENDE"/>
    <s v="ATENDE"/>
    <s v="ATENDE"/>
    <s v="C4"/>
    <s v="P6"/>
    <n v="2.9933333333333336"/>
    <n v="11.98"/>
    <n v="3.59"/>
    <n v="3"/>
    <n v="0.6"/>
    <s v="ATENDE"/>
    <s v="ATENDE"/>
    <s v="ATENDE"/>
    <s v="P6"/>
    <n v="0"/>
    <n v="3"/>
    <n v="1.51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86"/>
    <s v="PVP"/>
    <s v="Rua Belem, 965"/>
    <n v="-30.0313479"/>
    <n v="-50.156897989999997"/>
    <x v="2"/>
    <s v="-"/>
    <x v="1"/>
    <s v="Vapor de sódio"/>
    <n v="100"/>
    <n v="17"/>
    <n v="0"/>
    <n v="200"/>
    <n v="2"/>
    <n v="2.5"/>
    <n v="9.9"/>
    <m/>
    <m/>
    <n v="0"/>
    <n v="2.5"/>
    <n v="0"/>
    <n v="0"/>
    <n v="0"/>
    <n v="0"/>
    <n v="0"/>
    <s v="Unilateral"/>
    <s v="Braço"/>
    <n v="34.5"/>
    <n v="7"/>
    <n v="1"/>
    <n v="0.45"/>
    <n v="1.3"/>
    <n v="0.8500000000000000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300000000000001"/>
    <n v="1.0555555555555558"/>
    <s v="-"/>
    <n v="13.83"/>
    <n v="0.37"/>
    <m/>
    <m/>
    <m/>
    <m/>
    <s v="ATENDE"/>
    <s v="ATENDE"/>
    <s v="ATENDE"/>
    <s v="ATENDE"/>
    <s v="C4"/>
    <s v="P6"/>
    <n v="2.9600000000000004"/>
    <n v="11.88"/>
    <n v="3.88"/>
    <n v="3"/>
    <n v="0.6"/>
    <s v="ATENDE"/>
    <s v="ATENDE"/>
    <s v="ATENDE"/>
    <s v="P6"/>
    <n v="0.12333333333333329"/>
    <n v="3.37"/>
    <n v="1.76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n v="5"/>
    <s v="Curto II"/>
    <m/>
    <s v=""/>
    <s v=""/>
    <m/>
    <m/>
    <m/>
    <m/>
    <m/>
    <m/>
    <n v="60"/>
    <n v="100"/>
    <n v="160"/>
    <n v="0.4"/>
    <m/>
    <m/>
    <s v="Sim"/>
    <m/>
  </r>
  <r>
    <n v="187"/>
    <s v="PVP"/>
    <s v="Rua Para, 513"/>
    <n v="-30.029990940000001"/>
    <n v="-50.15324059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4999999999999929E-2"/>
    <n v="1.0555555555555558"/>
    <s v="-"/>
    <n v="10.45"/>
    <n v="0.37"/>
    <m/>
    <m/>
    <m/>
    <m/>
    <s v="ATENDE"/>
    <s v="ATENDE"/>
    <s v="ATENDE"/>
    <s v="ATENDE"/>
    <s v="C4"/>
    <s v="P6"/>
    <n v="1.9166666666666665"/>
    <n v="8.75"/>
    <n v="2.91"/>
    <n v="3"/>
    <n v="0.6"/>
    <s v="ATENDE"/>
    <s v="ATENDE"/>
    <s v="ATENDE"/>
    <s v="P6"/>
    <n v="1.0533333333333332"/>
    <n v="6.16"/>
    <n v="2.8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87"/>
    <s v="PVP"/>
    <s v="Rua Para, 513"/>
    <n v="-30.029990940000001"/>
    <n v="-50.15324059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5399999999999996"/>
    <n v="1.2777777777777777"/>
    <s v="-"/>
    <n v="14.54"/>
    <n v="0.41"/>
    <m/>
    <m/>
    <m/>
    <m/>
    <s v="ATENDE"/>
    <s v="ATENDE"/>
    <s v="ATENDE"/>
    <s v="ATENDE"/>
    <s v="C4"/>
    <s v="P6"/>
    <n v="2.8366666666666664"/>
    <n v="11.51"/>
    <n v="3.05"/>
    <n v="3"/>
    <n v="0.6"/>
    <s v="ATENDE"/>
    <s v="ATENDE"/>
    <s v="ATENDE"/>
    <s v="P6"/>
    <n v="1.73"/>
    <n v="8.19"/>
    <n v="5.37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87"/>
    <s v="PVP"/>
    <s v="Rua Para, 513"/>
    <n v="-30.029990940000001"/>
    <n v="-50.15324059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799999999999988"/>
    <n v="0.88888888888888906"/>
    <s v="-"/>
    <n v="11.18"/>
    <n v="0.34"/>
    <m/>
    <m/>
    <m/>
    <m/>
    <s v="ATENDE"/>
    <s v="ATENDE"/>
    <s v="ATENDE"/>
    <s v="ATENDE"/>
    <s v="C4"/>
    <s v="P6"/>
    <n v="1.9233333333333333"/>
    <n v="8.77"/>
    <n v="2.8"/>
    <n v="3"/>
    <n v="0.6"/>
    <s v="ATENDE"/>
    <s v="ATENDE"/>
    <s v="ATENDE"/>
    <s v="P6"/>
    <n v="0.44666666666666655"/>
    <n v="4.34"/>
    <n v="1.8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88"/>
    <s v="PVP"/>
    <s v="Rua Goias, 535"/>
    <n v="-30.030777409999999"/>
    <n v="-50.152010930000003"/>
    <x v="2"/>
    <s v="-"/>
    <x v="1"/>
    <s v="Vapor de sódio"/>
    <n v="100"/>
    <n v="17"/>
    <n v="0"/>
    <n v="0"/>
    <n v="2"/>
    <n v="2.6"/>
    <n v="7"/>
    <m/>
    <m/>
    <n v="0"/>
    <n v="2.5"/>
    <n v="0"/>
    <n v="0"/>
    <n v="0"/>
    <n v="0"/>
    <n v="0"/>
    <s v="Unilateral"/>
    <s v="Braço"/>
    <n v="39.6"/>
    <n v="0"/>
    <n v="0"/>
    <n v="0.5"/>
    <n v="0"/>
    <n v="-0.5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1.2000000000000011E-2"/>
    <n v="0.5555555555555558"/>
    <s v="-"/>
    <n v="10.119999999999999"/>
    <n v="0.28000000000000003"/>
    <m/>
    <m/>
    <m/>
    <m/>
    <s v="ATENDE"/>
    <s v="ATENDE"/>
    <s v="ATENDE"/>
    <s v="ATENDE"/>
    <s v="C4"/>
    <s v="P6"/>
    <n v="2.6766666666666663"/>
    <n v="11.03"/>
    <n v="2.74"/>
    <n v="3"/>
    <n v="0.6"/>
    <s v="ATENDE"/>
    <s v="ATENDE"/>
    <s v="ATENDE"/>
    <s v="P6"/>
    <n v="0.56333333333333346"/>
    <n v="4.6900000000000004"/>
    <n v="1.94"/>
    <n v="3"/>
    <n v="0.6"/>
    <s v="ATENDE"/>
    <s v="ATENDE"/>
    <s v="ATENDE"/>
    <x v="0"/>
    <s v=" SL VT 9.1 52W"/>
    <s v="LUM LED SL VT 9.1 52W"/>
    <m/>
    <n v="0"/>
    <n v="0"/>
    <n v="52"/>
    <n v="0"/>
    <n v="8960.18"/>
    <n v="0"/>
    <n v="0"/>
    <m/>
    <s v="Curto I"/>
    <m/>
    <s v=""/>
    <s v=""/>
    <m/>
    <m/>
    <m/>
    <m/>
    <m/>
    <m/>
    <n v="52"/>
    <n v="100"/>
    <n v="0"/>
    <n v="0.48"/>
    <m/>
    <m/>
    <s v="Sim"/>
    <m/>
  </r>
  <r>
    <n v="188"/>
    <s v="PVP"/>
    <s v="Rua Goias, 535"/>
    <n v="-30.030777409999999"/>
    <n v="-50.152010930000003"/>
    <x v="2"/>
    <s v="-"/>
    <x v="1"/>
    <s v="Vapor de sódio"/>
    <n v="100"/>
    <n v="17"/>
    <n v="0"/>
    <n v="0"/>
    <n v="2"/>
    <n v="2.6"/>
    <n v="7"/>
    <m/>
    <m/>
    <n v="0"/>
    <n v="2.5"/>
    <n v="0"/>
    <n v="0"/>
    <n v="0"/>
    <n v="0"/>
    <n v="0"/>
    <s v="Unilateral"/>
    <s v="Braço"/>
    <n v="39.6"/>
    <n v="0"/>
    <n v="0"/>
    <n v="0.5"/>
    <n v="0"/>
    <n v="-0.5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0.19700000000000006"/>
    <n v="1.2222222222222223"/>
    <s v="-"/>
    <n v="11.97"/>
    <n v="0.4"/>
    <m/>
    <m/>
    <m/>
    <m/>
    <s v="ATENDE"/>
    <s v="ATENDE"/>
    <s v="ATENDE"/>
    <s v="ATENDE"/>
    <s v="C4"/>
    <s v="P6"/>
    <n v="3.3233333333333333"/>
    <n v="12.97"/>
    <n v="2.34"/>
    <n v="3"/>
    <n v="0.6"/>
    <s v="ATENDE"/>
    <s v="ATENDE"/>
    <s v="ATENDE"/>
    <s v="P6"/>
    <n v="0.6100000000000001"/>
    <n v="4.83"/>
    <n v="2.61"/>
    <n v="3"/>
    <n v="0.6"/>
    <s v="ATENDE"/>
    <s v="ATENDE"/>
    <s v="ATENDE"/>
    <x v="1"/>
    <s v="SX-INEVO050HF"/>
    <s v="SXINEVO050K40L12CZF7PHF"/>
    <m/>
    <n v="0"/>
    <n v="0"/>
    <n v="50"/>
    <n v="0"/>
    <n v="8650"/>
    <n v="0"/>
    <n v="0"/>
    <m/>
    <s v="Curto I"/>
    <m/>
    <s v=""/>
    <s v=""/>
    <m/>
    <m/>
    <m/>
    <m/>
    <m/>
    <m/>
    <n v="50"/>
    <n v="100"/>
    <n v="0"/>
    <n v="0.5"/>
    <m/>
    <m/>
    <s v="Sim"/>
    <m/>
  </r>
  <r>
    <n v="188"/>
    <s v="PVP"/>
    <s v="Rua Goias, 535"/>
    <n v="-30.030777409999999"/>
    <n v="-50.152010930000003"/>
    <x v="2"/>
    <s v="-"/>
    <x v="1"/>
    <s v="Vapor de sódio"/>
    <n v="100"/>
    <n v="17"/>
    <n v="0"/>
    <n v="0"/>
    <n v="2"/>
    <n v="2.6"/>
    <n v="7"/>
    <m/>
    <m/>
    <n v="0"/>
    <n v="2.5"/>
    <n v="0"/>
    <n v="0"/>
    <n v="0"/>
    <n v="0"/>
    <n v="0"/>
    <s v="Unilateral"/>
    <s v="Braço"/>
    <n v="39.6"/>
    <n v="0"/>
    <n v="0"/>
    <n v="0.5"/>
    <n v="0"/>
    <n v="-0.5"/>
    <s v="-"/>
    <s v="-"/>
    <s v="Não"/>
    <n v="0"/>
    <n v="0"/>
    <n v="0"/>
    <n v="0"/>
    <n v="0"/>
    <n v="0"/>
    <s v="-"/>
    <n v="0"/>
    <m/>
    <n v="10"/>
    <n v="0.18"/>
    <s v="-"/>
    <n v="0.18"/>
    <s v="-"/>
    <n v="16"/>
    <s v="ATENDE"/>
    <n v="5.600000000000005E-2"/>
    <n v="0.38888888888888884"/>
    <s v="-"/>
    <n v="10.56"/>
    <n v="0.25"/>
    <m/>
    <m/>
    <m/>
    <m/>
    <s v="ATENDE"/>
    <s v="ATENDE"/>
    <s v="ATENDE"/>
    <s v="ATENDE"/>
    <s v="C4"/>
    <s v="P6"/>
    <n v="2.8466666666666662"/>
    <n v="11.54"/>
    <n v="1.94"/>
    <n v="3"/>
    <n v="0.6"/>
    <s v="ATENDE"/>
    <s v="ATENDE"/>
    <s v="ATENDE"/>
    <s v="P6"/>
    <n v="0.15999999999999992"/>
    <n v="3.48"/>
    <n v="1.46"/>
    <n v="3"/>
    <n v="0.6"/>
    <s v="ATENDE"/>
    <s v="ATENDE"/>
    <s v="ATENDE"/>
    <x v="2"/>
    <s v="SIGSAGPTLRRSSNDL_50W_61IBBRS_x000a_"/>
    <s v="SIGSAGPTLRRSSNDL_50W_61IBBRS_x000a_1-10C1MUN6.5"/>
    <m/>
    <n v="0"/>
    <n v="0"/>
    <n v="50"/>
    <n v="0"/>
    <n v="8163"/>
    <n v="0"/>
    <n v="0"/>
    <n v="5"/>
    <s v="Curto I"/>
    <m/>
    <s v=""/>
    <s v=""/>
    <m/>
    <m/>
    <m/>
    <m/>
    <m/>
    <m/>
    <n v="50"/>
    <n v="100"/>
    <n v="0"/>
    <n v="0.5"/>
    <m/>
    <m/>
    <s v="Sim"/>
    <m/>
  </r>
  <r>
    <n v="189"/>
    <s v="PVP"/>
    <s v="Rua Mato Grosso, 773"/>
    <n v="-30.032745689999999"/>
    <n v="-50.152778300000001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4999999999999929E-2"/>
    <n v="1.0555555555555558"/>
    <s v="-"/>
    <n v="10.45"/>
    <n v="0.37"/>
    <m/>
    <m/>
    <m/>
    <m/>
    <s v="ATENDE"/>
    <s v="ATENDE"/>
    <s v="ATENDE"/>
    <s v="ATENDE"/>
    <s v="C4"/>
    <s v="P6"/>
    <n v="2.0433333333333334"/>
    <n v="9.1300000000000008"/>
    <n v="3.05"/>
    <n v="3"/>
    <n v="0.6"/>
    <s v="ATENDE"/>
    <s v="ATENDE"/>
    <s v="ATENDE"/>
    <s v="P6"/>
    <n v="0.99"/>
    <n v="5.97"/>
    <n v="2.8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89"/>
    <s v="PVP"/>
    <s v="Rua Mato Grosso, 773"/>
    <n v="-30.032745689999999"/>
    <n v="-50.152778300000001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5500000000000007"/>
    <n v="1.4444444444444446"/>
    <s v="-"/>
    <n v="14.55"/>
    <n v="0.44"/>
    <m/>
    <m/>
    <m/>
    <m/>
    <s v="ATENDE"/>
    <s v="ATENDE"/>
    <s v="ATENDE"/>
    <s v="ATENDE"/>
    <s v="C4"/>
    <s v="P6"/>
    <n v="3.0466666666666669"/>
    <n v="12.14"/>
    <n v="3.4"/>
    <n v="3"/>
    <n v="0.6"/>
    <s v="ATENDE"/>
    <s v="ATENDE"/>
    <s v="ATENDE"/>
    <s v="P6"/>
    <n v="1.6133333333333333"/>
    <n v="7.84"/>
    <n v="5.2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89"/>
    <s v="PVP"/>
    <s v="Rua Mato Grosso, 773"/>
    <n v="-30.032745689999999"/>
    <n v="-50.152778300000001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200000000000003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94444444444444442"/>
    <s v="-"/>
    <n v="11.14"/>
    <n v="0.35"/>
    <m/>
    <m/>
    <m/>
    <m/>
    <s v="ATENDE"/>
    <s v="ATENDE"/>
    <s v="ATENDE"/>
    <s v="ATENDE"/>
    <s v="C4"/>
    <s v="P6"/>
    <n v="2.0833333333333335"/>
    <n v="9.25"/>
    <n v="3.04"/>
    <n v="3"/>
    <n v="0.6"/>
    <s v="ATENDE"/>
    <s v="ATENDE"/>
    <s v="ATENDE"/>
    <s v="P6"/>
    <n v="0.35666666666666669"/>
    <n v="4.07"/>
    <n v="1.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90"/>
    <s v="PVP"/>
    <s v="Rua Amapa, 809"/>
    <n v="-30.034504890000001"/>
    <n v="-50.14766327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200000000000003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799999999999989"/>
    <n v="0.94444444444444442"/>
    <s v="-"/>
    <n v="11.28"/>
    <n v="0.35"/>
    <m/>
    <m/>
    <m/>
    <m/>
    <s v="ATENDE"/>
    <s v="ATENDE"/>
    <s v="ATENDE"/>
    <s v="ATENDE"/>
    <s v="C4"/>
    <s v="P6"/>
    <n v="2.2233333333333332"/>
    <n v="9.67"/>
    <n v="3.07"/>
    <n v="3"/>
    <n v="0.6"/>
    <s v="ATENDE"/>
    <s v="ATENDE"/>
    <s v="ATENDE"/>
    <s v="P6"/>
    <n v="1.29"/>
    <n v="6.87"/>
    <n v="3"/>
    <n v="3"/>
    <n v="0.6"/>
    <s v="ATENDE"/>
    <s v="ATENDE"/>
    <s v="ATENDE"/>
    <x v="0"/>
    <s v=" SL VT 9.1 52W"/>
    <s v="LUM LED SL VT 9.1 52W"/>
    <m/>
    <n v="0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90"/>
    <s v="PVP"/>
    <s v="Rua Amapa, 809"/>
    <n v="-30.034504890000001"/>
    <n v="-50.14766327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200000000000003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3699999999999997"/>
    <n v="1.2222222222222223"/>
    <s v="-"/>
    <n v="13.37"/>
    <n v="0.4"/>
    <m/>
    <m/>
    <m/>
    <m/>
    <s v="ATENDE"/>
    <s v="ATENDE"/>
    <s v="ATENDE"/>
    <s v="ATENDE"/>
    <s v="C4"/>
    <s v="P6"/>
    <n v="2.6566666666666667"/>
    <n v="10.97"/>
    <n v="2.73"/>
    <n v="3"/>
    <n v="0.6"/>
    <s v="ATENDE"/>
    <s v="ATENDE"/>
    <s v="ATENDE"/>
    <s v="P6"/>
    <n v="1.6266666666666665"/>
    <n v="7.88"/>
    <n v="5.1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190"/>
    <s v="PVP"/>
    <s v="Rua Amapa, 809"/>
    <n v="-30.034504890000001"/>
    <n v="-50.14766327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200000000000003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2000000000000028E-2"/>
    <n v="0.83333333333333348"/>
    <s v="-"/>
    <n v="10.32"/>
    <n v="0.33"/>
    <m/>
    <m/>
    <m/>
    <m/>
    <s v="ATENDE"/>
    <s v="ATENDE"/>
    <s v="ATENDE"/>
    <s v="ATENDE"/>
    <s v="C4"/>
    <s v="P6"/>
    <n v="1.7866666666666666"/>
    <n v="8.36"/>
    <n v="2.4900000000000002"/>
    <n v="3"/>
    <n v="0.6"/>
    <s v="ATENDE"/>
    <s v="ATENDE"/>
    <s v="ATENDE"/>
    <s v="P6"/>
    <n v="0.41999999999999993"/>
    <n v="4.26"/>
    <n v="1.8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91"/>
    <s v="PVP"/>
    <s v="Rua Alagoas, 815"/>
    <n v="-30.03469793"/>
    <n v="-50.147054969999999"/>
    <x v="2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38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200000000000012"/>
    <n v="0.66666666666666674"/>
    <s v="-"/>
    <n v="11.32"/>
    <n v="0.3"/>
    <m/>
    <m/>
    <m/>
    <m/>
    <s v="ATENDE"/>
    <s v="ATENDE"/>
    <s v="ATENDE"/>
    <s v="ATENDE"/>
    <s v="C4"/>
    <s v="P6"/>
    <n v="2.2266666666666666"/>
    <n v="9.68"/>
    <n v="2.62"/>
    <n v="3"/>
    <n v="0.6"/>
    <s v="ATENDE"/>
    <s v="ATENDE"/>
    <s v="ATENDE"/>
    <s v="P6"/>
    <n v="1.2533333333333334"/>
    <n v="6.76"/>
    <n v="2.5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191"/>
    <s v="PVP"/>
    <s v="Rua Alagoas, 815"/>
    <n v="-30.03469793"/>
    <n v="-50.147054969999999"/>
    <x v="2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38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099999999999997"/>
    <n v="0.61111111111111116"/>
    <s v="-"/>
    <n v="13.41"/>
    <n v="0.28999999999999998"/>
    <m/>
    <m/>
    <m/>
    <m/>
    <s v="ATENDE"/>
    <s v="ATENDE"/>
    <s v="ATENDE"/>
    <s v="ATENDE"/>
    <s v="C4"/>
    <s v="P6"/>
    <n v="2.66"/>
    <n v="10.98"/>
    <n v="1.92"/>
    <n v="3"/>
    <n v="0.6"/>
    <s v="ATENDE"/>
    <s v="ATENDE"/>
    <s v="ATENDE"/>
    <s v="P6"/>
    <n v="1.5766666666666667"/>
    <n v="7.73"/>
    <n v="4.1500000000000004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191"/>
    <s v="PVP"/>
    <s v="Rua Alagoas, 815"/>
    <n v="-30.03469793"/>
    <n v="-50.147054969999999"/>
    <x v="2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38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00000000000003E-2"/>
    <n v="0.16666666666666674"/>
    <s v="-"/>
    <n v="10.34"/>
    <n v="0.21"/>
    <m/>
    <m/>
    <m/>
    <m/>
    <s v="ATENDE"/>
    <s v="ATENDE"/>
    <s v="ATENDE"/>
    <s v="ATENDE"/>
    <s v="C4"/>
    <s v="P6"/>
    <n v="1.7833333333333332"/>
    <n v="8.35"/>
    <n v="1.66"/>
    <n v="3"/>
    <n v="0.6"/>
    <s v="ATENDE"/>
    <s v="ATENDE"/>
    <s v="ATENDE"/>
    <s v="P6"/>
    <n v="0.37666666666666671"/>
    <n v="4.13"/>
    <n v="1.2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192"/>
    <s v="PVP"/>
    <s v="Avenida Beira-Mar, 1622"/>
    <n v="-30.035083929999999"/>
    <n v="-50.145924749999999"/>
    <x v="0"/>
    <s v="-"/>
    <x v="0"/>
    <s v="Vapor de sódio"/>
    <n v="150"/>
    <n v="22"/>
    <n v="0"/>
    <n v="300"/>
    <n v="2"/>
    <n v="2.5"/>
    <n v="11.06"/>
    <m/>
    <m/>
    <n v="0"/>
    <n v="2"/>
    <n v="0"/>
    <n v="0"/>
    <n v="0"/>
    <n v="0"/>
    <n v="0"/>
    <s v="Bilateral alternada"/>
    <s v="Braço"/>
    <n v="38.6"/>
    <n v="7"/>
    <n v="1"/>
    <n v="0.4"/>
    <n v="1.3"/>
    <n v="0.9"/>
    <s v="-"/>
    <s v="-"/>
    <s v="Não"/>
    <n v="3"/>
    <n v="0"/>
    <n v="0"/>
    <n v="0"/>
    <n v="0"/>
    <n v="0"/>
    <s v="-"/>
    <n v="0"/>
    <m/>
    <n v="30"/>
    <n v="0.38"/>
    <s v="-"/>
    <n v="0.38"/>
    <s v="-"/>
    <n v="14"/>
    <s v="ATENDE"/>
    <n v="7.1333333333333249E-2"/>
    <n v="0.47368421052631593"/>
    <s v="-"/>
    <n v="32.14"/>
    <n v="0.56000000000000005"/>
    <m/>
    <m/>
    <m/>
    <m/>
    <s v="ATENDE"/>
    <s v="ATENDE"/>
    <s v="ATENDE"/>
    <s v="ATENDE"/>
    <s v="C1"/>
    <s v="P5"/>
    <n v="2.7619999999999996"/>
    <n v="18.809999999999999"/>
    <n v="9.34"/>
    <n v="5"/>
    <n v="1"/>
    <s v="ATENDE"/>
    <s v="ATENDE"/>
    <s v="ATENDE"/>
    <s v="P5"/>
    <n v="2.5680000000000001"/>
    <n v="17.84"/>
    <n v="8.36"/>
    <n v="5"/>
    <n v="1"/>
    <s v="ATENDE"/>
    <s v="ATENDE"/>
    <s v="ATENDE"/>
    <x v="0"/>
    <s v=" SL VT 9.1 85W"/>
    <s v="LUM LED SL VT 9.1 85W"/>
    <m/>
    <e v="#N/A"/>
    <n v="1"/>
    <n v="85"/>
    <n v="0"/>
    <n v="14489"/>
    <n v="0"/>
    <n v="0"/>
    <m/>
    <s v="Curto II"/>
    <m/>
    <s v=""/>
    <s v=""/>
    <m/>
    <m/>
    <m/>
    <m/>
    <m/>
    <m/>
    <n v="85"/>
    <n v="150"/>
    <n v="235"/>
    <n v="0.43333333333333335"/>
    <m/>
    <m/>
    <s v="Sim"/>
    <m/>
  </r>
  <r>
    <n v="192"/>
    <s v="PVP"/>
    <s v="Avenida Beira-Mar, 1622"/>
    <n v="-30.035083929999999"/>
    <n v="-50.145924749999999"/>
    <x v="0"/>
    <s v="-"/>
    <x v="0"/>
    <s v="Vapor de sódio"/>
    <n v="150"/>
    <n v="22"/>
    <n v="0"/>
    <n v="300"/>
    <n v="2"/>
    <n v="2.5"/>
    <n v="11.06"/>
    <m/>
    <m/>
    <n v="0"/>
    <n v="2"/>
    <n v="0"/>
    <n v="0"/>
    <n v="0"/>
    <n v="0"/>
    <n v="0"/>
    <s v="Bilateral alternada"/>
    <s v="Braço"/>
    <n v="38.6"/>
    <n v="7"/>
    <n v="1"/>
    <n v="0.4"/>
    <n v="1.3"/>
    <n v="0.9"/>
    <s v="-"/>
    <s v="-"/>
    <s v="Não"/>
    <n v="3"/>
    <n v="0"/>
    <n v="0"/>
    <n v="0"/>
    <n v="0"/>
    <n v="0"/>
    <s v="-"/>
    <n v="0"/>
    <m/>
    <n v="30"/>
    <n v="0.38"/>
    <s v="-"/>
    <n v="0.38"/>
    <s v="-"/>
    <n v="14"/>
    <s v="ATENDE"/>
    <n v="1.7333333333333423E-2"/>
    <n v="0.39473684210526327"/>
    <s v="-"/>
    <n v="30.52"/>
    <n v="0.53"/>
    <m/>
    <m/>
    <m/>
    <m/>
    <s v="ATENDE"/>
    <s v="ATENDE"/>
    <s v="ATENDE"/>
    <s v="ATENDE"/>
    <s v="C1"/>
    <s v="P5"/>
    <n v="2.8119999999999998"/>
    <n v="19.059999999999999"/>
    <n v="7.73"/>
    <n v="5"/>
    <n v="1"/>
    <s v="ATENDE"/>
    <s v="ATENDE"/>
    <s v="ATENDE"/>
    <s v="P5"/>
    <n v="2.6100000000000003"/>
    <n v="18.05"/>
    <n v="6.94"/>
    <n v="5"/>
    <n v="1"/>
    <s v="ATENDE"/>
    <s v="ATENDE"/>
    <s v="ATENDE"/>
    <x v="1"/>
    <s v="SX-INLPP070HF"/>
    <s v="SXINLPP070K40L12CZF7PHF"/>
    <m/>
    <e v="#N/A"/>
    <n v="1"/>
    <n v="70"/>
    <n v="0"/>
    <n v="11970"/>
    <n v="0"/>
    <n v="0"/>
    <m/>
    <s v="Curto II"/>
    <m/>
    <s v=""/>
    <s v=""/>
    <m/>
    <m/>
    <m/>
    <m/>
    <m/>
    <m/>
    <n v="70"/>
    <n v="150"/>
    <n v="220"/>
    <n v="0.53333333333333333"/>
    <m/>
    <m/>
    <s v="Sim"/>
    <m/>
  </r>
  <r>
    <n v="192"/>
    <s v="PVP"/>
    <s v="Avenida Beira-Mar, 1622"/>
    <n v="-30.035083929999999"/>
    <n v="-50.145924749999999"/>
    <x v="0"/>
    <s v="-"/>
    <x v="0"/>
    <s v="Vapor de sódio"/>
    <n v="150"/>
    <n v="22"/>
    <n v="0"/>
    <n v="300"/>
    <n v="2"/>
    <n v="2.5"/>
    <n v="11.06"/>
    <m/>
    <m/>
    <n v="0"/>
    <n v="2"/>
    <n v="0"/>
    <n v="0"/>
    <n v="0"/>
    <n v="0"/>
    <n v="0"/>
    <s v="Bilateral alternada"/>
    <s v="Braço"/>
    <n v="38.6"/>
    <n v="7"/>
    <n v="1"/>
    <n v="0.4"/>
    <n v="1.3"/>
    <n v="0.9"/>
    <s v="-"/>
    <s v="-"/>
    <s v="Não"/>
    <n v="3"/>
    <n v="0"/>
    <n v="0"/>
    <n v="0"/>
    <n v="0"/>
    <n v="0"/>
    <s v="-"/>
    <n v="0"/>
    <m/>
    <n v="30"/>
    <n v="0.38"/>
    <s v="-"/>
    <n v="0.38"/>
    <s v="-"/>
    <n v="14"/>
    <s v="ATENDE"/>
    <n v="7.3333333333331918E-3"/>
    <n v="0.34210526315789469"/>
    <s v="-"/>
    <n v="30.22"/>
    <n v="0.51"/>
    <m/>
    <m/>
    <m/>
    <m/>
    <s v="ATENDE"/>
    <s v="ATENDE"/>
    <s v="ATENDE"/>
    <s v="ATENDE"/>
    <s v="C1"/>
    <s v="P5"/>
    <n v="2.6799999999999997"/>
    <n v="18.399999999999999"/>
    <n v="7.75"/>
    <n v="5"/>
    <n v="1"/>
    <s v="ATENDE"/>
    <s v="ATENDE"/>
    <s v="ATENDE"/>
    <s v="P5"/>
    <n v="2.4700000000000002"/>
    <n v="17.350000000000001"/>
    <n v="6.99"/>
    <n v="5"/>
    <n v="1"/>
    <s v="ATENDE"/>
    <s v="ATENDE"/>
    <s v="ATENDE"/>
    <x v="2"/>
    <s v="SIGMAGPTLRRSMNDL_80W_56IBBR_x000a_"/>
    <s v="SIGMAGPTLRRSMNDL_80W_56IBBR_x000a_S1-10C1MUN6.5"/>
    <m/>
    <n v="0"/>
    <n v="1"/>
    <n v="80"/>
    <n v="0"/>
    <n v="13209"/>
    <n v="0"/>
    <n v="0"/>
    <n v="10"/>
    <s v="Curto II"/>
    <m/>
    <s v=""/>
    <s v=""/>
    <m/>
    <m/>
    <m/>
    <m/>
    <m/>
    <m/>
    <n v="80"/>
    <n v="150"/>
    <n v="230"/>
    <n v="0.46666666666666667"/>
    <m/>
    <m/>
    <s v="Sim"/>
    <m/>
  </r>
  <r>
    <n v="193"/>
    <s v="PVP"/>
    <s v="Rua Amazonas, 1025"/>
    <n v="-30.03635126"/>
    <n v="-50.149149710000003"/>
    <x v="2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5.6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999999999999996"/>
    <n v="2.1666666666666665"/>
    <s v="-"/>
    <n v="12.1"/>
    <n v="0.56999999999999995"/>
    <m/>
    <m/>
    <m/>
    <m/>
    <s v="ATENDE"/>
    <s v="ATENDE"/>
    <s v="ATENDE"/>
    <s v="ATENDE"/>
    <s v="C4"/>
    <s v="P6"/>
    <n v="2.58"/>
    <n v="10.74"/>
    <n v="6.09"/>
    <n v="3"/>
    <n v="0.6"/>
    <s v="ATENDE"/>
    <s v="ATENDE"/>
    <s v="ATENDE"/>
    <s v="P6"/>
    <n v="1.19"/>
    <n v="6.57"/>
    <n v="4.1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93"/>
    <s v="PVP"/>
    <s v="Rua Amazonas, 1025"/>
    <n v="-30.03635126"/>
    <n v="-50.149149710000003"/>
    <x v="2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5.6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300000000000003"/>
    <n v="2.9444444444444442"/>
    <s v="-"/>
    <n v="11.63"/>
    <n v="0.71"/>
    <m/>
    <m/>
    <m/>
    <m/>
    <s v="ATENDE"/>
    <s v="ATENDE"/>
    <s v="ATENDE"/>
    <s v="ATENDE"/>
    <s v="C4"/>
    <s v="P6"/>
    <n v="2.3666666666666667"/>
    <n v="10.1"/>
    <n v="6.8"/>
    <n v="3"/>
    <n v="0.6"/>
    <s v="ATENDE"/>
    <s v="ATENDE"/>
    <s v="ATENDE"/>
    <s v="P6"/>
    <n v="0.7566666666666666"/>
    <n v="5.27"/>
    <n v="3.0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93"/>
    <s v="PVP"/>
    <s v="Rua Amazonas, 1025"/>
    <n v="-30.03635126"/>
    <n v="-50.149149710000003"/>
    <x v="2"/>
    <s v="-"/>
    <x v="1"/>
    <s v="Vapor de sódio"/>
    <n v="100"/>
    <n v="17"/>
    <n v="0"/>
    <n v="200"/>
    <n v="2"/>
    <n v="2"/>
    <n v="7"/>
    <m/>
    <m/>
    <n v="0"/>
    <n v="2.5"/>
    <n v="0"/>
    <n v="0"/>
    <n v="0"/>
    <n v="0"/>
    <n v="0"/>
    <s v="Unilateral"/>
    <s v="Braço"/>
    <n v="25.6"/>
    <n v="7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500000000000002"/>
    <n v="2.6111111111111112"/>
    <s v="-"/>
    <n v="11.45"/>
    <n v="0.65"/>
    <m/>
    <m/>
    <m/>
    <m/>
    <s v="ATENDE"/>
    <s v="ATENDE"/>
    <s v="ATENDE"/>
    <s v="ATENDE"/>
    <s v="C4"/>
    <s v="P6"/>
    <n v="2.3533333333333335"/>
    <n v="10.06"/>
    <n v="6.77"/>
    <n v="3"/>
    <n v="0.6"/>
    <s v="ATENDE"/>
    <s v="ATENDE"/>
    <s v="ATENDE"/>
    <s v="P6"/>
    <n v="0.66000000000000014"/>
    <n v="4.9800000000000004"/>
    <n v="3.1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94"/>
    <s v="PVP"/>
    <s v="Rua Espirito Santo, 1129"/>
    <n v="-30.036361100000001"/>
    <n v="-50.15163917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6999999999999957E-2"/>
    <n v="1.166666666666667"/>
    <s v="-"/>
    <n v="10.77"/>
    <n v="0.39"/>
    <m/>
    <m/>
    <m/>
    <m/>
    <s v="ATENDE"/>
    <s v="ATENDE"/>
    <s v="ATENDE"/>
    <s v="ATENDE"/>
    <s v="C4"/>
    <s v="P6"/>
    <n v="2.0700000000000003"/>
    <n v="9.2100000000000009"/>
    <n v="3.24"/>
    <n v="3"/>
    <n v="0.6"/>
    <s v="ATENDE"/>
    <s v="ATENDE"/>
    <s v="ATENDE"/>
    <s v="P6"/>
    <n v="1.0833333333333335"/>
    <n v="6.25"/>
    <n v="3.0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194"/>
    <s v="PVP"/>
    <s v="Rua Espirito Santo, 1129"/>
    <n v="-30.036361100000001"/>
    <n v="-50.15163917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000000000000021E-2"/>
    <n v="1.7777777777777777"/>
    <s v="-"/>
    <n v="10.24"/>
    <n v="0.5"/>
    <m/>
    <m/>
    <m/>
    <m/>
    <s v="ATENDE"/>
    <s v="ATENDE"/>
    <s v="ATENDE"/>
    <s v="ATENDE"/>
    <s v="C4"/>
    <s v="P6"/>
    <n v="1.92"/>
    <n v="8.76"/>
    <n v="3.17"/>
    <n v="3"/>
    <n v="0.6"/>
    <s v="ATENDE"/>
    <s v="ATENDE"/>
    <s v="ATENDE"/>
    <s v="P6"/>
    <n v="0.72333333333333338"/>
    <n v="5.17"/>
    <n v="3.37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194"/>
    <s v="PVP"/>
    <s v="Rua Espirito Santo, 1129"/>
    <n v="-30.036361100000001"/>
    <n v="-50.15163917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99999999999991"/>
    <n v="1.1111111111111112"/>
    <s v="-"/>
    <n v="11.5"/>
    <n v="0.38"/>
    <m/>
    <m/>
    <m/>
    <m/>
    <s v="ATENDE"/>
    <s v="ATENDE"/>
    <s v="ATENDE"/>
    <s v="ATENDE"/>
    <s v="C4"/>
    <s v="P6"/>
    <n v="2.0933333333333333"/>
    <n v="9.2799999999999994"/>
    <n v="3.37"/>
    <n v="3"/>
    <n v="0.6"/>
    <s v="ATENDE"/>
    <s v="ATENDE"/>
    <s v="ATENDE"/>
    <s v="P6"/>
    <n v="0.44333333333333336"/>
    <n v="4.33"/>
    <n v="2.06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195"/>
    <s v="PVP"/>
    <s v="Rua Para, 1012"/>
    <n v="-30.03442089"/>
    <n v="-50.155108239999997"/>
    <x v="4"/>
    <s v="-"/>
    <x v="1"/>
    <s v="Vapor de sódio"/>
    <n v="100"/>
    <n v="17"/>
    <n v="0"/>
    <n v="0"/>
    <n v="2"/>
    <n v="2.5"/>
    <n v="7"/>
    <m/>
    <m/>
    <n v="0"/>
    <n v="2.5"/>
    <n v="0"/>
    <n v="0"/>
    <n v="0"/>
    <n v="0"/>
    <n v="0"/>
    <s v="Unilateral"/>
    <s v="Braço"/>
    <n v="28.6"/>
    <n v="0"/>
    <n v="0"/>
    <n v="0.5"/>
    <n v="0"/>
    <n v="-0.5"/>
    <s v="-"/>
    <s v="-"/>
    <s v="Não"/>
    <n v="0"/>
    <n v="0"/>
    <n v="0"/>
    <n v="0"/>
    <n v="0"/>
    <n v="0"/>
    <s v="-"/>
    <n v="0"/>
    <m/>
    <n v="15"/>
    <n v="0.18"/>
    <s v="-"/>
    <n v="0.18"/>
    <s v="-"/>
    <n v="15"/>
    <s v="ATENDE"/>
    <n v="0.28133333333333321"/>
    <n v="1.0555555555555558"/>
    <s v="-"/>
    <n v="19.22"/>
    <n v="0.37"/>
    <m/>
    <m/>
    <m/>
    <m/>
    <s v="ATENDE"/>
    <s v="ATENDE"/>
    <s v="ATENDE"/>
    <s v="ATENDE"/>
    <s v="C3"/>
    <s v="P6"/>
    <n v="5.05"/>
    <n v="18.149999999999999"/>
    <n v="10.32"/>
    <n v="3"/>
    <n v="0.6"/>
    <s v="ATENDE"/>
    <s v="ATENDE"/>
    <s v="ATENDE"/>
    <s v="P6"/>
    <n v="2.0099999999999998"/>
    <n v="9.0299999999999994"/>
    <n v="3.72"/>
    <n v="3"/>
    <n v="0.6"/>
    <s v="ATENDE"/>
    <s v="ATENDE"/>
    <s v="ATENDE"/>
    <x v="0"/>
    <s v=" SL VT 9.1 65W"/>
    <s v="LUM LED SL VT 9.1 65W"/>
    <m/>
    <e v="#N/A"/>
    <n v="0"/>
    <n v="65"/>
    <n v="0"/>
    <n v="10496"/>
    <n v="0"/>
    <n v="0"/>
    <m/>
    <s v="Curto I"/>
    <m/>
    <s v=""/>
    <s v=""/>
    <m/>
    <m/>
    <m/>
    <m/>
    <m/>
    <m/>
    <n v="65"/>
    <n v="100"/>
    <n v="0"/>
    <n v="0.35"/>
    <m/>
    <m/>
    <s v="Sim"/>
    <m/>
  </r>
  <r>
    <n v="195"/>
    <s v="PVP"/>
    <s v="Rua Para, 1012"/>
    <n v="-30.03442089"/>
    <n v="-50.155108239999997"/>
    <x v="4"/>
    <s v="-"/>
    <x v="1"/>
    <s v="Vapor de sódio"/>
    <n v="100"/>
    <n v="17"/>
    <n v="0"/>
    <n v="0"/>
    <n v="2"/>
    <n v="2.5"/>
    <n v="7"/>
    <m/>
    <m/>
    <n v="0"/>
    <n v="2.5"/>
    <n v="0"/>
    <n v="0"/>
    <n v="0"/>
    <n v="0"/>
    <n v="0"/>
    <s v="Unilateral"/>
    <s v="Braço"/>
    <n v="28.6"/>
    <n v="0"/>
    <n v="0"/>
    <n v="0.5"/>
    <n v="0"/>
    <n v="-0.5"/>
    <s v="-"/>
    <s v="-"/>
    <s v="Não"/>
    <n v="0"/>
    <n v="0"/>
    <n v="0"/>
    <n v="0"/>
    <n v="0"/>
    <n v="0"/>
    <s v="-"/>
    <n v="0"/>
    <m/>
    <n v="15"/>
    <n v="0.18"/>
    <s v="-"/>
    <n v="0.18"/>
    <s v="-"/>
    <n v="15"/>
    <s v="ATENDE"/>
    <n v="0.14733333333333332"/>
    <n v="2.5555555555555558"/>
    <s v="-"/>
    <n v="17.21"/>
    <n v="0.64"/>
    <m/>
    <m/>
    <m/>
    <m/>
    <s v="ATENDE"/>
    <s v="ATENDE"/>
    <s v="ATENDE"/>
    <s v="ATENDE"/>
    <s v="C3"/>
    <s v="P6"/>
    <n v="4.6533333333333333"/>
    <n v="16.96"/>
    <n v="9.23"/>
    <n v="3"/>
    <n v="0.6"/>
    <s v="ATENDE"/>
    <s v="ATENDE"/>
    <s v="ATENDE"/>
    <s v="P6"/>
    <n v="1.6266666666666665"/>
    <n v="7.88"/>
    <n v="4.57"/>
    <n v="3"/>
    <n v="0.6"/>
    <s v="ATENDE"/>
    <s v="ATENDE"/>
    <s v="ATENDE"/>
    <x v="1"/>
    <s v="SX-INEVO050HF"/>
    <s v="SXINEVO050K40L12CZF7PHF"/>
    <m/>
    <e v="#N/A"/>
    <n v="0"/>
    <n v="50"/>
    <e v="#N/A"/>
    <n v="8650"/>
    <e v="#N/A"/>
    <n v="0"/>
    <m/>
    <s v="Curto I"/>
    <m/>
    <s v=""/>
    <s v=""/>
    <m/>
    <m/>
    <m/>
    <m/>
    <m/>
    <m/>
    <n v="50"/>
    <n v="100"/>
    <n v="0"/>
    <n v="0.5"/>
    <m/>
    <m/>
    <s v="Sim"/>
    <m/>
  </r>
  <r>
    <n v="195"/>
    <s v="PVP"/>
    <s v="Rua Para, 1012"/>
    <n v="-30.03442089"/>
    <n v="-50.155108239999997"/>
    <x v="4"/>
    <s v="-"/>
    <x v="1"/>
    <s v="Vapor de sódio"/>
    <n v="100"/>
    <n v="17"/>
    <n v="0"/>
    <n v="0"/>
    <n v="2"/>
    <n v="2.5"/>
    <n v="7"/>
    <m/>
    <m/>
    <n v="0"/>
    <n v="2.5"/>
    <n v="0"/>
    <n v="0"/>
    <n v="0"/>
    <n v="0"/>
    <n v="0"/>
    <s v="Unilateral"/>
    <s v="Braço"/>
    <n v="28.6"/>
    <n v="0"/>
    <n v="0"/>
    <n v="0.5"/>
    <n v="0"/>
    <n v="-0.5"/>
    <s v="-"/>
    <s v="-"/>
    <s v="Não"/>
    <n v="0"/>
    <n v="0"/>
    <n v="0"/>
    <n v="0"/>
    <n v="0"/>
    <n v="0"/>
    <s v="-"/>
    <n v="0"/>
    <m/>
    <n v="15"/>
    <n v="0.18"/>
    <s v="-"/>
    <n v="0.18"/>
    <s v="-"/>
    <n v="15"/>
    <s v="ATENDE"/>
    <n v="5.3333333333334121E-3"/>
    <n v="1.5"/>
    <s v="-"/>
    <n v="15.08"/>
    <n v="0.45"/>
    <m/>
    <m/>
    <m/>
    <m/>
    <s v="ATENDE"/>
    <s v="ATENDE"/>
    <s v="ATENDE"/>
    <s v="ATENDE"/>
    <s v="C3"/>
    <s v="P6"/>
    <n v="4.3566666666666665"/>
    <n v="16.07"/>
    <n v="9.4600000000000009"/>
    <n v="3"/>
    <n v="0.6"/>
    <s v="ATENDE"/>
    <s v="ATENDE"/>
    <s v="ATENDE"/>
    <s v="P6"/>
    <n v="0.39333333333333331"/>
    <n v="4.18"/>
    <n v="2.09"/>
    <n v="3"/>
    <n v="0.6"/>
    <s v="ATENDE"/>
    <s v="ATENDE"/>
    <s v="ATENDE"/>
    <x v="2"/>
    <s v="SIGSAGPTLRRSSNDL_50W_61IBBRS_x000a_"/>
    <s v="SIGSAGPTLRRSSNDL_50W_61IBBRS_x000a_1-10C1MUN6.5"/>
    <m/>
    <e v="#N/A"/>
    <n v="0"/>
    <n v="50"/>
    <e v="#N/A"/>
    <n v="8163"/>
    <e v="#N/A"/>
    <n v="0"/>
    <m/>
    <s v="Curto I"/>
    <m/>
    <s v=""/>
    <s v=""/>
    <m/>
    <m/>
    <m/>
    <m/>
    <m/>
    <m/>
    <n v="50"/>
    <n v="100"/>
    <n v="0"/>
    <n v="0.5"/>
    <m/>
    <m/>
    <s v="Sim"/>
    <m/>
  </r>
  <r>
    <n v="196"/>
    <s v="VP"/>
    <s v="Rua Belo Horizonte, 1150"/>
    <n v="-30.034109430000001"/>
    <n v="-50.15760264"/>
    <x v="1"/>
    <s v="-"/>
    <x v="1"/>
    <s v="Vapor de sódio"/>
    <n v="100"/>
    <n v="17"/>
    <n v="0"/>
    <n v="400"/>
    <n v="2"/>
    <n v="0"/>
    <n v="7"/>
    <m/>
    <m/>
    <n v="0"/>
    <n v="3"/>
    <n v="1.5"/>
    <n v="0"/>
    <n v="0"/>
    <n v="0"/>
    <n v="0"/>
    <s v="Canteiro central"/>
    <s v="Braço"/>
    <n v="34.299999999999997"/>
    <n v="7"/>
    <n v="2"/>
    <n v="0.4"/>
    <n v="1.3"/>
    <n v="0.9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4.6666666666666634E-2"/>
    <n v="0.5555555555555558"/>
    <s v="-"/>
    <n v="7.85"/>
    <n v="0.2800000000000000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2.9166666666666665"/>
    <n v="11.75"/>
    <n v="4.5199999999999996"/>
    <n v="3"/>
    <n v="0.6"/>
    <s v="ATENDE"/>
    <s v="ATENDE"/>
    <s v="ATENDE"/>
    <x v="0"/>
    <s v=" SL VT 9.1 28W"/>
    <s v="LUM LED SL VT 9.1 28W"/>
    <m/>
    <n v="0"/>
    <n v="2"/>
    <n v="28"/>
    <n v="0"/>
    <n v="4927.3500000000004"/>
    <n v="0"/>
    <n v="0"/>
    <m/>
    <s v="Curto II"/>
    <m/>
    <s v=""/>
    <s v=""/>
    <m/>
    <m/>
    <m/>
    <m/>
    <m/>
    <m/>
    <n v="28"/>
    <n v="100"/>
    <n v="256"/>
    <n v="0.72"/>
    <m/>
    <m/>
    <s v="Sim"/>
    <m/>
  </r>
  <r>
    <n v="196"/>
    <s v="VP"/>
    <s v="Rua Belo Horizonte, 1150"/>
    <n v="-30.034109430000001"/>
    <n v="-50.15760264"/>
    <x v="1"/>
    <s v="-"/>
    <x v="1"/>
    <s v="Vapor de sódio"/>
    <n v="100"/>
    <n v="17"/>
    <n v="0"/>
    <n v="400"/>
    <n v="2"/>
    <n v="0"/>
    <n v="7"/>
    <m/>
    <m/>
    <n v="0"/>
    <n v="3"/>
    <n v="1.5"/>
    <n v="0"/>
    <n v="0"/>
    <n v="0"/>
    <n v="0"/>
    <s v="Canteiro central"/>
    <s v="Braço"/>
    <n v="34.299999999999997"/>
    <n v="7"/>
    <n v="2"/>
    <n v="0.4"/>
    <n v="1.3"/>
    <n v="0.9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3733333333333326"/>
    <n v="0.61111111111111116"/>
    <s v="-"/>
    <n v="10.029999999999999"/>
    <n v="0.2899999999999999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2.1266666666666669"/>
    <n v="9.3800000000000008"/>
    <n v="4.05"/>
    <n v="3"/>
    <n v="0.6"/>
    <s v="ATENDE"/>
    <s v="ATENDE"/>
    <s v="ATENDE"/>
    <x v="1"/>
    <s v="SX-INEVO020HF"/>
    <s v="SXINEVO020K40L12CZF7PHF"/>
    <m/>
    <n v="0"/>
    <n v="2"/>
    <n v="22.5"/>
    <n v="0"/>
    <n v="3825"/>
    <n v="0"/>
    <n v="0"/>
    <m/>
    <s v="Curto II"/>
    <m/>
    <s v=""/>
    <s v=""/>
    <m/>
    <m/>
    <m/>
    <m/>
    <m/>
    <m/>
    <n v="22.5"/>
    <n v="100"/>
    <n v="245"/>
    <n v="0.77500000000000002"/>
    <m/>
    <m/>
    <s v="Sim"/>
    <m/>
  </r>
  <r>
    <n v="196"/>
    <s v="VP"/>
    <s v="Rua Belo Horizonte, 1150"/>
    <n v="-30.034109430000001"/>
    <n v="-50.15760264"/>
    <x v="1"/>
    <s v="-"/>
    <x v="1"/>
    <s v="Vapor de sódio"/>
    <n v="100"/>
    <n v="17"/>
    <n v="0"/>
    <n v="400"/>
    <n v="2"/>
    <n v="0"/>
    <n v="7"/>
    <m/>
    <m/>
    <n v="0"/>
    <n v="3"/>
    <n v="1.5"/>
    <n v="0"/>
    <n v="0"/>
    <n v="0"/>
    <n v="0"/>
    <s v="Canteiro central"/>
    <s v="Braço"/>
    <n v="34.299999999999997"/>
    <n v="7"/>
    <n v="2"/>
    <n v="0.4"/>
    <n v="1.3"/>
    <n v="0.9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1.008"/>
    <n v="1.1111111111111112"/>
    <s v="-"/>
    <n v="15.06"/>
    <n v="0.38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3.7866666666666662"/>
    <n v="14.36"/>
    <n v="6.7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m/>
    <s v="Curto II"/>
    <m/>
    <s v=""/>
    <s v=""/>
    <m/>
    <m/>
    <m/>
    <m/>
    <m/>
    <m/>
    <n v="30"/>
    <n v="100"/>
    <n v="260"/>
    <n v="0.7"/>
    <m/>
    <m/>
    <s v="Sim"/>
    <m/>
  </r>
  <r>
    <n v="197"/>
    <s v="PVP"/>
    <s v="Rua Rio Grande do Norte, 1277"/>
    <n v="-30.035471300000001"/>
    <n v="-50.15941104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2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7000000000000153E-2"/>
    <n v="2.2777777777777777"/>
    <s v="-"/>
    <n v="10.47"/>
    <n v="0.59"/>
    <m/>
    <m/>
    <m/>
    <m/>
    <s v="ATENDE"/>
    <s v="ATENDE"/>
    <s v="ATENDE"/>
    <s v="ATENDE"/>
    <s v="C4"/>
    <s v="P6"/>
    <n v="1.8766666666666669"/>
    <n v="8.6300000000000008"/>
    <n v="4.7"/>
    <n v="3"/>
    <n v="0.6"/>
    <s v="ATENDE"/>
    <s v="ATENDE"/>
    <s v="ATENDE"/>
    <s v="P6"/>
    <n v="1.1800000000000002"/>
    <n v="6.54"/>
    <n v="4.0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197"/>
    <s v="PVP"/>
    <s v="Rua Rio Grande do Norte, 1277"/>
    <n v="-30.035471300000001"/>
    <n v="-50.15941104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2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000000000000009E-2"/>
    <n v="3.1111111111111116"/>
    <s v="-"/>
    <n v="10.1"/>
    <n v="0.74"/>
    <m/>
    <m/>
    <m/>
    <m/>
    <s v="ATENDE"/>
    <s v="ATENDE"/>
    <s v="ATENDE"/>
    <s v="ATENDE"/>
    <s v="C4"/>
    <s v="P6"/>
    <n v="1.6633333333333336"/>
    <n v="7.99"/>
    <n v="4.87"/>
    <n v="3"/>
    <n v="0.6"/>
    <s v="ATENDE"/>
    <s v="ATENDE"/>
    <s v="ATENDE"/>
    <s v="P6"/>
    <n v="0.86333333333333329"/>
    <n v="5.59"/>
    <n v="3.7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197"/>
    <s v="PVP"/>
    <s v="Rua Rio Grande do Norte, 1277"/>
    <n v="-30.035471300000001"/>
    <n v="-50.15941104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8.2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9999999999988987E-4"/>
    <n v="2.7777777777777781"/>
    <s v="-"/>
    <n v="10.01"/>
    <n v="0.68"/>
    <m/>
    <m/>
    <m/>
    <m/>
    <s v="ATENDE"/>
    <s v="ATENDE"/>
    <s v="ATENDE"/>
    <s v="ATENDE"/>
    <s v="C4"/>
    <s v="P6"/>
    <n v="1.6666666666666665"/>
    <n v="8"/>
    <n v="5.21"/>
    <n v="3"/>
    <n v="0.6"/>
    <s v="ATENDE"/>
    <s v="ATENDE"/>
    <s v="ATENDE"/>
    <s v="P6"/>
    <n v="0.70666666666666678"/>
    <n v="5.12"/>
    <n v="3.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198"/>
    <s v="VP"/>
    <s v="Rua Belo Horizonte, 1580"/>
    <n v="-30.03305903"/>
    <n v="-50.16132614"/>
    <x v="1"/>
    <s v="-"/>
    <x v="1"/>
    <s v="Vapor de sódio"/>
    <n v="150"/>
    <n v="22"/>
    <n v="0"/>
    <n v="600"/>
    <n v="2"/>
    <n v="0"/>
    <n v="7"/>
    <m/>
    <m/>
    <n v="0"/>
    <n v="3"/>
    <n v="2"/>
    <n v="0"/>
    <n v="0"/>
    <n v="0"/>
    <n v="0"/>
    <s v="Canteiro central"/>
    <s v="Braço"/>
    <n v="27.9"/>
    <n v="5.3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56800000000000006"/>
    <n v="0.66666666666666674"/>
    <s v="-"/>
    <n v="11.76"/>
    <n v="0.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40333333333333332"/>
    <n v="4.21"/>
    <n v="2.21"/>
    <n v="3"/>
    <n v="0.6"/>
    <s v="ATENDE"/>
    <s v="ATENDE"/>
    <s v="ATENDE"/>
    <x v="0"/>
    <s v=" SL VT 9.1 28W"/>
    <s v="LUM LED SL VT 9.1 28W"/>
    <m/>
    <n v="0"/>
    <n v="2"/>
    <n v="28"/>
    <n v="0"/>
    <n v="4927.3500000000004"/>
    <n v="0"/>
    <n v="0"/>
    <n v="10"/>
    <s v="Curto II"/>
    <m/>
    <s v=""/>
    <s v=""/>
    <m/>
    <m/>
    <m/>
    <m/>
    <m/>
    <m/>
    <n v="28"/>
    <n v="150"/>
    <n v="356"/>
    <n v="0.81333333333333335"/>
    <m/>
    <m/>
    <s v="Sim"/>
    <m/>
  </r>
  <r>
    <n v="198"/>
    <s v="VP"/>
    <s v="Rua Belo Horizonte, 1580"/>
    <n v="-30.03305903"/>
    <n v="-50.16132614"/>
    <x v="1"/>
    <s v="-"/>
    <x v="1"/>
    <s v="Vapor de sódio"/>
    <n v="150"/>
    <n v="22"/>
    <n v="0"/>
    <n v="600"/>
    <n v="2"/>
    <n v="0"/>
    <n v="7"/>
    <m/>
    <m/>
    <n v="0"/>
    <n v="3"/>
    <n v="2"/>
    <n v="0"/>
    <n v="0"/>
    <n v="0"/>
    <n v="0"/>
    <s v="Canteiro central"/>
    <s v="Braço"/>
    <n v="27.9"/>
    <n v="5.3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2933333333333339"/>
    <n v="1.166666666666667"/>
    <s v="-"/>
    <n v="9.2200000000000006"/>
    <n v="0.39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6.6666666666665986E-3"/>
    <n v="3.02"/>
    <n v="1.66"/>
    <n v="3"/>
    <n v="0.6"/>
    <s v="ATENDE"/>
    <s v="ATENDE"/>
    <s v="ATENDE"/>
    <x v="1"/>
    <s v="SX-INEVO020HF"/>
    <s v="SXINEVO020K40L12CZF7PHF"/>
    <m/>
    <n v="0"/>
    <n v="2"/>
    <n v="22.5"/>
    <e v="#N/A"/>
    <n v="3825"/>
    <n v="0"/>
    <n v="0"/>
    <n v="10"/>
    <s v="Curto II"/>
    <m/>
    <s v=""/>
    <s v=""/>
    <m/>
    <m/>
    <m/>
    <m/>
    <m/>
    <m/>
    <n v="22.5"/>
    <n v="150"/>
    <n v="345"/>
    <n v="0.85"/>
    <m/>
    <m/>
    <s v="Sim"/>
    <m/>
  </r>
  <r>
    <n v="198"/>
    <s v="VP"/>
    <s v="Rua Belo Horizonte, 1580"/>
    <n v="-30.03305903"/>
    <n v="-50.16132614"/>
    <x v="1"/>
    <s v="-"/>
    <x v="1"/>
    <s v="Vapor de sódio"/>
    <n v="150"/>
    <n v="22"/>
    <n v="0"/>
    <n v="600"/>
    <n v="2"/>
    <n v="0"/>
    <n v="7"/>
    <m/>
    <m/>
    <n v="0"/>
    <n v="3"/>
    <n v="2"/>
    <n v="0"/>
    <n v="0"/>
    <n v="0"/>
    <n v="0"/>
    <s v="Canteiro central"/>
    <s v="Braço"/>
    <n v="27.9"/>
    <n v="5.3"/>
    <n v="2"/>
    <n v="1"/>
    <n v="1.3"/>
    <n v="0.30000000000000004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8919999999999999"/>
    <n v="1.3333333333333335"/>
    <s v="-"/>
    <n v="14.19"/>
    <n v="0.42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32333333333333347"/>
    <n v="3.97"/>
    <n v="2.58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n v="10"/>
    <s v="Curto II"/>
    <m/>
    <s v=""/>
    <s v=""/>
    <m/>
    <m/>
    <m/>
    <m/>
    <m/>
    <m/>
    <n v="30"/>
    <n v="150"/>
    <n v="360"/>
    <n v="0.8"/>
    <m/>
    <m/>
    <s v="Sim"/>
    <m/>
  </r>
  <r>
    <n v="199"/>
    <s v="VP"/>
    <s v="Rua Roraima, 476"/>
    <n v="-30.028559229999999"/>
    <n v="-50.158590259999997"/>
    <x v="1"/>
    <s v="-"/>
    <x v="1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36.1"/>
    <n v="6.3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466666666666667"/>
    <n v="0.2777777777777779"/>
    <s v="-"/>
    <n v="10.01"/>
    <n v="0.23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38333333333333353"/>
    <n v="4.1500000000000004"/>
    <n v="1.42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199"/>
    <s v="VP"/>
    <s v="Rua Roraima, 476"/>
    <n v="-30.028559229999999"/>
    <n v="-50.158590259999997"/>
    <x v="1"/>
    <s v="-"/>
    <x v="1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36.1"/>
    <n v="6.3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3333333333334121E-3"/>
    <n v="0.22222222222222232"/>
    <s v="-"/>
    <n v="7.54"/>
    <n v="0.22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3.0000000000000027E-2"/>
    <n v="3.09"/>
    <n v="1.58"/>
    <n v="3"/>
    <n v="0.6"/>
    <s v="ATENDE"/>
    <s v="ATENDE"/>
    <s v="ATENDE"/>
    <x v="1"/>
    <s v="SX-INEVO020HF"/>
    <s v="SXINEVO020K40L12CZF7PHF"/>
    <m/>
    <e v="#N/A"/>
    <n v="1"/>
    <n v="22.5"/>
    <e v="#N/A"/>
    <n v="3825"/>
    <e v="#N/A"/>
    <n v="0"/>
    <n v="5"/>
    <s v="Curto II"/>
    <m/>
    <s v=""/>
    <s v=""/>
    <m/>
    <m/>
    <m/>
    <m/>
    <m/>
    <m/>
    <n v="22.5"/>
    <n v="100"/>
    <n v="122.5"/>
    <n v="0.77500000000000002"/>
    <m/>
    <m/>
    <s v="Sim"/>
    <m/>
  </r>
  <r>
    <n v="199"/>
    <s v="VP"/>
    <s v="Rua Roraima, 476"/>
    <n v="-30.028559229999999"/>
    <n v="-50.158590259999997"/>
    <x v="1"/>
    <s v="-"/>
    <x v="1"/>
    <s v="Vapor de sódio"/>
    <n v="100"/>
    <n v="17"/>
    <n v="0"/>
    <n v="200"/>
    <n v="2"/>
    <n v="0"/>
    <n v="7"/>
    <m/>
    <m/>
    <n v="0"/>
    <n v="2.5"/>
    <n v="0"/>
    <n v="0"/>
    <n v="0"/>
    <n v="0"/>
    <n v="0"/>
    <s v="Unilateral"/>
    <s v="Braço"/>
    <n v="36.1"/>
    <n v="6.3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9466666666666668"/>
    <n v="0.33333333333333326"/>
    <s v="-"/>
    <n v="11.96"/>
    <n v="0.24"/>
    <m/>
    <m/>
    <m/>
    <m/>
    <s v="ATENDE"/>
    <s v="ATENDE"/>
    <s v="ATENDE"/>
    <s v="ATENDE"/>
    <s v="C5"/>
    <s v="-"/>
    <e v="#VALUE!"/>
    <m/>
    <m/>
    <s v="-"/>
    <s v="-"/>
    <s v="-"/>
    <s v="-"/>
    <s v="-"/>
    <s v="P6"/>
    <n v="0.29333333333333322"/>
    <n v="3.88"/>
    <n v="1.5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00"/>
    <s v="PVP"/>
    <s v="Rua Paraiba, 33"/>
    <n v="-30.02591413"/>
    <n v="-50.152264359999997"/>
    <x v="2"/>
    <s v="-"/>
    <x v="1"/>
    <s v="Vapor de sódio"/>
    <n v="100"/>
    <n v="17"/>
    <n v="0"/>
    <n v="200"/>
    <n v="2"/>
    <n v="3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99999999999999"/>
    <n v="1"/>
    <s v="-"/>
    <n v="11.17"/>
    <n v="0.36"/>
    <m/>
    <m/>
    <m/>
    <m/>
    <s v="ATENDE"/>
    <s v="ATENDE"/>
    <s v="ATENDE"/>
    <s v="ATENDE"/>
    <s v="C4"/>
    <s v="P6"/>
    <n v="1.9499999999999997"/>
    <n v="8.85"/>
    <n v="3.02"/>
    <n v="3"/>
    <n v="0.6"/>
    <s v="ATENDE"/>
    <s v="ATENDE"/>
    <s v="ATENDE"/>
    <s v="P6"/>
    <n v="1.4066666666666667"/>
    <n v="7.22"/>
    <n v="3.25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0"/>
    <s v="PVP"/>
    <s v="Rua Paraiba, 33"/>
    <n v="-30.02591413"/>
    <n v="-50.152264359999997"/>
    <x v="2"/>
    <s v="-"/>
    <x v="1"/>
    <s v="Vapor de sódio"/>
    <n v="100"/>
    <n v="17"/>
    <n v="0"/>
    <n v="200"/>
    <n v="2"/>
    <n v="3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2299999999999995"/>
    <n v="1.3333333333333335"/>
    <s v="-"/>
    <n v="13.23"/>
    <n v="0.42"/>
    <m/>
    <m/>
    <m/>
    <m/>
    <s v="ATENDE"/>
    <s v="ATENDE"/>
    <s v="ATENDE"/>
    <s v="ATENDE"/>
    <s v="C4"/>
    <s v="P6"/>
    <n v="2.2866666666666666"/>
    <n v="9.86"/>
    <n v="2.61"/>
    <n v="3"/>
    <n v="0.6"/>
    <s v="ATENDE"/>
    <s v="ATENDE"/>
    <s v="ATENDE"/>
    <s v="P6"/>
    <n v="1.8033333333333332"/>
    <n v="8.41"/>
    <n v="5.7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0"/>
    <s v="PVP"/>
    <s v="Rua Paraiba, 33"/>
    <n v="-30.02591413"/>
    <n v="-50.152264359999997"/>
    <x v="2"/>
    <s v="-"/>
    <x v="1"/>
    <s v="Vapor de sódio"/>
    <n v="100"/>
    <n v="17"/>
    <n v="0"/>
    <n v="200"/>
    <n v="2"/>
    <n v="3"/>
    <n v="7"/>
    <m/>
    <m/>
    <n v="0"/>
    <n v="2.5"/>
    <n v="0"/>
    <n v="0"/>
    <n v="0"/>
    <n v="0"/>
    <n v="0"/>
    <s v="Unilateral"/>
    <s v="Braço"/>
    <n v="37"/>
    <n v="7.5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0000000000000027E-2"/>
    <n v="1.1111111111111112"/>
    <s v="-"/>
    <n v="10.3"/>
    <n v="0.38"/>
    <m/>
    <m/>
    <m/>
    <m/>
    <s v="ATENDE"/>
    <s v="ATENDE"/>
    <s v="ATENDE"/>
    <s v="ATENDE"/>
    <s v="C4"/>
    <s v="P6"/>
    <n v="1.5066666666666664"/>
    <n v="7.52"/>
    <n v="2.52"/>
    <n v="3"/>
    <n v="0.6"/>
    <s v="ATENDE"/>
    <s v="ATENDE"/>
    <s v="ATENDE"/>
    <s v="P6"/>
    <n v="0.57333333333333325"/>
    <n v="4.72"/>
    <n v="2.25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1"/>
    <s v="PVP"/>
    <s v="Travessa Tres, 258"/>
    <n v="-30.025410180000002"/>
    <n v="-50.153057490000002"/>
    <x v="2"/>
    <s v="-"/>
    <x v="1"/>
    <s v="Vapor de sódio"/>
    <n v="100"/>
    <n v="17"/>
    <n v="0"/>
    <n v="200"/>
    <n v="2"/>
    <n v="6"/>
    <n v="7"/>
    <m/>
    <m/>
    <n v="0"/>
    <n v="4"/>
    <n v="0"/>
    <n v="0"/>
    <n v="0"/>
    <n v="0"/>
    <n v="0"/>
    <s v="Unilateral"/>
    <s v="Braço"/>
    <n v="26.7"/>
    <n v="8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000000000000016"/>
    <n v="2.5"/>
    <s v="-"/>
    <n v="11.8"/>
    <n v="0.63"/>
    <m/>
    <m/>
    <m/>
    <m/>
    <s v="ATENDE"/>
    <s v="ATENDE"/>
    <s v="ATENDE"/>
    <s v="ATENDE"/>
    <s v="C4"/>
    <s v="P6"/>
    <n v="1.65"/>
    <n v="7.95"/>
    <n v="4.0999999999999996"/>
    <n v="3"/>
    <n v="0.6"/>
    <s v="ATENDE"/>
    <s v="ATENDE"/>
    <s v="ATENDE"/>
    <s v="P6"/>
    <n v="1.48"/>
    <n v="7.44"/>
    <n v="4.9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01"/>
    <s v="PVP"/>
    <s v="Travessa Tres, 258"/>
    <n v="-30.025410180000002"/>
    <n v="-50.153057490000002"/>
    <x v="2"/>
    <s v="-"/>
    <x v="1"/>
    <s v="Vapor de sódio"/>
    <n v="100"/>
    <n v="17"/>
    <n v="0"/>
    <n v="200"/>
    <n v="2"/>
    <n v="6"/>
    <n v="7"/>
    <m/>
    <m/>
    <n v="0"/>
    <n v="4"/>
    <n v="0"/>
    <n v="0"/>
    <n v="0"/>
    <n v="0"/>
    <n v="0"/>
    <s v="Unilateral"/>
    <s v="Braço"/>
    <n v="26.7"/>
    <n v="8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3"/>
    <n v="3.3333333333333339"/>
    <s v="-"/>
    <n v="11.23"/>
    <n v="0.78"/>
    <m/>
    <m/>
    <m/>
    <m/>
    <s v="ATENDE"/>
    <s v="ATENDE"/>
    <s v="ATENDE"/>
    <s v="ATENDE"/>
    <s v="C4"/>
    <s v="P6"/>
    <n v="1.46"/>
    <n v="7.38"/>
    <n v="3.48"/>
    <n v="3"/>
    <n v="0.6"/>
    <s v="ATENDE"/>
    <s v="ATENDE"/>
    <s v="ATENDE"/>
    <s v="P6"/>
    <n v="1.1733333333333333"/>
    <n v="6.52"/>
    <n v="3.72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01"/>
    <s v="PVP"/>
    <s v="Travessa Tres, 258"/>
    <n v="-30.025410180000002"/>
    <n v="-50.153057490000002"/>
    <x v="2"/>
    <s v="-"/>
    <x v="1"/>
    <s v="Vapor de sódio"/>
    <n v="100"/>
    <n v="17"/>
    <n v="0"/>
    <n v="200"/>
    <n v="2"/>
    <n v="6"/>
    <n v="7"/>
    <m/>
    <m/>
    <n v="0"/>
    <n v="4"/>
    <n v="0"/>
    <n v="0"/>
    <n v="0"/>
    <n v="0"/>
    <n v="0"/>
    <s v="Unilateral"/>
    <s v="Braço"/>
    <n v="26.7"/>
    <n v="8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000000000000004"/>
    <n v="3"/>
    <s v="-"/>
    <n v="12.9"/>
    <n v="0.72"/>
    <m/>
    <m/>
    <m/>
    <m/>
    <s v="ATENDE"/>
    <s v="ATENDE"/>
    <s v="ATENDE"/>
    <s v="ATENDE"/>
    <s v="C4"/>
    <s v="P6"/>
    <n v="1.6266666666666665"/>
    <n v="7.88"/>
    <n v="4.09"/>
    <n v="3"/>
    <n v="0.6"/>
    <s v="ATENDE"/>
    <s v="ATENDE"/>
    <s v="ATENDE"/>
    <s v="P6"/>
    <n v="0.90666666666666651"/>
    <n v="5.72"/>
    <n v="3.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2"/>
    <s v="PVP"/>
    <s v="Rua Paraiba, 466"/>
    <n v="-30.029913359999998"/>
    <n v="-50.15388706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s v="7 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600000000000009"/>
    <n v="0.7777777777777779"/>
    <s v="-"/>
    <n v="11.06"/>
    <n v="0.32"/>
    <m/>
    <m/>
    <m/>
    <m/>
    <s v="ATENDE"/>
    <s v="ATENDE"/>
    <s v="ATENDE"/>
    <s v="ATENDE"/>
    <s v="C4"/>
    <s v="P6"/>
    <n v="2.09"/>
    <n v="9.27"/>
    <n v="2.67"/>
    <n v="3"/>
    <n v="0.6"/>
    <s v="ATENDE"/>
    <s v="ATENDE"/>
    <s v="ATENDE"/>
    <s v="P6"/>
    <n v="1.2433333333333336"/>
    <n v="6.73"/>
    <n v="2.71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2"/>
    <s v="PVP"/>
    <s v="Rua Paraiba, 466"/>
    <n v="-30.029913359999998"/>
    <n v="-50.15388706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s v="7 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099999999999994"/>
    <n v="0.83333333333333348"/>
    <s v="-"/>
    <n v="13.11"/>
    <n v="0.33"/>
    <m/>
    <m/>
    <m/>
    <m/>
    <s v="ATENDE"/>
    <s v="ATENDE"/>
    <s v="ATENDE"/>
    <s v="ATENDE"/>
    <s v="C4"/>
    <s v="P6"/>
    <n v="2.4866666666666668"/>
    <n v="10.46"/>
    <n v="2.04"/>
    <n v="3"/>
    <n v="0.6"/>
    <s v="ATENDE"/>
    <s v="ATENDE"/>
    <s v="ATENDE"/>
    <s v="P6"/>
    <n v="1.5733333333333333"/>
    <n v="7.72"/>
    <n v="4.51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2"/>
    <s v="PVP"/>
    <s v="Rua Paraiba, 466"/>
    <n v="-30.029913359999998"/>
    <n v="-50.15388706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8.5"/>
    <s v="7 2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3000000000000123E-2"/>
    <n v="0.38888888888888884"/>
    <s v="-"/>
    <n v="10.130000000000001"/>
    <n v="0.25"/>
    <m/>
    <m/>
    <m/>
    <m/>
    <s v="ATENDE"/>
    <s v="ATENDE"/>
    <s v="ATENDE"/>
    <s v="ATENDE"/>
    <s v="C4"/>
    <s v="P6"/>
    <n v="1.6566666666666667"/>
    <n v="7.97"/>
    <n v="1.87"/>
    <n v="3"/>
    <n v="0.6"/>
    <s v="ATENDE"/>
    <s v="ATENDE"/>
    <s v="ATENDE"/>
    <s v="P6"/>
    <n v="0.3899999999999999"/>
    <n v="4.17"/>
    <n v="1.4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3"/>
    <s v="PVP"/>
    <s v="Rua Fernando de Noronha, 302"/>
    <n v="-30.029722809999999"/>
    <n v="-50.14961138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2000000000000011E-2"/>
    <n v="2.1666666666666665"/>
    <s v="-"/>
    <n v="10.119999999999999"/>
    <n v="0.56999999999999995"/>
    <m/>
    <m/>
    <m/>
    <m/>
    <s v="ATENDE"/>
    <s v="ATENDE"/>
    <s v="ATENDE"/>
    <s v="ATENDE"/>
    <s v="C4"/>
    <s v="P6"/>
    <n v="1.83"/>
    <n v="8.49"/>
    <n v="4.42"/>
    <n v="3"/>
    <n v="0.6"/>
    <s v="ATENDE"/>
    <s v="ATENDE"/>
    <s v="ATENDE"/>
    <s v="P6"/>
    <n v="1.0699999999999998"/>
    <n v="6.21"/>
    <n v="3.78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03"/>
    <s v="PVP"/>
    <s v="Rua Fernando de Noronha, 302"/>
    <n v="-30.029722809999999"/>
    <n v="-50.14961138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99999999999991"/>
    <n v="2.7222222222222228"/>
    <s v="-"/>
    <n v="11.44"/>
    <n v="0.67"/>
    <m/>
    <m/>
    <m/>
    <m/>
    <s v="ATENDE"/>
    <s v="ATENDE"/>
    <s v="ATENDE"/>
    <s v="ATENDE"/>
    <s v="C4"/>
    <s v="P6"/>
    <n v="2.3000000000000003"/>
    <n v="9.9"/>
    <n v="5.69"/>
    <n v="3"/>
    <n v="0.6"/>
    <s v="ATENDE"/>
    <s v="ATENDE"/>
    <s v="ATENDE"/>
    <s v="P6"/>
    <n v="1.1933333333333334"/>
    <n v="6.58"/>
    <n v="4.37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203"/>
    <s v="PVP"/>
    <s v="Rua Fernando de Noronha, 302"/>
    <n v="-30.029722809999999"/>
    <n v="-50.14961138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600000000000004"/>
    <n v="2.3333333333333335"/>
    <s v="-"/>
    <n v="12.96"/>
    <n v="0.6"/>
    <m/>
    <m/>
    <m/>
    <m/>
    <s v="ATENDE"/>
    <s v="ATENDE"/>
    <s v="ATENDE"/>
    <s v="ATENDE"/>
    <s v="C4"/>
    <s v="P6"/>
    <n v="2.5066666666666664"/>
    <n v="10.52"/>
    <n v="6.6"/>
    <n v="3"/>
    <n v="0.6"/>
    <s v="ATENDE"/>
    <s v="ATENDE"/>
    <s v="ATENDE"/>
    <s v="P6"/>
    <n v="0.88333333333333353"/>
    <n v="5.65"/>
    <n v="3.7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204"/>
    <s v="PVP"/>
    <s v="Rua Rio Grande do Sul, 259"/>
    <n v="-30.027126809999999"/>
    <n v="-50.15662961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266666666666668"/>
    <n v="1.3333333333333335"/>
    <s v="-"/>
    <n v="8.27"/>
    <n v="0.42"/>
    <m/>
    <m/>
    <m/>
    <m/>
    <s v="ATENDE"/>
    <s v="ATENDE"/>
    <s v="ATENDE"/>
    <s v="ATENDE"/>
    <s v="C5"/>
    <s v="P6"/>
    <n v="1.3133333333333335"/>
    <n v="6.94"/>
    <n v="2.5299999999999998"/>
    <n v="3"/>
    <n v="0.6"/>
    <s v="ATENDE"/>
    <s v="ATENDE"/>
    <s v="ATENDE"/>
    <s v="P6"/>
    <n v="0.69333333333333336"/>
    <n v="5.08"/>
    <n v="2.4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04"/>
    <s v="PVP"/>
    <s v="Rua Rio Grande do Sul, 259"/>
    <n v="-30.027126809999999"/>
    <n v="-50.15662961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1.5555555555555558"/>
    <s v="-"/>
    <n v="7.98"/>
    <n v="0.46"/>
    <m/>
    <m/>
    <m/>
    <m/>
    <s v="ATENDE"/>
    <s v="ATENDE"/>
    <s v="ATENDE"/>
    <s v="ATENDE"/>
    <s v="C5"/>
    <s v="P6"/>
    <n v="1.1600000000000001"/>
    <n v="6.48"/>
    <n v="1.89"/>
    <n v="3"/>
    <n v="0.6"/>
    <s v="ATENDE"/>
    <s v="ATENDE"/>
    <s v="ATENDE"/>
    <s v="P6"/>
    <n v="0.43666666666666654"/>
    <n v="4.3099999999999996"/>
    <n v="2.4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204"/>
    <s v="PVP"/>
    <s v="Rua Rio Grande do Sul, 259"/>
    <n v="-30.027126809999999"/>
    <n v="-50.156629619999997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6"/>
    <n v="7.5"/>
    <n v="1"/>
    <n v="0.5"/>
    <n v="1.3"/>
    <n v="0.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2000000000000046E-2"/>
    <n v="1.9444444444444446"/>
    <s v="-"/>
    <n v="7.89"/>
    <n v="0.53"/>
    <m/>
    <m/>
    <m/>
    <m/>
    <s v="ATENDE"/>
    <s v="ATENDE"/>
    <s v="ATENDE"/>
    <s v="ATENDE"/>
    <s v="C5"/>
    <s v="P6"/>
    <n v="1.1533333333333333"/>
    <n v="6.46"/>
    <n v="2.96"/>
    <n v="3"/>
    <n v="0.6"/>
    <s v="ATENDE"/>
    <s v="ATENDE"/>
    <s v="ATENDE"/>
    <s v="P6"/>
    <n v="0.31666666666666665"/>
    <n v="3.95"/>
    <n v="2.7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05"/>
    <s v="VP"/>
    <s v="Avenida Perimetral, 683"/>
    <n v="-30.029555070000001"/>
    <n v="-50.150972860000003"/>
    <x v="3"/>
    <s v="-"/>
    <x v="1"/>
    <s v="Vapor de sódio"/>
    <n v="100"/>
    <n v="17"/>
    <n v="0"/>
    <n v="400"/>
    <n v="2"/>
    <n v="0"/>
    <n v="6.2"/>
    <m/>
    <m/>
    <n v="0"/>
    <n v="4"/>
    <n v="8"/>
    <n v="0"/>
    <n v="0"/>
    <n v="0"/>
    <n v="0"/>
    <s v="Canteiro central"/>
    <s v="Braço"/>
    <n v="29.6"/>
    <n v="7.5"/>
    <n v="2"/>
    <n v="4"/>
    <n v="2.8"/>
    <n v="-1.2000000000000002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0549999999999993"/>
    <n v="0.28571428571428559"/>
    <s v="-"/>
    <n v="22.11"/>
    <n v="0.36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7866666666666666"/>
    <n v="8.36"/>
    <n v="2.83"/>
    <n v="3"/>
    <n v="0.6"/>
    <s v="ATENDE"/>
    <s v="ATENDE"/>
    <s v="ATENDE"/>
    <x v="0"/>
    <s v=" SL VT 9.1 72W"/>
    <s v="LUM LED SL VT 9.1 72W"/>
    <m/>
    <n v="0"/>
    <n v="2"/>
    <n v="72"/>
    <n v="0"/>
    <n v="12107"/>
    <n v="0"/>
    <n v="0"/>
    <m/>
    <s v="Longo I"/>
    <m/>
    <s v=""/>
    <s v=""/>
    <m/>
    <m/>
    <m/>
    <m/>
    <m/>
    <m/>
    <n v="72"/>
    <n v="100"/>
    <n v="344"/>
    <n v="0.28000000000000003"/>
    <m/>
    <m/>
    <s v="Sim"/>
    <m/>
  </r>
  <r>
    <n v="205"/>
    <s v="VP"/>
    <s v="Avenida Perimetral, 683"/>
    <n v="-30.029555070000001"/>
    <n v="-50.150972860000003"/>
    <x v="3"/>
    <s v="-"/>
    <x v="1"/>
    <s v="Vapor de sódio"/>
    <n v="100"/>
    <n v="17"/>
    <n v="0"/>
    <n v="400"/>
    <n v="2"/>
    <n v="0"/>
    <n v="6.2"/>
    <m/>
    <m/>
    <n v="0"/>
    <n v="4"/>
    <n v="8"/>
    <n v="0"/>
    <n v="0"/>
    <n v="0"/>
    <n v="0"/>
    <s v="Canteiro central"/>
    <s v="Braço"/>
    <n v="29.6"/>
    <n v="7.5"/>
    <n v="2"/>
    <n v="4"/>
    <n v="2.8"/>
    <n v="-1.2000000000000002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7700000000000005"/>
    <n v="0.64285714285714279"/>
    <s v="-"/>
    <n v="23.54"/>
    <n v="0.46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9"/>
    <n v="8.6999999999999993"/>
    <n v="3.08"/>
    <n v="3"/>
    <n v="0.6"/>
    <s v="ATENDE"/>
    <s v="ATENDE"/>
    <s v="ATENDE"/>
    <x v="1"/>
    <s v="SX-INLPP070HF"/>
    <s v="SXINLPP070K40L12CZF7PHF"/>
    <m/>
    <n v="0"/>
    <n v="2"/>
    <n v="70"/>
    <n v="0"/>
    <n v="11970"/>
    <n v="0"/>
    <n v="0"/>
    <m/>
    <s v="Longo I"/>
    <m/>
    <s v=""/>
    <s v=""/>
    <m/>
    <m/>
    <m/>
    <m/>
    <m/>
    <m/>
    <n v="70"/>
    <n v="100"/>
    <n v="340"/>
    <n v="0.30000000000000004"/>
    <m/>
    <m/>
    <s v="Sim"/>
    <m/>
  </r>
  <r>
    <n v="205"/>
    <s v="VP"/>
    <s v="Avenida Perimetral, 683"/>
    <n v="-30.029555070000001"/>
    <n v="-50.150972860000003"/>
    <x v="3"/>
    <s v="-"/>
    <x v="1"/>
    <s v="Vapor de sódio"/>
    <n v="100"/>
    <n v="17"/>
    <n v="0"/>
    <n v="400"/>
    <n v="2"/>
    <n v="0"/>
    <n v="6.2"/>
    <m/>
    <m/>
    <n v="0"/>
    <n v="4"/>
    <n v="8"/>
    <n v="0"/>
    <n v="0"/>
    <n v="0"/>
    <n v="0"/>
    <s v="Canteiro central"/>
    <s v="Braço"/>
    <n v="29.6"/>
    <n v="7.5"/>
    <n v="2"/>
    <n v="4"/>
    <n v="2.8"/>
    <n v="-1.2000000000000002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400000000000003E-2"/>
    <n v="1"/>
    <s v="-"/>
    <n v="20.68"/>
    <n v="0.5600000000000000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0.87999999999999989"/>
    <n v="5.64"/>
    <n v="2.39"/>
    <n v="3"/>
    <n v="0.6"/>
    <s v="ATENDE"/>
    <s v="ATENDE"/>
    <s v="ATENDE"/>
    <x v="2"/>
    <s v="SIGSAGPTLRRSSNDL_68W_83IBBRS_x000a_"/>
    <s v="SIGSAGPTLRRSSNDL_68W_83IBBRS_x000a_1-10C1MUN6.5"/>
    <m/>
    <n v="0"/>
    <n v="2"/>
    <n v="68"/>
    <n v="0"/>
    <n v="10884"/>
    <n v="0"/>
    <n v="0"/>
    <m/>
    <s v="Longo I"/>
    <m/>
    <s v=""/>
    <s v=""/>
    <m/>
    <m/>
    <m/>
    <m/>
    <m/>
    <m/>
    <n v="68"/>
    <n v="100"/>
    <n v="336"/>
    <n v="0.31999999999999995"/>
    <m/>
    <m/>
    <s v="Sim"/>
    <m/>
  </r>
  <r>
    <n v="206"/>
    <s v="PVP"/>
    <s v="Rua Rio de Janeiro, 134"/>
    <n v="-30.026164000000001"/>
    <n v="-50.15510541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799999999999997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00000000000002"/>
    <n v="1.2222222222222223"/>
    <s v="-"/>
    <n v="11.43"/>
    <n v="0.4"/>
    <m/>
    <m/>
    <m/>
    <m/>
    <s v="ATENDE"/>
    <s v="ATENDE"/>
    <s v="ATENDE"/>
    <s v="ATENDE"/>
    <s v="C4"/>
    <s v="P6"/>
    <n v="2.3366666666666664"/>
    <n v="10.01"/>
    <n v="3.68"/>
    <n v="3"/>
    <n v="0.6"/>
    <s v="ATENDE"/>
    <s v="ATENDE"/>
    <s v="ATENDE"/>
    <s v="P6"/>
    <n v="1.3599999999999999"/>
    <n v="7.08"/>
    <n v="3.43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6"/>
    <s v="PVP"/>
    <s v="Rua Rio de Janeiro, 134"/>
    <n v="-30.026164000000001"/>
    <n v="-50.15510541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799999999999997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499999999999998"/>
    <n v="1.7222222222222223"/>
    <s v="-"/>
    <n v="13.55"/>
    <n v="0.49"/>
    <m/>
    <m/>
    <m/>
    <m/>
    <s v="ATENDE"/>
    <s v="ATENDE"/>
    <s v="ATENDE"/>
    <s v="ATENDE"/>
    <s v="C4"/>
    <s v="P6"/>
    <n v="2.8166666666666664"/>
    <n v="11.45"/>
    <n v="4.03"/>
    <n v="3"/>
    <n v="0.6"/>
    <s v="ATENDE"/>
    <s v="ATENDE"/>
    <s v="ATENDE"/>
    <s v="P6"/>
    <n v="1.7200000000000002"/>
    <n v="8.16"/>
    <n v="5.9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6"/>
    <s v="PVP"/>
    <s v="Rua Rio de Janeiro, 134"/>
    <n v="-30.026164000000001"/>
    <n v="-50.15510541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5.799999999999997"/>
    <n v="7.5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1.3888888888888888"/>
    <s v="-"/>
    <n v="10.48"/>
    <n v="0.43"/>
    <m/>
    <m/>
    <m/>
    <m/>
    <s v="ATENDE"/>
    <s v="ATENDE"/>
    <s v="ATENDE"/>
    <s v="ATENDE"/>
    <s v="C4"/>
    <s v="P6"/>
    <n v="1.9066666666666667"/>
    <n v="8.7200000000000006"/>
    <n v="3.51"/>
    <n v="3"/>
    <n v="0.6"/>
    <s v="ATENDE"/>
    <s v="ATENDE"/>
    <s v="ATENDE"/>
    <s v="P6"/>
    <n v="0.48333333333333339"/>
    <n v="4.45"/>
    <n v="2.3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7"/>
    <s v="PVP"/>
    <s v="Rua Alagoas, 165"/>
    <n v="-30.02601512"/>
    <n v="-50.14399551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000000000000009E-2"/>
    <n v="0.72222222222222232"/>
    <s v="-"/>
    <n v="10.1"/>
    <n v="0.31"/>
    <m/>
    <m/>
    <m/>
    <m/>
    <s v="ATENDE"/>
    <s v="ATENDE"/>
    <s v="ATENDE"/>
    <s v="ATENDE"/>
    <s v="C4"/>
    <s v="P6"/>
    <n v="1.8399999999999999"/>
    <n v="8.52"/>
    <n v="2.41"/>
    <n v="3"/>
    <n v="0.6"/>
    <s v="ATENDE"/>
    <s v="ATENDE"/>
    <s v="ATENDE"/>
    <s v="P6"/>
    <n v="1.1466666666666669"/>
    <n v="6.44"/>
    <n v="2.5299999999999998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7"/>
    <s v="PVP"/>
    <s v="Rua Alagoas, 165"/>
    <n v="-30.02601512"/>
    <n v="-50.14399551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700000000000006"/>
    <n v="0.7777777777777779"/>
    <s v="-"/>
    <n v="11.97"/>
    <n v="0.32"/>
    <m/>
    <m/>
    <m/>
    <m/>
    <s v="ATENDE"/>
    <s v="ATENDE"/>
    <s v="ATENDE"/>
    <s v="ATENDE"/>
    <s v="C4"/>
    <s v="P6"/>
    <n v="2.2166666666666668"/>
    <n v="9.65"/>
    <n v="1.86"/>
    <n v="3"/>
    <n v="0.6"/>
    <s v="ATENDE"/>
    <s v="ATENDE"/>
    <s v="ATENDE"/>
    <s v="P6"/>
    <n v="1.4933333333333336"/>
    <n v="7.48"/>
    <n v="4.18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207"/>
    <s v="PVP"/>
    <s v="Rua Alagoas, 165"/>
    <n v="-30.02601512"/>
    <n v="-50.14399551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0.7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099999999999998"/>
    <n v="0.33333333333333326"/>
    <s v="-"/>
    <n v="11.01"/>
    <n v="0.24"/>
    <m/>
    <m/>
    <m/>
    <m/>
    <s v="ATENDE"/>
    <s v="ATENDE"/>
    <s v="ATENDE"/>
    <s v="ATENDE"/>
    <s v="C4"/>
    <s v="P6"/>
    <n v="2.0266666666666668"/>
    <n v="9.08"/>
    <n v="2.34"/>
    <n v="3"/>
    <n v="0.6"/>
    <s v="ATENDE"/>
    <s v="ATENDE"/>
    <s v="ATENDE"/>
    <s v="P6"/>
    <n v="0.5199999999999998"/>
    <n v="4.5599999999999996"/>
    <n v="1.39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e v="#N/A"/>
    <n v="8163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208"/>
    <s v="PVP"/>
    <s v="Rua Rio Grande do Norte, 531"/>
    <n v="-30.029094390000001"/>
    <n v="-50.156761840000001"/>
    <x v="2"/>
    <s v="-"/>
    <x v="1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5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700000000000002"/>
    <n v="1.2222222222222223"/>
    <s v="-"/>
    <n v="11.47"/>
    <n v="0.4"/>
    <m/>
    <m/>
    <m/>
    <m/>
    <s v="ATENDE"/>
    <s v="ATENDE"/>
    <s v="ATENDE"/>
    <s v="ATENDE"/>
    <s v="C4"/>
    <s v="P6"/>
    <n v="2.2866666666666666"/>
    <n v="9.86"/>
    <n v="3.64"/>
    <n v="3"/>
    <n v="0.6"/>
    <s v="ATENDE"/>
    <s v="ATENDE"/>
    <s v="ATENDE"/>
    <s v="P6"/>
    <n v="1.5066666666666664"/>
    <n v="7.52"/>
    <n v="3.67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08"/>
    <s v="PVP"/>
    <s v="Rua Rio Grande do Norte, 531"/>
    <n v="-30.029094390000001"/>
    <n v="-50.156761840000001"/>
    <x v="2"/>
    <s v="-"/>
    <x v="1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5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999999999999988"/>
    <n v="1.7222222222222223"/>
    <s v="-"/>
    <n v="13.6"/>
    <n v="0.49"/>
    <m/>
    <m/>
    <m/>
    <m/>
    <s v="ATENDE"/>
    <s v="ATENDE"/>
    <s v="ATENDE"/>
    <s v="ATENDE"/>
    <s v="C4"/>
    <s v="P6"/>
    <n v="2.7433333333333336"/>
    <n v="11.23"/>
    <n v="3.92"/>
    <n v="3"/>
    <n v="0.6"/>
    <s v="ATENDE"/>
    <s v="ATENDE"/>
    <s v="ATENDE"/>
    <s v="P6"/>
    <n v="1.9299999999999997"/>
    <n v="8.7899999999999991"/>
    <n v="6.4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8"/>
    <s v="PVP"/>
    <s v="Rua Rio Grande do Norte, 531"/>
    <n v="-30.029094390000001"/>
    <n v="-50.156761840000001"/>
    <x v="2"/>
    <s v="-"/>
    <x v="1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5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3999999999999826E-2"/>
    <n v="1.3888888888888888"/>
    <s v="-"/>
    <n v="10.54"/>
    <n v="0.43"/>
    <m/>
    <m/>
    <m/>
    <m/>
    <s v="ATENDE"/>
    <s v="ATENDE"/>
    <s v="ATENDE"/>
    <s v="ATENDE"/>
    <s v="C4"/>
    <s v="P6"/>
    <n v="1.85"/>
    <n v="8.5500000000000007"/>
    <n v="3.45"/>
    <n v="3"/>
    <n v="0.6"/>
    <s v="ATENDE"/>
    <s v="ATENDE"/>
    <s v="ATENDE"/>
    <s v="P6"/>
    <n v="0.64666666666666672"/>
    <n v="4.9400000000000004"/>
    <n v="2.73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09"/>
    <s v="PVP"/>
    <s v="Rua Rio Grande do Sul, 29"/>
    <n v="-30.02527688"/>
    <n v="-50.15589030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99999999999992E-2"/>
    <n v="1.4444444444444446"/>
    <s v="-"/>
    <n v="10.35"/>
    <n v="0.44"/>
    <m/>
    <m/>
    <m/>
    <m/>
    <s v="ATENDE"/>
    <s v="ATENDE"/>
    <s v="ATENDE"/>
    <s v="ATENDE"/>
    <s v="C4"/>
    <s v="P6"/>
    <n v="1.9766666666666666"/>
    <n v="8.93"/>
    <n v="3.6"/>
    <n v="3"/>
    <n v="0.6"/>
    <s v="ATENDE"/>
    <s v="ATENDE"/>
    <s v="ATENDE"/>
    <s v="-"/>
    <e v="#VALUE!"/>
    <n v="6.52"/>
    <n v="3.44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09"/>
    <s v="PVP"/>
    <s v="Rua Rio Grande do Sul, 29"/>
    <n v="-30.02527688"/>
    <n v="-50.15589030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3999999999999995"/>
    <n v="2.1111111111111116"/>
    <s v="-"/>
    <n v="14.4"/>
    <n v="0.56000000000000005"/>
    <m/>
    <m/>
    <m/>
    <m/>
    <s v="ATENDE"/>
    <s v="ATENDE"/>
    <s v="ATENDE"/>
    <s v="ATENDE"/>
    <s v="C4"/>
    <s v="P6"/>
    <n v="2.9633333333333334"/>
    <n v="11.89"/>
    <n v="5"/>
    <n v="3"/>
    <n v="0.6"/>
    <s v="ATENDE"/>
    <s v="ATENDE"/>
    <s v="ATENDE"/>
    <s v="-"/>
    <e v="#VALUE!"/>
    <n v="8.84"/>
    <n v="6.59"/>
    <s v="-"/>
    <s v="-"/>
    <s v="-"/>
    <s v="-"/>
    <s v="-"/>
    <x v="1"/>
    <s v="SX-INEVO050HF"/>
    <s v="SXINEVO050K40L12CZF7PHF"/>
    <m/>
    <n v="0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09"/>
    <s v="PVP"/>
    <s v="Rua Rio Grande do Sul, 29"/>
    <n v="-30.02527688"/>
    <n v="-50.15589030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60000000000001"/>
    <n v="1.7777777777777777"/>
    <s v="-"/>
    <n v="11.16"/>
    <n v="0.5"/>
    <m/>
    <m/>
    <m/>
    <m/>
    <s v="ATENDE"/>
    <s v="ATENDE"/>
    <s v="ATENDE"/>
    <s v="ATENDE"/>
    <s v="C4"/>
    <s v="P6"/>
    <n v="2.0166666666666671"/>
    <n v="9.0500000000000007"/>
    <n v="4.3099999999999996"/>
    <n v="3"/>
    <n v="0.6"/>
    <s v="ATENDE"/>
    <s v="ATENDE"/>
    <s v="ATENDE"/>
    <s v="-"/>
    <e v="#VALUE!"/>
    <n v="4.87"/>
    <n v="2.81"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10"/>
    <s v="PVP"/>
    <s v="Rua Rio Grande do Norte, 406"/>
    <n v="-30.02464707"/>
    <n v="-50.155037909999997"/>
    <x v="2"/>
    <s v="-"/>
    <x v="1"/>
    <s v="Vapor de sódio"/>
    <n v="150"/>
    <n v="22"/>
    <n v="0"/>
    <n v="300"/>
    <n v="2"/>
    <n v="1.5"/>
    <n v="5"/>
    <m/>
    <m/>
    <n v="0"/>
    <n v="1.5"/>
    <n v="0"/>
    <n v="0"/>
    <n v="0"/>
    <n v="0"/>
    <n v="0"/>
    <s v="Unilateral"/>
    <s v="Braço"/>
    <n v="34.9"/>
    <n v="8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399999999999987"/>
    <n v="1.6111111111111112"/>
    <s v="-"/>
    <n v="11.04"/>
    <n v="0.47"/>
    <m/>
    <m/>
    <m/>
    <m/>
    <s v="ATENDE"/>
    <s v="ATENDE"/>
    <s v="ATENDE"/>
    <s v="ATENDE"/>
    <s v="C4"/>
    <s v="P6"/>
    <n v="2.2733333333333334"/>
    <n v="9.82"/>
    <n v="4.66"/>
    <n v="3"/>
    <n v="0.6"/>
    <s v="ATENDE"/>
    <s v="ATENDE"/>
    <s v="ATENDE"/>
    <s v="P6"/>
    <n v="2.2799999999999998"/>
    <n v="9.84"/>
    <n v="5.39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210"/>
    <s v="PVP"/>
    <s v="Rua Rio Grande do Norte, 406"/>
    <n v="-30.02464707"/>
    <n v="-50.155037909999997"/>
    <x v="2"/>
    <s v="-"/>
    <x v="1"/>
    <s v="Vapor de sódio"/>
    <n v="150"/>
    <n v="22"/>
    <n v="0"/>
    <n v="300"/>
    <n v="2"/>
    <n v="1.5"/>
    <n v="5"/>
    <m/>
    <m/>
    <n v="0"/>
    <n v="1.5"/>
    <n v="0"/>
    <n v="0"/>
    <n v="0"/>
    <n v="0"/>
    <n v="0"/>
    <s v="Unilateral"/>
    <s v="Braço"/>
    <n v="34.9"/>
    <n v="8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099999999999993"/>
    <n v="2.2777777777777777"/>
    <s v="-"/>
    <n v="13.01"/>
    <n v="0.59"/>
    <m/>
    <m/>
    <m/>
    <m/>
    <s v="ATENDE"/>
    <s v="ATENDE"/>
    <s v="ATENDE"/>
    <s v="ATENDE"/>
    <s v="C4"/>
    <s v="P6"/>
    <n v="2.83"/>
    <n v="11.49"/>
    <n v="6.63"/>
    <n v="3"/>
    <n v="0.6"/>
    <s v="ATENDE"/>
    <s v="ATENDE"/>
    <s v="ATENDE"/>
    <s v="P6"/>
    <n v="2.9266666666666663"/>
    <n v="11.78"/>
    <n v="8.69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10"/>
    <s v="PVP"/>
    <s v="Rua Rio Grande do Norte, 406"/>
    <n v="-30.02464707"/>
    <n v="-50.155037909999997"/>
    <x v="2"/>
    <s v="-"/>
    <x v="1"/>
    <s v="Vapor de sódio"/>
    <n v="150"/>
    <n v="22"/>
    <n v="0"/>
    <n v="300"/>
    <n v="2"/>
    <n v="1.5"/>
    <n v="5"/>
    <m/>
    <m/>
    <n v="0"/>
    <n v="1.5"/>
    <n v="0"/>
    <n v="0"/>
    <n v="0"/>
    <n v="0"/>
    <n v="0"/>
    <s v="Unilateral"/>
    <s v="Braço"/>
    <n v="34.9"/>
    <n v="8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2999999999999936E-2"/>
    <n v="2.3888888888888888"/>
    <s v="-"/>
    <n v="10.53"/>
    <n v="0.61"/>
    <m/>
    <m/>
    <m/>
    <m/>
    <s v="ATENDE"/>
    <s v="ATENDE"/>
    <s v="ATENDE"/>
    <s v="ATENDE"/>
    <s v="C4"/>
    <s v="P6"/>
    <n v="1.9299999999999997"/>
    <n v="8.7899999999999991"/>
    <n v="5.34"/>
    <n v="3"/>
    <n v="0.6"/>
    <s v="ATENDE"/>
    <s v="ATENDE"/>
    <s v="ATENDE"/>
    <s v="P6"/>
    <n v="1.8699999999999997"/>
    <n v="8.61"/>
    <n v="6.2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11"/>
    <s v="PVP"/>
    <s v="Rua Espirito Santo, 45"/>
    <n v="-30.027523810000002"/>
    <n v="-50.147948370000002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733333333333331"/>
    <n v="1.3888888888888888"/>
    <s v="-"/>
    <n v="8.5299999999999994"/>
    <n v="0.43"/>
    <m/>
    <m/>
    <m/>
    <m/>
    <s v="ATENDE"/>
    <s v="ATENDE"/>
    <s v="ATENDE"/>
    <s v="ATENDE"/>
    <s v="C5"/>
    <s v="P6"/>
    <n v="0.90000000000000013"/>
    <n v="5.7"/>
    <n v="2.88"/>
    <n v="3"/>
    <n v="0.6"/>
    <s v="ATENDE"/>
    <s v="ATENDE"/>
    <s v="ATENDE"/>
    <s v="-"/>
    <e v="#VALUE!"/>
    <n v="7.2"/>
    <n v="2.81"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11"/>
    <s v="PVP"/>
    <s v="Rua Espirito Santo, 45"/>
    <n v="-30.027523810000002"/>
    <n v="-50.147948370000002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7333333333333494E-2"/>
    <n v="1.6666666666666665"/>
    <s v="-"/>
    <n v="8.23"/>
    <n v="0.48"/>
    <m/>
    <m/>
    <m/>
    <m/>
    <s v="ATENDE"/>
    <s v="ATENDE"/>
    <s v="ATENDE"/>
    <s v="ATENDE"/>
    <s v="C5"/>
    <s v="P6"/>
    <n v="0.66000000000000014"/>
    <n v="4.9800000000000004"/>
    <n v="3.07"/>
    <n v="3"/>
    <n v="0.6"/>
    <s v="ATENDE"/>
    <s v="ATENDE"/>
    <s v="ATENDE"/>
    <s v="-"/>
    <e v="#VALUE!"/>
    <n v="6.73"/>
    <n v="2.2999999999999998"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11"/>
    <s v="PVP"/>
    <s v="Rua Espirito Santo, 45"/>
    <n v="-30.027523810000002"/>
    <n v="-50.147948370000002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700000000000003"/>
    <n v="7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9333333333333265E-2"/>
    <n v="2.0000000000000004"/>
    <s v="-"/>
    <n v="8.17"/>
    <n v="0.54"/>
    <m/>
    <m/>
    <m/>
    <m/>
    <s v="ATENDE"/>
    <s v="ATENDE"/>
    <s v="ATENDE"/>
    <s v="ATENDE"/>
    <s v="C5"/>
    <s v="P6"/>
    <n v="0.5066666666666666"/>
    <n v="4.5199999999999996"/>
    <n v="3.35"/>
    <n v="3"/>
    <n v="0.6"/>
    <s v="ATENDE"/>
    <s v="ATENDE"/>
    <s v="ATENDE"/>
    <s v="-"/>
    <e v="#VALUE!"/>
    <n v="6.7"/>
    <n v="3.31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12"/>
    <s v="PV"/>
    <s v="Rua Bergano, 168"/>
    <n v="-30.028021500000001"/>
    <n v="-50.143248130000003"/>
    <x v="1"/>
    <s v="-"/>
    <x v="1"/>
    <s v="Vapor de sódio"/>
    <n v="150"/>
    <n v="22"/>
    <n v="0"/>
    <n v="300"/>
    <n v="2"/>
    <n v="2.5"/>
    <n v="7"/>
    <m/>
    <m/>
    <n v="0"/>
    <n v="0"/>
    <n v="0"/>
    <n v="0"/>
    <n v="0"/>
    <n v="0"/>
    <n v="0"/>
    <s v="Unilateral"/>
    <s v="Braço"/>
    <n v="27.9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4666666666666677E-2"/>
    <n v="2.0000000000000004"/>
    <s v="-"/>
    <n v="8.2100000000000009"/>
    <n v="0.54"/>
    <m/>
    <m/>
    <m/>
    <m/>
    <s v="ATENDE"/>
    <s v="ATENDE"/>
    <s v="ATENDE"/>
    <s v="ATENDE"/>
    <s v="C5"/>
    <s v="P6"/>
    <n v="1.3033333333333332"/>
    <n v="6.91"/>
    <n v="3.6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212"/>
    <s v="PV"/>
    <s v="Rua Bergano, 168"/>
    <n v="-30.028021500000001"/>
    <n v="-50.143248130000003"/>
    <x v="1"/>
    <s v="-"/>
    <x v="1"/>
    <s v="Vapor de sódio"/>
    <n v="150"/>
    <n v="22"/>
    <n v="0"/>
    <n v="300"/>
    <n v="2"/>
    <n v="2.5"/>
    <n v="7"/>
    <m/>
    <m/>
    <n v="0"/>
    <n v="0"/>
    <n v="0"/>
    <n v="0"/>
    <n v="0"/>
    <n v="0"/>
    <n v="0"/>
    <s v="Unilateral"/>
    <s v="Braço"/>
    <n v="27.9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6133333333333351"/>
    <n v="3.1111111111111116"/>
    <s v="-"/>
    <n v="10.210000000000001"/>
    <n v="0.74"/>
    <m/>
    <m/>
    <m/>
    <m/>
    <s v="ATENDE"/>
    <s v="ATENDE"/>
    <s v="ATENDE"/>
    <s v="ATENDE"/>
    <s v="C5"/>
    <s v="P6"/>
    <n v="1.69"/>
    <n v="8.07"/>
    <n v="5.05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212"/>
    <s v="PV"/>
    <s v="Rua Bergano, 168"/>
    <n v="-30.028021500000001"/>
    <n v="-50.143248130000003"/>
    <x v="1"/>
    <s v="-"/>
    <x v="1"/>
    <s v="Vapor de sódio"/>
    <n v="150"/>
    <n v="22"/>
    <n v="0"/>
    <n v="300"/>
    <n v="2"/>
    <n v="2.5"/>
    <n v="7"/>
    <m/>
    <m/>
    <n v="0"/>
    <n v="0"/>
    <n v="0"/>
    <n v="0"/>
    <n v="0"/>
    <n v="0"/>
    <n v="0"/>
    <s v="Unilateral"/>
    <s v="Braço"/>
    <n v="27.9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4933333333333327"/>
    <n v="2.7777777777777781"/>
    <s v="-"/>
    <n v="10.119999999999999"/>
    <n v="0.68"/>
    <m/>
    <m/>
    <m/>
    <m/>
    <s v="ATENDE"/>
    <s v="ATENDE"/>
    <s v="ATENDE"/>
    <s v="ATENDE"/>
    <s v="C5"/>
    <s v="P6"/>
    <n v="1.6966666666666668"/>
    <n v="8.09"/>
    <n v="5.3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13"/>
    <s v="PV"/>
    <s v="Travessa 2  Sul, 78"/>
    <n v="-30.030632600000001"/>
    <n v="-50.144687840000003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00000000000004"/>
    <n v="1.3333333333333335"/>
    <s v="-"/>
    <n v="11.67"/>
    <n v="0.42"/>
    <m/>
    <m/>
    <m/>
    <m/>
    <s v="ATENDE"/>
    <s v="ATENDE"/>
    <s v="ATENDE"/>
    <s v="ATENDE"/>
    <s v="C4"/>
    <s v="P6"/>
    <n v="2.186666666666667"/>
    <n v="9.56"/>
    <n v="3.77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13"/>
    <s v="PV"/>
    <s v="Travessa 2  Sul, 78"/>
    <n v="-30.030632600000001"/>
    <n v="-50.144687840000003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2.1666666666666665"/>
    <s v="-"/>
    <n v="11.1"/>
    <n v="0.56999999999999995"/>
    <m/>
    <m/>
    <m/>
    <m/>
    <s v="ATENDE"/>
    <s v="ATENDE"/>
    <s v="ATENDE"/>
    <s v="ATENDE"/>
    <s v="C4"/>
    <s v="P6"/>
    <n v="2.0099999999999998"/>
    <n v="9.0299999999999994"/>
    <n v="3.93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40HF"/>
    <s v="SXINEVO040K40L12CZF7PHF"/>
    <m/>
    <n v="0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13"/>
    <s v="PV"/>
    <s v="Travessa 2  Sul, 78"/>
    <n v="-30.030632600000001"/>
    <n v="-50.144687840000003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52"/>
    <n v="1.6666666666666665"/>
    <s v="-"/>
    <n v="12.52"/>
    <n v="0.48"/>
    <m/>
    <m/>
    <m/>
    <m/>
    <s v="ATENDE"/>
    <s v="ATENDE"/>
    <s v="ATENDE"/>
    <s v="ATENDE"/>
    <s v="C4"/>
    <s v="P6"/>
    <n v="2.1799999999999997"/>
    <n v="9.5399999999999991"/>
    <n v="4.25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/A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14"/>
    <s v="PVP"/>
    <s v="Rua Alagoas, 460"/>
    <n v="-30.031668979999999"/>
    <n v="-50.145900789999999"/>
    <x v="2"/>
    <s v="-"/>
    <x v="1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27.4"/>
    <n v="5.8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999999999999899E-2"/>
    <n v="1.1111111111111112"/>
    <s v="-"/>
    <n v="10.11"/>
    <n v="0.38"/>
    <m/>
    <m/>
    <m/>
    <m/>
    <s v="ATENDE"/>
    <s v="ATENDE"/>
    <s v="ATENDE"/>
    <s v="ATENDE"/>
    <s v="C4"/>
    <s v="P6"/>
    <n v="0.42333333333333312"/>
    <n v="4.2699999999999996"/>
    <n v="2.14"/>
    <n v="3"/>
    <n v="0.6"/>
    <s v="ATENDE"/>
    <s v="ATENDE"/>
    <s v="ATENDE"/>
    <s v="-"/>
    <e v="#VALUE!"/>
    <n v="8.1199999999999992"/>
    <n v="3.07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214"/>
    <s v="PVP"/>
    <s v="Rua Alagoas, 460"/>
    <n v="-30.031668979999999"/>
    <n v="-50.145900789999999"/>
    <x v="2"/>
    <s v="-"/>
    <x v="1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27.4"/>
    <n v="5.8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299999999999988"/>
    <n v="1.5"/>
    <s v="-"/>
    <n v="12.43"/>
    <n v="0.45"/>
    <m/>
    <m/>
    <m/>
    <m/>
    <s v="ATENDE"/>
    <s v="ATENDE"/>
    <s v="ATENDE"/>
    <s v="ATENDE"/>
    <s v="C4"/>
    <s v="P6"/>
    <n v="0.12666666666666671"/>
    <n v="3.38"/>
    <n v="1.21"/>
    <n v="3"/>
    <n v="0.6"/>
    <s v="ATENDE"/>
    <s v="ATENDE"/>
    <s v="ATENDE"/>
    <s v="-"/>
    <e v="#VALUE!"/>
    <n v="9.15"/>
    <n v="2.31"/>
    <s v="-"/>
    <s v="-"/>
    <s v="-"/>
    <s v="-"/>
    <s v="-"/>
    <x v="1"/>
    <s v="SX-INEVO030HF"/>
    <s v="SXINEVO030K40L12CZF7PHF"/>
    <m/>
    <e v="#N/A"/>
    <n v="1"/>
    <n v="31"/>
    <e v="#N/A"/>
    <n v="5270"/>
    <n v="0"/>
    <n v="0"/>
    <m/>
    <s v="Curto II"/>
    <s v="Médio I"/>
    <n v="1.8"/>
    <n v="7"/>
    <m/>
    <m/>
    <m/>
    <m/>
    <m/>
    <m/>
    <n v="31"/>
    <n v="100"/>
    <n v="131"/>
    <n v="0.69"/>
    <m/>
    <m/>
    <s v="Sim"/>
    <m/>
  </r>
  <r>
    <n v="214"/>
    <s v="PVP"/>
    <s v="Rua Alagoas, 460"/>
    <n v="-30.031668979999999"/>
    <n v="-50.145900789999999"/>
    <x v="2"/>
    <s v="-"/>
    <x v="1"/>
    <s v="Vapor de sódio"/>
    <n v="100"/>
    <n v="17"/>
    <n v="0"/>
    <n v="200"/>
    <n v="2"/>
    <n v="2.5"/>
    <n v="7"/>
    <m/>
    <m/>
    <n v="0"/>
    <n v="2.6"/>
    <n v="0"/>
    <n v="0"/>
    <n v="0"/>
    <n v="0"/>
    <n v="0"/>
    <s v="Unilateral"/>
    <s v="Braço"/>
    <n v="27.4"/>
    <n v="5.8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700000000000008"/>
    <n v="1.7777777777777777"/>
    <s v="-"/>
    <n v="12.17"/>
    <n v="0.5"/>
    <m/>
    <m/>
    <m/>
    <m/>
    <s v="ATENDE"/>
    <s v="ATENDE"/>
    <s v="ATENDE"/>
    <s v="ATENDE"/>
    <s v="C4"/>
    <s v="P6"/>
    <n v="0.19666666666666655"/>
    <n v="3.59"/>
    <n v="1.83"/>
    <n v="3"/>
    <n v="0.6"/>
    <s v="ATENDE"/>
    <s v="ATENDE"/>
    <s v="ATENDE"/>
    <s v="-"/>
    <e v="#VALUE!"/>
    <n v="9.36"/>
    <n v="4.18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s v="Médio II"/>
    <n v="2.4"/>
    <n v="7.5"/>
    <m/>
    <m/>
    <m/>
    <m/>
    <m/>
    <m/>
    <n v="30"/>
    <n v="100"/>
    <n v="130"/>
    <n v="0.7"/>
    <m/>
    <m/>
    <s v="Sim"/>
    <m/>
  </r>
  <r>
    <n v="215"/>
    <s v="PVP"/>
    <s v="Rua Piaui, 309"/>
    <n v="-30.027553650000002"/>
    <n v="-50.15498651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1111111111111112"/>
    <s v="-"/>
    <n v="9.0500000000000007"/>
    <n v="0.38"/>
    <m/>
    <m/>
    <m/>
    <m/>
    <s v="ATENDE"/>
    <s v="ATENDE"/>
    <s v="ATENDE"/>
    <s v="ATENDE"/>
    <s v="C5"/>
    <s v="P6"/>
    <n v="0.7433333333333334"/>
    <n v="5.23"/>
    <n v="2.29"/>
    <n v="3"/>
    <n v="0.6"/>
    <s v="ATENDE"/>
    <s v="ATENDE"/>
    <s v="ATENDE"/>
    <s v="P6"/>
    <n v="1.4"/>
    <n v="7.2"/>
    <n v="2.3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15"/>
    <s v="PVP"/>
    <s v="Rua Piaui, 309"/>
    <n v="-30.027553650000002"/>
    <n v="-50.15498651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400000000000015"/>
    <n v="1.166666666666667"/>
    <s v="-"/>
    <n v="8.73"/>
    <n v="0.39"/>
    <m/>
    <m/>
    <m/>
    <m/>
    <s v="ATENDE"/>
    <s v="ATENDE"/>
    <s v="ATENDE"/>
    <s v="ATENDE"/>
    <s v="C5"/>
    <s v="P6"/>
    <n v="0.44000000000000017"/>
    <n v="4.32"/>
    <n v="2.06"/>
    <n v="3"/>
    <n v="0.6"/>
    <s v="ATENDE"/>
    <s v="ATENDE"/>
    <s v="ATENDE"/>
    <s v="P6"/>
    <n v="1.1966666666666668"/>
    <n v="6.59"/>
    <n v="1.45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15"/>
    <s v="PVP"/>
    <s v="Rua Piaui, 309"/>
    <n v="-30.027553650000002"/>
    <n v="-50.154986510000001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666666666666672"/>
    <n v="1.6666666666666665"/>
    <s v="-"/>
    <n v="8.6"/>
    <n v="0.48"/>
    <m/>
    <m/>
    <m/>
    <m/>
    <s v="ATENDE"/>
    <s v="ATENDE"/>
    <s v="ATENDE"/>
    <s v="ATENDE"/>
    <s v="C5"/>
    <s v="P6"/>
    <n v="0.33999999999999986"/>
    <n v="4.0199999999999996"/>
    <n v="2.62"/>
    <n v="3"/>
    <n v="0.6"/>
    <s v="ATENDE"/>
    <s v="ATENDE"/>
    <s v="ATENDE"/>
    <s v="P6"/>
    <n v="1.2133333333333334"/>
    <n v="6.64"/>
    <n v="2.7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16"/>
    <s v="PVP"/>
    <s v="Rua Adelino Souza de Aguiar, 39"/>
    <n v="-30.015525960000002"/>
    <n v="-50.157846020000001"/>
    <x v="2"/>
    <s v="-"/>
    <x v="1"/>
    <s v="LED"/>
    <n v="50"/>
    <n v="0"/>
    <n v="0"/>
    <n v="100"/>
    <n v="2"/>
    <n v="4"/>
    <n v="7"/>
    <m/>
    <m/>
    <n v="0"/>
    <n v="4"/>
    <n v="0"/>
    <n v="0"/>
    <n v="0"/>
    <n v="4"/>
    <n v="0"/>
    <s v="Unilateral"/>
    <s v="Braço"/>
    <n v="20"/>
    <n v="8"/>
    <n v="1"/>
    <n v="14.5"/>
    <n v="3"/>
    <n v="-1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25"/>
    <n v="2.2777777777777777"/>
    <s v="-"/>
    <n v="11.25"/>
    <n v="0.59"/>
    <m/>
    <m/>
    <m/>
    <m/>
    <s v="ATENDE"/>
    <s v="ATENDE"/>
    <s v="ATENDE"/>
    <s v="ATENDE"/>
    <s v="C4"/>
    <s v="P6"/>
    <n v="1.3033333333333332"/>
    <n v="6.91"/>
    <n v="4.2"/>
    <n v="3"/>
    <n v="0.6"/>
    <s v="ATENDE"/>
    <s v="ATENDE"/>
    <s v="ATENDE"/>
    <s v="-"/>
    <e v="#VALUE!"/>
    <n v="4.71"/>
    <n v="2.3199999999999998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Longo I"/>
    <m/>
    <s v=""/>
    <s v=""/>
    <m/>
    <m/>
    <m/>
    <m/>
    <m/>
    <m/>
    <n v="44"/>
    <n v="50"/>
    <n v="94"/>
    <n v="0.12"/>
    <m/>
    <m/>
    <s v="Sim"/>
    <m/>
  </r>
  <r>
    <n v="216"/>
    <s v="PVP"/>
    <s v="Rua Adelino Souza de Aguiar, 39"/>
    <n v="-30.015525960000002"/>
    <n v="-50.157846020000001"/>
    <x v="2"/>
    <s v="-"/>
    <x v="1"/>
    <s v="LED"/>
    <n v="50"/>
    <n v="0"/>
    <n v="0"/>
    <n v="100"/>
    <n v="2"/>
    <n v="4"/>
    <n v="7"/>
    <m/>
    <m/>
    <n v="0"/>
    <n v="4"/>
    <n v="0"/>
    <n v="0"/>
    <n v="0"/>
    <n v="4"/>
    <n v="0"/>
    <s v="Unilateral"/>
    <s v="Braço"/>
    <n v="20"/>
    <n v="8"/>
    <n v="1"/>
    <n v="14.5"/>
    <n v="3"/>
    <n v="-1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4999999999999964E-2"/>
    <n v="2.9444444444444442"/>
    <s v="-"/>
    <n v="10.85"/>
    <n v="0.71"/>
    <m/>
    <m/>
    <m/>
    <m/>
    <s v="ATENDE"/>
    <s v="ATENDE"/>
    <s v="ATENDE"/>
    <s v="ATENDE"/>
    <s v="C4"/>
    <s v="P6"/>
    <n v="1.0933333333333333"/>
    <n v="6.28"/>
    <n v="3.62"/>
    <n v="3"/>
    <n v="0.6"/>
    <s v="ATENDE"/>
    <s v="ATENDE"/>
    <s v="ATENDE"/>
    <s v="-"/>
    <e v="#VALUE!"/>
    <n v="3.18"/>
    <n v="1.36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Longo I"/>
    <m/>
    <s v=""/>
    <s v=""/>
    <m/>
    <m/>
    <m/>
    <m/>
    <m/>
    <m/>
    <n v="39"/>
    <n v="50"/>
    <n v="89"/>
    <n v="0.21999999999999997"/>
    <m/>
    <m/>
    <s v="Sim"/>
    <m/>
  </r>
  <r>
    <n v="216"/>
    <s v="PVP"/>
    <s v="Rua Adelino Souza de Aguiar, 39"/>
    <n v="-30.015525960000002"/>
    <n v="-50.157846020000001"/>
    <x v="2"/>
    <s v="-"/>
    <x v="1"/>
    <s v="LED"/>
    <n v="50"/>
    <n v="0"/>
    <n v="0"/>
    <n v="100"/>
    <n v="2"/>
    <n v="4"/>
    <n v="7"/>
    <m/>
    <m/>
    <n v="0"/>
    <n v="4"/>
    <n v="0"/>
    <n v="0"/>
    <n v="0"/>
    <n v="4"/>
    <n v="0"/>
    <s v="Unilateral"/>
    <s v="Braço"/>
    <n v="20"/>
    <n v="8"/>
    <n v="1"/>
    <n v="14.5"/>
    <n v="3"/>
    <n v="-1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600000000000003"/>
    <n v="3"/>
    <s v="-"/>
    <n v="12.86"/>
    <n v="0.72"/>
    <m/>
    <m/>
    <m/>
    <m/>
    <s v="ATENDE"/>
    <s v="ATENDE"/>
    <s v="ATENDE"/>
    <s v="ATENDE"/>
    <s v="C4"/>
    <s v="P6"/>
    <n v="1.2533333333333334"/>
    <n v="6.76"/>
    <n v="4.2699999999999996"/>
    <n v="3"/>
    <n v="0.6"/>
    <s v="ATENDE"/>
    <s v="ATENDE"/>
    <s v="ATENDE"/>
    <s v="-"/>
    <e v="#VALUE!"/>
    <n v="5.41"/>
    <n v="3.05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Longo I"/>
    <m/>
    <s v=""/>
    <s v=""/>
    <m/>
    <m/>
    <m/>
    <m/>
    <m/>
    <m/>
    <n v="40"/>
    <n v="50"/>
    <n v="90"/>
    <n v="0.19999999999999996"/>
    <m/>
    <m/>
    <s v="Sim"/>
    <m/>
  </r>
  <r>
    <n v="217"/>
    <s v="PVP"/>
    <s v="Rua Dez, 54"/>
    <n v="-30.011189770000001"/>
    <n v="-50.159059159999998"/>
    <x v="2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20.9"/>
    <n v="6.2"/>
    <n v="1"/>
    <n v="0.5"/>
    <n v="0.4"/>
    <n v="-9.9999999999999978E-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000000000000016"/>
    <n v="1.7222222222222223"/>
    <s v="-"/>
    <n v="11.8"/>
    <n v="0.49"/>
    <m/>
    <m/>
    <m/>
    <m/>
    <s v="ATENDE"/>
    <s v="ATENDE"/>
    <s v="ATENDE"/>
    <s v="ATENDE"/>
    <s v="C4"/>
    <s v="P6"/>
    <n v="0.51666666666666661"/>
    <n v="4.55"/>
    <n v="2.98"/>
    <n v="3"/>
    <n v="0.6"/>
    <s v="ATENDE"/>
    <s v="ATENDE"/>
    <s v="ATENDE"/>
    <s v="P6"/>
    <n v="3.1266666666666669"/>
    <n v="12.38"/>
    <n v="6.9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"/>
    <m/>
    <s v=""/>
    <s v=""/>
    <m/>
    <m/>
    <m/>
    <m/>
    <m/>
    <m/>
    <n v="28"/>
    <n v="70"/>
    <n v="98"/>
    <n v="0.6"/>
    <m/>
    <m/>
    <s v="Sim"/>
    <m/>
  </r>
  <r>
    <n v="217"/>
    <s v="PVP"/>
    <s v="Rua Dez, 54"/>
    <n v="-30.011189770000001"/>
    <n v="-50.159059159999998"/>
    <x v="2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20.9"/>
    <n v="6.2"/>
    <n v="1"/>
    <n v="0.5"/>
    <n v="0.4"/>
    <n v="-9.9999999999999978E-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3599999999999994"/>
    <n v="1.6111111111111112"/>
    <s v="-"/>
    <n v="14.36"/>
    <n v="0.47"/>
    <m/>
    <m/>
    <m/>
    <m/>
    <s v="ATENDE"/>
    <s v="ATENDE"/>
    <s v="ATENDE"/>
    <s v="ATENDE"/>
    <s v="C4"/>
    <s v="P6"/>
    <n v="7.6666666666666661E-2"/>
    <n v="3.23"/>
    <n v="1.54"/>
    <n v="3"/>
    <n v="0.6"/>
    <s v="ATENDE"/>
    <s v="ATENDE"/>
    <s v="ATENDE"/>
    <s v="P6"/>
    <n v="3.9666666666666668"/>
    <n v="14.9"/>
    <n v="10.24"/>
    <n v="3"/>
    <n v="0.6"/>
    <s v="ATENDE"/>
    <s v="ATENDE"/>
    <s v="ATENDE"/>
    <x v="1"/>
    <s v="SX-INEVO030HF"/>
    <s v="SXINEVO030K40L12CZF7PHF"/>
    <m/>
    <n v="0"/>
    <n v="1"/>
    <n v="31"/>
    <n v="0"/>
    <n v="5270"/>
    <n v="0"/>
    <n v="0"/>
    <m/>
    <s v="Curto I"/>
    <m/>
    <s v=""/>
    <s v=""/>
    <m/>
    <m/>
    <m/>
    <m/>
    <m/>
    <m/>
    <n v="31"/>
    <n v="70"/>
    <n v="101"/>
    <n v="0.55714285714285716"/>
    <m/>
    <m/>
    <s v="Sim"/>
    <m/>
  </r>
  <r>
    <n v="217"/>
    <s v="PVP"/>
    <s v="Rua Dez, 54"/>
    <n v="-30.011189770000001"/>
    <n v="-50.159059159999998"/>
    <x v="2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20.9"/>
    <n v="6.2"/>
    <n v="1"/>
    <n v="0.5"/>
    <n v="0.4"/>
    <n v="-9.9999999999999978E-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500000000000002"/>
    <n v="1.5555555555555558"/>
    <s v="-"/>
    <n v="13.95"/>
    <n v="0.46"/>
    <m/>
    <m/>
    <m/>
    <m/>
    <s v="ATENDE"/>
    <s v="ATENDE"/>
    <s v="ATENDE"/>
    <s v="ATENDE"/>
    <s v="C4"/>
    <s v="P6"/>
    <n v="0.21666666666666656"/>
    <n v="3.65"/>
    <n v="2"/>
    <n v="3"/>
    <n v="0.6"/>
    <s v="ATENDE"/>
    <s v="ATENDE"/>
    <s v="ATENDE"/>
    <s v="P6"/>
    <n v="3.9733333333333336"/>
    <n v="14.92"/>
    <n v="10.029999999999999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"/>
    <m/>
    <s v=""/>
    <s v=""/>
    <m/>
    <m/>
    <m/>
    <m/>
    <m/>
    <m/>
    <n v="30"/>
    <n v="70"/>
    <n v="100"/>
    <n v="0.5714285714285714"/>
    <m/>
    <m/>
    <s v="Sim"/>
    <m/>
  </r>
  <r>
    <n v="218"/>
    <s v="PVP"/>
    <s v="Rua Santa Clara, 738"/>
    <n v="-30.01441647"/>
    <n v="-50.158625030000003"/>
    <x v="2"/>
    <s v="-"/>
    <x v="1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Braço"/>
    <n v="36.299999999999997"/>
    <n v="6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799999999999988"/>
    <n v="0.5555555555555558"/>
    <s v="-"/>
    <n v="11.18"/>
    <n v="0.28000000000000003"/>
    <m/>
    <m/>
    <m/>
    <m/>
    <s v="ATENDE"/>
    <s v="ATENDE"/>
    <s v="ATENDE"/>
    <s v="ATENDE"/>
    <s v="C4"/>
    <s v="P6"/>
    <n v="0.96666666666666679"/>
    <n v="5.9"/>
    <n v="2.2400000000000002"/>
    <n v="3"/>
    <n v="0.6"/>
    <s v="ATENDE"/>
    <s v="ATENDE"/>
    <s v="ATENDE"/>
    <s v="-"/>
    <e v="#VALUE!"/>
    <n v="9.17"/>
    <n v="2.2000000000000002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18"/>
    <s v="PVP"/>
    <s v="Rua Santa Clara, 738"/>
    <n v="-30.01441647"/>
    <n v="-50.158625030000003"/>
    <x v="2"/>
    <s v="-"/>
    <x v="1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Braço"/>
    <n v="36.299999999999997"/>
    <n v="6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2"/>
    <n v="0.50000000000000022"/>
    <s v="-"/>
    <n v="10.6"/>
    <n v="0.27"/>
    <m/>
    <m/>
    <m/>
    <m/>
    <s v="ATENDE"/>
    <s v="ATENDE"/>
    <s v="ATENDE"/>
    <s v="ATENDE"/>
    <s v="C4"/>
    <s v="P6"/>
    <n v="0.51333333333333342"/>
    <n v="4.54"/>
    <n v="1.75"/>
    <n v="3"/>
    <n v="0.6"/>
    <s v="ATENDE"/>
    <s v="ATENDE"/>
    <s v="ATENDE"/>
    <s v="-"/>
    <e v="#VALUE!"/>
    <n v="8.6199999999999992"/>
    <n v="1.27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18"/>
    <s v="PVP"/>
    <s v="Rua Santa Clara, 738"/>
    <n v="-30.01441647"/>
    <n v="-50.158625030000003"/>
    <x v="2"/>
    <s v="-"/>
    <x v="1"/>
    <s v="Vapor de sódio"/>
    <n v="150"/>
    <n v="22"/>
    <n v="0"/>
    <n v="300"/>
    <n v="2"/>
    <n v="2.5"/>
    <n v="7"/>
    <m/>
    <m/>
    <n v="0"/>
    <n v="2"/>
    <n v="0"/>
    <n v="0"/>
    <n v="0"/>
    <n v="0"/>
    <n v="0"/>
    <s v="Unilateral"/>
    <s v="Braço"/>
    <n v="36.299999999999997"/>
    <n v="6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99999999999991"/>
    <n v="5.555555555555558E-2"/>
    <s v="-"/>
    <n v="11.52"/>
    <n v="0.19"/>
    <m/>
    <m/>
    <m/>
    <m/>
    <s v="ATENDE"/>
    <s v="ATENDE"/>
    <s v="ATENDE"/>
    <s v="ATENDE"/>
    <s v="C4"/>
    <s v="P6"/>
    <n v="0.41666666666666674"/>
    <n v="4.25"/>
    <n v="1.22"/>
    <n v="3"/>
    <n v="0.6"/>
    <s v="ATENDE"/>
    <s v="ATENDE"/>
    <s v="ATENDE"/>
    <s v="-"/>
    <e v="#VALUE!"/>
    <n v="8.67"/>
    <n v="1.58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Curto II"/>
    <n v="1.4"/>
    <n v="6.5"/>
    <m/>
    <m/>
    <m/>
    <m/>
    <m/>
    <m/>
    <n v="40"/>
    <n v="150"/>
    <n v="190"/>
    <n v="0.73333333333333339"/>
    <m/>
    <m/>
    <s v="Sim"/>
    <m/>
  </r>
  <r>
    <n v="219"/>
    <s v="PVP"/>
    <s v="Rua Sargento Geraldo, 172"/>
    <n v="-30.0187186"/>
    <n v="-50.15249529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8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0000000000000009E-2"/>
    <n v="1.9444444444444446"/>
    <s v="-"/>
    <n v="10.1"/>
    <n v="0.53"/>
    <m/>
    <m/>
    <m/>
    <m/>
    <s v="ATENDE"/>
    <s v="ATENDE"/>
    <s v="ATENDE"/>
    <s v="ATENDE"/>
    <s v="C4"/>
    <s v="P6"/>
    <n v="1.1000000000000001"/>
    <n v="6.3"/>
    <n v="3.76"/>
    <n v="3"/>
    <n v="0.6"/>
    <s v="ATENDE"/>
    <s v="ATENDE"/>
    <s v="ATENDE"/>
    <s v="P6"/>
    <n v="1.813333333333333"/>
    <n v="8.44"/>
    <n v="4.08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19"/>
    <s v="PVP"/>
    <s v="Rua Sargento Geraldo, 172"/>
    <n v="-30.0187186"/>
    <n v="-50.15249529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8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9999999999999"/>
    <n v="2.5555555555555558"/>
    <s v="-"/>
    <n v="11.42"/>
    <n v="0.64"/>
    <m/>
    <m/>
    <m/>
    <m/>
    <s v="ATENDE"/>
    <s v="ATENDE"/>
    <s v="ATENDE"/>
    <s v="ATENDE"/>
    <s v="C4"/>
    <s v="P6"/>
    <n v="1.2333333333333334"/>
    <n v="6.7"/>
    <n v="4.97"/>
    <n v="3"/>
    <n v="0.6"/>
    <s v="ATENDE"/>
    <s v="ATENDE"/>
    <s v="ATENDE"/>
    <s v="P6"/>
    <n v="2.2766666666666668"/>
    <n v="9.83"/>
    <n v="5.39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219"/>
    <s v="PVP"/>
    <s v="Rua Sargento Geraldo, 172"/>
    <n v="-30.0187186"/>
    <n v="-50.15249529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29.8"/>
    <n v="7.3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900000000000015"/>
    <n v="2.1666666666666665"/>
    <s v="-"/>
    <n v="12.89"/>
    <n v="0.56999999999999995"/>
    <m/>
    <m/>
    <m/>
    <m/>
    <s v="ATENDE"/>
    <s v="ATENDE"/>
    <s v="ATENDE"/>
    <s v="ATENDE"/>
    <s v="C4"/>
    <s v="P6"/>
    <n v="0.91333333333333333"/>
    <n v="5.74"/>
    <n v="3.9"/>
    <n v="3"/>
    <n v="0.6"/>
    <s v="ATENDE"/>
    <s v="ATENDE"/>
    <s v="ATENDE"/>
    <s v="P6"/>
    <n v="2.48"/>
    <n v="10.44"/>
    <n v="6.0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220"/>
    <s v="PV"/>
    <s v="Rua Um, 80"/>
    <n v="-30.009139560000001"/>
    <n v="-50.15866114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6"/>
    <n v="6.7"/>
    <n v="1"/>
    <n v="0.4"/>
    <n v="0.65"/>
    <n v="0.2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200000000000015"/>
    <n v="1.166666666666667"/>
    <s v="-"/>
    <n v="11.72"/>
    <n v="0.39"/>
    <m/>
    <m/>
    <m/>
    <m/>
    <s v="ATENDE"/>
    <s v="ATENDE"/>
    <s v="ATENDE"/>
    <s v="ATENDE"/>
    <s v="C4"/>
    <s v="-"/>
    <e v="#VALUE!"/>
    <n v="11.27"/>
    <n v="4.03"/>
    <s v="-"/>
    <s v="-"/>
    <s v="-"/>
    <s v="-"/>
    <s v="-"/>
    <s v="P6"/>
    <s v="-"/>
    <s v="-"/>
    <s v="-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"/>
    <m/>
    <s v=""/>
    <s v=""/>
    <m/>
    <m/>
    <m/>
    <m/>
    <m/>
    <m/>
    <n v="44"/>
    <n v="100"/>
    <n v="144"/>
    <n v="0.56000000000000005"/>
    <m/>
    <m/>
    <s v="Sim"/>
    <m/>
  </r>
  <r>
    <n v="220"/>
    <s v="PV"/>
    <s v="Rua Um, 80"/>
    <n v="-30.009139560000001"/>
    <n v="-50.15866114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6"/>
    <n v="6.7"/>
    <n v="1"/>
    <n v="0.4"/>
    <n v="0.65"/>
    <n v="0.2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899999999999999"/>
    <n v="2.1111111111111116"/>
    <s v="-"/>
    <n v="11.09"/>
    <n v="0.56000000000000005"/>
    <m/>
    <m/>
    <m/>
    <m/>
    <s v="ATENDE"/>
    <s v="ATENDE"/>
    <s v="ATENDE"/>
    <s v="ATENDE"/>
    <s v="C4"/>
    <s v="-"/>
    <e v="#VALUE!"/>
    <n v="10.79"/>
    <n v="4.29"/>
    <s v="-"/>
    <s v="-"/>
    <s v="-"/>
    <s v="-"/>
    <s v="-"/>
    <s v="P6"/>
    <s v="-"/>
    <s v="-"/>
    <s v="-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"/>
    <m/>
    <s v=""/>
    <s v=""/>
    <m/>
    <m/>
    <m/>
    <m/>
    <m/>
    <m/>
    <n v="39"/>
    <n v="100"/>
    <n v="139"/>
    <n v="0.61"/>
    <m/>
    <m/>
    <s v="Sim"/>
    <m/>
  </r>
  <r>
    <n v="220"/>
    <s v="PV"/>
    <s v="Rua Um, 80"/>
    <n v="-30.009139560000001"/>
    <n v="-50.15866114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1.6"/>
    <n v="6.7"/>
    <n v="1"/>
    <n v="0.4"/>
    <n v="0.65"/>
    <n v="0.2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300000000000009"/>
    <n v="1.166666666666667"/>
    <s v="-"/>
    <n v="12.23"/>
    <n v="0.39"/>
    <m/>
    <m/>
    <m/>
    <m/>
    <s v="ATENDE"/>
    <s v="ATENDE"/>
    <s v="ATENDE"/>
    <s v="ATENDE"/>
    <s v="C4"/>
    <s v="-"/>
    <e v="#VALUE!"/>
    <n v="11.64"/>
    <n v="4.59"/>
    <s v="-"/>
    <s v="-"/>
    <s v="-"/>
    <s v="-"/>
    <s v="-"/>
    <s v="P6"/>
    <s v="-"/>
    <s v="-"/>
    <s v="-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"/>
    <m/>
    <s v=""/>
    <s v=""/>
    <m/>
    <m/>
    <m/>
    <m/>
    <m/>
    <m/>
    <n v="40"/>
    <n v="100"/>
    <n v="140"/>
    <n v="0.6"/>
    <m/>
    <m/>
    <s v="Sim"/>
    <m/>
  </r>
  <r>
    <n v="221"/>
    <s v="PVP"/>
    <s v="Rua Castro Alves, 286"/>
    <n v="-30.01916928"/>
    <n v="-50.1518928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52.5"/>
    <n v="7.1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2999999999999936E-2"/>
    <n v="0"/>
    <s v="-"/>
    <n v="10.53"/>
    <n v="0.18"/>
    <m/>
    <m/>
    <m/>
    <m/>
    <s v="ATENDE"/>
    <s v="ATENDE"/>
    <s v="ATENDE"/>
    <s v="ATENDE"/>
    <s v="C4"/>
    <s v="P6"/>
    <n v="1.5066666666666664"/>
    <n v="7.52"/>
    <n v="1.27"/>
    <n v="3"/>
    <n v="0.6"/>
    <s v="ATENDE"/>
    <s v="ATENDE"/>
    <s v="ATENDE"/>
    <s v="P6"/>
    <n v="1.5"/>
    <n v="7.5"/>
    <n v="1.24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221"/>
    <s v="PVP"/>
    <s v="Rua Castro Alves, 286"/>
    <n v="-30.01916928"/>
    <n v="-50.1518928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52.5"/>
    <n v="7.1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9000000000000004"/>
    <n v="5.555555555555558E-2"/>
    <s v="-"/>
    <n v="12.9"/>
    <n v="0.19"/>
    <m/>
    <m/>
    <m/>
    <m/>
    <s v="ATENDE"/>
    <s v="ATENDE"/>
    <s v="ATENDE"/>
    <s v="ATENDE"/>
    <s v="C4"/>
    <s v="P6"/>
    <n v="1.83"/>
    <n v="8.49"/>
    <n v="2.0699999999999998"/>
    <n v="3"/>
    <n v="0.6"/>
    <s v="ATENDE"/>
    <s v="ATENDE"/>
    <s v="ATENDE"/>
    <s v="P6"/>
    <n v="2.9766666666666666"/>
    <n v="11.93"/>
    <n v="1.59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n v="5"/>
    <s v="Curto II"/>
    <m/>
    <s v=""/>
    <s v=""/>
    <m/>
    <m/>
    <m/>
    <m/>
    <m/>
    <m/>
    <n v="70"/>
    <n v="100"/>
    <n v="170"/>
    <n v="0.30000000000000004"/>
    <m/>
    <m/>
    <s v="Sim"/>
    <m/>
  </r>
  <r>
    <n v="221"/>
    <s v="PVP"/>
    <s v="Rua Castro Alves, 286"/>
    <n v="-30.01916928"/>
    <n v="-50.1518928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52.5"/>
    <n v="7.1"/>
    <n v="1"/>
    <n v="0.6"/>
    <n v="1.3"/>
    <n v="0.7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00000000000005E-2"/>
    <n v="3"/>
    <s v="-"/>
    <n v="10.56"/>
    <n v="0.72"/>
    <m/>
    <m/>
    <m/>
    <m/>
    <s v="ATENDE"/>
    <s v="ATENDE"/>
    <s v="ATENDE"/>
    <s v="ATENDE"/>
    <s v="C4"/>
    <s v="P6"/>
    <n v="0.98333333333333339"/>
    <n v="5.95"/>
    <n v="4.54"/>
    <n v="3"/>
    <n v="0.6"/>
    <s v="ATENDE"/>
    <s v="ATENDE"/>
    <s v="ATENDE"/>
    <s v="P6"/>
    <n v="1.8800000000000003"/>
    <n v="8.64"/>
    <n v="6.04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n v="5"/>
    <s v="Curto II"/>
    <m/>
    <s v=""/>
    <s v=""/>
    <s v="APEA"/>
    <n v="1"/>
    <m/>
    <s v="Redução pela metade da distância entre postes. 52,10 para 26.05"/>
    <m/>
    <m/>
    <n v="30"/>
    <n v="100"/>
    <n v="130"/>
    <n v="0.7"/>
    <m/>
    <m/>
    <s v="Sim"/>
    <m/>
  </r>
  <r>
    <n v="222"/>
    <s v="PVP"/>
    <s v="Rua Eleodoro Franzen, 1335"/>
    <n v="-30.00740154"/>
    <n v="-50.152964150000003"/>
    <x v="4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6.3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2.6666666666666616E-2"/>
    <n v="0.16666666666666674"/>
    <s v="-"/>
    <n v="15.4"/>
    <n v="0.21"/>
    <m/>
    <m/>
    <m/>
    <m/>
    <s v="ATENDE"/>
    <s v="ATENDE"/>
    <s v="ATENDE"/>
    <s v="ATENDE"/>
    <s v="C3"/>
    <s v="P6"/>
    <n v="1.9733333333333332"/>
    <n v="8.92"/>
    <n v="2.06"/>
    <n v="3"/>
    <n v="0.6"/>
    <s v="ATENDE"/>
    <s v="ATENDE"/>
    <s v="ATENDE"/>
    <s v="P6"/>
    <n v="2.6666666666666665"/>
    <n v="11"/>
    <n v="1.7"/>
    <n v="3"/>
    <n v="0.6"/>
    <s v="ATENDE"/>
    <s v="ATENDE"/>
    <s v="ATENDE"/>
    <x v="0"/>
    <s v=" SL VT 9.1 72W"/>
    <s v="LUM LED SL VT 9.1 72W"/>
    <m/>
    <e v="#N/A"/>
    <n v="1"/>
    <n v="72"/>
    <e v="#N/A"/>
    <n v="12107"/>
    <n v="0"/>
    <n v="0"/>
    <n v="5"/>
    <s v="Curto II"/>
    <m/>
    <m/>
    <m/>
    <m/>
    <m/>
    <m/>
    <m/>
    <m/>
    <m/>
    <n v="72"/>
    <n v="100"/>
    <n v="172"/>
    <n v="0.28000000000000003"/>
    <m/>
    <m/>
    <s v="Sim"/>
    <m/>
  </r>
  <r>
    <n v="222"/>
    <s v="PVP"/>
    <s v="Rua Eleodoro Franzen, 1335"/>
    <n v="-30.00740154"/>
    <n v="-50.152964150000003"/>
    <x v="4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6.3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199999999999997"/>
    <n v="0.11111111111111116"/>
    <s v="-"/>
    <n v="18.18"/>
    <n v="0.2"/>
    <m/>
    <m/>
    <m/>
    <m/>
    <s v="ATENDE"/>
    <s v="ATENDE"/>
    <s v="ATENDE"/>
    <s v="ATENDE"/>
    <s v="C3"/>
    <s v="P6"/>
    <n v="2.4133333333333336"/>
    <n v="10.24"/>
    <n v="2.63"/>
    <n v="3"/>
    <n v="0.6"/>
    <s v="ATENDE"/>
    <s v="ATENDE"/>
    <s v="ATENDE"/>
    <s v="P6"/>
    <n v="3.7800000000000002"/>
    <n v="14.34"/>
    <n v="1.71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n v="5"/>
    <s v="Curto II"/>
    <m/>
    <m/>
    <m/>
    <m/>
    <m/>
    <m/>
    <m/>
    <m/>
    <m/>
    <n v="70"/>
    <n v="100"/>
    <n v="170"/>
    <n v="0.30000000000000004"/>
    <m/>
    <m/>
    <s v="Sim"/>
    <m/>
  </r>
  <r>
    <n v="222"/>
    <s v="PVP"/>
    <s v="Rua Eleodoro Franzen, 1335"/>
    <n v="-30.00740154"/>
    <n v="-50.152964150000003"/>
    <x v="4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2.9"/>
    <n v="6.3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2199999999999989"/>
    <n v="0.2777777777777779"/>
    <s v="-"/>
    <n v="16.829999999999998"/>
    <n v="0.23"/>
    <m/>
    <m/>
    <m/>
    <m/>
    <s v="ATENDE"/>
    <s v="ATENDE"/>
    <s v="ATENDE"/>
    <s v="ATENDE"/>
    <s v="C3"/>
    <s v="P6"/>
    <n v="3.6366666666666667"/>
    <n v="13.91"/>
    <n v="4.1100000000000003"/>
    <n v="3"/>
    <n v="0.6"/>
    <s v="ATENDE"/>
    <s v="ATENDE"/>
    <s v="ATENDE"/>
    <s v="P6"/>
    <n v="1.7799999999999998"/>
    <n v="8.34"/>
    <n v="2.35"/>
    <n v="3"/>
    <n v="0.6"/>
    <s v="ATENDE"/>
    <s v="ATENDE"/>
    <s v="ATENDE"/>
    <x v="2"/>
    <s v="SIGSAGPTLRRSSNDL_90W112IBBRS_x000a_"/>
    <s v="SIGSAGPTLRRSSNDL_90W112IBBRS_x000a_1-10C1MUN6.5"/>
    <m/>
    <e v="#N/A"/>
    <n v="1"/>
    <n v="90"/>
    <n v="0"/>
    <n v="13859"/>
    <n v="0"/>
    <n v="0"/>
    <m/>
    <s v="Curto II"/>
    <s v="Longo II"/>
    <n v="3.5"/>
    <n v="8.5"/>
    <m/>
    <m/>
    <m/>
    <m/>
    <m/>
    <m/>
    <n v="90"/>
    <n v="100"/>
    <n v="190"/>
    <n v="9.9999999999999978E-2"/>
    <m/>
    <m/>
    <s v="Sim"/>
    <m/>
  </r>
  <r>
    <n v="223"/>
    <s v="PV"/>
    <s v="Rua Um, 2"/>
    <n v="-30.008188919999998"/>
    <n v="-50.158575220000003"/>
    <x v="2"/>
    <s v="-"/>
    <x v="1"/>
    <s v="Vapor de sódio"/>
    <n v="250"/>
    <n v="30"/>
    <n v="0"/>
    <n v="500"/>
    <n v="2"/>
    <n v="2.5"/>
    <n v="7"/>
    <m/>
    <m/>
    <n v="0"/>
    <n v="0"/>
    <n v="0"/>
    <n v="0"/>
    <n v="0"/>
    <n v="0"/>
    <n v="0"/>
    <s v="Unilateral"/>
    <s v="Braço"/>
    <n v="20.9"/>
    <n v="6.9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000000000000087E-2"/>
    <n v="2.1111111111111116"/>
    <s v="-"/>
    <n v="10.98"/>
    <n v="0.56000000000000005"/>
    <m/>
    <m/>
    <m/>
    <m/>
    <s v="ATENDE"/>
    <s v="ATENDE"/>
    <s v="ATENDE"/>
    <s v="ATENDE"/>
    <s v="C4"/>
    <s v="P6"/>
    <n v="2.8200000000000003"/>
    <n v="11.46"/>
    <n v="7.22"/>
    <n v="3"/>
    <n v="0.6"/>
    <s v="ATENDE"/>
    <s v="ATENDE"/>
    <s v="ATENDE"/>
    <s v="P6"/>
    <s v="-"/>
    <s v="-"/>
    <s v="-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250"/>
    <n v="278"/>
    <n v="0.88800000000000001"/>
    <m/>
    <m/>
    <s v="Sim"/>
    <m/>
  </r>
  <r>
    <n v="223"/>
    <s v="PV"/>
    <s v="Rua Um, 2"/>
    <n v="-30.008188919999998"/>
    <n v="-50.158575220000003"/>
    <x v="2"/>
    <s v="-"/>
    <x v="1"/>
    <s v="Vapor de sódio"/>
    <n v="250"/>
    <n v="30"/>
    <n v="0"/>
    <n v="500"/>
    <n v="2"/>
    <n v="2.5"/>
    <n v="7"/>
    <m/>
    <m/>
    <n v="0"/>
    <n v="0"/>
    <n v="0"/>
    <n v="0"/>
    <n v="0"/>
    <n v="0"/>
    <n v="0"/>
    <s v="Unilateral"/>
    <s v="Braço"/>
    <n v="20.9"/>
    <n v="6.9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5099999999999998"/>
    <n v="2.1666666666666665"/>
    <s v="-"/>
    <n v="13.51"/>
    <n v="0.56999999999999995"/>
    <m/>
    <m/>
    <m/>
    <m/>
    <s v="ATENDE"/>
    <s v="ATENDE"/>
    <s v="ATENDE"/>
    <s v="ATENDE"/>
    <s v="C4"/>
    <s v="P6"/>
    <n v="3.6366666666666667"/>
    <n v="13.91"/>
    <n v="10.4"/>
    <n v="3"/>
    <n v="0.6"/>
    <s v="ATENDE"/>
    <s v="ATENDE"/>
    <s v="ATENDE"/>
    <s v="P6"/>
    <s v="-"/>
    <s v="-"/>
    <s v="-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250"/>
    <n v="281"/>
    <n v="0.876"/>
    <m/>
    <m/>
    <s v="Sim"/>
    <m/>
  </r>
  <r>
    <n v="223"/>
    <s v="PV"/>
    <s v="Rua Um, 2"/>
    <n v="-30.008188919999998"/>
    <n v="-50.158575220000003"/>
    <x v="2"/>
    <s v="-"/>
    <x v="1"/>
    <s v="Vapor de sódio"/>
    <n v="250"/>
    <n v="30"/>
    <n v="0"/>
    <n v="500"/>
    <n v="2"/>
    <n v="2.5"/>
    <n v="7"/>
    <m/>
    <m/>
    <n v="0"/>
    <n v="0"/>
    <n v="0"/>
    <n v="0"/>
    <n v="0"/>
    <n v="0"/>
    <n v="0"/>
    <s v="Unilateral"/>
    <s v="Braço"/>
    <n v="20.9"/>
    <n v="6.9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400000000000006"/>
    <n v="2.0555555555555558"/>
    <s v="-"/>
    <n v="13.14"/>
    <n v="0.55000000000000004"/>
    <m/>
    <m/>
    <m/>
    <m/>
    <s v="ATENDE"/>
    <s v="ATENDE"/>
    <s v="ATENDE"/>
    <s v="ATENDE"/>
    <s v="C4"/>
    <s v="P6"/>
    <n v="3.6433333333333335"/>
    <n v="13.93"/>
    <n v="10"/>
    <n v="3"/>
    <n v="0.6"/>
    <s v="ATENDE"/>
    <s v="ATENDE"/>
    <s v="ATENDE"/>
    <s v="P6"/>
    <s v="-"/>
    <s v="-"/>
    <s v="-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250"/>
    <n v="280"/>
    <n v="0.88"/>
    <m/>
    <m/>
    <s v="Sim"/>
    <m/>
  </r>
  <r>
    <n v="224"/>
    <s v="PVP"/>
    <s v="Rua Dez de Novembro, 364"/>
    <n v="-30.018354729999999"/>
    <n v="-50.158127499999999"/>
    <x v="2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5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6000000000000041E-2"/>
    <n v="1.0555555555555558"/>
    <s v="-"/>
    <n v="10.46"/>
    <n v="0.37"/>
    <m/>
    <m/>
    <m/>
    <m/>
    <s v="ATENDE"/>
    <s v="ATENDE"/>
    <s v="ATENDE"/>
    <s v="ATENDE"/>
    <s v="C4"/>
    <s v="P6"/>
    <n v="1.1266666666666665"/>
    <n v="6.38"/>
    <n v="3.02"/>
    <n v="3"/>
    <n v="0.6"/>
    <s v="ATENDE"/>
    <s v="ATENDE"/>
    <s v="ATENDE"/>
    <s v="P6"/>
    <n v="2.1166666666666667"/>
    <n v="9.35"/>
    <n v="3.1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24"/>
    <s v="PVP"/>
    <s v="Rua Dez de Novembro, 364"/>
    <n v="-30.018354729999999"/>
    <n v="-50.158127499999999"/>
    <x v="2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5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3999999999999826E-2"/>
    <n v="1.1111111111111112"/>
    <s v="-"/>
    <n v="10.54"/>
    <n v="0.38"/>
    <m/>
    <m/>
    <m/>
    <m/>
    <s v="ATENDE"/>
    <s v="ATENDE"/>
    <s v="ATENDE"/>
    <s v="ATENDE"/>
    <s v="C4"/>
    <s v="P6"/>
    <n v="0.69000000000000017"/>
    <n v="5.07"/>
    <n v="2.63"/>
    <n v="3"/>
    <n v="0.6"/>
    <s v="ATENDE"/>
    <s v="ATENDE"/>
    <s v="ATENDE"/>
    <s v="P6"/>
    <n v="2.0666666666666664"/>
    <n v="9.1999999999999993"/>
    <n v="2.3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Curto I"/>
    <n v="1.2"/>
    <n v="6.5"/>
    <m/>
    <m/>
    <m/>
    <m/>
    <m/>
    <m/>
    <n v="39"/>
    <n v="100"/>
    <n v="139"/>
    <n v="0.61"/>
    <m/>
    <m/>
    <s v="Sim"/>
    <m/>
  </r>
  <r>
    <n v="224"/>
    <s v="PVP"/>
    <s v="Rua Dez de Novembro, 364"/>
    <n v="-30.018354729999999"/>
    <n v="-50.158127499999999"/>
    <x v="2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5.299999999999997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799999999999988"/>
    <n v="0.94444444444444442"/>
    <s v="-"/>
    <n v="11.18"/>
    <n v="0.35"/>
    <m/>
    <m/>
    <m/>
    <m/>
    <s v="ATENDE"/>
    <s v="ATENDE"/>
    <s v="ATENDE"/>
    <s v="ATENDE"/>
    <s v="C4"/>
    <s v="P6"/>
    <n v="0.52333333333333343"/>
    <n v="4.57"/>
    <n v="2.13"/>
    <n v="3"/>
    <n v="0.6"/>
    <s v="ATENDE"/>
    <s v="ATENDE"/>
    <s v="ATENDE"/>
    <s v="P6"/>
    <n v="2.1799999999999997"/>
    <n v="9.5399999999999991"/>
    <n v="3.18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25"/>
    <s v="PVP"/>
    <s v="Avenida Nordeste, 388"/>
    <n v="-30.012892229999999"/>
    <n v="-50.150037650000002"/>
    <x v="2"/>
    <s v="-"/>
    <x v="1"/>
    <s v="LED"/>
    <n v="50"/>
    <n v="0"/>
    <n v="0"/>
    <n v="100"/>
    <n v="2"/>
    <n v="3"/>
    <n v="7"/>
    <m/>
    <m/>
    <n v="0"/>
    <n v="2.5"/>
    <n v="0"/>
    <n v="0"/>
    <n v="0"/>
    <n v="0"/>
    <n v="0"/>
    <s v="Unilateral"/>
    <s v="Braço"/>
    <n v="30.1"/>
    <n v="6.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000000000000066E-2"/>
    <n v="1.5"/>
    <s v="-"/>
    <n v="10.74"/>
    <n v="0.45"/>
    <m/>
    <m/>
    <m/>
    <m/>
    <s v="ATENDE"/>
    <s v="ATENDE"/>
    <s v="ATENDE"/>
    <s v="ATENDE"/>
    <s v="C4"/>
    <s v="P6"/>
    <n v="0.90666666666666651"/>
    <n v="5.72"/>
    <n v="2.91"/>
    <n v="3"/>
    <n v="0.6"/>
    <s v="ATENDE"/>
    <s v="ATENDE"/>
    <s v="ATENDE"/>
    <s v="-"/>
    <e v="#VALUE!"/>
    <n v="8.1"/>
    <n v="3.17"/>
    <s v="-"/>
    <s v="-"/>
    <s v="-"/>
    <s v="-"/>
    <s v="-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50"/>
    <n v="85"/>
    <n v="0.30000000000000004"/>
    <m/>
    <m/>
    <s v="Sim"/>
    <m/>
  </r>
  <r>
    <n v="225"/>
    <s v="PVP"/>
    <s v="Avenida Nordeste, 388"/>
    <n v="-30.012892229999999"/>
    <n v="-50.150037650000002"/>
    <x v="2"/>
    <s v="-"/>
    <x v="1"/>
    <s v="LED"/>
    <n v="50"/>
    <n v="0"/>
    <n v="0"/>
    <n v="100"/>
    <n v="2"/>
    <n v="3"/>
    <n v="7"/>
    <m/>
    <m/>
    <n v="0"/>
    <n v="2.5"/>
    <n v="0"/>
    <n v="0"/>
    <n v="0"/>
    <n v="0"/>
    <n v="0"/>
    <s v="Unilateral"/>
    <s v="Braço"/>
    <n v="30.1"/>
    <n v="6.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00000000000003E-2"/>
    <n v="1.9444444444444446"/>
    <s v="-"/>
    <n v="10.34"/>
    <n v="0.53"/>
    <m/>
    <m/>
    <m/>
    <m/>
    <s v="ATENDE"/>
    <s v="ATENDE"/>
    <s v="ATENDE"/>
    <s v="ATENDE"/>
    <s v="C4"/>
    <s v="P6"/>
    <n v="0.5199999999999998"/>
    <n v="4.5599999999999996"/>
    <n v="2.73"/>
    <n v="3"/>
    <n v="0.6"/>
    <s v="ATENDE"/>
    <s v="ATENDE"/>
    <s v="ATENDE"/>
    <s v="-"/>
    <e v="#VALUE!"/>
    <n v="7.3"/>
    <n v="2.0499999999999998"/>
    <s v="-"/>
    <s v="-"/>
    <s v="-"/>
    <s v="-"/>
    <s v="-"/>
    <x v="1"/>
    <s v="SX-INEVO030HF"/>
    <s v="SXINEVO030K40L12CZF7PHF"/>
    <m/>
    <n v="0"/>
    <n v="1"/>
    <n v="31"/>
    <n v="0"/>
    <n v="5270"/>
    <n v="0"/>
    <n v="0"/>
    <m/>
    <s v="Curto II"/>
    <m/>
    <s v=""/>
    <s v=""/>
    <m/>
    <m/>
    <m/>
    <m/>
    <m/>
    <m/>
    <n v="31"/>
    <n v="50"/>
    <n v="81"/>
    <n v="0.38"/>
    <m/>
    <m/>
    <s v="Sim"/>
    <m/>
  </r>
  <r>
    <n v="225"/>
    <s v="PVP"/>
    <s v="Avenida Nordeste, 388"/>
    <n v="-30.012892229999999"/>
    <n v="-50.150037650000002"/>
    <x v="2"/>
    <s v="-"/>
    <x v="1"/>
    <s v="LED"/>
    <n v="50"/>
    <n v="0"/>
    <n v="0"/>
    <n v="100"/>
    <n v="2"/>
    <n v="3"/>
    <n v="7"/>
    <m/>
    <m/>
    <n v="0"/>
    <n v="2.5"/>
    <n v="0"/>
    <n v="0"/>
    <n v="0"/>
    <n v="0"/>
    <n v="0"/>
    <s v="Unilateral"/>
    <s v="Braço"/>
    <n v="30.1"/>
    <n v="6.7"/>
    <n v="1"/>
    <n v="0.35"/>
    <n v="1.3"/>
    <n v="0.95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999999999999904E-2"/>
    <n v="2.2222222222222223"/>
    <s v="-"/>
    <n v="10.17"/>
    <n v="0.57999999999999996"/>
    <m/>
    <m/>
    <m/>
    <m/>
    <s v="ATENDE"/>
    <s v="ATENDE"/>
    <s v="ATENDE"/>
    <s v="ATENDE"/>
    <s v="C4"/>
    <s v="P6"/>
    <n v="0.44000000000000017"/>
    <n v="4.32"/>
    <n v="2.95"/>
    <n v="3"/>
    <n v="0.6"/>
    <s v="ATENDE"/>
    <s v="ATENDE"/>
    <s v="ATENDE"/>
    <s v="-"/>
    <e v="#VALUE!"/>
    <n v="7.44"/>
    <n v="3.64"/>
    <s v="-"/>
    <s v="-"/>
    <s v="-"/>
    <s v="-"/>
    <s v="-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Sim"/>
    <m/>
  </r>
  <r>
    <n v="226"/>
    <s v="PVP"/>
    <s v="Rua Mario Totta, 483"/>
    <n v="-30.01082735"/>
    <n v="-50.1572496"/>
    <x v="1"/>
    <s v="-"/>
    <x v="1"/>
    <s v="LED"/>
    <n v="50"/>
    <n v="0"/>
    <n v="0"/>
    <n v="140"/>
    <n v="2"/>
    <n v="4"/>
    <n v="7"/>
    <m/>
    <m/>
    <n v="0"/>
    <n v="4"/>
    <n v="0"/>
    <n v="0"/>
    <n v="0"/>
    <n v="0"/>
    <n v="0"/>
    <s v="Unilateral"/>
    <s v="Braço"/>
    <n v="13.1"/>
    <n v="7.8"/>
    <n v="1"/>
    <n v="1.5"/>
    <n v="2.8"/>
    <n v="1.299999999999999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7333333333333352"/>
    <n v="3.666666666666667"/>
    <s v="-"/>
    <n v="10.3"/>
    <n v="0.84"/>
    <m/>
    <m/>
    <m/>
    <m/>
    <s v="ATENDE"/>
    <s v="ATENDE"/>
    <s v="ATENDE"/>
    <s v="ATENDE"/>
    <s v="C5"/>
    <s v="-"/>
    <e v="#VALUE!"/>
    <n v="6.52"/>
    <n v="5.08"/>
    <s v="-"/>
    <s v="-"/>
    <s v="-"/>
    <s v="-"/>
    <s v="-"/>
    <s v="-"/>
    <e v="#VALUE!"/>
    <n v="7.08"/>
    <n v="4.9800000000000004"/>
    <s v="-"/>
    <s v="-"/>
    <s v="-"/>
    <s v="-"/>
    <s v="-"/>
    <x v="0"/>
    <s v=" SL VT 9.1 17W"/>
    <s v="LUM LED SL VT 9.1 17W"/>
    <m/>
    <e v="#N/A"/>
    <n v="1"/>
    <n v="17"/>
    <n v="0"/>
    <n v="2929.66"/>
    <n v="0"/>
    <n v="0"/>
    <m/>
    <s v="Longo I"/>
    <m/>
    <s v=""/>
    <s v=""/>
    <m/>
    <m/>
    <m/>
    <m/>
    <m/>
    <m/>
    <n v="30"/>
    <n v="70"/>
    <n v="100"/>
    <n v="0.5714285714285714"/>
    <m/>
    <m/>
    <s v="Sim"/>
    <m/>
  </r>
  <r>
    <n v="226"/>
    <s v="PVP"/>
    <s v="Rua Mario Totta, 483"/>
    <n v="-30.01082735"/>
    <n v="-50.1572496"/>
    <x v="1"/>
    <s v="-"/>
    <x v="1"/>
    <s v="LED"/>
    <n v="50"/>
    <n v="0"/>
    <n v="0"/>
    <n v="140"/>
    <n v="2"/>
    <n v="4"/>
    <n v="7"/>
    <m/>
    <m/>
    <n v="0"/>
    <n v="4"/>
    <n v="0"/>
    <n v="0"/>
    <n v="0"/>
    <n v="0"/>
    <n v="0"/>
    <s v="Unilateral"/>
    <s v="Braço"/>
    <n v="13.1"/>
    <n v="7.8"/>
    <n v="1"/>
    <n v="1.5"/>
    <n v="2.8"/>
    <n v="1.299999999999999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90800000000000014"/>
    <n v="3.7777777777777777"/>
    <s v="-"/>
    <n v="14.31"/>
    <n v="0.86"/>
    <m/>
    <m/>
    <m/>
    <m/>
    <s v="ATENDE"/>
    <s v="ATENDE"/>
    <s v="ATENDE"/>
    <s v="ATENDE"/>
    <s v="C5"/>
    <s v="-"/>
    <e v="#VALUE!"/>
    <n v="8.09"/>
    <n v="5.27"/>
    <s v="-"/>
    <s v="-"/>
    <s v="-"/>
    <s v="-"/>
    <s v="-"/>
    <s v="-"/>
    <e v="#VALUE!"/>
    <n v="9.1199999999999992"/>
    <n v="5.75"/>
    <s v="-"/>
    <s v="-"/>
    <s v="-"/>
    <s v="-"/>
    <s v="-"/>
    <x v="1"/>
    <s v="SX-INEVO020HF"/>
    <s v="SXINEVO020K40L12CZF7PHF"/>
    <m/>
    <e v="#N/A"/>
    <n v="1"/>
    <n v="22.5"/>
    <n v="0"/>
    <n v="3825"/>
    <n v="0"/>
    <n v="0"/>
    <m/>
    <s v="Longo I"/>
    <m/>
    <s v=""/>
    <s v=""/>
    <m/>
    <m/>
    <m/>
    <m/>
    <m/>
    <m/>
    <n v="30"/>
    <n v="70"/>
    <n v="100"/>
    <n v="0.5714285714285714"/>
    <m/>
    <m/>
    <s v="Sim"/>
    <m/>
  </r>
  <r>
    <n v="226"/>
    <s v="PVP"/>
    <s v="Rua Mario Totta, 483"/>
    <n v="-30.01082735"/>
    <n v="-50.1572496"/>
    <x v="1"/>
    <s v="-"/>
    <x v="1"/>
    <s v="LED"/>
    <n v="50"/>
    <n v="0"/>
    <n v="0"/>
    <n v="140"/>
    <n v="2"/>
    <n v="4"/>
    <n v="7"/>
    <m/>
    <m/>
    <n v="0"/>
    <n v="4"/>
    <n v="0"/>
    <n v="0"/>
    <n v="0"/>
    <n v="0"/>
    <n v="0"/>
    <s v="Unilateral"/>
    <s v="Braço"/>
    <n v="13.1"/>
    <n v="7.8"/>
    <n v="1"/>
    <n v="1.5"/>
    <n v="2.8"/>
    <n v="1.2999999999999998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8280000000000003"/>
    <n v="3.3888888888888893"/>
    <s v="-"/>
    <n v="21.21"/>
    <n v="0.79"/>
    <m/>
    <m/>
    <m/>
    <m/>
    <s v="ATENDE"/>
    <s v="ATENDE"/>
    <s v="ATENDE"/>
    <s v="ATENDE"/>
    <s v="C5"/>
    <s v="-"/>
    <e v="#VALUE!"/>
    <n v="10.54"/>
    <n v="7.09"/>
    <s v="-"/>
    <s v="-"/>
    <s v="-"/>
    <s v="-"/>
    <s v="-"/>
    <s v="-"/>
    <e v="#VALUE!"/>
    <n v="13.39"/>
    <n v="9.09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Longo I"/>
    <m/>
    <s v=""/>
    <s v=""/>
    <m/>
    <m/>
    <m/>
    <m/>
    <m/>
    <m/>
    <n v="30"/>
    <n v="70"/>
    <n v="100"/>
    <n v="0.5714285714285714"/>
    <m/>
    <m/>
    <s v="Sim"/>
    <m/>
  </r>
  <r>
    <n v="227"/>
    <s v="PVP"/>
    <s v="Rua Santo Amaro, 329"/>
    <n v="-30.020608339999999"/>
    <n v="-50.150894780000002"/>
    <x v="2"/>
    <s v="-"/>
    <x v="1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37.4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000000000000087E-2"/>
    <n v="1"/>
    <s v="-"/>
    <n v="10.98"/>
    <n v="0.36"/>
    <m/>
    <m/>
    <m/>
    <m/>
    <s v="ATENDE"/>
    <s v="ATENDE"/>
    <s v="ATENDE"/>
    <s v="ATENDE"/>
    <s v="C4"/>
    <s v="P6"/>
    <n v="1.3000000000000003"/>
    <n v="6.9"/>
    <n v="3.09"/>
    <n v="3"/>
    <n v="0.6"/>
    <s v="ATENDE"/>
    <s v="ATENDE"/>
    <s v="ATENDE"/>
    <s v="P6"/>
    <n v="2.1466666666666665"/>
    <n v="9.44"/>
    <n v="3.13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27"/>
    <s v="PVP"/>
    <s v="Rua Santo Amaro, 329"/>
    <n v="-30.020608339999999"/>
    <n v="-50.150894780000002"/>
    <x v="2"/>
    <s v="-"/>
    <x v="1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37.4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200000000000005"/>
    <n v="1.3888888888888888"/>
    <s v="-"/>
    <n v="13.02"/>
    <n v="0.43"/>
    <m/>
    <m/>
    <m/>
    <m/>
    <s v="ATENDE"/>
    <s v="ATENDE"/>
    <s v="ATENDE"/>
    <s v="ATENDE"/>
    <s v="C4"/>
    <s v="P6"/>
    <n v="1.6600000000000001"/>
    <n v="7.98"/>
    <n v="5.39"/>
    <n v="3"/>
    <n v="0.6"/>
    <s v="ATENDE"/>
    <s v="ATENDE"/>
    <s v="ATENDE"/>
    <s v="P6"/>
    <n v="2.58"/>
    <n v="10.74"/>
    <n v="2.97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27"/>
    <s v="PVP"/>
    <s v="Rua Santo Amaro, 329"/>
    <n v="-30.020608339999999"/>
    <n v="-50.150894780000002"/>
    <x v="2"/>
    <s v="-"/>
    <x v="1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37.4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999999999999897E-3"/>
    <n v="1"/>
    <s v="-"/>
    <n v="10.09"/>
    <n v="0.36"/>
    <m/>
    <m/>
    <m/>
    <m/>
    <s v="ATENDE"/>
    <s v="ATENDE"/>
    <s v="ATENDE"/>
    <s v="ATENDE"/>
    <s v="C4"/>
    <s v="P6"/>
    <n v="0.46666666666666679"/>
    <n v="4.4000000000000004"/>
    <n v="2.04"/>
    <n v="3"/>
    <n v="0.6"/>
    <s v="ATENDE"/>
    <s v="ATENDE"/>
    <s v="ATENDE"/>
    <s v="P6"/>
    <n v="1.7266666666666666"/>
    <n v="8.18"/>
    <n v="2.6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m/>
    <m/>
    <m/>
    <m/>
    <m/>
    <m/>
    <m/>
    <m/>
    <n v="30"/>
    <n v="70"/>
    <n v="100"/>
    <n v="0.5714285714285714"/>
    <m/>
    <m/>
    <s v="Sim"/>
    <m/>
  </r>
  <r>
    <n v="228"/>
    <s v="VP"/>
    <s v="Rua Santa Fe, 4935"/>
    <n v="-30.01585824"/>
    <n v="-50.147064159999999"/>
    <x v="2"/>
    <s v="-"/>
    <x v="1"/>
    <s v="LED"/>
    <n v="50"/>
    <n v="0"/>
    <n v="0"/>
    <n v="140"/>
    <n v="2"/>
    <n v="0"/>
    <n v="7.5"/>
    <m/>
    <m/>
    <n v="0"/>
    <n v="3"/>
    <n v="8"/>
    <n v="0"/>
    <n v="0"/>
    <n v="0"/>
    <n v="0"/>
    <s v="Canteiro central"/>
    <s v="Braço"/>
    <n v="24.5"/>
    <n v="7.5"/>
    <n v="1"/>
    <n v="4"/>
    <n v="2.5"/>
    <n v="-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100000000000002"/>
    <n v="1.6111111111111112"/>
    <s v="-"/>
    <n v="11.51"/>
    <n v="0.47"/>
    <m/>
    <m/>
    <m/>
    <m/>
    <s v="ATENDE"/>
    <s v="ATENDE"/>
    <s v="ATENDE"/>
    <s v="ATENDE"/>
    <s v="C4"/>
    <s v="-"/>
    <e v="#VALUE!"/>
    <s v=" -"/>
    <s v=" -"/>
    <s v="-"/>
    <s v="-"/>
    <s v="-"/>
    <s v="-"/>
    <s v="-"/>
    <s v="-"/>
    <e v="#VALUE!"/>
    <n v="3.32"/>
    <n v="1.76"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Médio II"/>
    <m/>
    <s v=""/>
    <s v=""/>
    <m/>
    <m/>
    <m/>
    <m/>
    <m/>
    <m/>
    <n v="30"/>
    <n v="70"/>
    <n v="100"/>
    <n v="0.5714285714285714"/>
    <m/>
    <m/>
    <s v="Sim"/>
    <m/>
  </r>
  <r>
    <n v="228"/>
    <s v="VP"/>
    <s v="Rua Santa Fe, 4935"/>
    <n v="-30.01585824"/>
    <n v="-50.147064159999999"/>
    <x v="2"/>
    <s v="-"/>
    <x v="1"/>
    <s v="LED"/>
    <n v="50"/>
    <n v="0"/>
    <n v="0"/>
    <n v="140"/>
    <n v="2"/>
    <n v="0"/>
    <n v="7.5"/>
    <m/>
    <m/>
    <n v="0"/>
    <n v="3"/>
    <n v="8"/>
    <n v="0"/>
    <n v="0"/>
    <n v="0"/>
    <n v="0"/>
    <s v="Canteiro central"/>
    <s v="Braço"/>
    <n v="24.5"/>
    <n v="7.5"/>
    <n v="1"/>
    <n v="4"/>
    <n v="2.5"/>
    <n v="-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3"/>
    <n v="2.2222222222222223"/>
    <s v="-"/>
    <n v="10.06"/>
    <n v="0.57999999999999996"/>
    <m/>
    <m/>
    <m/>
    <m/>
    <s v="ATENDE"/>
    <s v="ATENDE"/>
    <s v="ATENDE"/>
    <s v="ATENDE"/>
    <s v="C4"/>
    <s v="-"/>
    <e v="#VALUE!"/>
    <s v=" -"/>
    <s v=" -"/>
    <s v="-"/>
    <s v="-"/>
    <s v="-"/>
    <s v="-"/>
    <s v="-"/>
    <s v="-"/>
    <e v="#VALUE!"/>
    <n v="3.79"/>
    <n v="2.2999999999999998"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n v="7"/>
    <s v="Médio II"/>
    <m/>
    <s v=""/>
    <s v=""/>
    <m/>
    <m/>
    <m/>
    <m/>
    <m/>
    <m/>
    <n v="30"/>
    <n v="70"/>
    <n v="100"/>
    <n v="0.5714285714285714"/>
    <m/>
    <m/>
    <s v="Sim"/>
    <m/>
  </r>
  <r>
    <n v="228"/>
    <s v="VP"/>
    <s v="Rua Santa Fe, 4935"/>
    <n v="-30.01585824"/>
    <n v="-50.147064159999999"/>
    <x v="2"/>
    <s v="-"/>
    <x v="1"/>
    <s v="LED"/>
    <n v="50"/>
    <n v="0"/>
    <n v="0"/>
    <n v="140"/>
    <n v="2"/>
    <n v="0"/>
    <n v="7.5"/>
    <m/>
    <m/>
    <n v="0"/>
    <n v="3"/>
    <n v="8"/>
    <n v="0"/>
    <n v="0"/>
    <n v="0"/>
    <n v="0"/>
    <s v="Canteiro central"/>
    <s v="Braço"/>
    <n v="24.5"/>
    <n v="7.5"/>
    <n v="1"/>
    <n v="4"/>
    <n v="2.5"/>
    <n v="-1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000000000000016E-2"/>
    <n v="2.1666666666666665"/>
    <s v="-"/>
    <n v="10.18"/>
    <n v="0.56999999999999995"/>
    <m/>
    <m/>
    <m/>
    <m/>
    <s v="ATENDE"/>
    <s v="ATENDE"/>
    <s v="ATENDE"/>
    <s v="ATENDE"/>
    <s v="C4"/>
    <s v="-"/>
    <e v="#VALUE!"/>
    <s v=" -"/>
    <s v=" -"/>
    <s v="-"/>
    <s v="-"/>
    <s v="-"/>
    <s v="-"/>
    <s v="-"/>
    <s v="-"/>
    <e v="#VALUE!"/>
    <n v="3.97"/>
    <n v="3.06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n v="10"/>
    <s v="Médio II"/>
    <m/>
    <s v=""/>
    <s v=""/>
    <m/>
    <m/>
    <m/>
    <m/>
    <m/>
    <m/>
    <n v="30"/>
    <n v="70"/>
    <n v="100"/>
    <n v="0.5714285714285714"/>
    <m/>
    <m/>
    <s v="Sim"/>
    <m/>
  </r>
  <r>
    <n v="229"/>
    <s v="PVP"/>
    <s v="Rua Parma, 403"/>
    <n v="-30.02394688"/>
    <n v="-50.146596359999997"/>
    <x v="2"/>
    <s v="-"/>
    <x v="1"/>
    <s v="Vapor de sódio"/>
    <n v="150"/>
    <n v="22"/>
    <n v="0"/>
    <n v="140"/>
    <n v="2"/>
    <n v="2.5"/>
    <n v="7"/>
    <m/>
    <m/>
    <n v="0"/>
    <n v="2.5"/>
    <n v="0"/>
    <n v="0"/>
    <n v="0"/>
    <n v="0"/>
    <n v="0"/>
    <s v="Unilateral"/>
    <s v="Braço"/>
    <n v="35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099999999999998"/>
    <n v="1.4444444444444446"/>
    <s v="-"/>
    <n v="11.01"/>
    <n v="0.44"/>
    <m/>
    <m/>
    <m/>
    <m/>
    <s v="ATENDE"/>
    <s v="ATENDE"/>
    <s v="ATENDE"/>
    <s v="ATENDE"/>
    <s v="C4"/>
    <s v="-"/>
    <e v="#VALUE!"/>
    <n v="7.49"/>
    <n v="3.9"/>
    <s v="-"/>
    <s v="-"/>
    <s v="-"/>
    <s v="-"/>
    <s v="-"/>
    <s v="-"/>
    <e v="#VALUE!"/>
    <n v="9.3699999999999992"/>
    <n v="3.94"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29"/>
    <s v="PVP"/>
    <s v="Rua Parma, 403"/>
    <n v="-30.02394688"/>
    <n v="-50.146596359999997"/>
    <x v="2"/>
    <s v="-"/>
    <x v="1"/>
    <s v="Vapor de sódio"/>
    <n v="150"/>
    <n v="22"/>
    <n v="0"/>
    <n v="140"/>
    <n v="2"/>
    <n v="2.5"/>
    <n v="7"/>
    <m/>
    <m/>
    <n v="0"/>
    <n v="2.5"/>
    <n v="0"/>
    <n v="0"/>
    <n v="0"/>
    <n v="0"/>
    <n v="0"/>
    <s v="Unilateral"/>
    <s v="Braço"/>
    <n v="35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75"/>
    <n v="1.7222222222222223"/>
    <s v="-"/>
    <n v="13.75"/>
    <n v="0.49"/>
    <m/>
    <m/>
    <m/>
    <m/>
    <s v="ATENDE"/>
    <s v="ATENDE"/>
    <s v="ATENDE"/>
    <s v="ATENDE"/>
    <s v="C4"/>
    <s v="-"/>
    <e v="#VALUE!"/>
    <n v="8.59"/>
    <n v="6.25"/>
    <s v="-"/>
    <s v="-"/>
    <s v="-"/>
    <s v="-"/>
    <s v="-"/>
    <s v="-"/>
    <e v="#VALUE!"/>
    <n v="11.09"/>
    <n v="3.97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29"/>
    <s v="PVP"/>
    <s v="Rua Parma, 403"/>
    <n v="-30.02394688"/>
    <n v="-50.146596359999997"/>
    <x v="2"/>
    <s v="-"/>
    <x v="1"/>
    <s v="Vapor de sódio"/>
    <n v="150"/>
    <n v="22"/>
    <n v="0"/>
    <n v="140"/>
    <n v="2"/>
    <n v="2.5"/>
    <n v="7"/>
    <m/>
    <m/>
    <n v="0"/>
    <n v="2.5"/>
    <n v="0"/>
    <n v="0"/>
    <n v="0"/>
    <n v="0"/>
    <n v="0"/>
    <s v="Unilateral"/>
    <s v="Braço"/>
    <n v="35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800000000000006E-2"/>
    <n v="1.4444444444444446"/>
    <s v="-"/>
    <n v="10.68"/>
    <n v="0.44"/>
    <m/>
    <m/>
    <m/>
    <m/>
    <s v="ATENDE"/>
    <s v="ATENDE"/>
    <s v="ATENDE"/>
    <s v="ATENDE"/>
    <s v="C4"/>
    <s v="-"/>
    <e v="#VALUE!"/>
    <n v="4.78"/>
    <n v="2.56"/>
    <s v="-"/>
    <s v="-"/>
    <s v="-"/>
    <s v="-"/>
    <s v="-"/>
    <s v="-"/>
    <e v="#VALUE!"/>
    <n v="8.4499999999999993"/>
    <n v="3.5"/>
    <s v="-"/>
    <s v="-"/>
    <s v="-"/>
    <s v="-"/>
    <s v="-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0"/>
    <s v="PVP"/>
    <s v="Rua Veneza, 1125"/>
    <n v="-30.024339479999998"/>
    <n v="-50.14940223"/>
    <x v="2"/>
    <s v="-"/>
    <x v="1"/>
    <s v="LED"/>
    <n v="50"/>
    <n v="0"/>
    <n v="0"/>
    <n v="140"/>
    <n v="2"/>
    <n v="3"/>
    <n v="7"/>
    <m/>
    <m/>
    <n v="0"/>
    <n v="4"/>
    <n v="0"/>
    <n v="0"/>
    <n v="0"/>
    <n v="0"/>
    <n v="0"/>
    <s v="Unilateral"/>
    <s v="Braço"/>
    <n v="39.15"/>
    <n v="6.8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200000000000012"/>
    <n v="0.5555555555555558"/>
    <s v="-"/>
    <n v="11.32"/>
    <n v="0.28000000000000003"/>
    <m/>
    <m/>
    <m/>
    <m/>
    <s v="ATENDE"/>
    <s v="ATENDE"/>
    <s v="ATENDE"/>
    <s v="ATENDE"/>
    <s v="C4"/>
    <s v="P6"/>
    <n v="0.7699999999999998"/>
    <n v="5.31"/>
    <n v="1.883"/>
    <n v="3"/>
    <n v="0.6"/>
    <s v="ATENDE"/>
    <s v="ATENDE"/>
    <s v="ATENDE"/>
    <s v="P6"/>
    <n v="2.0533333333333332"/>
    <n v="9.16"/>
    <n v="2.21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0"/>
    <s v="PVP"/>
    <s v="Rua Veneza, 1125"/>
    <n v="-30.024339479999998"/>
    <n v="-50.14940223"/>
    <x v="2"/>
    <s v="-"/>
    <x v="1"/>
    <s v="LED"/>
    <n v="50"/>
    <n v="0"/>
    <n v="0"/>
    <n v="140"/>
    <n v="2"/>
    <n v="3"/>
    <n v="7"/>
    <m/>
    <m/>
    <n v="0"/>
    <n v="4"/>
    <n v="0"/>
    <n v="0"/>
    <n v="0"/>
    <n v="0"/>
    <n v="0"/>
    <s v="Unilateral"/>
    <s v="Braço"/>
    <n v="39.15"/>
    <n v="6.8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299999999999997"/>
    <n v="0.44444444444444464"/>
    <s v="-"/>
    <n v="13.43"/>
    <n v="0.26"/>
    <m/>
    <m/>
    <m/>
    <m/>
    <s v="ATENDE"/>
    <s v="ATENDE"/>
    <s v="ATENDE"/>
    <s v="ATENDE"/>
    <s v="C4"/>
    <s v="P6"/>
    <n v="0.88333333333333353"/>
    <n v="5.65"/>
    <n v="2.39"/>
    <n v="3"/>
    <n v="0.6"/>
    <s v="ATENDE"/>
    <s v="ATENDE"/>
    <s v="ATENDE"/>
    <s v="P6"/>
    <n v="2.3966666666666665"/>
    <n v="10.19"/>
    <n v="1.24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0"/>
    <s v="PVP"/>
    <s v="Rua Veneza, 1125"/>
    <n v="-30.024339479999998"/>
    <n v="-50.14940223"/>
    <x v="2"/>
    <s v="-"/>
    <x v="1"/>
    <s v="LED"/>
    <n v="50"/>
    <n v="0"/>
    <n v="0"/>
    <n v="140"/>
    <n v="2"/>
    <n v="3"/>
    <n v="7"/>
    <m/>
    <m/>
    <n v="0"/>
    <n v="4"/>
    <n v="0"/>
    <n v="0"/>
    <n v="0"/>
    <n v="0"/>
    <n v="0"/>
    <s v="Unilateral"/>
    <s v="Braço"/>
    <n v="39.15"/>
    <n v="6.8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000000000000021E-2"/>
    <n v="0"/>
    <s v="-"/>
    <n v="10.24"/>
    <n v="0.18"/>
    <m/>
    <m/>
    <m/>
    <m/>
    <s v="ATENDE"/>
    <s v="ATENDE"/>
    <s v="ATENDE"/>
    <s v="ATENDE"/>
    <s v="C4"/>
    <s v="P6"/>
    <n v="0.13000000000000012"/>
    <n v="3.39"/>
    <n v="0.99"/>
    <n v="3"/>
    <n v="0.6"/>
    <s v="ATENDE"/>
    <s v="ATENDE"/>
    <s v="ATENDE"/>
    <s v="P6"/>
    <n v="1.4366666666666665"/>
    <n v="7.31"/>
    <n v="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n v="3"/>
    <s v="Curto II"/>
    <m/>
    <s v=""/>
    <s v=""/>
    <m/>
    <m/>
    <m/>
    <m/>
    <m/>
    <m/>
    <n v="21"/>
    <n v="70"/>
    <n v="91"/>
    <n v="0.7"/>
    <m/>
    <m/>
    <s v="Sim"/>
    <m/>
  </r>
  <r>
    <n v="231"/>
    <s v="PVP"/>
    <s v="Rua Reboucas, 2304"/>
    <n v="-30.014451449999999"/>
    <n v="-50.153023930000003"/>
    <x v="2"/>
    <s v="-"/>
    <x v="1"/>
    <s v="LED"/>
    <n v="50"/>
    <n v="0"/>
    <n v="0"/>
    <n v="140"/>
    <n v="2"/>
    <n v="2"/>
    <n v="7"/>
    <m/>
    <m/>
    <n v="0"/>
    <n v="3"/>
    <n v="0"/>
    <n v="0"/>
    <n v="0"/>
    <n v="0"/>
    <n v="0"/>
    <s v="Unilateral"/>
    <s v="Braço"/>
    <n v="33.6"/>
    <n v="6.8"/>
    <n v="1"/>
    <n v="0.8"/>
    <n v="1.3"/>
    <n v="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699999999999998"/>
    <n v="1.1111111111111112"/>
    <s v="-"/>
    <n v="11.07"/>
    <n v="0.38"/>
    <m/>
    <m/>
    <m/>
    <m/>
    <s v="ATENDE"/>
    <s v="ATENDE"/>
    <s v="ATENDE"/>
    <s v="ATENDE"/>
    <s v="C4"/>
    <s v="P6"/>
    <n v="0.84999999999999987"/>
    <n v="5.55"/>
    <n v="2.68"/>
    <n v="3"/>
    <n v="0.6"/>
    <s v="ATENDE"/>
    <s v="ATENDE"/>
    <s v="ATENDE"/>
    <s v="-"/>
    <e v="#VALUE!"/>
    <n v="10.51"/>
    <n v="3.6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21"/>
    <n v="70"/>
    <n v="91"/>
    <n v="0.7"/>
    <m/>
    <m/>
    <s v="Sim"/>
    <m/>
  </r>
  <r>
    <n v="231"/>
    <s v="PVP"/>
    <s v="Rua Reboucas, 2304"/>
    <n v="-30.014451449999999"/>
    <n v="-50.153023930000003"/>
    <x v="2"/>
    <s v="-"/>
    <x v="1"/>
    <s v="LED"/>
    <n v="50"/>
    <n v="0"/>
    <n v="0"/>
    <n v="140"/>
    <n v="2"/>
    <n v="2"/>
    <n v="7"/>
    <m/>
    <m/>
    <n v="0"/>
    <n v="3"/>
    <n v="0"/>
    <n v="0"/>
    <n v="0"/>
    <n v="0"/>
    <n v="0"/>
    <s v="Unilateral"/>
    <s v="Braço"/>
    <n v="33.6"/>
    <n v="6.8"/>
    <n v="1"/>
    <n v="0.8"/>
    <n v="1.3"/>
    <n v="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1.8888888888888893"/>
    <s v="-"/>
    <n v="10.51"/>
    <n v="0.52"/>
    <m/>
    <m/>
    <m/>
    <m/>
    <s v="ATENDE"/>
    <s v="ATENDE"/>
    <s v="ATENDE"/>
    <s v="ATENDE"/>
    <s v="C4"/>
    <s v="P6"/>
    <n v="0.38666666666666671"/>
    <n v="4.16"/>
    <n v="1.98"/>
    <n v="3"/>
    <n v="0.6"/>
    <s v="ATENDE"/>
    <s v="ATENDE"/>
    <s v="ATENDE"/>
    <s v="-"/>
    <e v="#VALUE!"/>
    <n v="10.08"/>
    <n v="3.73"/>
    <s v="-"/>
    <s v="-"/>
    <s v="-"/>
    <s v="-"/>
    <s v="-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21"/>
    <n v="70"/>
    <n v="91"/>
    <n v="0.7"/>
    <m/>
    <m/>
    <s v="Sim"/>
    <m/>
  </r>
  <r>
    <n v="231"/>
    <s v="PVP"/>
    <s v="Rua Reboucas, 2304"/>
    <n v="-30.014451449999999"/>
    <n v="-50.153023930000003"/>
    <x v="2"/>
    <s v="-"/>
    <x v="1"/>
    <s v="LED"/>
    <n v="50"/>
    <n v="0"/>
    <n v="0"/>
    <n v="140"/>
    <n v="2"/>
    <n v="2"/>
    <n v="7"/>
    <m/>
    <m/>
    <n v="0"/>
    <n v="3"/>
    <n v="0"/>
    <n v="0"/>
    <n v="0"/>
    <n v="0"/>
    <n v="0"/>
    <s v="Unilateral"/>
    <s v="Braço"/>
    <n v="33.6"/>
    <n v="6.8"/>
    <n v="1"/>
    <n v="0.8"/>
    <n v="1.3"/>
    <n v="0.5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799999999999993"/>
    <n v="0.94444444444444442"/>
    <s v="-"/>
    <n v="11.68"/>
    <n v="0.35"/>
    <m/>
    <m/>
    <m/>
    <m/>
    <s v="ATENDE"/>
    <s v="ATENDE"/>
    <s v="ATENDE"/>
    <s v="ATENDE"/>
    <s v="C4"/>
    <s v="P6"/>
    <n v="0.14666666666666672"/>
    <n v="3.44"/>
    <n v="1.31"/>
    <n v="3"/>
    <n v="0.6"/>
    <s v="ATENDE"/>
    <s v="ATENDE"/>
    <s v="ATENDE"/>
    <s v="-"/>
    <e v="#VALUE!"/>
    <n v="10.86"/>
    <n v="3.87"/>
    <s v="-"/>
    <s v="-"/>
    <s v="-"/>
    <s v="-"/>
    <s v="-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21"/>
    <n v="70"/>
    <n v="91"/>
    <n v="0.7"/>
    <m/>
    <m/>
    <s v="Sim"/>
    <m/>
  </r>
  <r>
    <n v="232"/>
    <s v="PVP"/>
    <s v="Rua Milan, 483"/>
    <n v="-30.023196630000001"/>
    <n v="-50.144967289999997"/>
    <x v="2"/>
    <s v="-"/>
    <x v="1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42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299999999999988"/>
    <n v="0.44444444444444464"/>
    <s v="-"/>
    <n v="12.43"/>
    <n v="0.26"/>
    <m/>
    <m/>
    <m/>
    <m/>
    <s v="ATENDE"/>
    <s v="ATENDE"/>
    <s v="ATENDE"/>
    <s v="ATENDE"/>
    <s v="C4"/>
    <s v="-"/>
    <e v="#VALUE!"/>
    <n v="7.13"/>
    <n v="1.96"/>
    <s v="-"/>
    <s v="-"/>
    <s v="-"/>
    <s v="-"/>
    <s v="-"/>
    <s v="-"/>
    <e v="#VALUE!"/>
    <n v="10.65"/>
    <n v="3.63"/>
    <s v="-"/>
    <s v="-"/>
    <s v="-"/>
    <s v="-"/>
    <s v="-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2"/>
    <s v="PVP"/>
    <s v="Rua Milan, 483"/>
    <n v="-30.023196630000001"/>
    <n v="-50.144967289999997"/>
    <x v="2"/>
    <s v="-"/>
    <x v="1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42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50000000000000022"/>
    <s v="-"/>
    <n v="11.14"/>
    <n v="0.27"/>
    <m/>
    <m/>
    <m/>
    <m/>
    <s v="ATENDE"/>
    <s v="ATENDE"/>
    <s v="ATENDE"/>
    <s v="ATENDE"/>
    <s v="C4"/>
    <s v="-"/>
    <e v="#VALUE!"/>
    <n v="6.47"/>
    <n v="3.1"/>
    <s v="-"/>
    <s v="-"/>
    <s v="-"/>
    <s v="-"/>
    <s v="-"/>
    <s v="-"/>
    <e v="#VALUE!"/>
    <n v="9.84"/>
    <n v="1.36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2"/>
    <s v="PVP"/>
    <s v="Rua Milan, 483"/>
    <n v="-30.023196630000001"/>
    <n v="-50.144967289999997"/>
    <x v="2"/>
    <s v="-"/>
    <x v="1"/>
    <s v="Vapor de sódio"/>
    <n v="100"/>
    <n v="17"/>
    <n v="0"/>
    <n v="140"/>
    <n v="2"/>
    <n v="2.5"/>
    <n v="7"/>
    <m/>
    <m/>
    <n v="0"/>
    <n v="2.5"/>
    <n v="0"/>
    <n v="0"/>
    <n v="0"/>
    <n v="0"/>
    <n v="0"/>
    <s v="Unilateral"/>
    <s v="Braço"/>
    <n v="42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4000000000000012E-2"/>
    <n v="0"/>
    <s v="-"/>
    <n v="10.14"/>
    <n v="0.18"/>
    <m/>
    <m/>
    <m/>
    <m/>
    <s v="ATENDE"/>
    <s v="ATENDE"/>
    <s v="ATENDE"/>
    <s v="ATENDE"/>
    <s v="C4"/>
    <s v="-"/>
    <e v="#VALUE!"/>
    <n v="4.68"/>
    <n v="1.64"/>
    <s v="-"/>
    <s v="-"/>
    <s v="-"/>
    <s v="-"/>
    <s v="-"/>
    <s v="-"/>
    <e v="#VALUE!"/>
    <n v="8.44"/>
    <n v="1.18"/>
    <s v="-"/>
    <s v="-"/>
    <s v="-"/>
    <s v="-"/>
    <s v="-"/>
    <x v="2"/>
    <s v="SIGSAGPTLRRSSNDL_50W_61IBBRS_x000a_"/>
    <s v="SIGSAGPTLRRSSNDL_50W_61IBBRS_x000a_1-10C1MUN6.5"/>
    <m/>
    <e v="#N/A"/>
    <n v="1"/>
    <n v="50"/>
    <n v="0"/>
    <n v="8163"/>
    <n v="0"/>
    <n v="0"/>
    <n v="5"/>
    <s v="Curto II"/>
    <m/>
    <s v=""/>
    <s v=""/>
    <m/>
    <m/>
    <m/>
    <m/>
    <m/>
    <m/>
    <n v="30"/>
    <n v="70"/>
    <n v="100"/>
    <n v="0.5714285714285714"/>
    <m/>
    <m/>
    <s v="Sim"/>
    <m/>
  </r>
  <r>
    <n v="233"/>
    <s v="VP"/>
    <s v="Rua Andrade Neves, 377"/>
    <n v="-30.019017819999998"/>
    <n v="-50.142108790000002"/>
    <x v="2"/>
    <s v="-"/>
    <x v="1"/>
    <s v="Vapor de sódio"/>
    <n v="150"/>
    <n v="22"/>
    <n v="0"/>
    <n v="140"/>
    <n v="2"/>
    <n v="0"/>
    <n v="7"/>
    <m/>
    <m/>
    <n v="0"/>
    <n v="4"/>
    <n v="0"/>
    <n v="0"/>
    <n v="0"/>
    <n v="0"/>
    <n v="0"/>
    <s v="Unilateral"/>
    <s v="Braço"/>
    <n v="36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999999999999975E-2"/>
    <n v="1.0555555555555558"/>
    <s v="-"/>
    <n v="10.97"/>
    <n v="0.37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83999999999999986"/>
    <n v="5.52"/>
    <n v="2.4700000000000002"/>
    <n v="3"/>
    <n v="0.6"/>
    <s v="ATENDE"/>
    <s v="ATENDE"/>
    <s v="ATENDE"/>
    <x v="0"/>
    <s v=" SL VT 9.1 52W"/>
    <s v="LUM LED SL VT 9.1 52W"/>
    <m/>
    <n v="0"/>
    <n v="1"/>
    <n v="52"/>
    <n v="0"/>
    <n v="8960.18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3"/>
    <s v="VP"/>
    <s v="Rua Andrade Neves, 377"/>
    <n v="-30.019017819999998"/>
    <n v="-50.142108790000002"/>
    <x v="2"/>
    <s v="-"/>
    <x v="1"/>
    <s v="Vapor de sódio"/>
    <n v="150"/>
    <n v="22"/>
    <n v="0"/>
    <n v="140"/>
    <n v="2"/>
    <n v="0"/>
    <n v="7"/>
    <m/>
    <m/>
    <n v="0"/>
    <n v="4"/>
    <n v="0"/>
    <n v="0"/>
    <n v="0"/>
    <n v="0"/>
    <n v="0"/>
    <s v="Unilateral"/>
    <s v="Braço"/>
    <n v="36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099999999999993"/>
    <n v="1.5555555555555558"/>
    <s v="-"/>
    <n v="13.01"/>
    <n v="0.46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1"/>
    <n v="6"/>
    <n v="3.2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3"/>
    <s v="VP"/>
    <s v="Rua Andrade Neves, 377"/>
    <n v="-30.019017819999998"/>
    <n v="-50.142108790000002"/>
    <x v="2"/>
    <s v="-"/>
    <x v="1"/>
    <s v="Vapor de sódio"/>
    <n v="150"/>
    <n v="22"/>
    <n v="0"/>
    <n v="140"/>
    <n v="2"/>
    <n v="0"/>
    <n v="7"/>
    <m/>
    <m/>
    <n v="0"/>
    <n v="4"/>
    <n v="0"/>
    <n v="0"/>
    <n v="0"/>
    <n v="0"/>
    <n v="0"/>
    <s v="Unilateral"/>
    <s v="Braço"/>
    <n v="36.799999999999997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100000000000003"/>
    <n v="1.2777777777777777"/>
    <s v="-"/>
    <n v="11.61"/>
    <n v="0.41"/>
    <m/>
    <m/>
    <m/>
    <m/>
    <s v="ATENDE"/>
    <s v="ATENDE"/>
    <s v="ATENDE"/>
    <s v="ATENDE"/>
    <s v="C4"/>
    <s v="P6"/>
    <e v="#VALUE!"/>
    <s v=" -"/>
    <s v=" -"/>
    <n v="3"/>
    <n v="0.6"/>
    <s v="ATENDE"/>
    <s v="ATENDE"/>
    <s v="ATENDE"/>
    <s v="P6"/>
    <n v="0.72"/>
    <n v="5.16"/>
    <n v="3.11"/>
    <n v="3"/>
    <n v="0.6"/>
    <s v="ATENDE"/>
    <s v="ATENDE"/>
    <s v="ATENDE"/>
    <x v="2"/>
    <s v="SIGSAGPTLRRSSNDL_50W_61IBBRS_x000a_"/>
    <s v="SIGSAGPTLRRSSNDL_50W_61IBBRS_x000a_1-10C1MUN6.5"/>
    <m/>
    <n v="0"/>
    <n v="1"/>
    <n v="50"/>
    <e v="#N/A"/>
    <n v="8163"/>
    <n v="0"/>
    <n v="0"/>
    <n v="10"/>
    <s v="Curto II"/>
    <m/>
    <s v=""/>
    <s v=""/>
    <m/>
    <m/>
    <m/>
    <m/>
    <m/>
    <m/>
    <n v="30"/>
    <n v="70"/>
    <n v="100"/>
    <n v="0.5714285714285714"/>
    <m/>
    <m/>
    <s v="Sim"/>
    <m/>
  </r>
  <r>
    <n v="234"/>
    <s v="V"/>
    <s v="Avenida Senador Alberto Pasqualini, 158"/>
    <n v="-30.00798498"/>
    <n v="-50.15511686"/>
    <x v="0"/>
    <s v="-"/>
    <x v="2"/>
    <s v="LED"/>
    <n v="50"/>
    <n v="0"/>
    <n v="0"/>
    <n v="140"/>
    <n v="2"/>
    <n v="0"/>
    <n v="7"/>
    <m/>
    <m/>
    <n v="0"/>
    <n v="0"/>
    <n v="20"/>
    <n v="0"/>
    <n v="0"/>
    <n v="0"/>
    <n v="0"/>
    <s v="Unilateral"/>
    <s v="Braço"/>
    <n v="44.09"/>
    <n v="8.6999999999999993"/>
    <n v="1"/>
    <n v="1.5"/>
    <n v="1.3"/>
    <n v="-0.19999999999999996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9.2666666666666675E-2"/>
    <n v="2.6315789473684292E-2"/>
    <s v="-"/>
    <n v="32.78"/>
    <n v="0.3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s v=" -"/>
    <s v=" -"/>
    <s v="-"/>
    <s v="-"/>
    <s v="-"/>
    <s v="-"/>
    <s v="-"/>
    <x v="0"/>
    <s v=" SL VT 9.3 200W"/>
    <s v="LUM LED SL VT 9.3 200W"/>
    <m/>
    <e v="#N/A"/>
    <n v="1"/>
    <n v="200"/>
    <e v="#N/A"/>
    <n v="32740.2"/>
    <n v="0"/>
    <n v="0"/>
    <m/>
    <s v="Curto II"/>
    <m/>
    <s v=""/>
    <s v=""/>
    <m/>
    <m/>
    <m/>
    <m/>
    <m/>
    <m/>
    <n v="30"/>
    <n v="70"/>
    <n v="100"/>
    <n v="0.5714285714285714"/>
    <m/>
    <m/>
    <s v="Sim"/>
    <m/>
  </r>
  <r>
    <n v="234"/>
    <s v="V"/>
    <s v="Avenida Senador Alberto Pasqualini, 158"/>
    <n v="-30.00798498"/>
    <n v="-50.15511686"/>
    <x v="0"/>
    <s v="-"/>
    <x v="2"/>
    <s v="LED"/>
    <n v="50"/>
    <n v="0"/>
    <n v="0"/>
    <n v="140"/>
    <n v="2"/>
    <n v="0"/>
    <n v="7"/>
    <m/>
    <m/>
    <n v="0"/>
    <n v="0"/>
    <n v="20"/>
    <n v="0"/>
    <n v="0"/>
    <n v="0"/>
    <n v="0"/>
    <s v="Unilateral"/>
    <s v="Braço"/>
    <n v="44.09"/>
    <n v="8.6999999999999993"/>
    <n v="1"/>
    <n v="1.5"/>
    <n v="1.3"/>
    <n v="-0.19999999999999996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3.3666666666666734E-2"/>
    <n v="-2.6315789473684181E-2"/>
    <s v="-"/>
    <n v="31.01"/>
    <n v="0.37"/>
    <m/>
    <m/>
    <m/>
    <m/>
    <s v="ATENDE"/>
    <s v="ATENDE"/>
    <s v="ATENDIMENTO LIMIAR"/>
    <s v="ATENDE"/>
    <s v="C1"/>
    <s v="-"/>
    <e v="#VALUE!"/>
    <s v=" -"/>
    <s v=" -"/>
    <s v="-"/>
    <s v="-"/>
    <s v="-"/>
    <s v="-"/>
    <s v="-"/>
    <s v="-"/>
    <e v="#VALUE!"/>
    <s v=" -"/>
    <s v=" -"/>
    <s v="-"/>
    <s v="-"/>
    <s v="-"/>
    <s v="-"/>
    <s v="-"/>
    <x v="1"/>
    <s v="SX-INLPP090HF"/>
    <s v="SXINLPP090K40L12CZF7PHF"/>
    <m/>
    <e v="#N/A"/>
    <n v="1"/>
    <n v="90"/>
    <e v="#N/A"/>
    <n v="15476"/>
    <n v="0"/>
    <n v="0"/>
    <n v="10"/>
    <s v="Curto II"/>
    <s v="Médio I"/>
    <n v="1.8"/>
    <n v="7"/>
    <s v="ABS-L2"/>
    <m/>
    <n v="2"/>
    <s v="Adição de braço segundo nível (Leve II) + 1 Luminária SX de 79W com ângulo de 10º"/>
    <m/>
    <m/>
    <n v="30"/>
    <n v="70"/>
    <n v="100"/>
    <n v="0.5714285714285714"/>
    <m/>
    <m/>
    <s v="Sim"/>
    <m/>
  </r>
  <r>
    <n v="234"/>
    <s v="V"/>
    <s v="Avenida Senador Alberto Pasqualini, 158"/>
    <n v="-30.00798498"/>
    <n v="-50.15511686"/>
    <x v="0"/>
    <s v="-"/>
    <x v="2"/>
    <s v="LED"/>
    <n v="50"/>
    <n v="0"/>
    <n v="0"/>
    <n v="140"/>
    <n v="2"/>
    <n v="0"/>
    <n v="7"/>
    <m/>
    <m/>
    <n v="0"/>
    <n v="0"/>
    <n v="20"/>
    <n v="0"/>
    <n v="0"/>
    <n v="0"/>
    <n v="0"/>
    <s v="Unilateral"/>
    <s v="Braço"/>
    <n v="44.09"/>
    <n v="8.6999999999999993"/>
    <n v="1"/>
    <n v="1.5"/>
    <n v="1.3"/>
    <n v="-0.19999999999999996"/>
    <s v="-"/>
    <s v="-"/>
    <s v="Não"/>
    <n v="2"/>
    <n v="0"/>
    <n v="0"/>
    <n v="0"/>
    <n v="0"/>
    <n v="0"/>
    <s v="-"/>
    <n v="0"/>
    <m/>
    <n v="30"/>
    <n v="0.38"/>
    <s v="-"/>
    <n v="0.38"/>
    <s v="-"/>
    <n v="14"/>
    <s v="ATENDE"/>
    <n v="5.4333333333333345E-2"/>
    <n v="0.8157894736842104"/>
    <s v="-"/>
    <n v="31.63"/>
    <n v="0.69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-"/>
    <e v="#VALUE!"/>
    <s v=" -"/>
    <s v=" -"/>
    <s v="-"/>
    <s v="-"/>
    <s v="-"/>
    <s v="-"/>
    <s v="-"/>
    <x v="2"/>
    <s v="SIGSAGPTLRRSSNDL100W125IBBRS_x000a_"/>
    <s v="SIGSAGPTLRRSSNDL100W125IBBRS_x000a_1-10C1MUN6.5"/>
    <m/>
    <e v="#N/A"/>
    <n v="1"/>
    <n v="100"/>
    <n v="0"/>
    <n v="15162"/>
    <n v="0"/>
    <n v="0"/>
    <m/>
    <s v="Curto II"/>
    <m/>
    <m/>
    <m/>
    <s v="APEA"/>
    <n v="1"/>
    <m/>
    <s v="Redução do distanciamento entre postes de 44.40 para 22.40"/>
    <m/>
    <m/>
    <n v="30"/>
    <n v="70"/>
    <n v="100"/>
    <n v="0.5714285714285714"/>
    <m/>
    <m/>
    <s v="Sim"/>
    <m/>
  </r>
  <r>
    <n v="235"/>
    <s v="PVP"/>
    <s v="Rua Mario Totta, 635"/>
    <n v="-30.012355840000001"/>
    <n v="-50.158128720000001"/>
    <x v="1"/>
    <s v="-"/>
    <x v="3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2.9"/>
    <n v="7.9"/>
    <n v="1"/>
    <n v="0.3"/>
    <n v="2.8"/>
    <n v="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1199999999999988"/>
    <n v="1.3888888888888888"/>
    <s v="-"/>
    <n v="12.09"/>
    <n v="0.43"/>
    <m/>
    <m/>
    <m/>
    <m/>
    <s v="ATENDE"/>
    <s v="ATENDE"/>
    <s v="ATENDE"/>
    <s v="ATENDE"/>
    <s v="C5"/>
    <s v="P4"/>
    <n v="9.3333333333334156E-3"/>
    <n v="7.57"/>
    <n v="4.26"/>
    <n v="7.5"/>
    <n v="1.5"/>
    <s v="ATENDE"/>
    <s v="ATENDE"/>
    <s v="ATENDE"/>
    <s v="P4"/>
    <n v="1.8666666666666609E-2"/>
    <n v="7.64"/>
    <n v="3.88"/>
    <n v="7.5"/>
    <n v="1.5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Longo I"/>
    <m/>
    <s v=""/>
    <s v=""/>
    <m/>
    <m/>
    <m/>
    <m/>
    <m/>
    <m/>
    <n v="52"/>
    <n v="50"/>
    <n v="102"/>
    <n v="-4.0000000000000036E-2"/>
    <m/>
    <m/>
    <s v="Sim"/>
    <m/>
  </r>
  <r>
    <n v="235"/>
    <s v="PVP"/>
    <s v="Rua Mario Totta, 635"/>
    <n v="-30.012355840000001"/>
    <n v="-50.158128720000001"/>
    <x v="1"/>
    <s v="-"/>
    <x v="3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2.9"/>
    <n v="7.9"/>
    <n v="1"/>
    <n v="0.3"/>
    <n v="2.8"/>
    <n v="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89466666666666672"/>
    <n v="1.8888888888888893"/>
    <s v="-"/>
    <n v="14.21"/>
    <n v="0.52"/>
    <m/>
    <m/>
    <m/>
    <m/>
    <s v="ATENDE"/>
    <s v="ATENDE"/>
    <s v="ATENDE"/>
    <s v="ATENDE"/>
    <s v="C5"/>
    <s v="P4"/>
    <n v="0.17199999999999993"/>
    <n v="8.7899999999999991"/>
    <n v="6.79"/>
    <n v="7.5"/>
    <n v="1.5"/>
    <s v="ATENDE"/>
    <s v="ATENDE"/>
    <s v="ATENDE"/>
    <s v="P4"/>
    <n v="6.800000000000006E-2"/>
    <n v="8.01"/>
    <n v="3.82"/>
    <n v="7.5"/>
    <n v="1.5"/>
    <s v="ATENDE"/>
    <s v="ATENDE"/>
    <s v="ATENDE"/>
    <x v="1"/>
    <s v="SX-INEVO050HF"/>
    <s v="SXINEVO050K40L12CZF7PHF"/>
    <m/>
    <e v="#N/A"/>
    <n v="1"/>
    <n v="50"/>
    <e v="#N/A"/>
    <n v="8650"/>
    <e v="#N/A"/>
    <n v="0"/>
    <n v="5"/>
    <s v="Longo I"/>
    <m/>
    <s v=""/>
    <s v=""/>
    <m/>
    <m/>
    <m/>
    <m/>
    <m/>
    <m/>
    <n v="50"/>
    <n v="50"/>
    <n v="100"/>
    <n v="0"/>
    <m/>
    <m/>
    <s v="Sim"/>
    <m/>
  </r>
  <r>
    <n v="235"/>
    <s v="PVP"/>
    <s v="Rua Mario Totta, 635"/>
    <n v="-30.012355840000001"/>
    <n v="-50.158128720000001"/>
    <x v="1"/>
    <s v="-"/>
    <x v="3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2.9"/>
    <n v="7.9"/>
    <n v="1"/>
    <n v="0.3"/>
    <n v="2.8"/>
    <n v="2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0733333333333333"/>
    <n v="1.8333333333333335"/>
    <s v="-"/>
    <n v="15.55"/>
    <n v="0.51"/>
    <m/>
    <m/>
    <m/>
    <m/>
    <s v="ATENDE"/>
    <s v="ATENDE"/>
    <s v="ATENDE"/>
    <s v="ATENDE"/>
    <s v="C5"/>
    <s v="P4"/>
    <n v="0.13066666666666671"/>
    <n v="8.48"/>
    <n v="6.27"/>
    <n v="7.5"/>
    <n v="1.5"/>
    <s v="ATENDE"/>
    <s v="ATENDE"/>
    <s v="ATENDE"/>
    <s v="P4"/>
    <n v="5.8666666666666645E-2"/>
    <n v="7.94"/>
    <n v="4.07"/>
    <n v="7.5"/>
    <n v="1.5"/>
    <s v="ATENDE"/>
    <s v="ATENDE"/>
    <s v="ATENDE"/>
    <x v="2"/>
    <s v="SIGSAGPTLRRSSNDL_60W_73IBBRS_x000a_"/>
    <s v="SIGSAGPTLRRSSNDL_60W_73IBBRS_x000a_1-10C1MUN6.5"/>
    <m/>
    <e v="#N/A"/>
    <n v="1"/>
    <n v="60"/>
    <e v="#N/A"/>
    <n v="9453"/>
    <e v="#N/A"/>
    <n v="0"/>
    <m/>
    <s v="Longo I"/>
    <m/>
    <s v=""/>
    <s v=""/>
    <m/>
    <m/>
    <m/>
    <m/>
    <m/>
    <m/>
    <n v="60"/>
    <n v="50"/>
    <n v="110"/>
    <n v="-0.19999999999999996"/>
    <m/>
    <m/>
    <s v="Sim"/>
    <m/>
  </r>
  <r>
    <n v="236"/>
    <s v="PV"/>
    <s v="Rua Santa Fe, 2459"/>
    <n v="-30.01845363"/>
    <n v="-50.139948920000002"/>
    <x v="2"/>
    <s v="-"/>
    <x v="1"/>
    <s v="Vapor de sódio"/>
    <n v="100"/>
    <n v="17"/>
    <n v="0"/>
    <n v="200"/>
    <n v="2"/>
    <n v="1.5"/>
    <n v="7"/>
    <m/>
    <m/>
    <n v="0"/>
    <n v="0"/>
    <n v="0"/>
    <n v="0"/>
    <n v="0"/>
    <n v="0"/>
    <n v="0"/>
    <s v="Unilateral"/>
    <s v="Braço"/>
    <n v="35.6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100000000000001"/>
    <n v="1.2222222222222223"/>
    <s v="-"/>
    <n v="11.31"/>
    <n v="0.4"/>
    <m/>
    <m/>
    <m/>
    <m/>
    <s v="ATENDE"/>
    <s v="ATENDE"/>
    <s v="ATENDE"/>
    <s v="ATENDE"/>
    <s v="C4"/>
    <s v="P6"/>
    <n v="2.7766666666666668"/>
    <n v="11.33"/>
    <n v="4.1900000000000004"/>
    <n v="3"/>
    <n v="0.6"/>
    <s v="ATENDE"/>
    <s v="ATENDE"/>
    <s v="ATENDE"/>
    <s v="P6"/>
    <e v="#VALUE!"/>
    <s v=" -"/>
    <s v=" -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36"/>
    <s v="PV"/>
    <s v="Rua Santa Fe, 2459"/>
    <n v="-30.01845363"/>
    <n v="-50.139948920000002"/>
    <x v="2"/>
    <s v="-"/>
    <x v="1"/>
    <s v="Vapor de sódio"/>
    <n v="100"/>
    <n v="17"/>
    <n v="0"/>
    <n v="200"/>
    <n v="2"/>
    <n v="1.5"/>
    <n v="7"/>
    <m/>
    <m/>
    <n v="0"/>
    <n v="0"/>
    <n v="0"/>
    <n v="0"/>
    <n v="0"/>
    <n v="0"/>
    <n v="0"/>
    <s v="Unilateral"/>
    <s v="Braço"/>
    <n v="35.6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5599999999999996"/>
    <n v="1.6111111111111112"/>
    <s v="-"/>
    <n v="14.56"/>
    <n v="0.47"/>
    <m/>
    <m/>
    <m/>
    <m/>
    <s v="ATENDE"/>
    <s v="ATENDE"/>
    <s v="ATENDE"/>
    <s v="ATENDE"/>
    <s v="C4"/>
    <s v="P6"/>
    <n v="3.746666666666667"/>
    <n v="14.24"/>
    <n v="5.27"/>
    <n v="3"/>
    <n v="0.6"/>
    <s v="ATENDE"/>
    <s v="ATENDE"/>
    <s v="ATENDE"/>
    <s v="P6"/>
    <e v="#VALUE!"/>
    <s v=" -"/>
    <s v=" -"/>
    <n v="3"/>
    <n v="0.6"/>
    <s v="ATENDE"/>
    <s v="ATENDE"/>
    <s v="ATENDE"/>
    <x v="1"/>
    <s v="SX-INEVO060HF"/>
    <s v="SXINEVO060K40L12CZF7PHF"/>
    <m/>
    <e v="#N/A"/>
    <n v="1"/>
    <n v="60"/>
    <n v="0"/>
    <n v="9600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236"/>
    <s v="PV"/>
    <s v="Rua Santa Fe, 2459"/>
    <n v="-30.01845363"/>
    <n v="-50.139948920000002"/>
    <x v="2"/>
    <s v="-"/>
    <x v="1"/>
    <s v="Vapor de sódio"/>
    <n v="100"/>
    <n v="17"/>
    <n v="0"/>
    <n v="200"/>
    <n v="2"/>
    <n v="1.5"/>
    <n v="7"/>
    <m/>
    <m/>
    <n v="0"/>
    <n v="0"/>
    <n v="0"/>
    <n v="0"/>
    <n v="0"/>
    <n v="0"/>
    <n v="0"/>
    <s v="Unilateral"/>
    <s v="Braço"/>
    <n v="35.6"/>
    <n v="7.5"/>
    <n v="1"/>
    <n v="1"/>
    <n v="1.3"/>
    <n v="0.3000000000000000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700000000000007"/>
    <n v="1.1111111111111112"/>
    <s v="-"/>
    <n v="12.07"/>
    <n v="0.38"/>
    <m/>
    <m/>
    <m/>
    <m/>
    <s v="ATENDE"/>
    <s v="ATENDE"/>
    <s v="ATENDE"/>
    <s v="ATENDE"/>
    <s v="C4"/>
    <s v="P6"/>
    <n v="3.2166666666666668"/>
    <n v="12.65"/>
    <n v="5.62"/>
    <n v="3"/>
    <n v="0.6"/>
    <s v="ATENDE"/>
    <s v="ATENDE"/>
    <s v="ATENDE"/>
    <s v="P6"/>
    <e v="#VALUE!"/>
    <s v=" -"/>
    <s v=" -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37"/>
    <s v="PVP"/>
    <s v="Rua Padre Reus, 2422"/>
    <n v="-30.015616390000002"/>
    <n v="-50.149521030000002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3.5"/>
    <n v="6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2666666666666613E-2"/>
    <n v="0.94444444444444442"/>
    <s v="-"/>
    <n v="7.67"/>
    <n v="0.35"/>
    <m/>
    <m/>
    <m/>
    <m/>
    <s v="ATENDE"/>
    <s v="ATENDE"/>
    <s v="ATENDE"/>
    <s v="ATENDE"/>
    <s v="C5"/>
    <s v="P6"/>
    <n v="0.36666666666666647"/>
    <n v="4.0999999999999996"/>
    <n v="1.8"/>
    <n v="3"/>
    <n v="0.6"/>
    <s v="ATENDE"/>
    <s v="ATENDE"/>
    <s v="ATENDE"/>
    <s v="P6"/>
    <n v="1.0466666666666664"/>
    <n v="6.14"/>
    <n v="1.97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50"/>
    <n v="78"/>
    <n v="0.43999999999999995"/>
    <m/>
    <m/>
    <s v="Sim"/>
    <m/>
  </r>
  <r>
    <n v="237"/>
    <s v="PVP"/>
    <s v="Rua Padre Reus, 2422"/>
    <n v="-30.015616390000002"/>
    <n v="-50.149521030000002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3.5"/>
    <n v="6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93333333333332"/>
    <n v="0.88888888888888906"/>
    <s v="-"/>
    <n v="9.52"/>
    <n v="0.34"/>
    <m/>
    <m/>
    <m/>
    <m/>
    <s v="ATENDE"/>
    <s v="ATENDE"/>
    <s v="ATENDE"/>
    <s v="ATENDE"/>
    <s v="C5"/>
    <s v="P6"/>
    <n v="0.31666666666666665"/>
    <n v="3.95"/>
    <n v="1.53"/>
    <n v="3"/>
    <n v="0.6"/>
    <s v="ATENDE"/>
    <s v="ATENDE"/>
    <s v="ATENDE"/>
    <s v="P6"/>
    <n v="1.3366666666666664"/>
    <n v="7.01"/>
    <n v="1.139999999999999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50"/>
    <n v="81"/>
    <n v="0.38"/>
    <m/>
    <m/>
    <s v="Sim"/>
    <m/>
  </r>
  <r>
    <n v="237"/>
    <s v="PVP"/>
    <s v="Rua Padre Reus, 2422"/>
    <n v="-30.015616390000002"/>
    <n v="-50.149521030000002"/>
    <x v="1"/>
    <s v="-"/>
    <x v="1"/>
    <s v="LED"/>
    <n v="50"/>
    <n v="0"/>
    <n v="0"/>
    <n v="100"/>
    <n v="2"/>
    <n v="2.5"/>
    <n v="7"/>
    <m/>
    <m/>
    <n v="0"/>
    <n v="2.5"/>
    <n v="0"/>
    <n v="0"/>
    <n v="0"/>
    <n v="0"/>
    <n v="0"/>
    <s v="Unilateral"/>
    <s v="Braço"/>
    <n v="33.5"/>
    <n v="6.5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453333333333334"/>
    <n v="1.3888888888888888"/>
    <s v="-"/>
    <n v="9.34"/>
    <n v="0.43"/>
    <m/>
    <m/>
    <m/>
    <m/>
    <s v="ATENDE"/>
    <s v="ATENDE"/>
    <s v="ATENDE"/>
    <s v="ATENDE"/>
    <s v="C5"/>
    <s v="P6"/>
    <n v="0.26333333333333342"/>
    <n v="3.79"/>
    <n v="2.2799999999999998"/>
    <n v="3"/>
    <n v="0.6"/>
    <s v="ATENDE"/>
    <s v="ATENDE"/>
    <s v="ATENDE"/>
    <s v="P6"/>
    <n v="1.3666666666666667"/>
    <n v="7.1"/>
    <n v="2.58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Curto II"/>
    <m/>
    <s v=""/>
    <s v=""/>
    <m/>
    <m/>
    <m/>
    <m/>
    <m/>
    <m/>
    <n v="30"/>
    <n v="50"/>
    <n v="80"/>
    <n v="0.4"/>
    <m/>
    <m/>
    <s v="Sim"/>
    <m/>
  </r>
  <r>
    <n v="238"/>
    <s v="PVP"/>
    <s v="Rua Santos Dumont, 92"/>
    <n v="-30.019588989999999"/>
    <n v="-50.14968002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99999999999994E-2"/>
    <n v="1.5"/>
    <s v="-"/>
    <n v="10.57"/>
    <n v="0.45"/>
    <m/>
    <m/>
    <m/>
    <m/>
    <s v="ATENDE"/>
    <s v="ATENDE"/>
    <s v="ATENDE"/>
    <s v="ATENDE"/>
    <s v="C4"/>
    <s v="P6"/>
    <n v="1.2200000000000002"/>
    <n v="6.66"/>
    <n v="3.59"/>
    <n v="3"/>
    <n v="0.6"/>
    <s v="ATENDE"/>
    <s v="ATENDE"/>
    <s v="ATENDE"/>
    <s v="P6"/>
    <n v="2.0399999999999996"/>
    <n v="9.1199999999999992"/>
    <n v="3.79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38"/>
    <s v="PVP"/>
    <s v="Rua Santos Dumont, 92"/>
    <n v="-30.019588989999999"/>
    <n v="-50.14968002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000000000001155E-3"/>
    <n v="2.2777777777777777"/>
    <s v="-"/>
    <n v="10.050000000000001"/>
    <n v="0.59"/>
    <m/>
    <m/>
    <m/>
    <m/>
    <s v="ATENDE"/>
    <s v="ATENDE"/>
    <s v="ATENDE"/>
    <s v="ATENDE"/>
    <s v="C4"/>
    <s v="P6"/>
    <n v="0.92666666666666675"/>
    <n v="5.78"/>
    <n v="4.12"/>
    <n v="3"/>
    <n v="0.6"/>
    <s v="ATENDE"/>
    <s v="ATENDE"/>
    <s v="ATENDE"/>
    <s v="P6"/>
    <n v="1.9"/>
    <n v="8.6999999999999993"/>
    <n v="4.3099999999999996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38"/>
    <s v="PVP"/>
    <s v="Rua Santos Dumont, 92"/>
    <n v="-30.019588989999999"/>
    <n v="-50.14968002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3.1"/>
    <n v="7.5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800000000000009"/>
    <n v="1.6666666666666665"/>
    <s v="-"/>
    <n v="13.48"/>
    <n v="0.48"/>
    <m/>
    <m/>
    <m/>
    <m/>
    <s v="ATENDE"/>
    <s v="ATENDE"/>
    <s v="ATENDE"/>
    <s v="ATENDE"/>
    <s v="C4"/>
    <s v="P6"/>
    <n v="0.81333333333333346"/>
    <n v="5.44"/>
    <n v="3.11"/>
    <n v="3"/>
    <n v="0.6"/>
    <s v="ATENDE"/>
    <s v="ATENDE"/>
    <s v="ATENDE"/>
    <s v="P6"/>
    <n v="2.8066666666666666"/>
    <n v="11.42"/>
    <n v="6.1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39"/>
    <s v="PVP"/>
    <s v="Avenida Joao Magalhaes, 2167"/>
    <n v="-30.01494825"/>
    <n v="-50.15944047"/>
    <x v="3"/>
    <s v="-"/>
    <x v="1"/>
    <s v="LED"/>
    <n v="99"/>
    <n v="0"/>
    <n v="0"/>
    <n v="198"/>
    <n v="2"/>
    <n v="4"/>
    <n v="6"/>
    <m/>
    <m/>
    <n v="0"/>
    <n v="4"/>
    <n v="0"/>
    <n v="0"/>
    <n v="0"/>
    <n v="4"/>
    <n v="0"/>
    <s v="Bilateral frontal"/>
    <s v="Braço"/>
    <n v="38.5"/>
    <n v="7.5"/>
    <n v="1"/>
    <n v="6.5"/>
    <n v="2.8"/>
    <n v="-3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7.6000000000000068E-2"/>
    <n v="1.5357142857142851"/>
    <s v="-"/>
    <n v="21.52"/>
    <n v="0.71"/>
    <m/>
    <m/>
    <m/>
    <m/>
    <s v="ATENDE"/>
    <s v="ATENDE"/>
    <s v="ATENDE"/>
    <s v="ATENDE"/>
    <s v="C2"/>
    <s v="P6"/>
    <n v="5.4966666666666661"/>
    <n v="19.489999999999998"/>
    <n v="8.64"/>
    <n v="3"/>
    <n v="0.6"/>
    <s v="ATENDE"/>
    <s v="ATENDE"/>
    <s v="ATENDE"/>
    <s v="P6"/>
    <n v="5.5"/>
    <n v="19.5"/>
    <n v="8.65"/>
    <n v="3"/>
    <n v="0.6"/>
    <s v="ATENDE"/>
    <s v="ATENDE"/>
    <s v="ATENDE"/>
    <x v="0"/>
    <s v=" SL VT 9.1 72W"/>
    <s v="LUM LED SL VT 9.1 72W"/>
    <m/>
    <e v="#N/A"/>
    <n v="1"/>
    <n v="72"/>
    <n v="0"/>
    <n v="12107"/>
    <n v="0"/>
    <n v="0"/>
    <m/>
    <s v="Longo I"/>
    <m/>
    <s v=""/>
    <s v=""/>
    <m/>
    <m/>
    <m/>
    <m/>
    <m/>
    <m/>
    <n v="72"/>
    <n v="99"/>
    <n v="171"/>
    <n v="0.27272727272727271"/>
    <m/>
    <m/>
    <s v="Sim"/>
    <m/>
  </r>
  <r>
    <n v="239"/>
    <s v="PVP"/>
    <s v="Avenida Joao Magalhaes, 2167"/>
    <n v="-30.01494825"/>
    <n v="-50.15944047"/>
    <x v="3"/>
    <s v="-"/>
    <x v="1"/>
    <s v="LED"/>
    <n v="99"/>
    <n v="0"/>
    <n v="0"/>
    <n v="198"/>
    <n v="2"/>
    <n v="4"/>
    <n v="6"/>
    <m/>
    <m/>
    <n v="0"/>
    <n v="4"/>
    <n v="0"/>
    <n v="0"/>
    <n v="0"/>
    <n v="4"/>
    <n v="0"/>
    <s v="Bilateral frontal"/>
    <s v="Braço"/>
    <n v="38.5"/>
    <n v="7.5"/>
    <n v="1"/>
    <n v="6.5"/>
    <n v="2.8"/>
    <n v="-3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4299999999999988"/>
    <n v="1.6785714285714284"/>
    <s v="-"/>
    <n v="24.86"/>
    <n v="0.75"/>
    <m/>
    <m/>
    <m/>
    <m/>
    <s v="ATENDE"/>
    <s v="ATENDE"/>
    <s v="ATENDE"/>
    <s v="ATENDE"/>
    <s v="C2"/>
    <s v="P6"/>
    <n v="6.1733333333333329"/>
    <n v="21.52"/>
    <n v="9.9600000000000009"/>
    <n v="3"/>
    <n v="0.6"/>
    <s v="ATENDE"/>
    <s v="ATENDE"/>
    <s v="ATENDE"/>
    <s v="P6"/>
    <n v="6.1733333333333329"/>
    <n v="21.52"/>
    <n v="8.92"/>
    <n v="3"/>
    <n v="0.6"/>
    <s v="ATENDE"/>
    <s v="ATENDE"/>
    <s v="ATENDE"/>
    <x v="1"/>
    <s v="SX-INLPP070HF"/>
    <s v="SXINLPP070K40L12CZF7PHF"/>
    <m/>
    <e v="#N/A"/>
    <n v="1"/>
    <n v="70"/>
    <e v="#N/A"/>
    <n v="11970"/>
    <e v="#N/A"/>
    <n v="0"/>
    <m/>
    <s v="Longo I"/>
    <m/>
    <s v=""/>
    <s v=""/>
    <m/>
    <m/>
    <m/>
    <m/>
    <m/>
    <m/>
    <n v="70"/>
    <n v="99"/>
    <n v="169"/>
    <n v="0.29292929292929293"/>
    <m/>
    <m/>
    <s v="Sim"/>
    <m/>
  </r>
  <r>
    <n v="239"/>
    <s v="PVP"/>
    <s v="Avenida Joao Magalhaes, 2167"/>
    <n v="-30.01494825"/>
    <n v="-50.15944047"/>
    <x v="3"/>
    <s v="-"/>
    <x v="1"/>
    <s v="LED"/>
    <n v="99"/>
    <n v="0"/>
    <n v="0"/>
    <n v="198"/>
    <n v="2"/>
    <n v="4"/>
    <n v="6"/>
    <m/>
    <m/>
    <n v="0"/>
    <n v="4"/>
    <n v="0"/>
    <n v="0"/>
    <n v="0"/>
    <n v="4"/>
    <n v="0"/>
    <s v="Bilateral frontal"/>
    <s v="Braço"/>
    <n v="38.5"/>
    <n v="7.5"/>
    <n v="1"/>
    <n v="6.5"/>
    <n v="2.8"/>
    <n v="-3.7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6.349999999999989E-2"/>
    <n v="1.0357142857142851"/>
    <s v="-"/>
    <s v="21,27"/>
    <n v="0.56999999999999995"/>
    <m/>
    <m/>
    <m/>
    <m/>
    <s v="ATENDE"/>
    <s v="ATENDE"/>
    <s v="ATENDE"/>
    <s v="ATENDE"/>
    <s v="C2"/>
    <s v="P6"/>
    <n v="7.3433333333333337"/>
    <n v="25.03"/>
    <n v="7.27"/>
    <n v="3"/>
    <n v="0.6"/>
    <s v="ATENDE"/>
    <s v="ATENDE"/>
    <s v="ATENDE"/>
    <s v="P6"/>
    <n v="7.3533333333333335"/>
    <n v="25.06"/>
    <n v="7.28"/>
    <n v="3"/>
    <n v="0.6"/>
    <s v="ATENDE"/>
    <s v="ATENDE"/>
    <s v="ATENDE"/>
    <x v="2"/>
    <s v="SIGSAGPTLRRSSNDL_90W112IBBRS_x000a_"/>
    <s v="SIGSAGPTLRRSSNDL_90W112IBBRS_x000a_1-10C1MUN6.5"/>
    <m/>
    <e v="#N/A"/>
    <n v="1"/>
    <n v="90"/>
    <e v="#N/A"/>
    <n v="13859"/>
    <e v="#N/A"/>
    <n v="0"/>
    <m/>
    <s v="Longo I"/>
    <m/>
    <s v=""/>
    <s v=""/>
    <m/>
    <m/>
    <m/>
    <m/>
    <m/>
    <m/>
    <n v="90"/>
    <n v="99"/>
    <n v="189"/>
    <n v="9.0909090909090939E-2"/>
    <m/>
    <m/>
    <s v="Sim"/>
    <m/>
  </r>
  <r>
    <n v="240"/>
    <s v="VP"/>
    <s v="Rua Dez de Novembro, 248"/>
    <n v="-30.018199119999998"/>
    <n v="-50.159052879999997"/>
    <x v="1"/>
    <s v="-"/>
    <x v="1"/>
    <s v="Vapor de sódio"/>
    <n v="100"/>
    <n v="17"/>
    <n v="0"/>
    <n v="400"/>
    <n v="2"/>
    <n v="0"/>
    <n v="7"/>
    <m/>
    <m/>
    <n v="0"/>
    <n v="2.5"/>
    <n v="4"/>
    <n v="0"/>
    <n v="0"/>
    <n v="0"/>
    <n v="0"/>
    <s v="Canteiro central"/>
    <s v="Braço"/>
    <n v="22.5"/>
    <n v="5.6"/>
    <n v="2"/>
    <n v="2"/>
    <n v="1.3"/>
    <n v="-0.7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60399999999999987"/>
    <n v="1.1111111111111112"/>
    <s v="-"/>
    <n v="12.03"/>
    <n v="0.38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32000000000000006"/>
    <n v="3.96"/>
    <n v="2.68"/>
    <n v="3"/>
    <n v="0.6"/>
    <s v="ATENDE"/>
    <s v="ATENDE"/>
    <s v="ATENDE"/>
    <x v="0"/>
    <s v=" SL VT 9.1 28W"/>
    <s v="LUM LED SL VT 9.1 28W"/>
    <m/>
    <e v="#N/A"/>
    <n v="2"/>
    <n v="28"/>
    <n v="0"/>
    <n v="4927.3500000000004"/>
    <n v="0"/>
    <n v="0"/>
    <n v="10"/>
    <s v="Curto II"/>
    <m/>
    <s v=""/>
    <s v=""/>
    <m/>
    <m/>
    <m/>
    <m/>
    <m/>
    <m/>
    <n v="28"/>
    <n v="100"/>
    <n v="256"/>
    <n v="0.72"/>
    <m/>
    <m/>
    <s v="Sim"/>
    <m/>
  </r>
  <r>
    <n v="240"/>
    <s v="VP"/>
    <s v="Rua Dez de Novembro, 248"/>
    <n v="-30.018199119999998"/>
    <n v="-50.159052879999997"/>
    <x v="1"/>
    <s v="-"/>
    <x v="1"/>
    <s v="Vapor de sódio"/>
    <n v="100"/>
    <n v="17"/>
    <n v="0"/>
    <n v="400"/>
    <n v="2"/>
    <n v="0"/>
    <n v="7"/>
    <m/>
    <m/>
    <n v="0"/>
    <n v="2.5"/>
    <n v="4"/>
    <n v="0"/>
    <n v="0"/>
    <n v="0"/>
    <n v="0"/>
    <s v="Canteiro central"/>
    <s v="Braço"/>
    <n v="22.5"/>
    <n v="5.6"/>
    <n v="2"/>
    <n v="2"/>
    <n v="1.3"/>
    <n v="-0.7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2.0000000000000004"/>
    <s v="-"/>
    <n v="9.15"/>
    <n v="0.54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20999999999999996"/>
    <n v="3.63"/>
    <n v="2.87"/>
    <n v="3"/>
    <n v="0.6"/>
    <s v="ATENDE"/>
    <s v="ATENDE"/>
    <s v="ATENDE"/>
    <x v="1"/>
    <s v="SX-INEVO020HF"/>
    <s v="SXINEVO020K40L12CZF7PHF"/>
    <m/>
    <e v="#N/A"/>
    <n v="2"/>
    <n v="22.5"/>
    <n v="0"/>
    <n v="3825"/>
    <n v="0"/>
    <n v="0"/>
    <n v="10"/>
    <s v="Curto II"/>
    <s v="Longo II"/>
    <n v="3.5"/>
    <n v="8.5"/>
    <m/>
    <m/>
    <m/>
    <m/>
    <m/>
    <m/>
    <n v="22.5"/>
    <n v="100"/>
    <n v="245"/>
    <n v="0.77500000000000002"/>
    <m/>
    <m/>
    <s v="Sim"/>
    <m/>
  </r>
  <r>
    <n v="240"/>
    <s v="VP"/>
    <s v="Rua Dez de Novembro, 248"/>
    <n v="-30.018199119999998"/>
    <n v="-50.159052879999997"/>
    <x v="1"/>
    <s v="-"/>
    <x v="1"/>
    <s v="Vapor de sódio"/>
    <n v="100"/>
    <n v="17"/>
    <n v="0"/>
    <n v="400"/>
    <n v="2"/>
    <n v="0"/>
    <n v="7"/>
    <m/>
    <m/>
    <n v="0"/>
    <n v="2.5"/>
    <n v="4"/>
    <n v="0"/>
    <n v="0"/>
    <n v="0"/>
    <n v="0"/>
    <s v="Canteiro central"/>
    <s v="Braço"/>
    <n v="22.5"/>
    <n v="5.6"/>
    <n v="2"/>
    <n v="2"/>
    <n v="1.3"/>
    <n v="-0.7"/>
    <s v="-"/>
    <s v="-"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86266666666666669"/>
    <n v="1.3888888888888888"/>
    <s v="-"/>
    <n v="13.97"/>
    <n v="0.43"/>
    <m/>
    <m/>
    <m/>
    <m/>
    <s v="ATENDE"/>
    <s v="ATENDE"/>
    <s v="ATENDE"/>
    <s v="ATENDE"/>
    <s v="C5"/>
    <s v="P6"/>
    <e v="#VALUE!"/>
    <s v=" -"/>
    <s v=" -"/>
    <n v="3"/>
    <n v="0.6"/>
    <s v="ATENDE"/>
    <s v="ATENDE"/>
    <s v="ATENDE"/>
    <s v="P6"/>
    <n v="0.34999999999999987"/>
    <n v="4.05"/>
    <n v="2.71"/>
    <n v="3"/>
    <n v="0.6"/>
    <s v="ATENDE"/>
    <s v="ATENDE"/>
    <s v="ATENDE"/>
    <x v="2"/>
    <s v="SIGSAGPTLRRSSNDL_30W_38IBBRS_x000a_"/>
    <s v="SIGSAGPTLRRSSNDL_30W_38IBBRS_x000a_1-10C1MUN6.5"/>
    <m/>
    <n v="0"/>
    <n v="2"/>
    <n v="30"/>
    <n v="0"/>
    <n v="5266"/>
    <n v="0"/>
    <n v="0"/>
    <n v="10"/>
    <s v="Curto II"/>
    <s v="Médio I"/>
    <n v="1.8"/>
    <n v="7"/>
    <m/>
    <m/>
    <m/>
    <m/>
    <m/>
    <m/>
    <n v="30"/>
    <n v="100"/>
    <n v="260"/>
    <n v="0.7"/>
    <m/>
    <m/>
    <s v="Sim"/>
    <m/>
  </r>
  <r>
    <n v="241"/>
    <s v="PVP"/>
    <s v="Rua Assis Brasil, 342"/>
    <n v="-30.012181510000001"/>
    <n v="-50.15595965"/>
    <x v="4"/>
    <s v="-"/>
    <x v="1"/>
    <s v="LED"/>
    <n v="99"/>
    <n v="0"/>
    <n v="0"/>
    <n v="198"/>
    <n v="2"/>
    <n v="2"/>
    <n v="7"/>
    <m/>
    <m/>
    <n v="0"/>
    <n v="2"/>
    <n v="0"/>
    <n v="0"/>
    <n v="0"/>
    <n v="0"/>
    <n v="0"/>
    <s v="Unilateral"/>
    <s v="Braço"/>
    <n v="38.5"/>
    <n v="6.5"/>
    <n v="1"/>
    <n v="0.4"/>
    <n v="0.65"/>
    <n v="0.25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1.3333333333333197E-2"/>
    <n v="0.22222222222222232"/>
    <s v="-"/>
    <n v="15.2"/>
    <n v="0.22"/>
    <m/>
    <m/>
    <m/>
    <m/>
    <s v="ATENDE"/>
    <s v="ATENDE"/>
    <s v="ATENDE"/>
    <s v="ATENDE"/>
    <s v="C3"/>
    <s v="P6"/>
    <n v="1.3433333333333333"/>
    <n v="7.03"/>
    <n v="1.86"/>
    <n v="3"/>
    <n v="0.6"/>
    <s v="ATENDE"/>
    <s v="ATENDE"/>
    <s v="ATENDE"/>
    <s v="P6"/>
    <n v="3.7966666666666669"/>
    <n v="14.39"/>
    <n v="4.5599999999999996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"/>
    <m/>
    <s v=""/>
    <s v=""/>
    <m/>
    <m/>
    <m/>
    <m/>
    <m/>
    <m/>
    <n v="65"/>
    <n v="99"/>
    <n v="164"/>
    <n v="0.34343434343434343"/>
    <m/>
    <m/>
    <s v="Sim"/>
    <m/>
  </r>
  <r>
    <n v="241"/>
    <s v="PVP"/>
    <s v="Rua Assis Brasil, 342"/>
    <n v="-30.012181510000001"/>
    <n v="-50.15595965"/>
    <x v="4"/>
    <s v="-"/>
    <x v="1"/>
    <s v="LED"/>
    <n v="99"/>
    <n v="0"/>
    <n v="0"/>
    <n v="198"/>
    <n v="2"/>
    <n v="2"/>
    <n v="7"/>
    <m/>
    <m/>
    <n v="0"/>
    <n v="2"/>
    <n v="0"/>
    <n v="0"/>
    <n v="0"/>
    <n v="0"/>
    <n v="0"/>
    <s v="Unilateral"/>
    <s v="Braço"/>
    <n v="38.5"/>
    <n v="6.5"/>
    <n v="1"/>
    <n v="0.4"/>
    <n v="0.65"/>
    <n v="0.25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9066666666666663"/>
    <n v="0.33333333333333326"/>
    <s v="-"/>
    <n v="19.36"/>
    <n v="0.24"/>
    <m/>
    <m/>
    <m/>
    <m/>
    <s v="ATENDE"/>
    <s v="ATENDE"/>
    <s v="ATENDE"/>
    <s v="ATENDE"/>
    <s v="C3"/>
    <s v="P6"/>
    <n v="1.8399999999999999"/>
    <n v="8.52"/>
    <n v="2.61"/>
    <n v="3"/>
    <n v="0.6"/>
    <s v="ATENDE"/>
    <s v="ATENDE"/>
    <s v="ATENDE"/>
    <s v="P6"/>
    <n v="5.7433333333333332"/>
    <n v="20.23"/>
    <n v="5.5"/>
    <n v="3"/>
    <n v="0.6"/>
    <s v="ATENDE"/>
    <s v="ATENDE"/>
    <s v="ATENDE"/>
    <x v="1"/>
    <s v="SX-INLPP070HF"/>
    <s v="SXINLPP070K40L12CZF7PHF"/>
    <m/>
    <n v="0"/>
    <n v="1"/>
    <n v="70"/>
    <n v="0"/>
    <n v="11970"/>
    <n v="0"/>
    <n v="0"/>
    <m/>
    <s v="Curto I"/>
    <m/>
    <s v=""/>
    <s v=""/>
    <m/>
    <m/>
    <m/>
    <m/>
    <m/>
    <m/>
    <n v="70"/>
    <n v="99"/>
    <n v="169"/>
    <n v="0.29292929292929293"/>
    <m/>
    <m/>
    <s v="Sim"/>
    <m/>
  </r>
  <r>
    <n v="241"/>
    <s v="PVP"/>
    <s v="Rua Assis Brasil, 342"/>
    <n v="-30.012181510000001"/>
    <n v="-50.15595965"/>
    <x v="4"/>
    <s v="-"/>
    <x v="1"/>
    <s v="LED"/>
    <n v="99"/>
    <n v="0"/>
    <n v="0"/>
    <n v="198"/>
    <n v="2"/>
    <n v="2"/>
    <n v="7"/>
    <m/>
    <m/>
    <n v="0"/>
    <n v="2"/>
    <n v="0"/>
    <n v="0"/>
    <n v="0"/>
    <n v="0"/>
    <n v="0"/>
    <s v="Unilateral"/>
    <s v="Braço"/>
    <n v="38.5"/>
    <n v="6.5"/>
    <n v="1"/>
    <n v="0.4"/>
    <n v="0.65"/>
    <n v="0.25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9.6000000000000085E-2"/>
    <n v="-5.5555555555555469E-2"/>
    <s v="-"/>
    <n v="16.440000000000001"/>
    <n v="0.17"/>
    <m/>
    <m/>
    <m/>
    <m/>
    <s v="ATENDE"/>
    <s v="ATENDE"/>
    <s v="ATENDIMENTO LIMIAR"/>
    <s v="ATENDE"/>
    <s v="C3"/>
    <s v="P6"/>
    <n v="1.2066666666666666"/>
    <n v="6.62"/>
    <n v="2.75"/>
    <n v="3"/>
    <n v="0.6"/>
    <s v="ATENDE"/>
    <s v="ATENDE"/>
    <s v="ATENDE"/>
    <s v="P6"/>
    <n v="4.0466666666666669"/>
    <n v="15.14"/>
    <n v="1.7"/>
    <n v="3"/>
    <n v="0.6"/>
    <s v="ATENDE"/>
    <s v="ATENDE"/>
    <s v="ATENDE"/>
    <x v="2"/>
    <s v="SIGSAGPTLRRSSNDL_68W_83IBBRS_x000a_"/>
    <s v="SIGSAGPTLRRSSNDL_68W_83IBBRS_x000a_1-10C1MUN6.5"/>
    <m/>
    <n v="0"/>
    <n v="1"/>
    <n v="68"/>
    <n v="0"/>
    <n v="10884"/>
    <n v="0"/>
    <n v="0"/>
    <n v="5"/>
    <s v="Curto I"/>
    <m/>
    <s v=""/>
    <s v=""/>
    <m/>
    <m/>
    <m/>
    <m/>
    <m/>
    <m/>
    <n v="68"/>
    <n v="99"/>
    <n v="167"/>
    <n v="0.31313131313131315"/>
    <m/>
    <m/>
    <s v="Sim"/>
    <m/>
  </r>
  <r>
    <n v="242"/>
    <s v="PVP"/>
    <s v="Rua Vinte e Nove, 780"/>
    <n v="-30.02220544"/>
    <n v="-50.160941260000001"/>
    <x v="2"/>
    <s v="-"/>
    <x v="1"/>
    <s v="Vapor de sódio"/>
    <n v="150"/>
    <n v="22"/>
    <n v="0"/>
    <n v="300"/>
    <n v="2"/>
    <n v="2"/>
    <n v="7"/>
    <m/>
    <m/>
    <n v="0"/>
    <n v="2.5"/>
    <n v="0"/>
    <n v="0"/>
    <n v="0"/>
    <n v="0"/>
    <n v="0"/>
    <s v="Unilateral"/>
    <s v="Braço"/>
    <n v="33.9"/>
    <n v="7.3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500000000000001"/>
    <n v="1.2222222222222223"/>
    <s v="-"/>
    <n v="11.35"/>
    <n v="0.4"/>
    <m/>
    <m/>
    <m/>
    <m/>
    <s v="ATENDE"/>
    <s v="ATENDE"/>
    <s v="ATENDE"/>
    <s v="ATENDE"/>
    <s v="C4"/>
    <s v="P6"/>
    <n v="0.82666666666666688"/>
    <n v="5.48"/>
    <n v="2.98"/>
    <n v="3"/>
    <n v="0.6"/>
    <s v="ATENDE"/>
    <s v="ATENDE"/>
    <s v="ATENDE"/>
    <s v="P6"/>
    <n v="3.33"/>
    <n v="12.99"/>
    <n v="4.9000000000000004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50"/>
    <n v="202"/>
    <n v="0.65333333333333332"/>
    <m/>
    <m/>
    <s v="Sim"/>
    <m/>
  </r>
  <r>
    <n v="242"/>
    <s v="PVP"/>
    <s v="Rua Vinte e Nove, 780"/>
    <n v="-30.02220544"/>
    <n v="-50.160941260000001"/>
    <x v="2"/>
    <s v="-"/>
    <x v="1"/>
    <s v="Vapor de sódio"/>
    <n v="150"/>
    <n v="22"/>
    <n v="0"/>
    <n v="300"/>
    <n v="2"/>
    <n v="2"/>
    <n v="7"/>
    <m/>
    <m/>
    <n v="0"/>
    <n v="2.5"/>
    <n v="0"/>
    <n v="0"/>
    <n v="0"/>
    <n v="0"/>
    <n v="0"/>
    <s v="Unilateral"/>
    <s v="Braço"/>
    <n v="33.9"/>
    <n v="7.3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4399999999999986"/>
    <n v="2.2222222222222223"/>
    <s v="-"/>
    <n v="13.44"/>
    <n v="0.57999999999999996"/>
    <m/>
    <m/>
    <m/>
    <m/>
    <s v="ATENDE"/>
    <s v="ATENDE"/>
    <s v="ATENDE"/>
    <s v="ATENDE"/>
    <s v="C4"/>
    <s v="P6"/>
    <n v="0.91000000000000014"/>
    <n v="5.73"/>
    <n v="3.43"/>
    <n v="3"/>
    <n v="0.6"/>
    <s v="ATENDE"/>
    <s v="ATENDE"/>
    <s v="ATENDE"/>
    <s v="P6"/>
    <n v="4.5066666666666668"/>
    <n v="16.52"/>
    <n v="6.66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42"/>
    <s v="PVP"/>
    <s v="Rua Vinte e Nove, 780"/>
    <n v="-30.02220544"/>
    <n v="-50.160941260000001"/>
    <x v="2"/>
    <s v="-"/>
    <x v="1"/>
    <s v="Vapor de sódio"/>
    <n v="150"/>
    <n v="22"/>
    <n v="0"/>
    <n v="300"/>
    <n v="2"/>
    <n v="2"/>
    <n v="7"/>
    <m/>
    <m/>
    <n v="0"/>
    <n v="2.5"/>
    <n v="0"/>
    <n v="0"/>
    <n v="0"/>
    <n v="0"/>
    <n v="0"/>
    <s v="Unilateral"/>
    <s v="Braço"/>
    <n v="33.9"/>
    <n v="7.3"/>
    <n v="1"/>
    <n v="2"/>
    <n v="1.3"/>
    <n v="-0.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399999999999994"/>
    <n v="1.4444444444444446"/>
    <s v="-"/>
    <n v="11.84"/>
    <n v="0.44"/>
    <m/>
    <m/>
    <m/>
    <m/>
    <s v="ATENDE"/>
    <s v="ATENDE"/>
    <s v="ATENDE"/>
    <s v="ATENDE"/>
    <s v="C4"/>
    <s v="P6"/>
    <n v="0.37000000000000011"/>
    <n v="4.1100000000000003"/>
    <n v="2.52"/>
    <n v="3"/>
    <n v="0.6"/>
    <s v="ATENDE"/>
    <s v="ATENDE"/>
    <s v="ATENDE"/>
    <s v="P6"/>
    <n v="3.6566666666666672"/>
    <n v="13.97"/>
    <n v="6.3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n v="5"/>
    <s v="Curto II"/>
    <m/>
    <s v=""/>
    <s v=""/>
    <m/>
    <m/>
    <m/>
    <m/>
    <m/>
    <m/>
    <n v="50"/>
    <n v="150"/>
    <n v="200"/>
    <n v="0.66666666666666674"/>
    <m/>
    <m/>
    <s v="Sim"/>
    <m/>
  </r>
  <r>
    <n v="243"/>
    <s v="PVP"/>
    <s v="Rua Prudente de Morais, 696"/>
    <n v="-30.01394385"/>
    <n v="-50.15758234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3.7"/>
    <n v="7"/>
    <n v="1"/>
    <n v="0.6"/>
    <n v="1.5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000000000001155E-3"/>
    <n v="0.16666666666666674"/>
    <s v="-"/>
    <n v="10.050000000000001"/>
    <n v="0.21"/>
    <m/>
    <m/>
    <m/>
    <m/>
    <s v="ATENDE"/>
    <s v="ATENDE"/>
    <s v="ATENDE"/>
    <s v="ATENDE"/>
    <s v="C4"/>
    <s v="P6"/>
    <n v="1.0699999999999998"/>
    <n v="6.21"/>
    <n v="1.84"/>
    <n v="3"/>
    <n v="0.6"/>
    <s v="ATENDE"/>
    <s v="ATENDE"/>
    <s v="ATENDE"/>
    <s v="P6"/>
    <n v="1.6233333333333335"/>
    <n v="7.87"/>
    <n v="1.51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s v="Médio I"/>
    <n v="1.8"/>
    <n v="7"/>
    <m/>
    <m/>
    <m/>
    <m/>
    <m/>
    <m/>
    <n v="52"/>
    <n v="100"/>
    <n v="152"/>
    <n v="0.48"/>
    <m/>
    <m/>
    <s v="Sim"/>
    <m/>
  </r>
  <r>
    <n v="243"/>
    <s v="PVP"/>
    <s v="Rua Prudente de Morais, 696"/>
    <n v="-30.01394385"/>
    <n v="-50.15758234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3.7"/>
    <n v="7"/>
    <n v="1"/>
    <n v="0.6"/>
    <n v="1.5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4999999999999947E-2"/>
    <n v="0.22222222222222232"/>
    <s v="-"/>
    <n v="10.65"/>
    <n v="0.22"/>
    <m/>
    <m/>
    <m/>
    <m/>
    <s v="ATENDE"/>
    <s v="ATENDE"/>
    <s v="ATENDE"/>
    <s v="ATENDE"/>
    <s v="C4"/>
    <s v="P6"/>
    <n v="1.8933333333333331"/>
    <n v="8.68"/>
    <n v="4.43"/>
    <n v="3"/>
    <n v="0.6"/>
    <s v="ATENDE"/>
    <s v="ATENDE"/>
    <s v="ATENDE"/>
    <s v="P6"/>
    <n v="1.1766666666666667"/>
    <n v="6.53"/>
    <n v="1.07"/>
    <n v="3"/>
    <n v="0.6"/>
    <s v="ATENDE"/>
    <s v="ATENDE"/>
    <s v="ATENDE"/>
    <x v="1"/>
    <s v="SX-INEVO050HF"/>
    <s v="SXINEVO050K40L12CZF7PHF"/>
    <m/>
    <e v="#N/A"/>
    <n v="1"/>
    <n v="50"/>
    <e v="#N/A"/>
    <n v="8650"/>
    <e v="#N/A"/>
    <n v="0"/>
    <m/>
    <s v="Curto II"/>
    <s v="Longo I"/>
    <n v="2.8"/>
    <n v="8"/>
    <m/>
    <m/>
    <m/>
    <m/>
    <m/>
    <m/>
    <n v="50"/>
    <n v="100"/>
    <n v="150"/>
    <n v="0.5"/>
    <m/>
    <m/>
    <s v="Sim"/>
    <m/>
  </r>
  <r>
    <n v="243"/>
    <s v="PVP"/>
    <s v="Rua Prudente de Morais, 696"/>
    <n v="-30.01394385"/>
    <n v="-50.15758234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3.7"/>
    <n v="7"/>
    <n v="1"/>
    <n v="0.6"/>
    <n v="1.5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6999999999999904E-2"/>
    <n v="0.2777777777777779"/>
    <s v="-"/>
    <n v="10.17"/>
    <n v="0.23"/>
    <m/>
    <m/>
    <m/>
    <m/>
    <s v="ATENDE"/>
    <s v="ATENDE"/>
    <s v="ATENDE"/>
    <s v="ATENDE"/>
    <s v="C4"/>
    <s v="P6"/>
    <n v="1.1133333333333333"/>
    <n v="6.34"/>
    <n v="1.77"/>
    <n v="3"/>
    <n v="0.6"/>
    <s v="ATENDE"/>
    <s v="ATENDE"/>
    <s v="ATENDE"/>
    <s v="P6"/>
    <n v="1.0699999999999998"/>
    <n v="6.21"/>
    <n v="1.64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e v="#N/A"/>
    <n v="8163"/>
    <e v="#N/A"/>
    <n v="0"/>
    <m/>
    <s v="Curto II"/>
    <s v="Longo I"/>
    <n v="2.8"/>
    <n v="8"/>
    <m/>
    <m/>
    <m/>
    <m/>
    <m/>
    <m/>
    <n v="50"/>
    <n v="100"/>
    <n v="150"/>
    <n v="0.5"/>
    <m/>
    <m/>
    <s v="Sim"/>
    <m/>
  </r>
  <r>
    <n v="244"/>
    <s v="PVP"/>
    <s v="Rua Joao Goulart, 242"/>
    <n v="-30.02084013"/>
    <n v="-50.150235360000003"/>
    <x v="2"/>
    <s v="-"/>
    <x v="1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40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3000000000000131E-2"/>
    <n v="0.7777777777777779"/>
    <s v="-"/>
    <n v="10.23"/>
    <n v="0.32"/>
    <m/>
    <m/>
    <m/>
    <m/>
    <s v="ATENDE"/>
    <s v="ATENDE"/>
    <s v="ATENDE"/>
    <s v="ATENDE"/>
    <s v="C4"/>
    <s v="P6"/>
    <n v="1.1733333333333333"/>
    <n v="6.52"/>
    <n v="2.62"/>
    <n v="3"/>
    <n v="0.6"/>
    <s v="ATENDE"/>
    <s v="ATENDE"/>
    <s v="ATENDE"/>
    <s v="P6"/>
    <n v="1.8766666666666669"/>
    <n v="8.6300000000000008"/>
    <n v="2.5"/>
    <n v="3"/>
    <n v="0.6"/>
    <s v="ATENDE"/>
    <s v="ATENDE"/>
    <s v="ATENDE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4"/>
    <s v="PVP"/>
    <s v="Rua Joao Goulart, 242"/>
    <n v="-30.02084013"/>
    <n v="-50.150235360000003"/>
    <x v="2"/>
    <s v="-"/>
    <x v="1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40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199999999999997"/>
    <n v="0.88888888888888906"/>
    <s v="-"/>
    <n v="12.12"/>
    <n v="0.34"/>
    <m/>
    <m/>
    <m/>
    <m/>
    <s v="ATENDE"/>
    <s v="ATENDE"/>
    <s v="ATENDE"/>
    <s v="ATENDE"/>
    <s v="C4"/>
    <s v="P6"/>
    <n v="1.5233333333333334"/>
    <n v="7.57"/>
    <n v="4.37"/>
    <n v="3"/>
    <n v="0.6"/>
    <s v="ATENDE"/>
    <s v="ATENDE"/>
    <s v="ATENDE"/>
    <s v="P6"/>
    <n v="2.2566666666666664"/>
    <n v="9.77"/>
    <n v="2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4"/>
    <s v="PVP"/>
    <s v="Rua Joao Goulart, 242"/>
    <n v="-30.02084013"/>
    <n v="-50.150235360000003"/>
    <x v="2"/>
    <s v="-"/>
    <x v="1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40.299999999999997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0000000000001"/>
    <n v="0.44444444444444464"/>
    <s v="-"/>
    <n v="11.14"/>
    <n v="0.26"/>
    <m/>
    <m/>
    <m/>
    <m/>
    <s v="ATENDE"/>
    <s v="ATENDE"/>
    <s v="ATENDE"/>
    <s v="ATENDE"/>
    <s v="C4"/>
    <s v="P6"/>
    <n v="0.54"/>
    <n v="4.62"/>
    <n v="1.49"/>
    <n v="3"/>
    <n v="0.6"/>
    <s v="ATENDE"/>
    <s v="ATENDE"/>
    <s v="ATENDE"/>
    <s v="P6"/>
    <n v="2.0666666666666664"/>
    <n v="9.1999999999999993"/>
    <n v="2.52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5"/>
    <s v="PVP"/>
    <s v="Rua Belem, 594"/>
    <n v="-29.997101359999998"/>
    <n v="-50.148150659999999"/>
    <x v="1"/>
    <s v="-"/>
    <x v="1"/>
    <s v="LED"/>
    <n v="50"/>
    <n v="0"/>
    <n v="0"/>
    <n v="250"/>
    <n v="2"/>
    <n v="4"/>
    <n v="7.5"/>
    <m/>
    <m/>
    <n v="0"/>
    <n v="3.5"/>
    <n v="0"/>
    <n v="0"/>
    <n v="0"/>
    <n v="0"/>
    <n v="0"/>
    <s v="Canteiro central"/>
    <s v="Braço"/>
    <n v="24.5"/>
    <n v="7"/>
    <n v="1"/>
    <n v="0.4"/>
    <n v="2.5"/>
    <n v="2.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"/>
    <n v="2.0555555555555558"/>
    <s v="-"/>
    <n v="9.4499999999999993"/>
    <n v="0.55000000000000004"/>
    <m/>
    <m/>
    <m/>
    <m/>
    <s v="ATENDE"/>
    <s v="ATENDE"/>
    <s v="ATENDE"/>
    <s v="ATENDE"/>
    <s v="C5"/>
    <s v="P6"/>
    <n v="0.9933333333333334"/>
    <n v="5.98"/>
    <n v="3.55"/>
    <n v="3"/>
    <n v="0.6"/>
    <s v="ATENDE"/>
    <s v="ATENDE"/>
    <s v="ATENDE"/>
    <s v="P6"/>
    <n v="0.7699999999999998"/>
    <n v="5.31"/>
    <n v="2.8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Médio II"/>
    <m/>
    <s v=""/>
    <s v=""/>
    <m/>
    <m/>
    <m/>
    <m/>
    <m/>
    <m/>
    <n v="30"/>
    <n v="125"/>
    <n v="155"/>
    <n v="0.76"/>
    <m/>
    <m/>
    <s v="Sim"/>
    <m/>
  </r>
  <r>
    <n v="245"/>
    <s v="PVP"/>
    <s v="Rua Belem, 594"/>
    <n v="-29.997101359999998"/>
    <n v="-50.148150659999999"/>
    <x v="1"/>
    <s v="-"/>
    <x v="1"/>
    <s v="LED"/>
    <n v="50"/>
    <n v="0"/>
    <n v="0"/>
    <n v="250"/>
    <n v="2"/>
    <n v="4"/>
    <n v="7.5"/>
    <m/>
    <m/>
    <n v="0"/>
    <n v="3.5"/>
    <n v="0"/>
    <n v="0"/>
    <n v="0"/>
    <n v="0"/>
    <n v="0"/>
    <s v="Canteiro central"/>
    <s v="Braço"/>
    <n v="24.5"/>
    <n v="7"/>
    <n v="1"/>
    <n v="0.4"/>
    <n v="2.5"/>
    <n v="2.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066666666666669"/>
    <n v="2.7222222222222228"/>
    <s v="-"/>
    <n v="8.33"/>
    <n v="0.67"/>
    <m/>
    <m/>
    <m/>
    <m/>
    <s v="ATENDE"/>
    <s v="ATENDE"/>
    <s v="ATENDE"/>
    <s v="ATENDE"/>
    <s v="C5"/>
    <s v="P6"/>
    <n v="0.50333333333333319"/>
    <n v="4.51"/>
    <n v="2.27"/>
    <n v="3"/>
    <n v="0.6"/>
    <s v="ATENDE"/>
    <s v="ATENDE"/>
    <s v="ATENDE"/>
    <s v="P6"/>
    <n v="0.30000000000000004"/>
    <n v="3.9"/>
    <n v="1.78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Médio II"/>
    <m/>
    <s v=""/>
    <s v=""/>
    <m/>
    <m/>
    <m/>
    <m/>
    <m/>
    <m/>
    <n v="30"/>
    <n v="125"/>
    <n v="155"/>
    <n v="0.76"/>
    <m/>
    <m/>
    <s v="Sim"/>
    <m/>
  </r>
  <r>
    <n v="245"/>
    <s v="PVP"/>
    <s v="Rua Belem, 594"/>
    <n v="-29.997101359999998"/>
    <n v="-50.148150659999999"/>
    <x v="1"/>
    <s v="-"/>
    <x v="1"/>
    <s v="LED"/>
    <n v="50"/>
    <n v="0"/>
    <n v="0"/>
    <n v="250"/>
    <n v="2"/>
    <n v="4"/>
    <n v="7.5"/>
    <m/>
    <m/>
    <n v="0"/>
    <n v="3.5"/>
    <n v="0"/>
    <n v="0"/>
    <n v="0"/>
    <n v="0"/>
    <n v="0"/>
    <s v="Canteiro central"/>
    <s v="Braço"/>
    <n v="24.5"/>
    <n v="7"/>
    <n v="1"/>
    <n v="0.4"/>
    <n v="2.5"/>
    <n v="2.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63466666666666671"/>
    <n v="2.7777777777777781"/>
    <s v="-"/>
    <n v="12.26"/>
    <n v="0.68"/>
    <m/>
    <m/>
    <m/>
    <m/>
    <s v="ATENDE"/>
    <s v="ATENDE"/>
    <s v="ATENDE"/>
    <s v="ATENDE"/>
    <s v="C5"/>
    <s v="P6"/>
    <n v="0.96"/>
    <n v="5.88"/>
    <n v="3.36"/>
    <n v="3"/>
    <n v="0.6"/>
    <s v="ATENDE"/>
    <s v="ATENDE"/>
    <s v="ATENDE"/>
    <s v="P6"/>
    <n v="1.0066666666666664"/>
    <n v="6.02"/>
    <n v="3.5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m/>
    <s v="Médio II"/>
    <m/>
    <s v=""/>
    <s v=""/>
    <m/>
    <m/>
    <m/>
    <m/>
    <m/>
    <m/>
    <n v="30"/>
    <n v="125"/>
    <n v="155"/>
    <n v="0.76"/>
    <m/>
    <m/>
    <s v="Sim"/>
    <m/>
  </r>
  <r>
    <n v="246"/>
    <s v="PVP"/>
    <s v="Rua Veneza, 79"/>
    <n v="-30.023193030000002"/>
    <n v="-50.153394839999997"/>
    <x v="2"/>
    <s v="-"/>
    <x v="1"/>
    <s v="Vapor de sódio"/>
    <n v="150"/>
    <n v="22"/>
    <n v="0"/>
    <n v="250"/>
    <n v="2"/>
    <n v="2.5"/>
    <n v="7"/>
    <m/>
    <m/>
    <n v="0"/>
    <n v="2.5"/>
    <n v="0"/>
    <n v="0"/>
    <n v="0"/>
    <n v="0"/>
    <n v="0"/>
    <s v="Unilateral"/>
    <s v="Braço"/>
    <n v="36.1"/>
    <n v="7.3"/>
    <n v="1"/>
    <n v="0.9"/>
    <n v="1.3"/>
    <n v="0.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899999999999999"/>
    <n v="1.166666666666667"/>
    <s v="-"/>
    <n v="11.09"/>
    <n v="0.39"/>
    <m/>
    <m/>
    <m/>
    <m/>
    <s v="ATENDE"/>
    <s v="ATENDE"/>
    <s v="ATENDE"/>
    <s v="ATENDE"/>
    <s v="C4"/>
    <s v="P6"/>
    <n v="1.23"/>
    <n v="6.69"/>
    <n v="3.26"/>
    <n v="3"/>
    <n v="0.6"/>
    <s v="ATENDE"/>
    <s v="ATENDE"/>
    <s v="ATENDE"/>
    <s v="P6"/>
    <n v="2.4166666666666665"/>
    <n v="10.25"/>
    <n v="3.68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6"/>
    <s v="PVP"/>
    <s v="Rua Veneza, 79"/>
    <n v="-30.023193030000002"/>
    <n v="-50.153394839999997"/>
    <x v="2"/>
    <s v="-"/>
    <x v="1"/>
    <s v="Vapor de sódio"/>
    <n v="150"/>
    <n v="22"/>
    <n v="0"/>
    <n v="250"/>
    <n v="2"/>
    <n v="2.5"/>
    <n v="7"/>
    <m/>
    <m/>
    <n v="0"/>
    <n v="2.5"/>
    <n v="0"/>
    <n v="0"/>
    <n v="0"/>
    <n v="0"/>
    <n v="0"/>
    <s v="Unilateral"/>
    <s v="Braço"/>
    <n v="36.1"/>
    <n v="7.3"/>
    <n v="1"/>
    <n v="0.9"/>
    <n v="1.3"/>
    <n v="0.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400000000000006"/>
    <n v="1.9444444444444446"/>
    <s v="-"/>
    <n v="13.14"/>
    <n v="0.53"/>
    <m/>
    <m/>
    <m/>
    <m/>
    <s v="ATENDE"/>
    <s v="ATENDE"/>
    <s v="ATENDE"/>
    <s v="ATENDE"/>
    <s v="C4"/>
    <s v="P6"/>
    <n v="1.5500000000000003"/>
    <n v="7.65"/>
    <n v="5.56"/>
    <n v="3"/>
    <n v="0.6"/>
    <s v="ATENDE"/>
    <s v="ATENDE"/>
    <s v="ATENDE"/>
    <s v="P6"/>
    <n v="2.9566666666666666"/>
    <n v="11.87"/>
    <n v="4.13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6"/>
    <s v="PVP"/>
    <s v="Rua Veneza, 79"/>
    <n v="-30.023193030000002"/>
    <n v="-50.153394839999997"/>
    <x v="2"/>
    <s v="-"/>
    <x v="1"/>
    <s v="Vapor de sódio"/>
    <n v="150"/>
    <n v="22"/>
    <n v="0"/>
    <n v="250"/>
    <n v="2"/>
    <n v="2.5"/>
    <n v="7"/>
    <m/>
    <m/>
    <n v="0"/>
    <n v="2.5"/>
    <n v="0"/>
    <n v="0"/>
    <n v="0"/>
    <n v="0"/>
    <n v="0"/>
    <s v="Unilateral"/>
    <s v="Braço"/>
    <n v="36.1"/>
    <n v="7.3"/>
    <n v="1"/>
    <n v="0.9"/>
    <n v="1.3"/>
    <n v="0.4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100000000000006"/>
    <n v="1.1111111111111112"/>
    <s v="-"/>
    <n v="11.91"/>
    <n v="0.38"/>
    <m/>
    <m/>
    <m/>
    <m/>
    <s v="ATENDE"/>
    <s v="ATENDE"/>
    <s v="ATENDE"/>
    <s v="ATENDE"/>
    <s v="C4"/>
    <s v="P6"/>
    <n v="0.49"/>
    <n v="4.47"/>
    <n v="2.2200000000000002"/>
    <n v="3"/>
    <n v="0.6"/>
    <s v="ATENDE"/>
    <s v="ATENDE"/>
    <s v="ATENDE"/>
    <s v="P6"/>
    <n v="2.7233333333333332"/>
    <n v="11.17"/>
    <n v="4.76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47"/>
    <s v="PVP"/>
    <s v="Rua Quatro, 11"/>
    <n v="-30.008955319999998"/>
    <n v="-50.156438899999998"/>
    <x v="2"/>
    <s v="-"/>
    <x v="1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34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99999999999997E-2"/>
    <n v="1.166666666666667"/>
    <s v="-"/>
    <n v="10.91"/>
    <n v="0.39"/>
    <m/>
    <m/>
    <m/>
    <m/>
    <s v="ATENDE"/>
    <s v="ATENDE"/>
    <s v="ATENDE"/>
    <s v="ATENDE"/>
    <s v="C4"/>
    <s v="P6"/>
    <n v="1.1800000000000002"/>
    <n v="6.54"/>
    <n v="3.17"/>
    <n v="3"/>
    <n v="0.6"/>
    <s v="ATENDE"/>
    <s v="ATENDE"/>
    <s v="ATENDE"/>
    <s v="P6"/>
    <n v="2.313333333333333"/>
    <n v="9.94"/>
    <n v="3.2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7"/>
    <s v="PVP"/>
    <s v="Rua Quatro, 11"/>
    <n v="-30.008955319999998"/>
    <n v="-50.156438899999998"/>
    <x v="2"/>
    <s v="-"/>
    <x v="1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34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9000000000000146E-2"/>
    <n v="1.7222222222222223"/>
    <s v="-"/>
    <n v="10.39"/>
    <n v="0.49"/>
    <m/>
    <m/>
    <m/>
    <m/>
    <s v="ATENDE"/>
    <s v="ATENDE"/>
    <s v="ATENDE"/>
    <s v="ATENDE"/>
    <s v="C4"/>
    <s v="P6"/>
    <n v="0.84333333333333349"/>
    <n v="5.53"/>
    <n v="3.65"/>
    <n v="3"/>
    <n v="0.6"/>
    <s v="ATENDE"/>
    <s v="ATENDE"/>
    <s v="ATENDE"/>
    <s v="P6"/>
    <n v="1.8166666666666664"/>
    <n v="8.4499999999999993"/>
    <n v="3.1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7"/>
    <s v="PVP"/>
    <s v="Rua Quatro, 11"/>
    <n v="-30.008955319999998"/>
    <n v="-50.156438899999998"/>
    <x v="2"/>
    <s v="-"/>
    <x v="1"/>
    <s v="Vapor de sódio"/>
    <n v="100"/>
    <n v="17"/>
    <n v="0"/>
    <n v="250"/>
    <n v="2"/>
    <n v="2.5"/>
    <n v="7"/>
    <m/>
    <m/>
    <n v="0"/>
    <n v="2.5"/>
    <n v="0"/>
    <n v="0"/>
    <n v="0"/>
    <n v="0"/>
    <n v="0"/>
    <s v="Unilateral"/>
    <s v="Braço"/>
    <n v="34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100000000000004"/>
    <n v="1.2222222222222223"/>
    <s v="-"/>
    <n v="11.71"/>
    <n v="0.4"/>
    <m/>
    <m/>
    <m/>
    <m/>
    <s v="ATENDE"/>
    <s v="ATENDE"/>
    <s v="ATENDE"/>
    <s v="ATENDE"/>
    <s v="C4"/>
    <s v="P6"/>
    <n v="0.55999999999999983"/>
    <n v="4.68"/>
    <n v="2.27"/>
    <n v="3"/>
    <n v="0.6"/>
    <s v="ATENDE"/>
    <s v="ATENDE"/>
    <s v="ATENDE"/>
    <s v="P6"/>
    <n v="1.9733333333333332"/>
    <n v="8.92"/>
    <n v="3.3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8"/>
    <s v="PV"/>
    <s v="Rua Fernando de Noronha, 480"/>
    <n v="-30.024498749999999"/>
    <n v="-50.148275409999997"/>
    <x v="2"/>
    <s v="-"/>
    <x v="1"/>
    <s v="Vapor de sódio"/>
    <n v="100"/>
    <n v="17"/>
    <n v="0"/>
    <n v="250"/>
    <n v="2"/>
    <n v="2.5"/>
    <n v="7"/>
    <m/>
    <m/>
    <n v="0"/>
    <n v="0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8000000000000016E-2"/>
    <n v="1.3333333333333335"/>
    <s v="-"/>
    <n v="10.18"/>
    <n v="0.42"/>
    <m/>
    <m/>
    <m/>
    <m/>
    <s v="ATENDE"/>
    <s v="ATENDE"/>
    <s v="ATENDE"/>
    <s v="ATENDE"/>
    <s v="C4"/>
    <s v="P4"/>
    <n v="0.14933333333333332"/>
    <n v="8.6199999999999992"/>
    <n v="3.38"/>
    <n v="7.5"/>
    <n v="1.5"/>
    <s v="ATENDE"/>
    <s v="ATENDE"/>
    <s v="ATENDE"/>
    <s v="P4"/>
    <e v="#VALUE!"/>
    <s v=" -"/>
    <s v=" -"/>
    <n v="7.5"/>
    <n v="1.5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8"/>
    <s v="PV"/>
    <s v="Rua Fernando de Noronha, 480"/>
    <n v="-30.024498749999999"/>
    <n v="-50.148275409999997"/>
    <x v="2"/>
    <s v="-"/>
    <x v="1"/>
    <s v="Vapor de sódio"/>
    <n v="100"/>
    <n v="17"/>
    <n v="0"/>
    <n v="250"/>
    <n v="2"/>
    <n v="2.5"/>
    <n v="7"/>
    <m/>
    <m/>
    <n v="0"/>
    <n v="0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1500000000000004"/>
    <n v="1.8888888888888893"/>
    <s v="-"/>
    <n v="14.15"/>
    <n v="0.52"/>
    <m/>
    <m/>
    <m/>
    <m/>
    <s v="ATENDE"/>
    <s v="ATENDE"/>
    <s v="ATENDE"/>
    <s v="ATENDE"/>
    <s v="C4"/>
    <s v="P4"/>
    <n v="0.52133333333333343"/>
    <n v="11.41"/>
    <n v="4.49"/>
    <n v="7.5"/>
    <n v="1.5"/>
    <s v="ATENDE"/>
    <s v="ATENDE"/>
    <s v="ATENDE"/>
    <s v="P4"/>
    <e v="#VALUE!"/>
    <s v=" -"/>
    <s v=" -"/>
    <n v="7.5"/>
    <n v="1.5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8"/>
    <s v="PV"/>
    <s v="Rua Fernando de Noronha, 480"/>
    <n v="-30.024498749999999"/>
    <n v="-50.148275409999997"/>
    <x v="2"/>
    <s v="-"/>
    <x v="1"/>
    <s v="Vapor de sódio"/>
    <n v="100"/>
    <n v="17"/>
    <n v="0"/>
    <n v="250"/>
    <n v="2"/>
    <n v="2.5"/>
    <n v="7"/>
    <m/>
    <m/>
    <n v="0"/>
    <n v="0"/>
    <n v="0"/>
    <n v="0"/>
    <n v="0"/>
    <n v="0"/>
    <n v="0"/>
    <s v="Unilateral"/>
    <s v="Braço"/>
    <n v="34.5"/>
    <n v="7.5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999999999999977E-2"/>
    <n v="1.6666666666666665"/>
    <s v="-"/>
    <n v="10.99"/>
    <n v="0.48"/>
    <m/>
    <m/>
    <m/>
    <m/>
    <s v="ATENDE"/>
    <s v="ATENDE"/>
    <s v="ATENDE"/>
    <s v="ATENDE"/>
    <s v="C4"/>
    <s v="P4"/>
    <n v="0.15866666666666651"/>
    <n v="8.69"/>
    <n v="3.92"/>
    <n v="7.5"/>
    <n v="1.5"/>
    <s v="ATENDE"/>
    <s v="ATENDE"/>
    <s v="ATENDE"/>
    <s v="P4"/>
    <e v="#VALUE!"/>
    <s v=" -"/>
    <s v=" -"/>
    <n v="7.5"/>
    <n v="1.5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21"/>
    <n v="125"/>
    <n v="146"/>
    <n v="0.83199999999999996"/>
    <m/>
    <m/>
    <s v="Sim"/>
    <m/>
  </r>
  <r>
    <n v="249"/>
    <s v="VP"/>
    <s v="Avenida Rubem Berta, 851"/>
    <n v="-29.989387440000002"/>
    <n v="-50.140951039999997"/>
    <x v="3"/>
    <s v="-"/>
    <x v="1"/>
    <s v="LED"/>
    <n v="50"/>
    <n v="0"/>
    <n v="0"/>
    <n v="250"/>
    <n v="2"/>
    <n v="0"/>
    <n v="7"/>
    <m/>
    <m/>
    <n v="0"/>
    <n v="4"/>
    <n v="5.5"/>
    <n v="0"/>
    <n v="0"/>
    <n v="0"/>
    <n v="0"/>
    <s v="Canteiro central"/>
    <s v="Braço"/>
    <n v="34.6"/>
    <n v="8"/>
    <n v="2"/>
    <n v="2.5"/>
    <n v="2.5"/>
    <n v="0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8650000000000011"/>
    <n v="0.3214285714285714"/>
    <s v="-"/>
    <n v="23.73"/>
    <n v="0.37"/>
    <m/>
    <m/>
    <m/>
    <m/>
    <s v="ATENDE"/>
    <s v="ATENDE"/>
    <s v="ATENDE"/>
    <s v="ATENDE"/>
    <s v="C2"/>
    <s v="P6"/>
    <s v="-"/>
    <s v="-"/>
    <s v="-"/>
    <n v="3"/>
    <n v="0.6"/>
    <s v="ATENDE"/>
    <s v="ATENDE"/>
    <s v="ATENDE"/>
    <s v="P6"/>
    <n v="2.3000000000000003"/>
    <n v="9.9"/>
    <n v="5.74"/>
    <n v="3"/>
    <n v="0.6"/>
    <s v="ATENDE"/>
    <s v="ATENDE"/>
    <s v="ATENDE"/>
    <x v="0"/>
    <s v=" SL VT 9.1 85W"/>
    <s v="LUM LED SL VT 9.1 85W"/>
    <m/>
    <n v="0"/>
    <n v="1"/>
    <n v="85"/>
    <n v="0"/>
    <n v="14489"/>
    <n v="0"/>
    <n v="0"/>
    <n v="10"/>
    <s v="Médio II"/>
    <m/>
    <s v=""/>
    <s v=""/>
    <m/>
    <m/>
    <m/>
    <m/>
    <m/>
    <m/>
    <n v="21"/>
    <n v="125"/>
    <n v="146"/>
    <n v="0.83199999999999996"/>
    <m/>
    <m/>
    <s v="Sim"/>
    <m/>
  </r>
  <r>
    <n v="249"/>
    <s v="VP"/>
    <s v="Avenida Rubem Berta, 851"/>
    <n v="-29.989387440000002"/>
    <n v="-50.140951039999997"/>
    <x v="3"/>
    <s v="-"/>
    <x v="1"/>
    <s v="LED"/>
    <n v="50"/>
    <n v="0"/>
    <n v="0"/>
    <n v="250"/>
    <n v="2"/>
    <n v="0"/>
    <n v="7"/>
    <m/>
    <m/>
    <n v="0"/>
    <n v="4"/>
    <n v="5.5"/>
    <n v="0"/>
    <n v="0"/>
    <n v="0"/>
    <n v="0"/>
    <s v="Canteiro central"/>
    <s v="Braço"/>
    <n v="34.6"/>
    <n v="8"/>
    <n v="2"/>
    <n v="2.5"/>
    <n v="2.5"/>
    <n v="0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8999999999999941E-2"/>
    <n v="1.214285714285714"/>
    <s v="-"/>
    <n v="21.18"/>
    <n v="0.62"/>
    <m/>
    <m/>
    <m/>
    <m/>
    <s v="ATENDE"/>
    <s v="ATENDE"/>
    <s v="ATENDE"/>
    <s v="ATENDE"/>
    <s v="C2"/>
    <s v="P6"/>
    <s v="-"/>
    <s v="-"/>
    <s v="-"/>
    <n v="3"/>
    <n v="0.6"/>
    <s v="ATENDE"/>
    <s v="ATENDE"/>
    <s v="ATENDE"/>
    <s v="P6"/>
    <n v="2.2333333333333329"/>
    <n v="9.6999999999999993"/>
    <n v="4.99"/>
    <n v="3"/>
    <n v="0.6"/>
    <s v="ATENDE"/>
    <s v="ATENDE"/>
    <s v="ATENDE"/>
    <x v="1"/>
    <s v="SX-INLPP080HF"/>
    <s v="SXINLPP080K40L12CZF7PHF"/>
    <m/>
    <e v="#N/A"/>
    <n v="1"/>
    <n v="79"/>
    <n v="0"/>
    <n v="13359"/>
    <n v="0"/>
    <n v="0"/>
    <n v="10"/>
    <s v="Médio II"/>
    <m/>
    <s v=""/>
    <s v=""/>
    <m/>
    <m/>
    <m/>
    <m/>
    <m/>
    <m/>
    <n v="21"/>
    <n v="125"/>
    <n v="146"/>
    <n v="0.83199999999999996"/>
    <m/>
    <m/>
    <s v="Sim"/>
    <m/>
  </r>
  <r>
    <n v="249"/>
    <s v="VP"/>
    <s v="Avenida Rubem Berta, 851"/>
    <n v="-29.989387440000002"/>
    <n v="-50.140951039999997"/>
    <x v="3"/>
    <s v="-"/>
    <x v="1"/>
    <s v="LED"/>
    <n v="50"/>
    <n v="0"/>
    <n v="0"/>
    <n v="250"/>
    <n v="2"/>
    <n v="0"/>
    <n v="7"/>
    <m/>
    <m/>
    <n v="0"/>
    <n v="4"/>
    <n v="5.5"/>
    <n v="0"/>
    <n v="0"/>
    <n v="0"/>
    <n v="0"/>
    <s v="Canteiro central"/>
    <s v="Braço"/>
    <n v="34.6"/>
    <n v="8"/>
    <n v="2"/>
    <n v="2.5"/>
    <n v="2.5"/>
    <n v="0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399999999999995"/>
    <n v="0.85714285714285698"/>
    <s v="-"/>
    <n v="23.88"/>
    <n v="0.52"/>
    <m/>
    <m/>
    <m/>
    <m/>
    <s v="ATENDE"/>
    <s v="ATENDE"/>
    <s v="ATENDE"/>
    <s v="ATENDE"/>
    <s v="C2"/>
    <s v="P6"/>
    <s v="-"/>
    <s v="-"/>
    <s v="-"/>
    <n v="3"/>
    <n v="0.6"/>
    <s v="ATENDE"/>
    <s v="ATENDE"/>
    <s v="ATENDE"/>
    <s v="P6"/>
    <n v="2.1133333333333333"/>
    <n v="9.34"/>
    <n v="5.77"/>
    <n v="3"/>
    <n v="0.6"/>
    <s v="ATENDE"/>
    <s v="ATENDE"/>
    <s v="ATENDE"/>
    <x v="2"/>
    <s v="SIGSAGPTLRRSSNDL100W125IBBRS_x000a_"/>
    <s v="SIGSAGPTLRRSSNDL100W125IBBRS_x000a_1-10C1MUN6.5"/>
    <m/>
    <n v="0"/>
    <n v="1"/>
    <n v="100"/>
    <n v="0"/>
    <n v="15162"/>
    <n v="0"/>
    <n v="0"/>
    <n v="10"/>
    <s v="Médio II"/>
    <m/>
    <s v=""/>
    <s v=""/>
    <m/>
    <m/>
    <m/>
    <m/>
    <m/>
    <m/>
    <n v="21"/>
    <n v="125"/>
    <n v="146"/>
    <n v="0.83199999999999996"/>
    <m/>
    <m/>
    <s v="Sim"/>
    <m/>
  </r>
  <r>
    <n v="250"/>
    <s v="PVP"/>
    <s v="Rua Joao Pessoa, 1484"/>
    <n v="-29.98909424"/>
    <n v="-50.137436999999998"/>
    <x v="1"/>
    <s v="-"/>
    <x v="1"/>
    <s v="Vapor de sódio"/>
    <n v="100"/>
    <n v="17"/>
    <n v="0"/>
    <n v="250"/>
    <n v="2"/>
    <n v="5"/>
    <n v="10"/>
    <m/>
    <m/>
    <n v="0"/>
    <n v="5"/>
    <n v="0"/>
    <n v="0"/>
    <n v="0"/>
    <n v="0"/>
    <n v="0"/>
    <s v="Unilateral"/>
    <s v="Braço"/>
    <n v="3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8933333333333322"/>
    <n v="1.1111111111111112"/>
    <s v="-"/>
    <n v="9.67"/>
    <n v="0.38"/>
    <m/>
    <m/>
    <m/>
    <m/>
    <s v="ATENDE"/>
    <s v="ATENDE"/>
    <s v="ATENDE"/>
    <s v="ATENDE"/>
    <s v="C5"/>
    <s v="-"/>
    <e v="#VALUE!"/>
    <n v="6.59"/>
    <n v="1.99"/>
    <s v="-"/>
    <s v="-"/>
    <s v="-"/>
    <s v="-"/>
    <s v="-"/>
    <s v="-"/>
    <e v="#VALUE!"/>
    <n v="3"/>
    <n v="1.55"/>
    <s v="-"/>
    <s v="-"/>
    <s v="-"/>
    <s v="-"/>
    <s v="-"/>
    <x v="0"/>
    <s v=" SL VT 9.1 44W"/>
    <s v="LUM LED SL VT 9.1 44W"/>
    <m/>
    <e v="#N/A"/>
    <n v="1"/>
    <n v="44"/>
    <e v="#N/A"/>
    <n v="7657.99"/>
    <n v="0"/>
    <n v="0"/>
    <n v="5"/>
    <s v="Curto II"/>
    <m/>
    <s v=""/>
    <s v=""/>
    <m/>
    <m/>
    <m/>
    <m/>
    <m/>
    <m/>
    <n v="30"/>
    <n v="125"/>
    <n v="155"/>
    <n v="0.76"/>
    <m/>
    <m/>
    <s v="Sim"/>
    <m/>
  </r>
  <r>
    <n v="250"/>
    <s v="PVP"/>
    <s v="Rua Joao Pessoa, 1484"/>
    <n v="-29.98909424"/>
    <n v="-50.137436999999998"/>
    <x v="1"/>
    <s v="-"/>
    <x v="1"/>
    <s v="Vapor de sódio"/>
    <n v="100"/>
    <n v="17"/>
    <n v="0"/>
    <n v="250"/>
    <n v="2"/>
    <n v="5"/>
    <n v="10"/>
    <m/>
    <m/>
    <n v="0"/>
    <n v="5"/>
    <n v="0"/>
    <n v="0"/>
    <n v="0"/>
    <n v="0"/>
    <n v="0"/>
    <s v="Unilateral"/>
    <s v="Braço"/>
    <n v="3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78933333333333322"/>
    <n v="1.9444444444444446"/>
    <s v="-"/>
    <n v="13.42"/>
    <n v="0.53"/>
    <m/>
    <m/>
    <m/>
    <m/>
    <s v="ATENDE"/>
    <s v="ATENDE"/>
    <s v="ATENDE"/>
    <s v="ATENDE"/>
    <s v="C5"/>
    <s v="-"/>
    <e v="#VALUE!"/>
    <n v="7.94"/>
    <n v="0.97"/>
    <s v="-"/>
    <s v="-"/>
    <s v="-"/>
    <s v="-"/>
    <s v="-"/>
    <s v="-"/>
    <e v="#VALUE!"/>
    <n v="3.42"/>
    <n v="1.22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n v="5"/>
    <s v="Curto II"/>
    <m/>
    <s v=""/>
    <s v=""/>
    <m/>
    <m/>
    <m/>
    <m/>
    <m/>
    <m/>
    <n v="30"/>
    <n v="125"/>
    <n v="155"/>
    <n v="0.76"/>
    <m/>
    <m/>
    <s v="Sim"/>
    <m/>
  </r>
  <r>
    <n v="250"/>
    <s v="PVP"/>
    <s v="Rua Joao Pessoa, 1484"/>
    <n v="-29.98909424"/>
    <n v="-50.137436999999998"/>
    <x v="1"/>
    <s v="-"/>
    <x v="1"/>
    <s v="Vapor de sódio"/>
    <n v="100"/>
    <n v="17"/>
    <n v="0"/>
    <n v="250"/>
    <n v="2"/>
    <n v="5"/>
    <n v="10"/>
    <m/>
    <m/>
    <n v="0"/>
    <n v="5"/>
    <n v="0"/>
    <n v="0"/>
    <n v="0"/>
    <n v="0"/>
    <n v="0"/>
    <s v="Unilateral"/>
    <s v="Braço"/>
    <n v="3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92000000000000015"/>
    <n v="1.5555555555555558"/>
    <s v="-"/>
    <n v="14.4"/>
    <n v="0.46"/>
    <m/>
    <m/>
    <m/>
    <m/>
    <s v="ATENDE"/>
    <s v="ATENDE"/>
    <s v="ATENDE"/>
    <s v="ATENDE"/>
    <s v="C5"/>
    <s v="-"/>
    <e v="#VALUE!"/>
    <n v="8.17"/>
    <n v="1.1499999999999999"/>
    <s v="-"/>
    <s v="-"/>
    <s v="-"/>
    <s v="-"/>
    <s v="-"/>
    <s v="-"/>
    <e v="#VALUE!"/>
    <n v="3.56"/>
    <n v="1.87"/>
    <s v="-"/>
    <s v="-"/>
    <s v="-"/>
    <s v="-"/>
    <s v="-"/>
    <x v="2"/>
    <s v="SIGSAGPTLRRSSNDL_60W_73IBBRS_x000a_"/>
    <s v="SIGSAGPTLRRSSNDL_60W_73IBBRS_x000a_1-10C1MUN6.5"/>
    <m/>
    <e v="#N/A"/>
    <n v="1"/>
    <n v="60"/>
    <n v="0"/>
    <n v="9453"/>
    <n v="0"/>
    <n v="0"/>
    <n v="10"/>
    <s v="Curto II"/>
    <m/>
    <s v=""/>
    <s v=""/>
    <m/>
    <m/>
    <m/>
    <m/>
    <m/>
    <m/>
    <n v="30"/>
    <n v="125"/>
    <n v="155"/>
    <n v="0.76"/>
    <m/>
    <m/>
    <s v="Sim"/>
    <m/>
  </r>
  <r>
    <n v="251"/>
    <s v="PVP"/>
    <s v="Rua Sahydi Abrahao, 670"/>
    <n v="-29.98836296"/>
    <n v="-50.136006610000003"/>
    <x v="1"/>
    <s v="-"/>
    <x v="1"/>
    <s v="Vapor de sódio"/>
    <n v="150"/>
    <n v="22"/>
    <n v="0"/>
    <n v="250"/>
    <n v="2"/>
    <n v="4"/>
    <n v="7"/>
    <m/>
    <m/>
    <n v="0"/>
    <n v="4"/>
    <n v="0"/>
    <n v="0"/>
    <n v="0"/>
    <n v="0"/>
    <n v="0"/>
    <s v="Unilateral"/>
    <s v="Braço"/>
    <n v="40"/>
    <n v="7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6666666666666634E-2"/>
    <n v="0.38888888888888884"/>
    <s v="-"/>
    <n v="7.85"/>
    <n v="0.25"/>
    <m/>
    <m/>
    <m/>
    <m/>
    <s v="ATENDE"/>
    <s v="ATENDE"/>
    <s v="ATENDE"/>
    <s v="ATENDE"/>
    <s v="C5"/>
    <s v="P6"/>
    <n v="0.72333333333333338"/>
    <n v="5.17"/>
    <n v="0.91"/>
    <n v="3"/>
    <n v="0.6"/>
    <s v="ATENDE"/>
    <s v="ATENDE"/>
    <s v="ATENDE"/>
    <s v="P6"/>
    <n v="0.28333333333333344"/>
    <n v="3.85"/>
    <n v="1.07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51"/>
    <s v="PVP"/>
    <s v="Rua Sahydi Abrahao, 670"/>
    <n v="-29.98836296"/>
    <n v="-50.136006610000003"/>
    <x v="1"/>
    <s v="-"/>
    <x v="1"/>
    <s v="Vapor de sódio"/>
    <n v="150"/>
    <n v="22"/>
    <n v="0"/>
    <n v="250"/>
    <n v="2"/>
    <n v="4"/>
    <n v="7"/>
    <m/>
    <m/>
    <n v="0"/>
    <n v="4"/>
    <n v="0"/>
    <n v="0"/>
    <n v="0"/>
    <n v="0"/>
    <n v="0"/>
    <s v="Unilateral"/>
    <s v="Braço"/>
    <n v="40"/>
    <n v="7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533333333333335"/>
    <n v="0.61111111111111116"/>
    <s v="-"/>
    <n v="8.89"/>
    <n v="0.28999999999999998"/>
    <m/>
    <m/>
    <m/>
    <m/>
    <s v="ATENDE"/>
    <s v="ATENDE"/>
    <s v="ATENDE"/>
    <s v="ATENDE"/>
    <s v="C5"/>
    <s v="P6"/>
    <n v="0.96333333333333315"/>
    <n v="5.89"/>
    <n v="0.88"/>
    <n v="3"/>
    <n v="0.6"/>
    <s v="ATENDE"/>
    <s v="ATENDE"/>
    <s v="ATENDE"/>
    <s v="P6"/>
    <n v="0.28666666666666663"/>
    <n v="3.86"/>
    <n v="1.33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0"/>
    <n v="125"/>
    <n v="155"/>
    <n v="0.76"/>
    <m/>
    <m/>
    <s v="Sim"/>
    <m/>
  </r>
  <r>
    <n v="251"/>
    <s v="PVP"/>
    <s v="Rua Sahydi Abrahao, 670"/>
    <n v="-29.98836296"/>
    <n v="-50.136006610000003"/>
    <x v="1"/>
    <s v="-"/>
    <x v="1"/>
    <s v="Vapor de sódio"/>
    <n v="150"/>
    <n v="22"/>
    <n v="0"/>
    <n v="250"/>
    <n v="2"/>
    <n v="4"/>
    <n v="7"/>
    <m/>
    <m/>
    <n v="0"/>
    <n v="4"/>
    <n v="0"/>
    <n v="0"/>
    <n v="0"/>
    <n v="0"/>
    <n v="0"/>
    <s v="Unilateral"/>
    <s v="Braço"/>
    <n v="40"/>
    <n v="7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3733333333333326"/>
    <n v="0"/>
    <s v="-"/>
    <n v="10.029999999999999"/>
    <n v="0.18"/>
    <m/>
    <m/>
    <m/>
    <m/>
    <s v="ATENDE"/>
    <s v="ATENDE"/>
    <s v="ATENDE"/>
    <s v="ATENDE"/>
    <s v="C5"/>
    <s v="P6"/>
    <n v="1.08"/>
    <n v="6.24"/>
    <n v="0.97"/>
    <n v="3"/>
    <n v="0.6"/>
    <s v="ATENDE"/>
    <s v="ATENDE"/>
    <s v="ATENDE"/>
    <s v="P6"/>
    <n v="8.666666666666667E-2"/>
    <n v="3.26"/>
    <n v="0.7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30"/>
    <n v="125"/>
    <n v="155"/>
    <n v="0.76"/>
    <m/>
    <m/>
    <s v="Sim"/>
    <m/>
  </r>
  <r>
    <n v="252"/>
    <s v="PVP"/>
    <s v="Rua Getulio Vargas, 502"/>
    <n v="-29.987439869999999"/>
    <n v="-50.132309990000003"/>
    <x v="1"/>
    <s v="-"/>
    <x v="1"/>
    <s v="Vapor de sódio"/>
    <n v="100"/>
    <n v="17"/>
    <n v="0"/>
    <n v="250"/>
    <n v="2"/>
    <n v="4"/>
    <n v="7"/>
    <m/>
    <m/>
    <n v="0"/>
    <n v="4"/>
    <n v="0"/>
    <n v="0"/>
    <n v="0"/>
    <n v="0"/>
    <n v="0"/>
    <s v="Unilateral"/>
    <s v="Braço"/>
    <n v="41.3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1333333333333222E-2"/>
    <n v="0.11111111111111116"/>
    <s v="-"/>
    <n v="7.81"/>
    <n v="0.2"/>
    <m/>
    <m/>
    <m/>
    <m/>
    <s v="ATENDE"/>
    <s v="ATENDE"/>
    <s v="ATENDE"/>
    <s v="ATENDE"/>
    <s v="C5"/>
    <s v="P6"/>
    <n v="0.77333333333333343"/>
    <n v="5.32"/>
    <n v="0.61"/>
    <n v="3"/>
    <n v="0.6"/>
    <s v="ATENDE"/>
    <s v="ATENDE"/>
    <s v="ATENDE"/>
    <s v="P6"/>
    <n v="0.10666666666666669"/>
    <n v="3.32"/>
    <n v="0.72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0"/>
    <n v="125"/>
    <n v="155"/>
    <n v="0.76"/>
    <m/>
    <m/>
    <s v="Sim"/>
    <m/>
  </r>
  <r>
    <n v="252"/>
    <s v="PVP"/>
    <s v="Rua Getulio Vargas, 502"/>
    <n v="-29.987439869999999"/>
    <n v="-50.132309990000003"/>
    <x v="1"/>
    <s v="-"/>
    <x v="1"/>
    <s v="Vapor de sódio"/>
    <n v="100"/>
    <n v="17"/>
    <n v="0"/>
    <n v="250"/>
    <n v="2"/>
    <n v="4"/>
    <n v="7"/>
    <m/>
    <m/>
    <n v="0"/>
    <n v="4"/>
    <n v="0"/>
    <n v="0"/>
    <n v="0"/>
    <n v="0"/>
    <n v="0"/>
    <s v="Unilateral"/>
    <s v="Braço"/>
    <n v="41.3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866666666666668E-2"/>
    <n v="0.5555555555555558"/>
    <s v="-"/>
    <n v="8.24"/>
    <n v="0.28000000000000003"/>
    <m/>
    <m/>
    <m/>
    <m/>
    <s v="ATENDE"/>
    <s v="ATENDE"/>
    <s v="ATENDE"/>
    <s v="ATENDE"/>
    <s v="C5"/>
    <s v="P6"/>
    <n v="0.49666666666666681"/>
    <n v="4.49"/>
    <n v="0.77"/>
    <n v="3"/>
    <n v="0.6"/>
    <s v="ATENDE"/>
    <s v="ATENDE"/>
    <s v="ATENDE"/>
    <s v="P6"/>
    <n v="0.71"/>
    <n v="5.13"/>
    <n v="2.2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s v="Médio II"/>
    <n v="2.4"/>
    <n v="7.5"/>
    <m/>
    <m/>
    <m/>
    <m/>
    <m/>
    <m/>
    <n v="30"/>
    <n v="125"/>
    <n v="155"/>
    <n v="0.76"/>
    <m/>
    <m/>
    <s v="Sim"/>
    <m/>
  </r>
  <r>
    <n v="252"/>
    <s v="PVP"/>
    <s v="Rua Getulio Vargas, 502"/>
    <n v="-29.987439869999999"/>
    <n v="-50.132309990000003"/>
    <x v="1"/>
    <s v="-"/>
    <x v="1"/>
    <s v="Vapor de sódio"/>
    <n v="100"/>
    <n v="17"/>
    <n v="0"/>
    <n v="250"/>
    <n v="2"/>
    <n v="4"/>
    <n v="7"/>
    <m/>
    <m/>
    <n v="0"/>
    <n v="4"/>
    <n v="0"/>
    <n v="0"/>
    <n v="0"/>
    <n v="0"/>
    <n v="0"/>
    <s v="Unilateral"/>
    <s v="Braço"/>
    <n v="41.3"/>
    <n v="6.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"/>
    <n v="0.16666666666666674"/>
    <s v="-"/>
    <n v="9.4499999999999993"/>
    <n v="0.21"/>
    <m/>
    <m/>
    <m/>
    <m/>
    <s v="ATENDE"/>
    <s v="ATENDE"/>
    <s v="ATENDE"/>
    <s v="ATENDE"/>
    <s v="C5"/>
    <s v="P6"/>
    <n v="0.58666666666666667"/>
    <n v="4.76"/>
    <n v="0.9"/>
    <n v="3"/>
    <n v="0.6"/>
    <s v="ATENDE"/>
    <s v="ATENDE"/>
    <s v="ATENDE"/>
    <s v="P6"/>
    <n v="0.53666666666666685"/>
    <n v="4.6100000000000003"/>
    <n v="1.2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Médio II"/>
    <n v="2.4"/>
    <n v="7.5"/>
    <m/>
    <m/>
    <m/>
    <m/>
    <m/>
    <m/>
    <n v="30"/>
    <n v="125"/>
    <n v="155"/>
    <n v="0.76"/>
    <m/>
    <m/>
    <s v="Sim"/>
    <m/>
  </r>
  <r>
    <n v="253"/>
    <s v="PVP"/>
    <s v="Avenida da Igreja, 308"/>
    <n v="-29.986386719999999"/>
    <n v="-50.131316669999997"/>
    <x v="3"/>
    <s v="-"/>
    <x v="1"/>
    <s v="LED"/>
    <n v="50"/>
    <n v="0"/>
    <n v="0"/>
    <n v="300"/>
    <n v="2"/>
    <n v="1.5"/>
    <n v="6"/>
    <m/>
    <m/>
    <n v="0"/>
    <n v="3"/>
    <n v="6"/>
    <n v="0"/>
    <n v="0"/>
    <n v="0"/>
    <n v="2"/>
    <s v="Canteiro central"/>
    <s v="Braço"/>
    <n v="36.200000000000003"/>
    <n v="7.9"/>
    <n v="3"/>
    <n v="3"/>
    <n v="0.4"/>
    <n v="-2.6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0.18650000000000011"/>
    <n v="0.3214285714285714"/>
    <s v="-"/>
    <n v="23.73"/>
    <n v="0.37"/>
    <m/>
    <m/>
    <m/>
    <m/>
    <s v="ATENDE"/>
    <s v="ATENDE"/>
    <s v="ATENDE"/>
    <s v="ATENDE"/>
    <s v="C2"/>
    <s v="P6"/>
    <n v="10.046666666666667"/>
    <n v="33.14"/>
    <n v="11.9"/>
    <n v="3"/>
    <n v="0.6"/>
    <s v="ATENDE"/>
    <s v="ATENDE"/>
    <s v="ATENDE"/>
    <s v="P6"/>
    <n v="2.3000000000000003"/>
    <n v="9.9"/>
    <n v="5.74"/>
    <n v="3"/>
    <n v="0.6"/>
    <s v="ATENDE"/>
    <s v="ATENDE"/>
    <s v="ATENDE"/>
    <x v="0"/>
    <s v=" SL VT 9.1 65W"/>
    <s v="LUM LED SL VT 9.1 65W"/>
    <m/>
    <e v="#N/A"/>
    <n v="3"/>
    <n v="65"/>
    <n v="0"/>
    <n v="10496"/>
    <n v="0"/>
    <n v="0"/>
    <n v="10"/>
    <s v="Curto I"/>
    <m/>
    <s v=""/>
    <s v=""/>
    <m/>
    <m/>
    <m/>
    <m/>
    <m/>
    <m/>
    <n v="65"/>
    <n v="50"/>
    <n v="345"/>
    <n v="-0.30000000000000004"/>
    <m/>
    <m/>
    <s v="Sim"/>
    <m/>
  </r>
  <r>
    <n v="253"/>
    <s v="PVP"/>
    <s v="Avenida da Igreja, 308"/>
    <n v="-29.986386719999999"/>
    <n v="-50.131316669999997"/>
    <x v="3"/>
    <s v="-"/>
    <x v="1"/>
    <s v="LED"/>
    <n v="50"/>
    <n v="0"/>
    <n v="0"/>
    <n v="300"/>
    <n v="2"/>
    <n v="1.5"/>
    <n v="6"/>
    <m/>
    <m/>
    <n v="0"/>
    <n v="3"/>
    <n v="6"/>
    <n v="0"/>
    <n v="0"/>
    <n v="0"/>
    <n v="2"/>
    <s v="Canteiro central"/>
    <s v="Braço"/>
    <n v="36.200000000000003"/>
    <n v="7.9"/>
    <n v="3"/>
    <n v="3"/>
    <n v="0.4"/>
    <n v="-2.6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5.8999999999999941E-2"/>
    <n v="1.214285714285714"/>
    <s v="-"/>
    <n v="21.18"/>
    <n v="0.62"/>
    <m/>
    <m/>
    <m/>
    <m/>
    <s v="ATENDE"/>
    <s v="ATENDE"/>
    <s v="ATENDE"/>
    <s v="ATENDE"/>
    <s v="C2"/>
    <s v="P6"/>
    <n v="8.39"/>
    <n v="28.17"/>
    <n v="9.2200000000000006"/>
    <n v="3"/>
    <n v="0.6"/>
    <s v="ATENDE"/>
    <s v="ATENDE"/>
    <s v="ATENDE"/>
    <s v="P6"/>
    <n v="2.2333333333333329"/>
    <n v="9.6999999999999993"/>
    <n v="4.99"/>
    <n v="3"/>
    <n v="0.6"/>
    <s v="ATENDE"/>
    <s v="ATENDE"/>
    <s v="ATENDE"/>
    <x v="1"/>
    <s v="SX-INEVO050HF"/>
    <s v="SXINEVO050K40L12CZF7PHF"/>
    <m/>
    <e v="#N/A"/>
    <n v="3"/>
    <n v="50"/>
    <n v="0"/>
    <n v="8650"/>
    <n v="0"/>
    <n v="0"/>
    <n v="10"/>
    <s v="Curto I"/>
    <m/>
    <s v=""/>
    <s v=""/>
    <m/>
    <m/>
    <m/>
    <m/>
    <m/>
    <m/>
    <n v="50"/>
    <n v="50"/>
    <n v="300"/>
    <n v="0"/>
    <m/>
    <m/>
    <s v="Sim"/>
    <m/>
  </r>
  <r>
    <n v="253"/>
    <s v="PVP"/>
    <s v="Avenida da Igreja, 308"/>
    <n v="-29.986386719999999"/>
    <n v="-50.131316669999997"/>
    <x v="3"/>
    <s v="-"/>
    <x v="1"/>
    <s v="LED"/>
    <n v="50"/>
    <n v="0"/>
    <n v="0"/>
    <n v="300"/>
    <n v="2"/>
    <n v="1.5"/>
    <n v="6"/>
    <m/>
    <m/>
    <n v="0"/>
    <n v="3"/>
    <n v="6"/>
    <n v="0"/>
    <n v="0"/>
    <n v="0"/>
    <n v="2"/>
    <s v="Canteiro central"/>
    <s v="Braço"/>
    <n v="36.200000000000003"/>
    <n v="7.9"/>
    <n v="3"/>
    <n v="3"/>
    <n v="0.4"/>
    <n v="-2.6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399999999999995"/>
    <n v="0.85714285714285698"/>
    <s v="-"/>
    <n v="23.88"/>
    <n v="0.52"/>
    <m/>
    <m/>
    <m/>
    <m/>
    <s v="ATENDE"/>
    <s v="ATENDE"/>
    <s v="ATENDE"/>
    <s v="ATENDE"/>
    <s v="C2"/>
    <s v="P6"/>
    <n v="9.6533333333333342"/>
    <n v="31.96"/>
    <n v="9.57"/>
    <n v="3"/>
    <n v="0.6"/>
    <s v="ATENDE"/>
    <s v="ATENDE"/>
    <s v="ATENDE"/>
    <s v="P6"/>
    <n v="2.1133333333333333"/>
    <n v="9.34"/>
    <n v="5.77"/>
    <n v="3"/>
    <n v="0.6"/>
    <s v="ATENDE"/>
    <s v="ATENDE"/>
    <s v="ATENDE"/>
    <x v="2"/>
    <s v="SIGSAGPTLRRSSNDL_60W_73IBBRS_x000a_"/>
    <s v="SIGSAGPTLRRSSNDL_60W_73IBBRS_x000a_1-10C1MUN6.5"/>
    <m/>
    <n v="0"/>
    <n v="3"/>
    <n v="60"/>
    <e v="#N/A"/>
    <n v="9453"/>
    <n v="0"/>
    <n v="0"/>
    <n v="10"/>
    <s v="Curto I"/>
    <m/>
    <s v=""/>
    <s v=""/>
    <m/>
    <m/>
    <m/>
    <m/>
    <m/>
    <m/>
    <n v="60"/>
    <n v="50"/>
    <n v="330"/>
    <n v="-0.19999999999999996"/>
    <m/>
    <m/>
    <s v="Sim"/>
    <m/>
  </r>
  <r>
    <n v="254"/>
    <s v="PVP"/>
    <s v="Rua Deodoro Ritter, 505"/>
    <n v="-29.98607007"/>
    <n v="-50.131163559999997"/>
    <x v="1"/>
    <s v="-"/>
    <x v="1"/>
    <s v="Vapor de sódio"/>
    <n v="250"/>
    <n v="30"/>
    <n v="0"/>
    <n v="500"/>
    <n v="2"/>
    <n v="4"/>
    <n v="6"/>
    <m/>
    <m/>
    <n v="0"/>
    <n v="2.5"/>
    <n v="0"/>
    <n v="0"/>
    <n v="0"/>
    <n v="2"/>
    <n v="3.5"/>
    <s v="Unilateral"/>
    <s v="Braço"/>
    <n v="17.100000000000001"/>
    <n v="5.6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2839999999999998"/>
    <n v="2.5555555555555558"/>
    <s v="-"/>
    <n v="17.13"/>
    <n v="0.64"/>
    <m/>
    <m/>
    <m/>
    <m/>
    <s v="ATENDE"/>
    <s v="ATENDE"/>
    <s v="ATENDE"/>
    <s v="ATENDE"/>
    <s v="C5"/>
    <s v="P6"/>
    <n v="0.49"/>
    <n v="4.47"/>
    <n v="1.81"/>
    <n v="3"/>
    <n v="0.6"/>
    <s v="ATENDE"/>
    <s v="ATENDE"/>
    <s v="ATENDE"/>
    <s v="P6"/>
    <n v="0.32333333333333347"/>
    <n v="3.97"/>
    <n v="2.8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n v="5"/>
    <s v="Curto II"/>
    <m/>
    <s v=""/>
    <s v=""/>
    <m/>
    <m/>
    <m/>
    <m/>
    <m/>
    <m/>
    <n v="28"/>
    <n v="250"/>
    <n v="278"/>
    <n v="0.88800000000000001"/>
    <m/>
    <m/>
    <s v="Sim"/>
    <m/>
  </r>
  <r>
    <n v="254"/>
    <s v="PVP"/>
    <s v="Rua Deodoro Ritter, 505"/>
    <n v="-29.98607007"/>
    <n v="-50.131163559999997"/>
    <x v="1"/>
    <s v="-"/>
    <x v="1"/>
    <s v="Vapor de sódio"/>
    <n v="250"/>
    <n v="30"/>
    <n v="0"/>
    <n v="500"/>
    <n v="2"/>
    <n v="4"/>
    <n v="6"/>
    <m/>
    <m/>
    <n v="0"/>
    <n v="2.5"/>
    <n v="0"/>
    <n v="0"/>
    <n v="0"/>
    <n v="2"/>
    <n v="3.5"/>
    <s v="Unilateral"/>
    <s v="Braço"/>
    <n v="17.100000000000001"/>
    <n v="5.6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680000000000002"/>
    <n v="3.4444444444444446"/>
    <s v="-"/>
    <n v="20.76"/>
    <n v="0.8"/>
    <m/>
    <m/>
    <m/>
    <m/>
    <s v="ATENDE"/>
    <s v="ATENDE"/>
    <s v="ATENDE"/>
    <s v="ATENDE"/>
    <s v="C5"/>
    <s v="P6"/>
    <n v="4.3333333333333224E-2"/>
    <n v="3.13"/>
    <n v="0.86"/>
    <n v="3"/>
    <n v="0.6"/>
    <s v="ATENDE"/>
    <s v="ATENDE"/>
    <s v="ATENDE"/>
    <s v="P6"/>
    <n v="0.21666666666666656"/>
    <n v="3.65"/>
    <n v="2.13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n v="8"/>
    <s v="Curto II"/>
    <m/>
    <s v=""/>
    <s v=""/>
    <m/>
    <m/>
    <m/>
    <m/>
    <m/>
    <m/>
    <n v="31"/>
    <n v="250"/>
    <n v="281"/>
    <n v="0.876"/>
    <m/>
    <m/>
    <s v="Sim"/>
    <m/>
  </r>
  <r>
    <n v="254"/>
    <s v="PVP"/>
    <s v="Rua Deodoro Ritter, 505"/>
    <n v="-29.98607007"/>
    <n v="-50.131163559999997"/>
    <x v="1"/>
    <s v="-"/>
    <x v="1"/>
    <s v="Vapor de sódio"/>
    <n v="250"/>
    <n v="30"/>
    <n v="0"/>
    <n v="500"/>
    <n v="2"/>
    <n v="4"/>
    <n v="6"/>
    <m/>
    <m/>
    <n v="0"/>
    <n v="2.5"/>
    <n v="0"/>
    <n v="0"/>
    <n v="0"/>
    <n v="2"/>
    <n v="3.5"/>
    <s v="Unilateral"/>
    <s v="Braço"/>
    <n v="17.100000000000001"/>
    <n v="5.6"/>
    <n v="1"/>
    <n v="0.2"/>
    <n v="1.3"/>
    <n v="1.100000000000000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8213333333333335"/>
    <n v="3.0555555555555554"/>
    <s v="-"/>
    <n v="21.16"/>
    <n v="0.73"/>
    <m/>
    <m/>
    <m/>
    <m/>
    <s v="ATENDE"/>
    <s v="ATENDE"/>
    <s v="ATENDE"/>
    <s v="ATENDE"/>
    <s v="C5"/>
    <s v="P6"/>
    <n v="0.7699999999999998"/>
    <n v="5.31"/>
    <n v="2.74"/>
    <n v="3"/>
    <n v="0.6"/>
    <s v="ATENDE"/>
    <s v="ATENDE"/>
    <s v="ATENDE"/>
    <s v="P6"/>
    <n v="1.3333333333333419E-2"/>
    <n v="3.04"/>
    <n v="1.6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n v="5"/>
    <s v="Curto II"/>
    <m/>
    <s v=""/>
    <s v=""/>
    <m/>
    <m/>
    <m/>
    <m/>
    <m/>
    <m/>
    <n v="30"/>
    <n v="250"/>
    <n v="280"/>
    <n v="0.88"/>
    <m/>
    <m/>
    <s v="Sim"/>
    <m/>
  </r>
  <r>
    <n v="255"/>
    <s v="PV"/>
    <s v="Avenida Ubatuba de Farias, 123"/>
    <n v="-29.984153119999998"/>
    <n v="-50.129330920000001"/>
    <x v="3"/>
    <s v="-"/>
    <x v="0"/>
    <s v="LED"/>
    <n v="50"/>
    <n v="0"/>
    <n v="0"/>
    <n v="100"/>
    <n v="2"/>
    <n v="2"/>
    <n v="10"/>
    <m/>
    <m/>
    <n v="0"/>
    <n v="0"/>
    <n v="28"/>
    <n v="0"/>
    <n v="0"/>
    <n v="0"/>
    <n v="0"/>
    <s v="Bilateral frontal"/>
    <s v="Braço"/>
    <n v="19.5"/>
    <n v="7.5"/>
    <n v="1"/>
    <n v="0.5"/>
    <n v="1.3"/>
    <n v="0.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3.0499999999999972E-2"/>
    <n v="1.5714285714285712"/>
    <s v="-"/>
    <n v="20.61"/>
    <n v="0.72"/>
    <m/>
    <m/>
    <m/>
    <m/>
    <s v="ATENDE"/>
    <s v="ATENDE"/>
    <s v="ATENDE"/>
    <s v="ATENDE"/>
    <s v="C2"/>
    <s v="P5"/>
    <n v="1.8760000000000003"/>
    <n v="14.38"/>
    <n v="10.66"/>
    <n v="5"/>
    <n v="1"/>
    <s v="ATENDE"/>
    <s v="ATENDE"/>
    <s v="ATENDE"/>
    <s v="-"/>
    <e v="#VALUE!"/>
    <m/>
    <m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50"/>
    <n v="78"/>
    <n v="0.43999999999999995"/>
    <m/>
    <m/>
    <s v="Sim"/>
    <m/>
  </r>
  <r>
    <n v="255"/>
    <s v="PV"/>
    <s v="Avenida Ubatuba de Farias, 123"/>
    <n v="-29.984153119999998"/>
    <n v="-50.129330920000001"/>
    <x v="3"/>
    <s v="-"/>
    <x v="0"/>
    <s v="LED"/>
    <n v="50"/>
    <n v="0"/>
    <n v="0"/>
    <n v="100"/>
    <n v="2"/>
    <n v="2"/>
    <n v="10"/>
    <m/>
    <m/>
    <n v="0"/>
    <n v="0"/>
    <n v="28"/>
    <n v="0"/>
    <n v="0"/>
    <n v="0"/>
    <n v="0"/>
    <s v="Bilateral frontal"/>
    <s v="Braço"/>
    <n v="19.5"/>
    <n v="7.5"/>
    <n v="1"/>
    <n v="0.5"/>
    <n v="1.3"/>
    <n v="0.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46"/>
    <n v="1.8928571428571428"/>
    <s v="-"/>
    <n v="24.92"/>
    <n v="0.81"/>
    <m/>
    <m/>
    <m/>
    <m/>
    <s v="ATENDE"/>
    <s v="ATENDE"/>
    <s v="ATENDE"/>
    <s v="ATENDE"/>
    <s v="C2"/>
    <s v="P5"/>
    <n v="2.0179999999999998"/>
    <n v="15.09"/>
    <n v="11.75"/>
    <n v="5"/>
    <n v="1"/>
    <s v="ATENDE"/>
    <s v="ATENDE"/>
    <s v="ATENDE"/>
    <s v="-"/>
    <e v="#VALUE!"/>
    <m/>
    <m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50"/>
    <n v="81"/>
    <n v="0.38"/>
    <m/>
    <m/>
    <s v="Sim"/>
    <m/>
  </r>
  <r>
    <n v="255"/>
    <s v="PV"/>
    <s v="Avenida Ubatuba de Farias, 123"/>
    <n v="-29.984153119999998"/>
    <n v="-50.129330920000001"/>
    <x v="3"/>
    <s v="-"/>
    <x v="0"/>
    <s v="LED"/>
    <n v="50"/>
    <n v="0"/>
    <n v="0"/>
    <n v="100"/>
    <n v="2"/>
    <n v="2"/>
    <n v="10"/>
    <m/>
    <m/>
    <n v="0"/>
    <n v="0"/>
    <n v="28"/>
    <n v="0"/>
    <n v="0"/>
    <n v="0"/>
    <n v="0"/>
    <s v="Bilateral frontal"/>
    <s v="Braço"/>
    <n v="19.5"/>
    <n v="7.5"/>
    <n v="1"/>
    <n v="0.5"/>
    <n v="1.3"/>
    <n v="0.8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1799999999999997"/>
    <n v="1.714285714285714"/>
    <s v="-"/>
    <n v="24.36"/>
    <n v="0.76"/>
    <m/>
    <m/>
    <m/>
    <m/>
    <s v="ATENDE"/>
    <s v="ATENDE"/>
    <s v="ATENDE"/>
    <s v="ATENDE"/>
    <s v="C2"/>
    <s v="P5"/>
    <n v="2.0960000000000001"/>
    <n v="15.48"/>
    <n v="11.5"/>
    <n v="5"/>
    <n v="1"/>
    <s v="ATENDE"/>
    <s v="ATENDE"/>
    <s v="ATENDE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50"/>
    <n v="80"/>
    <n v="0.4"/>
    <m/>
    <m/>
    <s v="Sim"/>
    <m/>
  </r>
  <r>
    <n v="256"/>
    <s v="PVP"/>
    <s v="Rua Pinheiro Veloso, 467"/>
    <n v="-29.9820353"/>
    <n v="-50.12310002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5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199999999999986E-2"/>
    <n v="0.22222222222222232"/>
    <s v="-"/>
    <n v="8.19"/>
    <n v="0.22"/>
    <m/>
    <m/>
    <m/>
    <m/>
    <s v="ATENDE"/>
    <s v="ATENDE"/>
    <s v="ATENDE"/>
    <s v="ATENDE"/>
    <s v="C5"/>
    <s v="P6"/>
    <n v="1.2833333333333332"/>
    <n v="6.85"/>
    <n v="1.27"/>
    <n v="3"/>
    <n v="0.6"/>
    <s v="ATENDE"/>
    <s v="ATENDE"/>
    <s v="ATENDE"/>
    <s v="P6"/>
    <n v="0.6100000000000001"/>
    <n v="4.83"/>
    <n v="1.4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56"/>
    <s v="PVP"/>
    <s v="Rua Pinheiro Veloso, 467"/>
    <n v="-29.9820353"/>
    <n v="-50.12310002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5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-5.5555555555555469E-2"/>
    <s v="-"/>
    <n v="7.79"/>
    <n v="0.17"/>
    <m/>
    <m/>
    <m/>
    <m/>
    <s v="ATENDE"/>
    <s v="ATENDE"/>
    <s v="ATENDIMENTO LIMIAR"/>
    <s v="ATENDE"/>
    <s v="C5"/>
    <s v="P6"/>
    <n v="1.1666666666666665"/>
    <n v="6.5"/>
    <n v="0.61"/>
    <n v="3"/>
    <n v="0.6"/>
    <s v="ATENDE"/>
    <s v="ATENDE"/>
    <s v="ATENDE"/>
    <s v="P6"/>
    <n v="0.34666666666666668"/>
    <n v="4.04"/>
    <n v="1.0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56"/>
    <s v="PVP"/>
    <s v="Rua Pinheiro Veloso, 467"/>
    <n v="-29.9820353"/>
    <n v="-50.12310002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45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8.5333333333333483E-2"/>
    <n v="-5.5555555555555469E-2"/>
    <s v="-"/>
    <n v="8.14"/>
    <n v="0.17"/>
    <m/>
    <m/>
    <m/>
    <m/>
    <s v="ATENDE"/>
    <s v="ATENDE"/>
    <s v="ATENDIMENTO LIMIAR"/>
    <s v="ATENDE"/>
    <s v="C5"/>
    <s v="P6"/>
    <n v="0.53666666666666685"/>
    <n v="4.6100000000000003"/>
    <n v="0.89"/>
    <n v="3"/>
    <n v="0.6"/>
    <s v="ATENDE"/>
    <s v="ATENDE"/>
    <s v="ATENDE"/>
    <s v="P6"/>
    <n v="0.89333333333333331"/>
    <n v="5.68"/>
    <n v="1.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Longo I"/>
    <n v="2.8"/>
    <n v="8"/>
    <m/>
    <m/>
    <m/>
    <m/>
    <m/>
    <m/>
    <n v="40"/>
    <n v="100"/>
    <n v="140"/>
    <n v="0.6"/>
    <m/>
    <m/>
    <s v="Sim"/>
    <m/>
  </r>
  <r>
    <n v="257"/>
    <s v="PVP"/>
    <s v="Rua Julio de Castilhos, 144"/>
    <n v="-29.983908450000001"/>
    <n v="-50.125176340000003"/>
    <x v="2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4000000000000021E-2"/>
    <n v="1.0555555555555558"/>
    <s v="-"/>
    <n v="10.24"/>
    <n v="0.37"/>
    <m/>
    <m/>
    <m/>
    <m/>
    <s v="ATENDE"/>
    <s v="ATENDE"/>
    <s v="ATENDE"/>
    <s v="ATENDE"/>
    <s v="C4"/>
    <s v="P6"/>
    <n v="1.9166666666666665"/>
    <n v="8.75"/>
    <n v="2.91"/>
    <n v="3"/>
    <n v="0.6"/>
    <s v="ATENDE"/>
    <s v="ATENDE"/>
    <s v="ATENDE"/>
    <s v="P6"/>
    <n v="0.84999999999999987"/>
    <n v="5.55"/>
    <n v="2.6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57"/>
    <s v="PVP"/>
    <s v="Rua Julio de Castilhos, 144"/>
    <n v="-29.983908450000001"/>
    <n v="-50.125176340000003"/>
    <x v="2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2700000000000005"/>
    <n v="1.3333333333333335"/>
    <s v="-"/>
    <n v="14.27"/>
    <n v="0.42"/>
    <m/>
    <m/>
    <m/>
    <m/>
    <s v="ATENDE"/>
    <s v="ATENDE"/>
    <s v="ATENDE"/>
    <s v="ATENDE"/>
    <s v="C4"/>
    <s v="P6"/>
    <n v="2.8366666666666664"/>
    <n v="11.51"/>
    <n v="3.05"/>
    <n v="3"/>
    <n v="0.6"/>
    <s v="ATENDE"/>
    <s v="ATENDE"/>
    <s v="ATENDE"/>
    <s v="P6"/>
    <n v="1.3833333333333333"/>
    <n v="7.15"/>
    <n v="4.8"/>
    <n v="3"/>
    <n v="0.6"/>
    <s v="ATENDE"/>
    <s v="ATENDE"/>
    <s v="ATENDE"/>
    <x v="1"/>
    <s v="SX-INEVO050HF"/>
    <s v="SXINEVO050K40L12CZF7PHF"/>
    <m/>
    <n v="0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57"/>
    <s v="PVP"/>
    <s v="Rua Julio de Castilhos, 144"/>
    <n v="-29.983908450000001"/>
    <n v="-50.125176340000003"/>
    <x v="2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4999999999999964E-2"/>
    <n v="0.83333333333333348"/>
    <s v="-"/>
    <n v="10.85"/>
    <n v="0.33"/>
    <m/>
    <m/>
    <m/>
    <m/>
    <s v="ATENDE"/>
    <s v="ATENDE"/>
    <s v="ATENDE"/>
    <s v="ATENDE"/>
    <s v="C4"/>
    <s v="P6"/>
    <n v="1.9233333333333333"/>
    <n v="8.77"/>
    <n v="2.8"/>
    <n v="3"/>
    <n v="0.6"/>
    <s v="ATENDE"/>
    <s v="ATENDE"/>
    <s v="ATENDE"/>
    <s v="P6"/>
    <n v="0.20666666666666678"/>
    <n v="3.62"/>
    <n v="1.5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e v="#N/A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58"/>
    <s v="PVP"/>
    <s v="Rua Doze de Abril, 721"/>
    <n v="-29.987793750000002"/>
    <n v="-50.127133739999998"/>
    <x v="2"/>
    <s v="-"/>
    <x v="1"/>
    <s v="Vapor de sódio"/>
    <n v="150"/>
    <n v="22"/>
    <n v="0"/>
    <n v="300"/>
    <n v="2"/>
    <n v="2.5"/>
    <n v="7.5"/>
    <m/>
    <m/>
    <n v="0"/>
    <n v="2.5"/>
    <n v="0"/>
    <n v="0"/>
    <n v="0"/>
    <n v="0"/>
    <n v="0"/>
    <s v="Unilateral"/>
    <s v="Braço"/>
    <n v="32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999999999999988"/>
    <n v="1.2222222222222223"/>
    <s v="-"/>
    <n v="11.1"/>
    <n v="0.4"/>
    <m/>
    <m/>
    <m/>
    <m/>
    <s v="ATENDE"/>
    <s v="ATENDE"/>
    <s v="ATENDE"/>
    <s v="ATENDE"/>
    <s v="C4"/>
    <s v="P6"/>
    <n v="2.09"/>
    <n v="9.27"/>
    <n v="3.47"/>
    <n v="3"/>
    <n v="0.6"/>
    <s v="ATENDE"/>
    <s v="ATENDE"/>
    <s v="ATENDE"/>
    <s v="P6"/>
    <n v="1.04"/>
    <n v="6.12"/>
    <n v="3.13"/>
    <n v="3"/>
    <n v="0.6"/>
    <s v="ATENDE"/>
    <s v="ATENDE"/>
    <s v="ATENDE"/>
    <x v="0"/>
    <s v=" SL VT 9.1 44W"/>
    <s v="LUM LED SL VT 9.1 44W"/>
    <m/>
    <e v="#N/A"/>
    <n v="1"/>
    <n v="44"/>
    <e v="#N/A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58"/>
    <s v="PVP"/>
    <s v="Rua Doze de Abril, 721"/>
    <n v="-29.987793750000002"/>
    <n v="-50.127133739999998"/>
    <x v="2"/>
    <s v="-"/>
    <x v="1"/>
    <s v="Vapor de sódio"/>
    <n v="150"/>
    <n v="22"/>
    <n v="0"/>
    <n v="300"/>
    <n v="2"/>
    <n v="2.5"/>
    <n v="7.5"/>
    <m/>
    <m/>
    <n v="0"/>
    <n v="2.5"/>
    <n v="0"/>
    <n v="0"/>
    <n v="0"/>
    <n v="0"/>
    <n v="0"/>
    <s v="Unilateral"/>
    <s v="Braço"/>
    <n v="32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500000000000016E-2"/>
    <n v="2.0000000000000004"/>
    <s v="-"/>
    <n v="10.55"/>
    <n v="0.54"/>
    <m/>
    <m/>
    <m/>
    <m/>
    <s v="ATENDE"/>
    <s v="ATENDE"/>
    <s v="ATENDE"/>
    <s v="ATENDE"/>
    <s v="C4"/>
    <s v="P6"/>
    <n v="1.92"/>
    <n v="8.76"/>
    <n v="3.47"/>
    <n v="3"/>
    <n v="0.6"/>
    <s v="ATENDE"/>
    <s v="ATENDE"/>
    <s v="ATENDE"/>
    <s v="P6"/>
    <n v="0.62999999999999989"/>
    <n v="4.8899999999999997"/>
    <n v="2.93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58"/>
    <s v="PVP"/>
    <s v="Rua Doze de Abril, 721"/>
    <n v="-29.987793750000002"/>
    <n v="-50.127133739999998"/>
    <x v="2"/>
    <s v="-"/>
    <x v="1"/>
    <s v="Vapor de sódio"/>
    <n v="150"/>
    <n v="22"/>
    <n v="0"/>
    <n v="300"/>
    <n v="2"/>
    <n v="2.5"/>
    <n v="7.5"/>
    <m/>
    <m/>
    <n v="0"/>
    <n v="2.5"/>
    <n v="0"/>
    <n v="0"/>
    <n v="0"/>
    <n v="0"/>
    <n v="0"/>
    <s v="Unilateral"/>
    <s v="Braço"/>
    <n v="32.9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7799999999999994"/>
    <n v="1.3888888888888888"/>
    <s v="-"/>
    <n v="11.78"/>
    <n v="0.43"/>
    <m/>
    <m/>
    <m/>
    <m/>
    <s v="ATENDE"/>
    <s v="ATENDE"/>
    <s v="ATENDE"/>
    <s v="ATENDE"/>
    <s v="C4"/>
    <s v="P6"/>
    <n v="2.0833333333333335"/>
    <n v="9.25"/>
    <n v="3.75"/>
    <n v="3"/>
    <n v="0.6"/>
    <s v="ATENDE"/>
    <s v="ATENDE"/>
    <s v="ATENDE"/>
    <s v="P6"/>
    <n v="0.34999999999999987"/>
    <n v="4.05"/>
    <n v="2.009999999999999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59"/>
    <s v="PVP"/>
    <s v="Avenida da Igreja, 60"/>
    <n v="-29.984310050000001"/>
    <n v="-50.133688329999998"/>
    <x v="3"/>
    <s v="-"/>
    <x v="0"/>
    <s v="LED"/>
    <n v="50"/>
    <n v="0"/>
    <n v="0"/>
    <n v="300"/>
    <n v="2"/>
    <n v="1"/>
    <n v="7"/>
    <m/>
    <m/>
    <n v="0"/>
    <n v="3.5"/>
    <n v="6"/>
    <n v="0"/>
    <n v="0"/>
    <n v="0"/>
    <n v="2"/>
    <s v="Canteiro central"/>
    <s v="Braço"/>
    <n v="24.6"/>
    <n v="10"/>
    <n v="3"/>
    <n v="2.8"/>
    <n v="0.3"/>
    <n v="-2.5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6.7500000000000115E-2"/>
    <n v="1.4999999999999996"/>
    <s v="-"/>
    <n v="21.35"/>
    <n v="0.7"/>
    <m/>
    <m/>
    <m/>
    <m/>
    <s v="ATENDE"/>
    <s v="ATENDE"/>
    <s v="ATENDE"/>
    <s v="ATENDE"/>
    <s v="C2"/>
    <s v="P5"/>
    <n v="2.41"/>
    <n v="17.05"/>
    <n v="10.93"/>
    <n v="5"/>
    <n v="1"/>
    <s v="ATENDE"/>
    <s v="ATENDE"/>
    <s v="ATENDE"/>
    <s v="P5"/>
    <n v="1.242"/>
    <n v="11.21"/>
    <n v="10.47"/>
    <n v="5"/>
    <n v="1"/>
    <s v="ATENDE"/>
    <s v="ATENDE"/>
    <s v="ATENDE"/>
    <x v="0"/>
    <s v=" SL VT 9.1 44W"/>
    <s v="LUM LED SL VT 9.1 44W"/>
    <m/>
    <e v="#N/A"/>
    <n v="3"/>
    <n v="44"/>
    <n v="0"/>
    <n v="7657.99"/>
    <n v="0"/>
    <n v="0"/>
    <m/>
    <s v="Curto I"/>
    <m/>
    <s v=""/>
    <s v=""/>
    <m/>
    <m/>
    <m/>
    <m/>
    <m/>
    <m/>
    <n v="44"/>
    <n v="50"/>
    <n v="282"/>
    <n v="0.12"/>
    <m/>
    <m/>
    <s v="Sim"/>
    <m/>
  </r>
  <r>
    <n v="259"/>
    <s v="PVP"/>
    <s v="Avenida da Igreja, 60"/>
    <n v="-29.984310050000001"/>
    <n v="-50.133688329999998"/>
    <x v="3"/>
    <s v="-"/>
    <x v="0"/>
    <s v="LED"/>
    <n v="50"/>
    <n v="0"/>
    <n v="0"/>
    <n v="300"/>
    <n v="2"/>
    <n v="1"/>
    <n v="7"/>
    <m/>
    <m/>
    <n v="0"/>
    <n v="3.5"/>
    <n v="6"/>
    <n v="0"/>
    <n v="0"/>
    <n v="0"/>
    <n v="2"/>
    <s v="Canteiro central"/>
    <s v="Braço"/>
    <n v="24.6"/>
    <n v="10"/>
    <n v="3"/>
    <n v="2.8"/>
    <n v="0.3"/>
    <n v="-2.5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0.43000000000000016"/>
    <n v="1.714285714285714"/>
    <s v="-"/>
    <n v="28.6"/>
    <n v="0.76"/>
    <m/>
    <m/>
    <m/>
    <m/>
    <s v="ATENDE"/>
    <s v="ATENDE"/>
    <s v="ATENDE"/>
    <s v="ATENDE"/>
    <s v="C2"/>
    <s v="P5"/>
    <n v="2.9799999999999995"/>
    <n v="19.899999999999999"/>
    <n v="10.497999999999999"/>
    <n v="5"/>
    <n v="1"/>
    <s v="ATENDE"/>
    <s v="ATENDE"/>
    <s v="ATENDE"/>
    <s v="P5"/>
    <n v="2.1120000000000001"/>
    <n v="15.56"/>
    <n v="12.95"/>
    <n v="5"/>
    <n v="1"/>
    <s v="ATENDE"/>
    <s v="ATENDE"/>
    <s v="ATENDE"/>
    <x v="1"/>
    <s v="SX-INEVO050HF"/>
    <s v="SXINEVO050K40L12CZF7PHF"/>
    <m/>
    <e v="#N/A"/>
    <n v="3"/>
    <n v="50"/>
    <e v="#N/A"/>
    <n v="8650"/>
    <e v="#N/A"/>
    <n v="0"/>
    <m/>
    <s v="Curto I"/>
    <m/>
    <s v=""/>
    <s v=""/>
    <m/>
    <m/>
    <m/>
    <m/>
    <m/>
    <m/>
    <n v="50"/>
    <n v="50"/>
    <n v="300"/>
    <n v="0"/>
    <m/>
    <m/>
    <s v="Sim"/>
    <m/>
  </r>
  <r>
    <n v="259"/>
    <s v="PVP"/>
    <s v="Avenida da Igreja, 60"/>
    <n v="-29.984310050000001"/>
    <n v="-50.133688329999998"/>
    <x v="3"/>
    <s v="-"/>
    <x v="0"/>
    <s v="LED"/>
    <n v="50"/>
    <n v="0"/>
    <n v="0"/>
    <n v="300"/>
    <n v="2"/>
    <n v="1"/>
    <n v="7"/>
    <m/>
    <m/>
    <n v="0"/>
    <n v="3.5"/>
    <n v="6"/>
    <n v="0"/>
    <n v="0"/>
    <n v="0"/>
    <n v="2"/>
    <s v="Canteiro central"/>
    <s v="Braço"/>
    <n v="24.6"/>
    <n v="10"/>
    <n v="3"/>
    <n v="2.8"/>
    <n v="0.3"/>
    <n v="-2.5"/>
    <s v="-"/>
    <s v="-"/>
    <s v="Sim"/>
    <n v="6"/>
    <n v="0"/>
    <n v="0"/>
    <n v="0"/>
    <n v="0"/>
    <n v="0"/>
    <s v="-"/>
    <n v="0"/>
    <m/>
    <n v="20"/>
    <n v="0.28000000000000003"/>
    <s v="-"/>
    <n v="0.28000000000000003"/>
    <s v="-"/>
    <n v="14"/>
    <s v="ATENDE"/>
    <n v="7.1499999999999897E-2"/>
    <n v="1.3571428571428572"/>
    <s v="-"/>
    <n v="21.43"/>
    <n v="0.66"/>
    <m/>
    <m/>
    <m/>
    <m/>
    <s v="ATENDE"/>
    <s v="ATENDE"/>
    <s v="ATENDE"/>
    <s v="ATENDE"/>
    <s v="C2"/>
    <s v="P5"/>
    <n v="2.1859999999999999"/>
    <n v="15.93"/>
    <n v="9.4499999999999993"/>
    <n v="5"/>
    <n v="1"/>
    <s v="ATENDE"/>
    <s v="ATENDE"/>
    <s v="ATENDE"/>
    <s v="P5"/>
    <n v="1.0880000000000001"/>
    <n v="10.44"/>
    <n v="8"/>
    <n v="5"/>
    <n v="1"/>
    <s v="ATENDE"/>
    <s v="ATENDE"/>
    <s v="ATENDE"/>
    <x v="2"/>
    <s v="SIGSAGPTLRRSSNDL_40W_50IBBRS_x000a_"/>
    <s v="SIGSAGPTLRRSSNDL_40W_50IBBRS_x000a_1-10C1MUN6.5"/>
    <m/>
    <e v="#N/A"/>
    <n v="3"/>
    <n v="40"/>
    <e v="#N/A"/>
    <n v="6641"/>
    <e v="#N/A"/>
    <n v="0"/>
    <m/>
    <s v="Curto I"/>
    <m/>
    <s v=""/>
    <s v=""/>
    <m/>
    <m/>
    <m/>
    <m/>
    <m/>
    <m/>
    <n v="40"/>
    <n v="50"/>
    <n v="270"/>
    <n v="0.19999999999999996"/>
    <m/>
    <m/>
    <s v="Sim"/>
    <m/>
  </r>
  <r>
    <n v="260"/>
    <s v="PVP"/>
    <s v="Avenida Emancipacao, 30"/>
    <n v="-29.98304714"/>
    <n v="-50.133448280000003"/>
    <x v="4"/>
    <s v="-"/>
    <x v="0"/>
    <s v="LED"/>
    <n v="99"/>
    <n v="0"/>
    <n v="0"/>
    <n v="198"/>
    <n v="2"/>
    <n v="2"/>
    <n v="4"/>
    <m/>
    <m/>
    <n v="0"/>
    <n v="3"/>
    <n v="0"/>
    <n v="0"/>
    <n v="0"/>
    <n v="0"/>
    <n v="2"/>
    <s v="Bilateral alternada"/>
    <s v="Braço"/>
    <n v="48"/>
    <n v="6.8"/>
    <n v="1"/>
    <n v="0.4"/>
    <n v="1.3"/>
    <n v="0.9"/>
    <s v="-"/>
    <s v="-"/>
    <s v="Não"/>
    <n v="3"/>
    <n v="0"/>
    <n v="0"/>
    <n v="0"/>
    <n v="0"/>
    <n v="0"/>
    <s v="-"/>
    <n v="0"/>
    <m/>
    <n v="15"/>
    <n v="0.18"/>
    <s v="-"/>
    <n v="0.18"/>
    <s v="-"/>
    <n v="15"/>
    <s v="ATENDE"/>
    <n v="0.14066666666666672"/>
    <n v="2.1666666666666665"/>
    <s v="-"/>
    <n v="17.11"/>
    <n v="0.56999999999999995"/>
    <m/>
    <m/>
    <m/>
    <m/>
    <s v="ATENDE"/>
    <s v="ATENDE"/>
    <s v="ATENDE"/>
    <s v="ATENDE"/>
    <s v="C3"/>
    <s v="P5"/>
    <n v="1.8780000000000001"/>
    <n v="14.39"/>
    <n v="8.3699999999999992"/>
    <n v="5"/>
    <n v="1"/>
    <s v="ATENDE"/>
    <s v="ATENDE"/>
    <s v="ATENDE"/>
    <s v="P5"/>
    <n v="0.79800000000000004"/>
    <n v="8.99"/>
    <n v="5.22"/>
    <n v="5"/>
    <n v="1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99"/>
    <n v="143"/>
    <n v="0.55555555555555558"/>
    <m/>
    <m/>
    <s v="Sim"/>
    <m/>
  </r>
  <r>
    <n v="260"/>
    <s v="PVP"/>
    <s v="Avenida Emancipacao, 30"/>
    <n v="-29.98304714"/>
    <n v="-50.133448280000003"/>
    <x v="4"/>
    <s v="-"/>
    <x v="0"/>
    <s v="LED"/>
    <n v="99"/>
    <n v="0"/>
    <n v="0"/>
    <n v="198"/>
    <n v="2"/>
    <n v="2"/>
    <n v="4"/>
    <m/>
    <m/>
    <n v="0"/>
    <n v="3"/>
    <n v="0"/>
    <n v="0"/>
    <n v="0"/>
    <n v="0"/>
    <n v="2"/>
    <s v="Bilateral alternada"/>
    <s v="Braço"/>
    <n v="48"/>
    <n v="6.8"/>
    <n v="1"/>
    <n v="0.4"/>
    <n v="1.3"/>
    <n v="0.9"/>
    <s v="-"/>
    <s v="-"/>
    <s v="Não"/>
    <n v="3"/>
    <n v="0"/>
    <n v="0"/>
    <n v="0"/>
    <n v="0"/>
    <n v="0"/>
    <s v="-"/>
    <n v="0"/>
    <m/>
    <n v="15"/>
    <n v="0.18"/>
    <s v="-"/>
    <n v="0.18"/>
    <s v="-"/>
    <n v="15"/>
    <s v="ATENDE"/>
    <n v="8.2000000000000073E-2"/>
    <n v="2.9444444444444442"/>
    <s v="-"/>
    <n v="16.23"/>
    <n v="0.71"/>
    <m/>
    <m/>
    <m/>
    <m/>
    <s v="ATENDE"/>
    <s v="ATENDE"/>
    <s v="ATENDE"/>
    <s v="ATENDE"/>
    <s v="C3"/>
    <s v="P5"/>
    <n v="1.75"/>
    <n v="13.75"/>
    <n v="9.99"/>
    <n v="5"/>
    <n v="1"/>
    <s v="ATENDE"/>
    <s v="ATENDE"/>
    <s v="ATENDE"/>
    <s v="P5"/>
    <n v="0.57200000000000006"/>
    <n v="7.86"/>
    <n v="4.79"/>
    <n v="5"/>
    <n v="1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99"/>
    <n v="138"/>
    <n v="0.60606060606060608"/>
    <m/>
    <m/>
    <s v="Sim"/>
    <m/>
  </r>
  <r>
    <n v="260"/>
    <s v="PVP"/>
    <s v="Avenida Emancipacao, 30"/>
    <n v="-29.98304714"/>
    <n v="-50.133448280000003"/>
    <x v="4"/>
    <s v="-"/>
    <x v="0"/>
    <s v="LED"/>
    <n v="99"/>
    <n v="0"/>
    <n v="0"/>
    <n v="198"/>
    <n v="2"/>
    <n v="2"/>
    <n v="4"/>
    <m/>
    <m/>
    <n v="0"/>
    <n v="3"/>
    <n v="0"/>
    <n v="0"/>
    <n v="0"/>
    <n v="0"/>
    <n v="2"/>
    <s v="Bilateral alternada"/>
    <s v="Braço"/>
    <n v="48"/>
    <n v="6.8"/>
    <n v="1"/>
    <n v="0.4"/>
    <n v="1.3"/>
    <n v="0.9"/>
    <s v="-"/>
    <s v="-"/>
    <s v="Não"/>
    <n v="3"/>
    <n v="0"/>
    <n v="0"/>
    <n v="0"/>
    <n v="0"/>
    <n v="0"/>
    <s v="-"/>
    <n v="0"/>
    <m/>
    <n v="15"/>
    <n v="0.18"/>
    <s v="-"/>
    <n v="0.18"/>
    <s v="-"/>
    <n v="15"/>
    <s v="ATENDE"/>
    <n v="0.27533333333333321"/>
    <n v="3.2222222222222223"/>
    <s v="-"/>
    <n v="19.13"/>
    <n v="0.76"/>
    <m/>
    <m/>
    <m/>
    <m/>
    <s v="ATENDE"/>
    <s v="ATENDE"/>
    <s v="ATENDE"/>
    <s v="ATENDE"/>
    <s v="C3"/>
    <s v="P5"/>
    <n v="1.92"/>
    <n v="14.6"/>
    <n v="10.55"/>
    <n v="5"/>
    <n v="1"/>
    <s v="ATENDE"/>
    <s v="ATENDE"/>
    <s v="ATENDE"/>
    <s v="P5"/>
    <n v="0.51600000000000001"/>
    <n v="7.58"/>
    <n v="4.6900000000000004"/>
    <n v="5"/>
    <n v="1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99"/>
    <n v="139"/>
    <n v="0.59595959595959602"/>
    <m/>
    <m/>
    <s v="Sim"/>
    <m/>
  </r>
  <r>
    <n v="261"/>
    <s v="PVP"/>
    <s v="Rua Jorge Sperb, 226"/>
    <n v="-29.984980050000001"/>
    <n v="-50.135241669999999"/>
    <x v="2"/>
    <s v="-"/>
    <x v="1"/>
    <s v="Vapor de sódio"/>
    <n v="250"/>
    <n v="30"/>
    <n v="0"/>
    <n v="2000"/>
    <n v="2"/>
    <n v="5"/>
    <n v="7"/>
    <m/>
    <m/>
    <n v="0"/>
    <n v="5"/>
    <n v="0"/>
    <n v="0"/>
    <n v="0"/>
    <n v="2"/>
    <n v="2"/>
    <s v="Unilateral"/>
    <s v="Suporte"/>
    <n v="30.7"/>
    <n v="7"/>
    <n v="4"/>
    <n v="0.6"/>
    <n v="0"/>
    <n v="-0.6"/>
    <s v="-"/>
    <s v="-"/>
    <s v="Sim"/>
    <n v="8"/>
    <n v="0"/>
    <n v="0"/>
    <n v="0"/>
    <n v="0"/>
    <n v="0"/>
    <s v="-"/>
    <n v="0"/>
    <m/>
    <n v="10"/>
    <n v="0.18"/>
    <s v="-"/>
    <n v="0.18"/>
    <s v="-"/>
    <n v="16"/>
    <s v="ATENDE"/>
    <n v="0.54700000000000015"/>
    <n v="0.2777777777777779"/>
    <s v="-"/>
    <n v="15.47"/>
    <n v="0.23"/>
    <m/>
    <m/>
    <m/>
    <m/>
    <s v="ATENDE"/>
    <s v="ATENDE"/>
    <s v="ATENDE"/>
    <s v="ATENDE"/>
    <s v="C4"/>
    <s v="P6"/>
    <n v="7.48"/>
    <n v="25.44"/>
    <n v="6.76"/>
    <n v="3"/>
    <n v="0.6"/>
    <s v="ATENDE"/>
    <s v="ATENDE"/>
    <s v="ATENDE"/>
    <s v="P6"/>
    <n v="0.15999999999999992"/>
    <n v="3.48"/>
    <n v="1.05"/>
    <n v="3"/>
    <n v="0.6"/>
    <s v="ATENDE"/>
    <s v="ATENDE"/>
    <s v="ATENDE"/>
    <x v="0"/>
    <s v=" SL VT 9.1 28W"/>
    <s v="LUM LED SL VT 9.1 28W"/>
    <m/>
    <e v="#N/A"/>
    <n v="4"/>
    <n v="28"/>
    <n v="0"/>
    <n v="4927.3500000000004"/>
    <n v="0"/>
    <n v="0"/>
    <n v="5"/>
    <s v="Curto I"/>
    <m/>
    <s v=""/>
    <s v=""/>
    <m/>
    <m/>
    <m/>
    <m/>
    <m/>
    <m/>
    <n v="28"/>
    <n v="250"/>
    <n v="1112"/>
    <n v="0.88800000000000001"/>
    <m/>
    <m/>
    <s v="Sim"/>
    <m/>
  </r>
  <r>
    <n v="261"/>
    <s v="PVP"/>
    <s v="Rua Jorge Sperb, 226"/>
    <n v="-29.984980050000001"/>
    <n v="-50.135241669999999"/>
    <x v="2"/>
    <s v="-"/>
    <x v="1"/>
    <s v="Vapor de sódio"/>
    <n v="250"/>
    <n v="30"/>
    <n v="0"/>
    <n v="2000"/>
    <n v="2"/>
    <n v="5"/>
    <n v="7"/>
    <m/>
    <m/>
    <n v="0"/>
    <n v="5"/>
    <n v="0"/>
    <n v="0"/>
    <n v="0"/>
    <n v="2"/>
    <n v="2"/>
    <s v="Unilateral"/>
    <s v="Suporte"/>
    <n v="30.7"/>
    <n v="7"/>
    <n v="4"/>
    <n v="0.6"/>
    <n v="0"/>
    <n v="-0.6"/>
    <s v="-"/>
    <s v="-"/>
    <s v="Sim"/>
    <n v="8"/>
    <n v="0"/>
    <n v="0"/>
    <n v="0"/>
    <n v="0"/>
    <n v="0"/>
    <s v="-"/>
    <n v="0"/>
    <m/>
    <n v="10"/>
    <n v="0.18"/>
    <s v="-"/>
    <n v="0.18"/>
    <s v="-"/>
    <n v="16"/>
    <s v="ATENDE"/>
    <n v="0.13100000000000001"/>
    <n v="0.94444444444444442"/>
    <s v="-"/>
    <n v="11.31"/>
    <n v="0.35"/>
    <m/>
    <m/>
    <m/>
    <m/>
    <s v="ATENDE"/>
    <s v="ATENDE"/>
    <s v="ATENDE"/>
    <s v="ATENDE"/>
    <s v="C4"/>
    <s v="P6"/>
    <n v="5.0199999999999996"/>
    <n v="18.059999999999999"/>
    <n v="5.94"/>
    <n v="3"/>
    <n v="0.6"/>
    <s v="ATENDE"/>
    <s v="ATENDE"/>
    <s v="ATENDE"/>
    <s v="P6"/>
    <n v="8.3333333333333259E-2"/>
    <n v="3.25"/>
    <n v="1.36"/>
    <n v="3"/>
    <n v="0.6"/>
    <s v="ATENDE"/>
    <s v="ATENDE"/>
    <s v="ATENDE"/>
    <x v="1"/>
    <s v="SX-INEVO020HF"/>
    <s v="SXINEVO020K40L12CZF7PHF"/>
    <m/>
    <e v="#N/A"/>
    <n v="4"/>
    <n v="22.5"/>
    <n v="0"/>
    <n v="3825"/>
    <n v="0"/>
    <n v="0"/>
    <n v="10"/>
    <s v="Curto I"/>
    <m/>
    <s v=""/>
    <s v=""/>
    <m/>
    <m/>
    <m/>
    <m/>
    <m/>
    <m/>
    <n v="22.5"/>
    <n v="250"/>
    <n v="1090"/>
    <n v="0.91"/>
    <m/>
    <m/>
    <s v="Sim"/>
    <m/>
  </r>
  <r>
    <n v="261"/>
    <s v="PVP"/>
    <s v="Rua Jorge Sperb, 226"/>
    <n v="-29.984980050000001"/>
    <n v="-50.135241669999999"/>
    <x v="2"/>
    <s v="-"/>
    <x v="1"/>
    <s v="Vapor de sódio"/>
    <n v="250"/>
    <n v="30"/>
    <n v="0"/>
    <n v="2000"/>
    <n v="2"/>
    <n v="5"/>
    <n v="7"/>
    <m/>
    <m/>
    <n v="0"/>
    <n v="5"/>
    <n v="0"/>
    <n v="0"/>
    <n v="0"/>
    <n v="2"/>
    <n v="2"/>
    <s v="Unilateral"/>
    <s v="Suporte"/>
    <n v="30.7"/>
    <n v="7"/>
    <n v="4"/>
    <n v="0.6"/>
    <n v="0"/>
    <n v="-0.6"/>
    <s v="-"/>
    <s v="-"/>
    <s v="Sim"/>
    <n v="8"/>
    <n v="0"/>
    <n v="0"/>
    <n v="0"/>
    <n v="0"/>
    <n v="0"/>
    <s v="-"/>
    <n v="0"/>
    <m/>
    <n v="10"/>
    <n v="0.18"/>
    <s v="-"/>
    <n v="0.18"/>
    <s v="-"/>
    <n v="16"/>
    <s v="ATENDE"/>
    <n v="0.73"/>
    <n v="0.83333333333333348"/>
    <s v="-"/>
    <n v="17.3"/>
    <n v="0.33"/>
    <m/>
    <m/>
    <m/>
    <m/>
    <s v="ATENDE"/>
    <s v="ATENDE"/>
    <s v="ATENDE"/>
    <s v="ATENDE"/>
    <s v="C4"/>
    <s v="P6"/>
    <n v="8.2200000000000006"/>
    <n v="27.66"/>
    <n v="10.119999999999999"/>
    <n v="3"/>
    <n v="0.6"/>
    <s v="ATENDE"/>
    <s v="ATENDE"/>
    <s v="ATENDE"/>
    <s v="P6"/>
    <n v="0.59999999999999987"/>
    <n v="4.8"/>
    <n v="1.37"/>
    <n v="3"/>
    <n v="0.6"/>
    <s v="ATENDE"/>
    <s v="ATENDE"/>
    <s v="ATENDE"/>
    <x v="2"/>
    <s v="SIGSAGPTLRRSSNDL_30W_38IBBRS_x000a_"/>
    <s v="SIGSAGPTLRRSSNDL_30W_38IBBRS_x000a_1-10C1MUN6.5"/>
    <m/>
    <n v="0"/>
    <n v="4"/>
    <n v="30"/>
    <e v="#N/A"/>
    <n v="5266"/>
    <n v="0"/>
    <n v="0"/>
    <n v="10"/>
    <s v="Curto I"/>
    <m/>
    <s v=""/>
    <s v=""/>
    <m/>
    <m/>
    <m/>
    <m/>
    <m/>
    <m/>
    <n v="30"/>
    <n v="250"/>
    <n v="1120"/>
    <n v="0.88"/>
    <m/>
    <m/>
    <s v="Sim"/>
    <m/>
  </r>
  <r>
    <n v="262"/>
    <s v="PVP"/>
    <s v="Rua Jorge Sperb, 39"/>
    <n v="-29.98419621"/>
    <n v="-50.136571889999999"/>
    <x v="1"/>
    <s v="-"/>
    <x v="1"/>
    <s v="Vapor de sódio"/>
    <n v="150"/>
    <n v="22"/>
    <n v="0"/>
    <n v="300"/>
    <n v="2"/>
    <n v="3"/>
    <n v="7"/>
    <m/>
    <m/>
    <n v="0"/>
    <n v="3"/>
    <n v="0"/>
    <n v="0"/>
    <n v="0"/>
    <n v="2"/>
    <n v="2"/>
    <s v="Unilateral"/>
    <s v="Braço"/>
    <n v="25.7"/>
    <n v="6.6"/>
    <n v="1"/>
    <n v="0.2"/>
    <n v="2.8"/>
    <n v="2.599999999999999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266666666666683"/>
    <n v="1.8333333333333335"/>
    <s v="-"/>
    <n v="9.4700000000000006"/>
    <n v="0.51"/>
    <m/>
    <m/>
    <m/>
    <m/>
    <s v="ATENDE"/>
    <s v="ATENDE"/>
    <s v="ATENDE"/>
    <s v="ATENDE"/>
    <s v="C5"/>
    <s v="P6"/>
    <n v="0.44333333333333336"/>
    <n v="4.33"/>
    <n v="2.14"/>
    <n v="3"/>
    <n v="0.6"/>
    <s v="ATENDE"/>
    <s v="ATENDE"/>
    <s v="ATENDE"/>
    <s v="P6"/>
    <n v="0.1100000000000001"/>
    <n v="3.33"/>
    <n v="2.1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n v="5"/>
    <s v="Longo I"/>
    <m/>
    <s v=""/>
    <s v=""/>
    <m/>
    <m/>
    <m/>
    <m/>
    <m/>
    <m/>
    <n v="50"/>
    <n v="150"/>
    <n v="200"/>
    <n v="0.66666666666666674"/>
    <m/>
    <m/>
    <s v="Sim"/>
    <m/>
  </r>
  <r>
    <n v="262"/>
    <s v="PVP"/>
    <s v="Rua Jorge Sperb, 39"/>
    <n v="-29.98419621"/>
    <n v="-50.136571889999999"/>
    <x v="1"/>
    <s v="-"/>
    <x v="1"/>
    <s v="Vapor de sódio"/>
    <n v="150"/>
    <n v="22"/>
    <n v="0"/>
    <n v="300"/>
    <n v="2"/>
    <n v="3"/>
    <n v="7"/>
    <m/>
    <m/>
    <n v="0"/>
    <n v="3"/>
    <n v="0"/>
    <n v="0"/>
    <n v="0"/>
    <n v="2"/>
    <n v="2"/>
    <s v="Unilateral"/>
    <s v="Braço"/>
    <n v="25.7"/>
    <n v="6.6"/>
    <n v="1"/>
    <n v="0.2"/>
    <n v="2.8"/>
    <n v="2.599999999999999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1866666666666683"/>
    <n v="2.9444444444444442"/>
    <s v="-"/>
    <n v="11.39"/>
    <n v="0.71"/>
    <m/>
    <m/>
    <m/>
    <m/>
    <s v="ATENDE"/>
    <s v="ATENDE"/>
    <s v="ATENDE"/>
    <s v="ATENDE"/>
    <s v="C5"/>
    <s v="P6"/>
    <n v="0.11333333333333329"/>
    <n v="3.34"/>
    <n v="0.7"/>
    <n v="3"/>
    <n v="0.6"/>
    <s v="ATENDE"/>
    <s v="ATENDE"/>
    <s v="ATENDE"/>
    <s v="P6"/>
    <n v="0.28666666666666663"/>
    <n v="3.86"/>
    <n v="2.2999999999999998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10"/>
    <s v="Longo I"/>
    <m/>
    <s v=""/>
    <s v=""/>
    <m/>
    <m/>
    <m/>
    <m/>
    <m/>
    <m/>
    <n v="50"/>
    <n v="150"/>
    <n v="200"/>
    <n v="0.66666666666666674"/>
    <m/>
    <m/>
    <s v="Sim"/>
    <m/>
  </r>
  <r>
    <n v="262"/>
    <s v="PVP"/>
    <s v="Rua Jorge Sperb, 39"/>
    <n v="-29.98419621"/>
    <n v="-50.136571889999999"/>
    <x v="1"/>
    <s v="-"/>
    <x v="1"/>
    <s v="Vapor de sódio"/>
    <n v="150"/>
    <n v="22"/>
    <n v="0"/>
    <n v="300"/>
    <n v="2"/>
    <n v="3"/>
    <n v="7"/>
    <m/>
    <m/>
    <n v="0"/>
    <n v="3"/>
    <n v="0"/>
    <n v="0"/>
    <n v="0"/>
    <n v="2"/>
    <n v="2"/>
    <s v="Unilateral"/>
    <s v="Braço"/>
    <n v="25.7"/>
    <n v="6.6"/>
    <n v="1"/>
    <n v="0.2"/>
    <n v="2.8"/>
    <n v="2.5999999999999996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51866666666666683"/>
    <n v="2.7222222222222228"/>
    <s v="-"/>
    <n v="11.39"/>
    <n v="0.67"/>
    <m/>
    <m/>
    <m/>
    <m/>
    <s v="ATENDE"/>
    <s v="ATENDE"/>
    <s v="ATENDE"/>
    <s v="ATENDE"/>
    <s v="C5"/>
    <s v="P6"/>
    <n v="0.4800000000000002"/>
    <n v="4.4400000000000004"/>
    <n v="1.86"/>
    <n v="3"/>
    <n v="0.6"/>
    <s v="ATENDE"/>
    <s v="ATENDE"/>
    <s v="ATENDE"/>
    <s v="P6"/>
    <n v="0.19999999999999996"/>
    <n v="3.6"/>
    <n v="2.41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n v="10"/>
    <s v="Longo I"/>
    <m/>
    <s v=""/>
    <s v=""/>
    <m/>
    <m/>
    <m/>
    <m/>
    <m/>
    <m/>
    <n v="50"/>
    <n v="150"/>
    <n v="200"/>
    <n v="0.66666666666666674"/>
    <m/>
    <m/>
    <s v="Sim"/>
    <m/>
  </r>
  <r>
    <n v="263"/>
    <s v="VP"/>
    <s v="Rua Fernandes Bastos, 422"/>
    <n v="-29.98560161"/>
    <n v="-50.137136779999999"/>
    <x v="2"/>
    <s v="-"/>
    <x v="1"/>
    <s v="LED"/>
    <n v="50"/>
    <n v="0"/>
    <n v="0"/>
    <n v="300"/>
    <n v="2"/>
    <n v="0"/>
    <n v="4"/>
    <m/>
    <m/>
    <n v="0"/>
    <n v="5"/>
    <n v="0.5"/>
    <n v="0"/>
    <n v="0"/>
    <n v="2"/>
    <n v="0"/>
    <s v="Unilateral"/>
    <s v="Braço"/>
    <n v="35.1"/>
    <n v="10"/>
    <n v="3"/>
    <n v="0.2"/>
    <n v="0.25"/>
    <n v="4.9999999999999989E-2"/>
    <s v="-"/>
    <s v="-"/>
    <s v="Sim"/>
    <n v="6"/>
    <n v="0"/>
    <n v="0"/>
    <n v="0"/>
    <n v="0"/>
    <n v="0"/>
    <s v="-"/>
    <n v="0"/>
    <m/>
    <n v="10"/>
    <n v="0.18"/>
    <s v="-"/>
    <n v="0.18"/>
    <s v="-"/>
    <n v="16"/>
    <s v="ATENDE"/>
    <n v="0.24299999999999988"/>
    <n v="1.6111111111111112"/>
    <s v="-"/>
    <n v="12.43"/>
    <n v="0.47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-7.9999999999998961E-3"/>
    <n v="7.44"/>
    <n v="4.5199999999999996"/>
    <n v="7.5"/>
    <n v="1.5"/>
    <s v="ATENDE"/>
    <s v="ATENDIMENTO LIMIAR"/>
    <s v="ATENDE"/>
    <x v="0"/>
    <s v=" SL VT 9.1 28W"/>
    <s v="LUM LED SL VT 9.1 28W"/>
    <m/>
    <e v="#N/A"/>
    <n v="1"/>
    <n v="28"/>
    <n v="0"/>
    <n v="4927.3500000000004"/>
    <n v="0"/>
    <n v="0"/>
    <m/>
    <s v="Curto I"/>
    <m/>
    <s v=""/>
    <s v=""/>
    <m/>
    <m/>
    <m/>
    <m/>
    <m/>
    <m/>
    <n v="50"/>
    <n v="150"/>
    <n v="200"/>
    <n v="0.66666666666666674"/>
    <m/>
    <m/>
    <s v="Sim"/>
    <m/>
  </r>
  <r>
    <n v="263"/>
    <s v="VP"/>
    <s v="Rua Fernandes Bastos, 422"/>
    <n v="-29.98560161"/>
    <n v="-50.137136779999999"/>
    <x v="2"/>
    <s v="-"/>
    <x v="1"/>
    <s v="LED"/>
    <n v="50"/>
    <n v="0"/>
    <n v="0"/>
    <n v="300"/>
    <n v="2"/>
    <n v="0"/>
    <n v="4"/>
    <m/>
    <m/>
    <n v="0"/>
    <n v="5"/>
    <n v="0.5"/>
    <n v="0"/>
    <n v="0"/>
    <n v="2"/>
    <n v="0"/>
    <s v="Unilateral"/>
    <s v="Braço"/>
    <n v="35.1"/>
    <n v="10"/>
    <n v="3"/>
    <n v="0.2"/>
    <n v="0.25"/>
    <n v="4.9999999999999989E-2"/>
    <s v="-"/>
    <s v="-"/>
    <s v="Sim"/>
    <n v="6"/>
    <n v="0"/>
    <n v="0"/>
    <n v="0"/>
    <n v="0"/>
    <n v="0"/>
    <s v="-"/>
    <n v="0"/>
    <m/>
    <n v="10"/>
    <n v="0.18"/>
    <s v="-"/>
    <n v="0.18"/>
    <s v="-"/>
    <n v="16"/>
    <s v="ATENDE"/>
    <n v="0.36499999999999999"/>
    <n v="1.8333333333333335"/>
    <s v="-"/>
    <n v="13.65"/>
    <n v="0.51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0.20266666666666655"/>
    <n v="9.02"/>
    <n v="6.5"/>
    <n v="7.5"/>
    <n v="1.5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"/>
    <m/>
    <s v=""/>
    <s v=""/>
    <m/>
    <m/>
    <m/>
    <m/>
    <m/>
    <m/>
    <n v="50"/>
    <n v="150"/>
    <n v="200"/>
    <n v="0.66666666666666674"/>
    <m/>
    <m/>
    <s v="Sim"/>
    <m/>
  </r>
  <r>
    <n v="263"/>
    <s v="VP"/>
    <s v="Rua Fernandes Bastos, 422"/>
    <n v="-29.98560161"/>
    <n v="-50.137136779999999"/>
    <x v="2"/>
    <s v="-"/>
    <x v="1"/>
    <s v="LED"/>
    <n v="50"/>
    <n v="0"/>
    <n v="0"/>
    <n v="300"/>
    <n v="2"/>
    <n v="0"/>
    <n v="4"/>
    <m/>
    <m/>
    <n v="0"/>
    <n v="5"/>
    <n v="0.5"/>
    <n v="0"/>
    <n v="0"/>
    <n v="2"/>
    <n v="0"/>
    <s v="Unilateral"/>
    <s v="Braço"/>
    <n v="35.1"/>
    <n v="10"/>
    <n v="3"/>
    <n v="0.2"/>
    <n v="0.25"/>
    <n v="4.9999999999999989E-2"/>
    <s v="-"/>
    <s v="-"/>
    <s v="Sim"/>
    <n v="6"/>
    <n v="0"/>
    <n v="0"/>
    <n v="0"/>
    <n v="0"/>
    <n v="0"/>
    <s v="-"/>
    <n v="0"/>
    <m/>
    <n v="10"/>
    <n v="0.18"/>
    <s v="-"/>
    <n v="0.18"/>
    <s v="-"/>
    <n v="16"/>
    <s v="ATENDE"/>
    <n v="0.43500000000000005"/>
    <n v="1.8333333333333335"/>
    <s v="-"/>
    <n v="14.35"/>
    <n v="0.51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0.14399999999999991"/>
    <n v="8.58"/>
    <n v="6.51"/>
    <n v="7.5"/>
    <n v="1.5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"/>
    <m/>
    <s v=""/>
    <s v=""/>
    <m/>
    <m/>
    <m/>
    <m/>
    <m/>
    <m/>
    <n v="50"/>
    <n v="150"/>
    <n v="200"/>
    <n v="0.66666666666666674"/>
    <m/>
    <m/>
    <s v="Sim"/>
    <m/>
  </r>
  <r>
    <n v="264"/>
    <s v="VP"/>
    <s v="Avenida Rubem Berta, 737"/>
    <n v="-29.986844949999998"/>
    <n v="-50.14504281"/>
    <x v="2"/>
    <s v="-"/>
    <x v="0"/>
    <s v="LED"/>
    <n v="50"/>
    <n v="0"/>
    <n v="0"/>
    <n v="300"/>
    <n v="2"/>
    <n v="0"/>
    <n v="7"/>
    <m/>
    <m/>
    <n v="0"/>
    <n v="5"/>
    <n v="6"/>
    <n v="0"/>
    <n v="0"/>
    <n v="0"/>
    <n v="0"/>
    <s v="Canteiro central"/>
    <s v="Braço"/>
    <n v="34.9"/>
    <n v="7.8"/>
    <n v="2"/>
    <n v="3"/>
    <n v="2.5"/>
    <n v="-0.5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74200000000000021"/>
    <n v="1"/>
    <s v="-"/>
    <n v="17.420000000000002"/>
    <n v="0.36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6.2666666666666648E-2"/>
    <n v="7.97"/>
    <n v="3.27"/>
    <n v="7.5"/>
    <n v="1.5"/>
    <s v="ATENDE"/>
    <s v="ATENDE"/>
    <s v="ATENDE"/>
    <x v="0"/>
    <s v=" SL VT 9.1 72W"/>
    <s v="LUM LED SL VT 9.1 72W"/>
    <m/>
    <n v="0"/>
    <n v="1"/>
    <n v="72"/>
    <n v="0"/>
    <n v="12107"/>
    <n v="0"/>
    <n v="0"/>
    <n v="10"/>
    <s v="Médio II"/>
    <m/>
    <s v=""/>
    <s v=""/>
    <m/>
    <m/>
    <m/>
    <m/>
    <m/>
    <m/>
    <n v="50"/>
    <n v="150"/>
    <n v="200"/>
    <n v="0.66666666666666674"/>
    <m/>
    <m/>
    <s v="Sim"/>
    <m/>
  </r>
  <r>
    <n v="264"/>
    <s v="VP"/>
    <s v="Avenida Rubem Berta, 737"/>
    <n v="-29.986844949999998"/>
    <n v="-50.14504281"/>
    <x v="2"/>
    <s v="-"/>
    <x v="0"/>
    <s v="LED"/>
    <n v="50"/>
    <n v="0"/>
    <n v="0"/>
    <n v="300"/>
    <n v="2"/>
    <n v="0"/>
    <n v="7"/>
    <m/>
    <m/>
    <n v="0"/>
    <n v="5"/>
    <n v="6"/>
    <n v="0"/>
    <n v="0"/>
    <n v="0"/>
    <n v="0"/>
    <s v="Canteiro central"/>
    <s v="Braço"/>
    <n v="34.9"/>
    <n v="7.8"/>
    <n v="2"/>
    <n v="3"/>
    <n v="2.5"/>
    <n v="-0.5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0.85899999999999999"/>
    <n v="1.5555555555555558"/>
    <s v="-"/>
    <n v="18.59"/>
    <n v="0.46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0.248"/>
    <n v="9.36"/>
    <n v="4.6100000000000003"/>
    <n v="7.5"/>
    <n v="1.5"/>
    <s v="ATENDE"/>
    <s v="ATENDE"/>
    <s v="ATENDE"/>
    <x v="1"/>
    <s v="SX-INLPP070HF"/>
    <s v="SXINLPP070K40L12CZF7PHF"/>
    <m/>
    <n v="0"/>
    <n v="1"/>
    <n v="70"/>
    <n v="0"/>
    <n v="11970"/>
    <n v="0"/>
    <n v="0"/>
    <n v="10"/>
    <s v="Médio II"/>
    <m/>
    <s v=""/>
    <s v=""/>
    <m/>
    <m/>
    <m/>
    <m/>
    <m/>
    <m/>
    <n v="50"/>
    <n v="150"/>
    <n v="200"/>
    <n v="0.66666666666666674"/>
    <m/>
    <m/>
    <s v="Sim"/>
    <m/>
  </r>
  <r>
    <n v="264"/>
    <s v="VP"/>
    <s v="Avenida Rubem Berta, 737"/>
    <n v="-29.986844949999998"/>
    <n v="-50.14504281"/>
    <x v="2"/>
    <s v="-"/>
    <x v="0"/>
    <s v="LED"/>
    <n v="50"/>
    <n v="0"/>
    <n v="0"/>
    <n v="300"/>
    <n v="2"/>
    <n v="0"/>
    <n v="7"/>
    <m/>
    <m/>
    <n v="0"/>
    <n v="5"/>
    <n v="6"/>
    <n v="0"/>
    <n v="0"/>
    <n v="0"/>
    <n v="0"/>
    <s v="Canteiro central"/>
    <s v="Braço"/>
    <n v="34.9"/>
    <n v="7.8"/>
    <n v="2"/>
    <n v="3"/>
    <n v="2.5"/>
    <n v="-0.5"/>
    <s v="-"/>
    <s v="-"/>
    <s v="Não"/>
    <n v="4"/>
    <n v="0"/>
    <n v="0"/>
    <n v="0"/>
    <n v="0"/>
    <n v="0"/>
    <s v="-"/>
    <n v="0"/>
    <m/>
    <n v="10"/>
    <n v="0.18"/>
    <s v="-"/>
    <n v="0.18"/>
    <s v="-"/>
    <n v="16"/>
    <s v="ATENDE"/>
    <n v="1"/>
    <n v="1.8888888888888893"/>
    <s v="-"/>
    <n v="20"/>
    <n v="0.52"/>
    <m/>
    <m/>
    <m/>
    <m/>
    <s v="ATENDE"/>
    <s v="ATENDE"/>
    <s v="ATENDE"/>
    <s v="ATENDE"/>
    <s v="C4"/>
    <s v="-"/>
    <e v="#VALUE!"/>
    <m/>
    <m/>
    <s v="-"/>
    <s v="-"/>
    <s v="-"/>
    <s v="-"/>
    <s v="-"/>
    <s v="P4"/>
    <n v="5.4666666666666641E-2"/>
    <n v="7.91"/>
    <n v="5.24"/>
    <n v="7.5"/>
    <n v="1.5"/>
    <s v="ATENDE"/>
    <s v="ATENDE"/>
    <s v="ATENDE"/>
    <x v="2"/>
    <s v="SIGMAGPTLRRSMNDL_80W_56IBBR_x000a_"/>
    <s v="SIGMAGPTLRRSMNDL_80W_56IBBR_x000a_S1-10C1MUN6.5"/>
    <m/>
    <n v="0"/>
    <n v="1"/>
    <n v="80"/>
    <n v="0"/>
    <n v="13209"/>
    <n v="0"/>
    <n v="0"/>
    <n v="10"/>
    <s v="Médio II"/>
    <m/>
    <s v=""/>
    <s v=""/>
    <m/>
    <m/>
    <m/>
    <m/>
    <m/>
    <m/>
    <n v="50"/>
    <n v="150"/>
    <n v="200"/>
    <n v="0.66666666666666674"/>
    <m/>
    <m/>
    <s v="Sim"/>
    <m/>
  </r>
  <r>
    <n v="265"/>
    <s v="PVP"/>
    <s v="Avenida Rubem Berta, 1640"/>
    <n v="-29.99147803"/>
    <n v="-50.137585510000001"/>
    <x v="3"/>
    <s v="-"/>
    <x v="1"/>
    <s v="LED"/>
    <n v="50"/>
    <n v="0"/>
    <n v="0"/>
    <n v="300"/>
    <n v="2"/>
    <n v="1.5"/>
    <n v="7.5"/>
    <m/>
    <m/>
    <n v="0"/>
    <n v="5"/>
    <n v="2.5"/>
    <n v="0"/>
    <n v="0"/>
    <n v="0"/>
    <n v="0"/>
    <s v="Canteiro central"/>
    <s v="Braço"/>
    <n v="28.7"/>
    <n v="7"/>
    <n v="2"/>
    <n v="3"/>
    <n v="2.5"/>
    <n v="-0.5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6.349999999999989E-2"/>
    <n v="0.10714285714285698"/>
    <s v="-"/>
    <n v="21.27"/>
    <n v="0.31"/>
    <m/>
    <m/>
    <m/>
    <m/>
    <s v="ATENDE"/>
    <s v="ATENDE"/>
    <s v="ATENDE"/>
    <s v="ATENDE"/>
    <s v="C2"/>
    <s v="P6"/>
    <n v="8.73"/>
    <n v="29.19"/>
    <n v="15.92"/>
    <n v="3"/>
    <n v="0.6"/>
    <s v="ATENDE"/>
    <s v="ATENDE"/>
    <s v="ATENDE"/>
    <s v="P6"/>
    <n v="1.9033333333333338"/>
    <n v="8.7100000000000009"/>
    <n v="3.93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Médio II"/>
    <m/>
    <s v=""/>
    <s v=""/>
    <m/>
    <m/>
    <m/>
    <m/>
    <m/>
    <m/>
    <n v="40"/>
    <n v="150"/>
    <n v="190"/>
    <n v="0.73333333333333339"/>
    <m/>
    <m/>
    <s v="Sim"/>
    <m/>
  </r>
  <r>
    <n v="265"/>
    <s v="PVP"/>
    <s v="Avenida Rubem Berta, 1640"/>
    <n v="-29.99147803"/>
    <n v="-50.137585510000001"/>
    <x v="3"/>
    <s v="-"/>
    <x v="1"/>
    <s v="LED"/>
    <n v="50"/>
    <n v="0"/>
    <n v="0"/>
    <n v="300"/>
    <n v="2"/>
    <n v="1.5"/>
    <n v="7.5"/>
    <m/>
    <m/>
    <n v="0"/>
    <n v="5"/>
    <n v="2.5"/>
    <n v="0"/>
    <n v="0"/>
    <n v="0"/>
    <n v="0"/>
    <s v="Canteiro central"/>
    <s v="Braço"/>
    <n v="28.7"/>
    <n v="7"/>
    <n v="2"/>
    <n v="3"/>
    <n v="2.5"/>
    <n v="-0.5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27049999999999996"/>
    <n v="0.3214285714285714"/>
    <s v="-"/>
    <n v="25.41"/>
    <n v="0.37"/>
    <m/>
    <m/>
    <m/>
    <m/>
    <s v="ATENDE"/>
    <s v="ATENDE"/>
    <s v="ATENDE"/>
    <s v="ATENDE"/>
    <s v="C2"/>
    <s v="P6"/>
    <n v="12.016666666666666"/>
    <n v="39.049999999999997"/>
    <n v="21.15"/>
    <n v="3"/>
    <n v="0.6"/>
    <s v="ATENDE"/>
    <s v="ATENDE"/>
    <s v="ATENDE"/>
    <s v="P6"/>
    <n v="2.1833333333333336"/>
    <n v="9.5500000000000007"/>
    <n v="4.76"/>
    <n v="3"/>
    <n v="0.6"/>
    <s v="ATENDE"/>
    <s v="ATENDE"/>
    <s v="ATENDE"/>
    <x v="1"/>
    <s v="SX-INLPP070HF"/>
    <s v="SXINLPP070K40L12CZF7PHF"/>
    <m/>
    <e v="#N/A"/>
    <n v="1"/>
    <n v="70"/>
    <n v="0"/>
    <n v="11970"/>
    <n v="0"/>
    <n v="0"/>
    <m/>
    <s v="Médio II"/>
    <m/>
    <s v=""/>
    <s v=""/>
    <m/>
    <m/>
    <m/>
    <m/>
    <m/>
    <m/>
    <n v="40"/>
    <n v="150"/>
    <n v="190"/>
    <n v="0.73333333333333339"/>
    <m/>
    <m/>
    <s v="Sim"/>
    <m/>
  </r>
  <r>
    <n v="265"/>
    <s v="PVP"/>
    <s v="Avenida Rubem Berta, 1640"/>
    <n v="-29.99147803"/>
    <n v="-50.137585510000001"/>
    <x v="3"/>
    <s v="-"/>
    <x v="1"/>
    <s v="LED"/>
    <n v="50"/>
    <n v="0"/>
    <n v="0"/>
    <n v="300"/>
    <n v="2"/>
    <n v="1.5"/>
    <n v="7.5"/>
    <m/>
    <m/>
    <n v="0"/>
    <n v="5"/>
    <n v="2.5"/>
    <n v="0"/>
    <n v="0"/>
    <n v="0"/>
    <n v="0"/>
    <s v="Canteiro central"/>
    <s v="Braço"/>
    <n v="28.7"/>
    <n v="7"/>
    <n v="2"/>
    <n v="3"/>
    <n v="2.5"/>
    <n v="-0.5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9.4500000000000028E-2"/>
    <n v="0.5714285714285714"/>
    <s v="-"/>
    <n v="21.89"/>
    <n v="0.44"/>
    <m/>
    <m/>
    <m/>
    <m/>
    <s v="ATENDE"/>
    <s v="ATENDE"/>
    <s v="ATENDE"/>
    <s v="ATENDE"/>
    <s v="C2"/>
    <s v="P6"/>
    <n v="9.7866666666666671"/>
    <n v="32.36"/>
    <n v="21.61"/>
    <n v="3"/>
    <n v="0.6"/>
    <s v="ATENDE"/>
    <s v="ATENDE"/>
    <s v="ATENDE"/>
    <s v="P6"/>
    <n v="1"/>
    <n v="6"/>
    <n v="4"/>
    <n v="3"/>
    <n v="0.6"/>
    <s v="ATENDE"/>
    <s v="ATENDE"/>
    <s v="ATENDE"/>
    <x v="2"/>
    <s v="SIGSAGPTLRRSSNDL_68W_83IBBRS_x000a_"/>
    <s v="SIGSAGPTLRRSSNDL_68W_83IBBRS_x000a_1-10C1MUN6.5"/>
    <m/>
    <e v="#N/A"/>
    <n v="1"/>
    <n v="68"/>
    <n v="0"/>
    <n v="10884"/>
    <n v="0"/>
    <n v="0"/>
    <m/>
    <s v="Médio II"/>
    <m/>
    <s v=""/>
    <s v=""/>
    <m/>
    <m/>
    <m/>
    <m/>
    <m/>
    <m/>
    <n v="40"/>
    <n v="150"/>
    <n v="190"/>
    <n v="0.73333333333333339"/>
    <m/>
    <m/>
    <s v="Sim"/>
    <m/>
  </r>
  <r>
    <n v="266"/>
    <s v="PVP"/>
    <s v="Travessa Olavo Bilac, 1226"/>
    <n v="-29.992645639999999"/>
    <n v="-50.13648354"/>
    <x v="1"/>
    <s v="-"/>
    <x v="1"/>
    <s v="Vapor de sódio"/>
    <n v="100"/>
    <n v="17"/>
    <n v="0"/>
    <n v="300"/>
    <n v="2"/>
    <n v="2"/>
    <n v="8"/>
    <m/>
    <m/>
    <n v="0"/>
    <n v="2"/>
    <n v="0"/>
    <n v="0"/>
    <n v="0"/>
    <n v="0"/>
    <n v="0"/>
    <s v="Unilateral"/>
    <s v="Braço"/>
    <n v="42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226666666666667"/>
    <n v="0.44444444444444464"/>
    <s v="-"/>
    <n v="8.42"/>
    <n v="0.26"/>
    <m/>
    <m/>
    <m/>
    <m/>
    <s v="ATENDE"/>
    <s v="ATENDE"/>
    <s v="ATENDE"/>
    <s v="ATENDE"/>
    <s v="C5"/>
    <s v="P6"/>
    <n v="1.56"/>
    <n v="7.68"/>
    <n v="1.72"/>
    <n v="3"/>
    <n v="0.6"/>
    <s v="ATENDE"/>
    <s v="ATENDE"/>
    <s v="ATENDE"/>
    <s v="P6"/>
    <n v="0.47"/>
    <n v="4.41"/>
    <n v="1.6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6"/>
    <s v="PVP"/>
    <s v="Travessa Olavo Bilac, 1226"/>
    <n v="-29.992645639999999"/>
    <n v="-50.13648354"/>
    <x v="1"/>
    <s v="-"/>
    <x v="1"/>
    <s v="Vapor de sódio"/>
    <n v="100"/>
    <n v="17"/>
    <n v="0"/>
    <n v="300"/>
    <n v="2"/>
    <n v="2"/>
    <n v="8"/>
    <m/>
    <m/>
    <n v="0"/>
    <n v="2"/>
    <n v="0"/>
    <n v="0"/>
    <n v="0"/>
    <n v="0"/>
    <n v="0"/>
    <s v="Unilateral"/>
    <s v="Braço"/>
    <n v="42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0.33333333333333326"/>
    <s v="-"/>
    <n v="7.98"/>
    <n v="0.24"/>
    <m/>
    <m/>
    <m/>
    <m/>
    <s v="ATENDE"/>
    <s v="ATENDE"/>
    <s v="ATENDE"/>
    <s v="ATENDE"/>
    <s v="C5"/>
    <s v="P6"/>
    <n v="1.4433333333333334"/>
    <n v="7.33"/>
    <n v="1.03"/>
    <n v="3"/>
    <n v="0.6"/>
    <s v="ATENDE"/>
    <s v="ATENDE"/>
    <s v="ATENDE"/>
    <s v="P6"/>
    <n v="0.11333333333333329"/>
    <n v="3.34"/>
    <n v="1.1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6"/>
    <s v="PVP"/>
    <s v="Travessa Olavo Bilac, 1226"/>
    <n v="-29.992645639999999"/>
    <n v="-50.13648354"/>
    <x v="1"/>
    <s v="-"/>
    <x v="1"/>
    <s v="Vapor de sódio"/>
    <n v="100"/>
    <n v="17"/>
    <n v="0"/>
    <n v="300"/>
    <n v="2"/>
    <n v="2"/>
    <n v="8"/>
    <m/>
    <m/>
    <n v="0"/>
    <n v="2"/>
    <n v="0"/>
    <n v="0"/>
    <n v="0"/>
    <n v="0"/>
    <n v="0"/>
    <s v="Unilateral"/>
    <s v="Braço"/>
    <n v="42.3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400000000000016"/>
    <n v="0"/>
    <s v="-"/>
    <n v="8.8800000000000008"/>
    <n v="0.18"/>
    <m/>
    <m/>
    <m/>
    <m/>
    <s v="ATENDE"/>
    <s v="ATENDE"/>
    <s v="ATENDE"/>
    <s v="ATENDE"/>
    <s v="C5"/>
    <s v="P6"/>
    <n v="0.94666666666666655"/>
    <n v="5.84"/>
    <n v="1.1000000000000001"/>
    <n v="3"/>
    <n v="0.6"/>
    <s v="ATENDE"/>
    <s v="ATENDE"/>
    <s v="ATENDE"/>
    <s v="P6"/>
    <n v="0.47666666666666657"/>
    <n v="4.43"/>
    <n v="1.17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s v="Médio II"/>
    <n v="2.4"/>
    <n v="7.5"/>
    <m/>
    <m/>
    <m/>
    <m/>
    <m/>
    <m/>
    <n v="40"/>
    <n v="150"/>
    <n v="190"/>
    <n v="0.73333333333333339"/>
    <m/>
    <m/>
    <s v="Sim"/>
    <m/>
  </r>
  <r>
    <n v="267"/>
    <s v="PVP"/>
    <s v="Rua Jose de Freitas, 1454"/>
    <n v="-29.994063749999999"/>
    <n v="-50.137622620000002"/>
    <x v="1"/>
    <s v="-"/>
    <x v="1"/>
    <s v="Vapor de sódio"/>
    <n v="100"/>
    <n v="17"/>
    <n v="0"/>
    <n v="300"/>
    <n v="2"/>
    <n v="2.5"/>
    <n v="7"/>
    <m/>
    <m/>
    <n v="0"/>
    <n v="2.5"/>
    <n v="0"/>
    <n v="0"/>
    <n v="0"/>
    <n v="0"/>
    <n v="0"/>
    <s v="Unilateral"/>
    <s v="Braço"/>
    <n v="34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333333333333335"/>
    <n v="1.1111111111111112"/>
    <s v="-"/>
    <n v="10.75"/>
    <n v="0.38"/>
    <m/>
    <m/>
    <m/>
    <m/>
    <s v="ATENDE"/>
    <s v="ATENDE"/>
    <s v="ATENDE"/>
    <s v="ATENDE"/>
    <s v="C5"/>
    <s v="P4"/>
    <n v="0.19999999999999996"/>
    <n v="9"/>
    <n v="3.15"/>
    <n v="7.5"/>
    <n v="1.5"/>
    <s v="ATENDE"/>
    <s v="ATENDE"/>
    <s v="ATENDE"/>
    <s v="-"/>
    <e v="#VALUE!"/>
    <n v="6.34"/>
    <n v="3.04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7"/>
    <s v="PVP"/>
    <s v="Rua Jose de Freitas, 1454"/>
    <n v="-29.994063749999999"/>
    <n v="-50.137622620000002"/>
    <x v="1"/>
    <s v="-"/>
    <x v="1"/>
    <s v="Vapor de sódio"/>
    <n v="100"/>
    <n v="17"/>
    <n v="0"/>
    <n v="300"/>
    <n v="2"/>
    <n v="2.5"/>
    <n v="7"/>
    <m/>
    <m/>
    <n v="0"/>
    <n v="2.5"/>
    <n v="0"/>
    <n v="0"/>
    <n v="0"/>
    <n v="0"/>
    <n v="0"/>
    <s v="Unilateral"/>
    <s v="Braço"/>
    <n v="34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266666666666674"/>
    <n v="1.2222222222222223"/>
    <s v="-"/>
    <n v="8.7200000000000006"/>
    <n v="0.4"/>
    <m/>
    <m/>
    <m/>
    <m/>
    <s v="ATENDE"/>
    <s v="ATENDE"/>
    <s v="ATENDE"/>
    <s v="ATENDE"/>
    <s v="C5"/>
    <s v="P6"/>
    <n v="1.2600000000000002"/>
    <n v="6.78"/>
    <n v="1.54"/>
    <n v="3"/>
    <n v="0.6"/>
    <s v="ATENDE"/>
    <s v="ATENDE"/>
    <s v="ATENDE"/>
    <s v="P6"/>
    <n v="0.39666666666666672"/>
    <n v="4.1900000000000004"/>
    <n v="2.0099999999999998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7"/>
    <s v="PVP"/>
    <s v="Rua Jose de Freitas, 1454"/>
    <n v="-29.994063749999999"/>
    <n v="-50.137622620000002"/>
    <x v="1"/>
    <s v="-"/>
    <x v="1"/>
    <s v="Vapor de sódio"/>
    <n v="100"/>
    <n v="17"/>
    <n v="0"/>
    <n v="300"/>
    <n v="2"/>
    <n v="2.5"/>
    <n v="7"/>
    <m/>
    <m/>
    <n v="0"/>
    <n v="2.5"/>
    <n v="0"/>
    <n v="0"/>
    <n v="0"/>
    <n v="0"/>
    <n v="0"/>
    <s v="Unilateral"/>
    <s v="Braço"/>
    <n v="34.5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533333333333331"/>
    <n v="1.7222222222222223"/>
    <s v="-"/>
    <n v="8.59"/>
    <n v="0.49"/>
    <m/>
    <m/>
    <m/>
    <m/>
    <s v="ATENDE"/>
    <s v="ATENDE"/>
    <s v="ATENDE"/>
    <s v="ATENDE"/>
    <s v="C5"/>
    <s v="P6"/>
    <n v="1.2666666666666666"/>
    <n v="6.8"/>
    <n v="2.83"/>
    <n v="3"/>
    <n v="0.6"/>
    <s v="ATENDE"/>
    <s v="ATENDE"/>
    <s v="ATENDE"/>
    <s v="P6"/>
    <n v="0.30666666666666664"/>
    <n v="3.92"/>
    <n v="2.5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68"/>
    <s v="PVP"/>
    <s v="Rua Josephino Nunes dos Santos, 577"/>
    <n v="-29.992469570000001"/>
    <n v="-50.147011159999998"/>
    <x v="2"/>
    <s v="-"/>
    <x v="1"/>
    <s v="Vapor de sódio"/>
    <n v="100"/>
    <n v="17"/>
    <n v="0"/>
    <n v="300"/>
    <n v="2"/>
    <n v="2.5"/>
    <n v="8"/>
    <m/>
    <m/>
    <n v="0"/>
    <n v="2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99999999999991"/>
    <n v="1.3333333333333335"/>
    <s v="-"/>
    <n v="11.5"/>
    <n v="0.42"/>
    <m/>
    <m/>
    <m/>
    <m/>
    <s v="ATENDE"/>
    <s v="ATENDE"/>
    <s v="ATENDE"/>
    <s v="ATENDE"/>
    <s v="C4"/>
    <s v="P6"/>
    <n v="2.27"/>
    <n v="9.81"/>
    <n v="4.0199999999999996"/>
    <n v="3"/>
    <n v="0.6"/>
    <s v="ATENDE"/>
    <s v="ATENDE"/>
    <s v="ATENDE"/>
    <s v="P6"/>
    <n v="1.0433333333333334"/>
    <n v="6.13"/>
    <n v="3.49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8"/>
    <s v="PVP"/>
    <s v="Rua Josephino Nunes dos Santos, 577"/>
    <n v="-29.992469570000001"/>
    <n v="-50.147011159999998"/>
    <x v="2"/>
    <s v="-"/>
    <x v="1"/>
    <s v="Vapor de sódio"/>
    <n v="100"/>
    <n v="17"/>
    <n v="0"/>
    <n v="300"/>
    <n v="2"/>
    <n v="2.5"/>
    <n v="8"/>
    <m/>
    <m/>
    <n v="0"/>
    <n v="2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099999999999997E-2"/>
    <n v="2.2222222222222223"/>
    <s v="-"/>
    <n v="10.91"/>
    <n v="0.57999999999999996"/>
    <m/>
    <m/>
    <m/>
    <m/>
    <s v="ATENDE"/>
    <s v="ATENDE"/>
    <s v="ATENDE"/>
    <s v="ATENDE"/>
    <s v="C4"/>
    <s v="P6"/>
    <n v="2.09"/>
    <n v="9.27"/>
    <n v="4.3099999999999996"/>
    <n v="3"/>
    <n v="0.6"/>
    <s v="ATENDE"/>
    <s v="ATENDE"/>
    <s v="ATENDE"/>
    <s v="P6"/>
    <n v="0.57333333333333325"/>
    <n v="4.72"/>
    <n v="2.84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8"/>
    <s v="PVP"/>
    <s v="Rua Josephino Nunes dos Santos, 577"/>
    <n v="-29.992469570000001"/>
    <n v="-50.147011159999998"/>
    <x v="2"/>
    <s v="-"/>
    <x v="1"/>
    <s v="Vapor de sódio"/>
    <n v="100"/>
    <n v="17"/>
    <n v="0"/>
    <n v="300"/>
    <n v="2"/>
    <n v="2.5"/>
    <n v="8"/>
    <m/>
    <m/>
    <n v="0"/>
    <n v="2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599999999999996"/>
    <n v="1.5"/>
    <s v="-"/>
    <n v="12.06"/>
    <n v="0.45"/>
    <m/>
    <m/>
    <m/>
    <m/>
    <s v="ATENDE"/>
    <s v="ATENDE"/>
    <s v="ATENDE"/>
    <s v="ATENDE"/>
    <s v="C4"/>
    <s v="P6"/>
    <n v="2.2599999999999998"/>
    <n v="9.7799999999999994"/>
    <n v="4.66"/>
    <n v="3"/>
    <n v="0.6"/>
    <s v="ATENDE"/>
    <s v="ATENDE"/>
    <s v="ATENDE"/>
    <s v="P6"/>
    <n v="0.28666666666666663"/>
    <n v="3.86"/>
    <n v="2.14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9"/>
    <s v="PVP"/>
    <s v="Rua Heitor L. da Silva, 173"/>
    <n v="-29.995765850000002"/>
    <n v="-50.142065459999998"/>
    <x v="1"/>
    <s v="-"/>
    <x v="1"/>
    <s v="Vapor de sódio"/>
    <n v="100"/>
    <n v="17"/>
    <n v="0"/>
    <n v="300"/>
    <n v="2"/>
    <n v="4"/>
    <n v="8"/>
    <m/>
    <m/>
    <n v="0"/>
    <n v="3"/>
    <n v="0"/>
    <n v="0"/>
    <n v="0"/>
    <n v="0"/>
    <n v="0"/>
    <s v="Unilateral"/>
    <s v="Braço"/>
    <n v="29.9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9.3333333333334156E-3"/>
    <n v="1.5555555555555558"/>
    <s v="-"/>
    <n v="7.57"/>
    <n v="0.46"/>
    <m/>
    <m/>
    <m/>
    <m/>
    <s v="ATENDE"/>
    <s v="ATENDE"/>
    <s v="ATENDE"/>
    <s v="ATENDE"/>
    <s v="C5"/>
    <s v="P6"/>
    <n v="0.84999999999999987"/>
    <n v="5.55"/>
    <n v="2.56"/>
    <n v="3"/>
    <n v="0.6"/>
    <s v="ATENDE"/>
    <s v="ATENDE"/>
    <s v="ATENDE"/>
    <s v="P6"/>
    <n v="0.26333333333333342"/>
    <n v="3.79"/>
    <n v="2.13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9"/>
    <s v="PVP"/>
    <s v="Rua Heitor L. da Silva, 173"/>
    <n v="-29.995765850000002"/>
    <n v="-50.142065459999998"/>
    <x v="1"/>
    <s v="-"/>
    <x v="1"/>
    <s v="Vapor de sódio"/>
    <n v="100"/>
    <n v="17"/>
    <n v="0"/>
    <n v="300"/>
    <n v="2"/>
    <n v="4"/>
    <n v="8"/>
    <m/>
    <m/>
    <n v="0"/>
    <n v="3"/>
    <n v="0"/>
    <n v="0"/>
    <n v="0"/>
    <n v="0"/>
    <n v="0"/>
    <s v="Unilateral"/>
    <s v="Braço"/>
    <n v="29.9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5066666666666682"/>
    <n v="2.5555555555555558"/>
    <s v="-"/>
    <n v="9.3800000000000008"/>
    <n v="0.64"/>
    <m/>
    <m/>
    <m/>
    <m/>
    <s v="ATENDE"/>
    <s v="ATENDE"/>
    <s v="ATENDE"/>
    <s v="ATENDE"/>
    <s v="C5"/>
    <s v="P6"/>
    <n v="1.0633333333333335"/>
    <n v="6.19"/>
    <n v="2.2799999999999998"/>
    <n v="3"/>
    <n v="0.6"/>
    <s v="ATENDE"/>
    <s v="ATENDE"/>
    <s v="ATENDE"/>
    <s v="P6"/>
    <n v="0.13666666666666671"/>
    <n v="3.41"/>
    <n v="1.69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69"/>
    <s v="PVP"/>
    <s v="Rua Heitor L. da Silva, 173"/>
    <n v="-29.995765850000002"/>
    <n v="-50.142065459999998"/>
    <x v="1"/>
    <s v="-"/>
    <x v="1"/>
    <s v="Vapor de sódio"/>
    <n v="100"/>
    <n v="17"/>
    <n v="0"/>
    <n v="300"/>
    <n v="2"/>
    <n v="4"/>
    <n v="8"/>
    <m/>
    <m/>
    <n v="0"/>
    <n v="3"/>
    <n v="0"/>
    <n v="0"/>
    <n v="0"/>
    <n v="0"/>
    <n v="0"/>
    <s v="Unilateral"/>
    <s v="Braço"/>
    <n v="29.9"/>
    <n v="7.3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533333333333316"/>
    <n v="2.2777777777777777"/>
    <s v="-"/>
    <n v="9.19"/>
    <n v="0.59"/>
    <m/>
    <m/>
    <m/>
    <m/>
    <s v="ATENDE"/>
    <s v="ATENDE"/>
    <s v="ATENDE"/>
    <s v="ATENDE"/>
    <s v="C5"/>
    <s v="P6"/>
    <n v="1.1366666666666667"/>
    <n v="6.41"/>
    <n v="3.44"/>
    <n v="3"/>
    <n v="0.6"/>
    <s v="ATENDE"/>
    <s v="ATENDE"/>
    <s v="ATENDE"/>
    <s v="P6"/>
    <n v="0.13666666666666671"/>
    <n v="3.41"/>
    <n v="2.15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46.5"/>
    <n v="150"/>
    <n v="196.5"/>
    <n v="0.69"/>
    <m/>
    <m/>
    <s v="Sim"/>
    <m/>
  </r>
  <r>
    <n v="270"/>
    <s v="PVP"/>
    <s v="Rua Santos Dumont, 2075"/>
    <n v="-29.995983339999999"/>
    <n v="-50.140301950000001"/>
    <x v="1"/>
    <s v="-"/>
    <x v="1"/>
    <s v="Vapor de sódio"/>
    <n v="100"/>
    <n v="17"/>
    <n v="0"/>
    <n v="300"/>
    <n v="2"/>
    <n v="4"/>
    <n v="12"/>
    <m/>
    <m/>
    <n v="0"/>
    <n v="4"/>
    <n v="0"/>
    <n v="0"/>
    <n v="0"/>
    <n v="0"/>
    <n v="0"/>
    <s v="Unilateral"/>
    <s v="Braço"/>
    <n v="2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933333333333328"/>
    <n v="2.1666666666666665"/>
    <s v="-"/>
    <n v="8.32"/>
    <n v="0.56999999999999995"/>
    <m/>
    <m/>
    <m/>
    <m/>
    <s v="ATENDE"/>
    <s v="ATENDE"/>
    <s v="ATENDE"/>
    <s v="ATENDE"/>
    <s v="C5"/>
    <s v="P6"/>
    <n v="0.43666666666666654"/>
    <n v="4.3099999999999996"/>
    <n v="2.52"/>
    <n v="3"/>
    <n v="0.6"/>
    <s v="ATENDE"/>
    <s v="ATENDE"/>
    <s v="ATENDE"/>
    <s v="P6"/>
    <n v="8.0000000000000071E-2"/>
    <n v="3.24"/>
    <n v="1.97"/>
    <n v="3"/>
    <n v="0.6"/>
    <s v="ATENDE"/>
    <s v="ATENDE"/>
    <s v="ATENDE"/>
    <x v="0"/>
    <s v=" SL VT 9.1 35W"/>
    <s v="LUM LED SL VT 9.1 35W"/>
    <m/>
    <n v="0"/>
    <n v="1"/>
    <n v="35"/>
    <e v="#N/A"/>
    <n v="5955.62"/>
    <n v="0"/>
    <n v="0"/>
    <m/>
    <s v="Curto II"/>
    <s v="Longo II"/>
    <n v="3.5"/>
    <n v="8.5"/>
    <m/>
    <m/>
    <m/>
    <m/>
    <m/>
    <m/>
    <n v="46.5"/>
    <n v="150"/>
    <n v="196.5"/>
    <n v="0.69"/>
    <m/>
    <m/>
    <s v="Sim"/>
    <m/>
  </r>
  <r>
    <n v="270"/>
    <s v="PVP"/>
    <s v="Rua Santos Dumont, 2075"/>
    <n v="-29.995983339999999"/>
    <n v="-50.140301950000001"/>
    <x v="1"/>
    <s v="-"/>
    <x v="1"/>
    <s v="Vapor de sódio"/>
    <n v="100"/>
    <n v="17"/>
    <n v="0"/>
    <n v="300"/>
    <n v="2"/>
    <n v="4"/>
    <n v="12"/>
    <m/>
    <m/>
    <n v="0"/>
    <n v="4"/>
    <n v="0"/>
    <n v="0"/>
    <n v="0"/>
    <n v="0"/>
    <n v="0"/>
    <s v="Unilateral"/>
    <s v="Braço"/>
    <n v="2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3.8666666666666627E-2"/>
    <n v="2.8888888888888888"/>
    <s v="-"/>
    <n v="7.79"/>
    <n v="0.7"/>
    <m/>
    <m/>
    <m/>
    <m/>
    <s v="ATENDE"/>
    <s v="ATENDE"/>
    <s v="ATENDE"/>
    <s v="ATENDE"/>
    <s v="C5"/>
    <s v="P6"/>
    <n v="6.6666666666665986E-3"/>
    <n v="3.02"/>
    <n v="1.3"/>
    <n v="3"/>
    <n v="0.6"/>
    <s v="ATENDE"/>
    <s v="ATENDE"/>
    <s v="ATENDE"/>
    <s v="P6"/>
    <n v="0"/>
    <n v="3"/>
    <n v="1.5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3.5"/>
    <s v="Curto II"/>
    <s v="Longo II"/>
    <n v="3.5"/>
    <n v="8.5"/>
    <m/>
    <m/>
    <m/>
    <m/>
    <m/>
    <m/>
    <n v="46.5"/>
    <n v="150"/>
    <n v="196.5"/>
    <n v="0.69"/>
    <m/>
    <m/>
    <s v="Sim"/>
    <m/>
  </r>
  <r>
    <n v="270"/>
    <s v="PVP"/>
    <s v="Rua Santos Dumont, 2075"/>
    <n v="-29.995983339999999"/>
    <n v="-50.140301950000001"/>
    <x v="1"/>
    <s v="-"/>
    <x v="1"/>
    <s v="Vapor de sódio"/>
    <n v="100"/>
    <n v="17"/>
    <n v="0"/>
    <n v="300"/>
    <n v="2"/>
    <n v="4"/>
    <n v="12"/>
    <m/>
    <m/>
    <n v="0"/>
    <n v="4"/>
    <n v="0"/>
    <n v="0"/>
    <n v="0"/>
    <n v="0"/>
    <n v="0"/>
    <s v="Unilateral"/>
    <s v="Braço"/>
    <n v="29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4666666666666606E-2"/>
    <n v="2.7222222222222228"/>
    <s v="-"/>
    <n v="7.61"/>
    <n v="0.67"/>
    <m/>
    <m/>
    <m/>
    <m/>
    <s v="ATENDE"/>
    <s v="ATENDE"/>
    <s v="ATENDE"/>
    <s v="ATENDE"/>
    <s v="C5"/>
    <s v="P6"/>
    <n v="0.16333333333333333"/>
    <n v="3.49"/>
    <n v="2.12"/>
    <n v="3"/>
    <n v="0.6"/>
    <s v="ATENDE"/>
    <s v="ATENDE"/>
    <s v="ATENDE"/>
    <s v="P6"/>
    <n v="2.3333333333333206E-2"/>
    <n v="3.07"/>
    <n v="1.93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n v="0"/>
    <n v="5266"/>
    <n v="0"/>
    <n v="0"/>
    <n v="5"/>
    <s v="Curto II"/>
    <s v="Longo II"/>
    <n v="3.5"/>
    <n v="8.5"/>
    <m/>
    <m/>
    <m/>
    <m/>
    <m/>
    <m/>
    <n v="46.5"/>
    <n v="150"/>
    <n v="196.5"/>
    <n v="0.69"/>
    <m/>
    <m/>
    <s v="Sim"/>
    <m/>
  </r>
  <r>
    <n v="271"/>
    <s v="PVP"/>
    <s v="Rua Jose de Freitas, 256"/>
    <n v="-29.997481000000001"/>
    <n v="-50.141148039999997"/>
    <x v="2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"/>
    <n v="6.6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2.0000000000000004"/>
    <s v="-"/>
    <n v="10.48"/>
    <n v="0.54"/>
    <m/>
    <m/>
    <m/>
    <m/>
    <s v="ATENDE"/>
    <s v="ATENDE"/>
    <s v="ATENDE"/>
    <s v="ATENDE"/>
    <s v="C4"/>
    <s v="P6"/>
    <n v="1.9666666666666668"/>
    <n v="8.9"/>
    <n v="4.93"/>
    <n v="3"/>
    <n v="0.6"/>
    <s v="ATENDE"/>
    <s v="ATENDE"/>
    <s v="ATENDE"/>
    <s v="-"/>
    <e v="#VALUE!"/>
    <n v="6.16"/>
    <n v="3.92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271"/>
    <s v="PVP"/>
    <s v="Rua Jose de Freitas, 256"/>
    <n v="-29.997481000000001"/>
    <n v="-50.141148039999997"/>
    <x v="2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"/>
    <n v="6.6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099999999999993"/>
    <n v="2.9444444444444442"/>
    <s v="-"/>
    <n v="13.01"/>
    <n v="0.71"/>
    <m/>
    <m/>
    <m/>
    <m/>
    <s v="ATENDE"/>
    <s v="ATENDE"/>
    <s v="ATENDE"/>
    <s v="ATENDE"/>
    <s v="C4"/>
    <s v="P6"/>
    <n v="2.4433333333333334"/>
    <n v="10.33"/>
    <n v="7.05"/>
    <n v="3"/>
    <n v="0.6"/>
    <s v="ATENDE"/>
    <s v="ATENDE"/>
    <s v="ATENDE"/>
    <s v="-"/>
    <e v="#VALUE!"/>
    <n v="6.32"/>
    <n v="3.99"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71"/>
    <s v="PVP"/>
    <s v="Rua Jose de Freitas, 256"/>
    <n v="-29.997481000000001"/>
    <n v="-50.141148039999997"/>
    <x v="2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24"/>
    <n v="6.6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100000000000014"/>
    <n v="2.6111111111111112"/>
    <s v="-"/>
    <n v="12.81"/>
    <n v="0.65"/>
    <m/>
    <m/>
    <m/>
    <m/>
    <s v="ATENDE"/>
    <s v="ATENDE"/>
    <s v="ATENDE"/>
    <s v="ATENDE"/>
    <s v="C4"/>
    <s v="P6"/>
    <n v="2.4566666666666666"/>
    <n v="10.37"/>
    <n v="7.04"/>
    <n v="3"/>
    <n v="0.6"/>
    <s v="ATENDE"/>
    <s v="ATENDE"/>
    <s v="ATENDE"/>
    <s v="-"/>
    <e v="#VALUE!"/>
    <n v="5.9"/>
    <n v="4.01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72"/>
    <s v="PVP"/>
    <s v="Rua Guarda Marinho Grenwals, 2734"/>
    <n v="-29.998551089999999"/>
    <n v="-50.137877500000002"/>
    <x v="2"/>
    <s v="-"/>
    <x v="1"/>
    <s v="Vapor de sódio"/>
    <n v="150"/>
    <n v="22"/>
    <n v="0"/>
    <n v="300"/>
    <n v="2"/>
    <n v="2"/>
    <n v="7"/>
    <m/>
    <m/>
    <n v="0"/>
    <n v="2"/>
    <n v="0"/>
    <n v="0"/>
    <n v="0"/>
    <n v="0"/>
    <n v="0"/>
    <s v="Unilateral"/>
    <s v="Braço"/>
    <n v="44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3199999999999998"/>
    <n v="0.44444444444444464"/>
    <s v="-"/>
    <n v="12.32"/>
    <n v="0.26"/>
    <m/>
    <m/>
    <m/>
    <m/>
    <s v="ATENDE"/>
    <s v="ATENDE"/>
    <s v="ATENDE"/>
    <s v="ATENDE"/>
    <s v="C4"/>
    <s v="P6"/>
    <n v="2.2966666666666669"/>
    <n v="9.89"/>
    <n v="3.22"/>
    <n v="3"/>
    <n v="0.6"/>
    <s v="ATENDE"/>
    <s v="ATENDE"/>
    <s v="ATENDE"/>
    <s v="P6"/>
    <n v="1.7266666666666666"/>
    <n v="8.18"/>
    <n v="2.2200000000000002"/>
    <n v="3"/>
    <n v="0.6"/>
    <s v="ATENDE"/>
    <s v="ATENDE"/>
    <s v="ATENDE"/>
    <x v="0"/>
    <s v=" SL VT 9.1 65W"/>
    <s v="LUM LED SL VT 9.1 65W"/>
    <m/>
    <e v="#N/A"/>
    <n v="1"/>
    <n v="65"/>
    <n v="0"/>
    <n v="10496"/>
    <n v="0"/>
    <n v="0"/>
    <m/>
    <s v="Curto II"/>
    <m/>
    <s v=""/>
    <s v=""/>
    <m/>
    <m/>
    <m/>
    <m/>
    <m/>
    <m/>
    <n v="65"/>
    <n v="150"/>
    <n v="215"/>
    <n v="0.56666666666666665"/>
    <m/>
    <m/>
    <s v="Sim"/>
    <m/>
  </r>
  <r>
    <n v="272"/>
    <s v="PVP"/>
    <s v="Rua Guarda Marinho Grenwals, 2734"/>
    <n v="-29.998551089999999"/>
    <n v="-50.137877500000002"/>
    <x v="2"/>
    <s v="-"/>
    <x v="1"/>
    <s v="Vapor de sódio"/>
    <n v="150"/>
    <n v="22"/>
    <n v="0"/>
    <n v="300"/>
    <n v="2"/>
    <n v="2"/>
    <n v="7"/>
    <m/>
    <m/>
    <n v="0"/>
    <n v="2"/>
    <n v="0"/>
    <n v="0"/>
    <n v="0"/>
    <n v="0"/>
    <n v="0"/>
    <s v="Unilateral"/>
    <s v="Braço"/>
    <n v="44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199999999999987"/>
    <n v="0.16666666666666674"/>
    <s v="-"/>
    <n v="11.02"/>
    <n v="0.21"/>
    <m/>
    <m/>
    <m/>
    <m/>
    <s v="ATENDE"/>
    <s v="ATENDE"/>
    <s v="ATENDE"/>
    <s v="ATENDE"/>
    <s v="C4"/>
    <s v="P6"/>
    <n v="2.0033333333333334"/>
    <n v="9.01"/>
    <n v="1.08"/>
    <n v="3"/>
    <n v="0.6"/>
    <s v="ATENDE"/>
    <s v="ATENDE"/>
    <s v="ATENDE"/>
    <s v="P6"/>
    <n v="1.5133333333333332"/>
    <n v="7.54"/>
    <n v="3.2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72"/>
    <s v="PVP"/>
    <s v="Rua Guarda Marinho Grenwals, 2734"/>
    <n v="-29.998551089999999"/>
    <n v="-50.137877500000002"/>
    <x v="2"/>
    <s v="-"/>
    <x v="1"/>
    <s v="Vapor de sódio"/>
    <n v="150"/>
    <n v="22"/>
    <n v="0"/>
    <n v="300"/>
    <n v="2"/>
    <n v="2"/>
    <n v="7"/>
    <m/>
    <m/>
    <n v="0"/>
    <n v="2"/>
    <n v="0"/>
    <n v="0"/>
    <n v="0"/>
    <n v="0"/>
    <n v="0"/>
    <s v="Unilateral"/>
    <s v="Braço"/>
    <n v="44.3"/>
    <n v="7.5"/>
    <n v="1"/>
    <n v="0.2"/>
    <n v="1.3"/>
    <n v="1.100000000000000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"/>
    <n v="0.16666666666666674"/>
    <s v="-"/>
    <n v="10"/>
    <n v="0.21"/>
    <m/>
    <m/>
    <m/>
    <m/>
    <s v="ATENDE"/>
    <s v="ATENDE"/>
    <s v="ATENDE"/>
    <s v="ATENDE"/>
    <s v="C4"/>
    <s v="P6"/>
    <n v="0.96333333333333315"/>
    <n v="5.89"/>
    <n v="1.5"/>
    <n v="3"/>
    <n v="0.6"/>
    <s v="ATENDE"/>
    <s v="ATENDE"/>
    <s v="ATENDE"/>
    <s v="P6"/>
    <n v="1.3933333333333331"/>
    <n v="7.18"/>
    <n v="1.87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s v="Longo I"/>
    <n v="2.8"/>
    <n v="8"/>
    <m/>
    <m/>
    <m/>
    <m/>
    <m/>
    <m/>
    <n v="50"/>
    <n v="150"/>
    <n v="200"/>
    <n v="0.66666666666666674"/>
    <m/>
    <m/>
    <s v="Sim"/>
    <m/>
  </r>
  <r>
    <n v="273"/>
    <s v="PVP"/>
    <s v="Rua Vinte e Um de Abril, 1679"/>
    <n v="-29.99844118"/>
    <n v="-50.1361621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6.9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2000000000000028E-2"/>
    <n v="0.72222222222222232"/>
    <s v="-"/>
    <n v="10.32"/>
    <n v="0.31"/>
    <m/>
    <m/>
    <m/>
    <m/>
    <s v="ATENDE"/>
    <s v="ATENDE"/>
    <s v="ATENDE"/>
    <s v="ATENDE"/>
    <s v="C4"/>
    <s v="P6"/>
    <n v="1.8000000000000003"/>
    <n v="8.4"/>
    <n v="2.4"/>
    <n v="3"/>
    <n v="0.6"/>
    <s v="ATENDE"/>
    <s v="ATENDE"/>
    <s v="ATENDE"/>
    <s v="P6"/>
    <n v="0.98666666666666658"/>
    <n v="5.96"/>
    <n v="2.46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73"/>
    <s v="PVP"/>
    <s v="Rua Vinte e Um de Abril, 1679"/>
    <n v="-29.99844118"/>
    <n v="-50.1361621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6.9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3500000000000005"/>
    <n v="0.72222222222222232"/>
    <s v="-"/>
    <n v="14.35"/>
    <n v="0.31"/>
    <m/>
    <m/>
    <m/>
    <m/>
    <s v="ATENDE"/>
    <s v="ATENDE"/>
    <s v="ATENDE"/>
    <s v="ATENDE"/>
    <s v="C4"/>
    <s v="P6"/>
    <n v="2.6533333333333338"/>
    <n v="10.96"/>
    <n v="1.88"/>
    <n v="3"/>
    <n v="0.6"/>
    <s v="ATENDE"/>
    <s v="ATENDE"/>
    <s v="ATENDE"/>
    <s v="P6"/>
    <n v="1.6233333333333335"/>
    <n v="7.87"/>
    <n v="4.43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50"/>
    <n v="200"/>
    <n v="0.66666666666666674"/>
    <m/>
    <m/>
    <s v="Sim"/>
    <m/>
  </r>
  <r>
    <n v="273"/>
    <s v="PVP"/>
    <s v="Rua Vinte e Um de Abril, 1679"/>
    <n v="-29.99844118"/>
    <n v="-50.1361621"/>
    <x v="2"/>
    <s v="-"/>
    <x v="1"/>
    <s v="Vapor de sódio"/>
    <n v="150"/>
    <n v="22"/>
    <n v="0"/>
    <n v="300"/>
    <n v="2"/>
    <n v="2.5"/>
    <n v="7"/>
    <m/>
    <m/>
    <n v="0"/>
    <n v="2.5"/>
    <n v="0"/>
    <n v="0"/>
    <n v="0"/>
    <n v="0"/>
    <n v="0"/>
    <s v="Unilateral"/>
    <s v="Braço"/>
    <n v="36.9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299999999999998"/>
    <n v="0.2777777777777779"/>
    <s v="-"/>
    <n v="11.03"/>
    <n v="0.23"/>
    <m/>
    <m/>
    <m/>
    <m/>
    <s v="ATENDE"/>
    <s v="ATENDE"/>
    <s v="ATENDE"/>
    <s v="ATENDE"/>
    <s v="C4"/>
    <s v="P6"/>
    <n v="1.7866666666666666"/>
    <n v="8.36"/>
    <n v="1.81"/>
    <n v="3"/>
    <n v="0.6"/>
    <s v="ATENDE"/>
    <s v="ATENDE"/>
    <s v="ATENDE"/>
    <s v="P6"/>
    <n v="0.37666666666666671"/>
    <n v="4.13"/>
    <n v="1.32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74"/>
    <s v="PVP"/>
    <s v="Rua Sete de Setembro, 1526"/>
    <n v="-29.99663937"/>
    <n v="-50.13580687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6.0000000000000053E-3"/>
    <n v="1.5555555555555558"/>
    <s v="-"/>
    <n v="10.06"/>
    <n v="0.46"/>
    <m/>
    <m/>
    <m/>
    <m/>
    <s v="ATENDE"/>
    <s v="ATENDE"/>
    <s v="ATENDE"/>
    <s v="ATENDE"/>
    <s v="C4"/>
    <s v="P6"/>
    <n v="1.67"/>
    <n v="8.01"/>
    <n v="3.26"/>
    <n v="3"/>
    <n v="0.6"/>
    <s v="ATENDE"/>
    <s v="ATENDE"/>
    <s v="ATENDE"/>
    <s v="P6"/>
    <n v="0.93666666666666654"/>
    <n v="5.81"/>
    <n v="3"/>
    <n v="3"/>
    <n v="0.6"/>
    <s v="ATENDE"/>
    <s v="ATENDE"/>
    <s v="ATENDE"/>
    <x v="0"/>
    <s v=" SL VT 9.1 35W"/>
    <s v="LUM LED SL VT 9.1 35W"/>
    <m/>
    <n v="0"/>
    <n v="1"/>
    <n v="35"/>
    <e v="#N/A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74"/>
    <s v="PVP"/>
    <s v="Rua Sete de Setembro, 1526"/>
    <n v="-29.99663937"/>
    <n v="-50.13580687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900000000000001"/>
    <n v="2.3333333333333335"/>
    <s v="-"/>
    <n v="11.39"/>
    <n v="0.6"/>
    <m/>
    <m/>
    <m/>
    <m/>
    <s v="ATENDE"/>
    <s v="ATENDE"/>
    <s v="ATENDE"/>
    <s v="ATENDE"/>
    <s v="C4"/>
    <s v="P6"/>
    <n v="2.09"/>
    <n v="9.27"/>
    <n v="4.3099999999999996"/>
    <n v="3"/>
    <n v="0.6"/>
    <s v="ATENDE"/>
    <s v="ATENDE"/>
    <s v="ATENDE"/>
    <s v="P6"/>
    <n v="1.02"/>
    <n v="6.06"/>
    <n v="3.94"/>
    <n v="3"/>
    <n v="0.6"/>
    <s v="ATENDE"/>
    <s v="ATENDE"/>
    <s v="ATENDE"/>
    <x v="1"/>
    <s v="SX-INEVO040HF"/>
    <s v="SXINEVO040K40L12CZF7PHF"/>
    <m/>
    <n v="0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74"/>
    <s v="PVP"/>
    <s v="Rua Sete de Setembro, 1526"/>
    <n v="-29.99663937"/>
    <n v="-50.13580687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1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400000000000003"/>
    <n v="1.8333333333333335"/>
    <s v="-"/>
    <n v="12.84"/>
    <n v="0.51"/>
    <m/>
    <m/>
    <m/>
    <m/>
    <s v="ATENDE"/>
    <s v="ATENDE"/>
    <s v="ATENDE"/>
    <s v="ATENDE"/>
    <s v="C4"/>
    <s v="P6"/>
    <n v="2.2599999999999998"/>
    <n v="9.7799999999999994"/>
    <n v="4.66"/>
    <n v="3"/>
    <n v="0.6"/>
    <s v="ATENDE"/>
    <s v="ATENDE"/>
    <s v="ATENDE"/>
    <s v="P6"/>
    <n v="0.71"/>
    <n v="5.13"/>
    <n v="2.9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75"/>
    <s v="VP"/>
    <s v="Avenida Caldas Junior, 2440"/>
    <n v="-29.996957089999999"/>
    <n v="-50.136636500000002"/>
    <x v="3"/>
    <s v="-"/>
    <x v="1"/>
    <s v="Vapor de sódio"/>
    <n v="150"/>
    <n v="22"/>
    <n v="0"/>
    <n v="600"/>
    <n v="2"/>
    <n v="0"/>
    <n v="7"/>
    <m/>
    <m/>
    <n v="0"/>
    <n v="2.5"/>
    <n v="4.7"/>
    <n v="0"/>
    <n v="0"/>
    <n v="0"/>
    <n v="0"/>
    <s v="Canteiro central"/>
    <s v="Braço"/>
    <n v="22.3"/>
    <n v="6.2"/>
    <n v="2"/>
    <n v="2.35"/>
    <n v="2.5"/>
    <n v="0.14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9.5000000000000639E-3"/>
    <n v="0.67857142857142838"/>
    <s v="-"/>
    <n v="20.190000000000001"/>
    <n v="0.47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6466666666666669"/>
    <n v="7.94"/>
    <n v="5.12"/>
    <n v="3"/>
    <n v="0.6"/>
    <s v="ATENDE"/>
    <s v="ATENDE"/>
    <s v="ATENDE"/>
    <x v="0"/>
    <s v=" SL VT 9.1 17W"/>
    <s v=" SL VT 9.1 44W"/>
    <m/>
    <e v="#N/A"/>
    <n v="2"/>
    <n v="17"/>
    <n v="0"/>
    <n v="2929.66"/>
    <n v="0"/>
    <n v="0"/>
    <m/>
    <s v="Médio II"/>
    <m/>
    <s v=""/>
    <s v=""/>
    <m/>
    <m/>
    <m/>
    <m/>
    <m/>
    <m/>
    <n v="17"/>
    <n v="150"/>
    <n v="334"/>
    <n v="0.88666666666666671"/>
    <m/>
    <m/>
    <s v="Sim"/>
    <m/>
  </r>
  <r>
    <n v="275"/>
    <s v="VP"/>
    <s v="Avenida Caldas Junior, 2440"/>
    <n v="-29.996957089999999"/>
    <n v="-50.136636500000002"/>
    <x v="3"/>
    <s v="-"/>
    <x v="1"/>
    <s v="Vapor de sódio"/>
    <n v="150"/>
    <n v="22"/>
    <n v="0"/>
    <n v="600"/>
    <n v="2"/>
    <n v="0"/>
    <n v="7"/>
    <m/>
    <m/>
    <n v="0"/>
    <n v="2.5"/>
    <n v="4.7"/>
    <n v="0"/>
    <n v="0"/>
    <n v="0"/>
    <n v="0"/>
    <s v="Canteiro central"/>
    <s v="Braço"/>
    <n v="22.3"/>
    <n v="6.2"/>
    <n v="2"/>
    <n v="2.35"/>
    <n v="2.5"/>
    <n v="0.14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32799999999999985"/>
    <n v="1.0714285714285712"/>
    <s v="-"/>
    <n v="26.56"/>
    <n v="0.57999999999999996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8833333333333333"/>
    <n v="8.65"/>
    <n v="4.21"/>
    <n v="3"/>
    <n v="0.6"/>
    <s v="ATENDE"/>
    <s v="ATENDE"/>
    <s v="ATENDE"/>
    <x v="1"/>
    <s v="SX-INEVO020HF"/>
    <s v="SX-INEVO050HF"/>
    <m/>
    <e v="#N/A"/>
    <n v="2"/>
    <n v="22.5"/>
    <e v="#N/A"/>
    <n v="3825"/>
    <e v="#N/A"/>
    <n v="0"/>
    <m/>
    <s v="Médio II"/>
    <m/>
    <s v=""/>
    <s v=""/>
    <m/>
    <m/>
    <m/>
    <m/>
    <m/>
    <m/>
    <n v="22.5"/>
    <n v="150"/>
    <n v="345"/>
    <n v="0.85"/>
    <m/>
    <m/>
    <s v="Sim"/>
    <m/>
  </r>
  <r>
    <n v="275"/>
    <s v="VP"/>
    <s v="Avenida Caldas Junior, 2440"/>
    <n v="-29.996957089999999"/>
    <n v="-50.136636500000002"/>
    <x v="3"/>
    <s v="-"/>
    <x v="1"/>
    <s v="Vapor de sódio"/>
    <n v="150"/>
    <n v="22"/>
    <n v="0"/>
    <n v="600"/>
    <n v="2"/>
    <n v="0"/>
    <n v="7"/>
    <m/>
    <m/>
    <n v="0"/>
    <n v="2.5"/>
    <n v="4.7"/>
    <n v="0"/>
    <n v="0"/>
    <n v="0"/>
    <n v="0"/>
    <s v="Canteiro central"/>
    <s v="Braço"/>
    <n v="22.3"/>
    <n v="6.2"/>
    <n v="2"/>
    <n v="2.35"/>
    <n v="2.5"/>
    <n v="0.14999999999999991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2.4499999999999966E-2"/>
    <n v="0.60714285714285698"/>
    <s v="-"/>
    <n v="20.49"/>
    <n v="0.45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0.45333333333333337"/>
    <n v="4.3600000000000003"/>
    <n v="2.06"/>
    <n v="3"/>
    <n v="0.6"/>
    <s v="ATENDE"/>
    <s v="ATENDE"/>
    <s v="ATENDE"/>
    <x v="2"/>
    <s v="SIGSAGPTLRRSSNDL_30W_38IBBRS_x000a_"/>
    <s v="SIGSAGPTLRRSSNDL_40W_50IBBRS_x000a_"/>
    <m/>
    <e v="#N/A"/>
    <n v="2"/>
    <n v="30"/>
    <e v="#N/A"/>
    <n v="5266"/>
    <e v="#N/A"/>
    <n v="0"/>
    <m/>
    <s v="Médio II"/>
    <m/>
    <s v=""/>
    <s v=""/>
    <m/>
    <m/>
    <m/>
    <m/>
    <m/>
    <m/>
    <n v="30"/>
    <n v="150"/>
    <n v="360"/>
    <n v="0.8"/>
    <m/>
    <m/>
    <s v="Sim"/>
    <m/>
  </r>
  <r>
    <n v="276"/>
    <s v="PVP"/>
    <s v="Rua Andrade Neves, 883"/>
    <n v="-29.99864809"/>
    <n v="-50.1322306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99999999999997"/>
    <n v="7.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1.5555555555555558"/>
    <s v="-"/>
    <n v="10.51"/>
    <n v="0.46"/>
    <m/>
    <m/>
    <m/>
    <m/>
    <s v="ATENDE"/>
    <s v="ATENDE"/>
    <s v="ATENDE"/>
    <s v="ATENDE"/>
    <s v="C4"/>
    <s v="P6"/>
    <n v="1.9233333333333333"/>
    <n v="8.77"/>
    <n v="3.82"/>
    <n v="3"/>
    <n v="0.6"/>
    <s v="ATENDE"/>
    <s v="ATENDE"/>
    <s v="ATENDE"/>
    <s v="P6"/>
    <n v="1.3266666666666667"/>
    <n v="6.98"/>
    <n v="3.83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76"/>
    <s v="PVP"/>
    <s v="Rua Andrade Neves, 883"/>
    <n v="-29.99864809"/>
    <n v="-50.1322306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99999999999997"/>
    <n v="7.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"/>
    <n v="2.4444444444444446"/>
    <s v="-"/>
    <n v="10"/>
    <n v="0.62"/>
    <m/>
    <m/>
    <m/>
    <m/>
    <s v="ATENDE"/>
    <s v="ATENDE"/>
    <s v="ATENDE"/>
    <s v="ATENDE"/>
    <s v="C4"/>
    <s v="P6"/>
    <n v="1.7799999999999998"/>
    <n v="8.34"/>
    <n v="4.4000000000000004"/>
    <n v="3"/>
    <n v="0.6"/>
    <s v="ATENDE"/>
    <s v="ATENDE"/>
    <s v="ATENDE"/>
    <s v="P6"/>
    <n v="1.08"/>
    <n v="6.24"/>
    <n v="4.5999999999999996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76"/>
    <s v="PVP"/>
    <s v="Rua Andrade Neves, 883"/>
    <n v="-29.99864809"/>
    <n v="-50.13223066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2.799999999999997"/>
    <n v="7.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000000000000012"/>
    <n v="2.2222222222222223"/>
    <s v="-"/>
    <n v="11.4"/>
    <n v="0.57999999999999996"/>
    <m/>
    <m/>
    <m/>
    <m/>
    <s v="ATENDE"/>
    <s v="ATENDE"/>
    <s v="ATENDE"/>
    <s v="ATENDE"/>
    <s v="C4"/>
    <s v="P6"/>
    <n v="1.9433333333333334"/>
    <n v="8.83"/>
    <n v="4.76"/>
    <n v="3"/>
    <n v="0.6"/>
    <s v="ATENDE"/>
    <s v="ATENDE"/>
    <s v="ATENDE"/>
    <s v="P6"/>
    <n v="0.82666666666666688"/>
    <n v="5.48"/>
    <n v="3.55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77"/>
    <s v="PVP"/>
    <s v="Rua Tres de Outubro, 1924"/>
    <n v="-29.994925179999999"/>
    <n v="-50.128910789999999"/>
    <x v="1"/>
    <s v="-"/>
    <x v="1"/>
    <s v="Vapor de sódio"/>
    <n v="100"/>
    <n v="17"/>
    <n v="0"/>
    <n v="200"/>
    <n v="2"/>
    <n v="3.5"/>
    <n v="5"/>
    <m/>
    <m/>
    <n v="0"/>
    <n v="4"/>
    <n v="0"/>
    <n v="0"/>
    <n v="0"/>
    <n v="2"/>
    <n v="0"/>
    <s v="Unilateral"/>
    <s v="Braço"/>
    <n v="34.7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799999999999993"/>
    <n v="1.166666666666667"/>
    <s v="-"/>
    <n v="8.76"/>
    <n v="0.39"/>
    <m/>
    <m/>
    <m/>
    <m/>
    <s v="ATENDE"/>
    <s v="ATENDE"/>
    <s v="ATENDE"/>
    <s v="ATENDE"/>
    <s v="C5"/>
    <s v="P6"/>
    <n v="1.19"/>
    <n v="6.57"/>
    <n v="2.0299999999999998"/>
    <n v="3"/>
    <n v="0.6"/>
    <s v="ATENDE"/>
    <s v="ATENDE"/>
    <s v="ATENDE"/>
    <s v="P6"/>
    <n v="0.39666666666666672"/>
    <n v="4.1900000000000004"/>
    <n v="1.64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77"/>
    <s v="PVP"/>
    <s v="Rua Tres de Outubro, 1924"/>
    <n v="-29.994925179999999"/>
    <n v="-50.128910789999999"/>
    <x v="1"/>
    <s v="-"/>
    <x v="1"/>
    <s v="Vapor de sódio"/>
    <n v="100"/>
    <n v="17"/>
    <n v="0"/>
    <n v="200"/>
    <n v="2"/>
    <n v="3.5"/>
    <n v="5"/>
    <m/>
    <m/>
    <n v="0"/>
    <n v="4"/>
    <n v="0"/>
    <n v="0"/>
    <n v="0"/>
    <n v="2"/>
    <n v="0"/>
    <s v="Unilateral"/>
    <s v="Braço"/>
    <n v="34.7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43333333333333335"/>
    <n v="1.4444444444444446"/>
    <s v="-"/>
    <n v="10.75"/>
    <n v="0.44"/>
    <m/>
    <m/>
    <m/>
    <m/>
    <s v="ATENDE"/>
    <s v="ATENDE"/>
    <s v="ATENDE"/>
    <s v="ATENDE"/>
    <s v="C5"/>
    <s v="P6"/>
    <n v="0.42666666666666675"/>
    <n v="4.28"/>
    <n v="1.08"/>
    <n v="3"/>
    <n v="0.6"/>
    <s v="ATENDE"/>
    <s v="ATENDE"/>
    <s v="ATENDE"/>
    <s v="P6"/>
    <n v="1.3833333333333333"/>
    <n v="7.15"/>
    <n v="4.1100000000000003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77"/>
    <s v="PVP"/>
    <s v="Rua Tres de Outubro, 1924"/>
    <n v="-29.994925179999999"/>
    <n v="-50.128910789999999"/>
    <x v="1"/>
    <s v="-"/>
    <x v="1"/>
    <s v="Vapor de sódio"/>
    <n v="100"/>
    <n v="17"/>
    <n v="0"/>
    <n v="200"/>
    <n v="2"/>
    <n v="3.5"/>
    <n v="5"/>
    <m/>
    <m/>
    <n v="0"/>
    <n v="4"/>
    <n v="0"/>
    <n v="0"/>
    <n v="0"/>
    <n v="2"/>
    <n v="0"/>
    <s v="Unilateral"/>
    <s v="Braço"/>
    <n v="34.799999999999997"/>
    <n v="7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333333333333339"/>
    <n v="1.3888888888888888"/>
    <s v="-"/>
    <n v="9.25"/>
    <n v="0.43"/>
    <m/>
    <m/>
    <m/>
    <m/>
    <s v="ATENDE"/>
    <s v="ATENDE"/>
    <s v="ATENDE"/>
    <s v="ATENDE"/>
    <s v="C5"/>
    <s v="P6"/>
    <n v="0.20666666666666678"/>
    <n v="3.62"/>
    <n v="1.3"/>
    <n v="3"/>
    <n v="0.6"/>
    <s v="ATENDE"/>
    <s v="ATENDE"/>
    <s v="ATENDE"/>
    <s v="P6"/>
    <n v="0.8"/>
    <n v="5.4"/>
    <n v="3.0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78"/>
    <s v="PVP"/>
    <s v="Travessa Parana, 270"/>
    <n v="-29.993483650000002"/>
    <n v="-50.128321759999999"/>
    <x v="2"/>
    <s v="-"/>
    <x v="1"/>
    <s v="Vapor de sódio"/>
    <n v="150"/>
    <n v="22"/>
    <n v="0"/>
    <n v="300"/>
    <n v="2"/>
    <n v="2"/>
    <n v="8"/>
    <m/>
    <m/>
    <n v="0"/>
    <n v="2"/>
    <n v="0"/>
    <n v="0"/>
    <n v="0"/>
    <n v="0"/>
    <n v="0"/>
    <s v="Unilateral"/>
    <s v="Braço"/>
    <n v="29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400000000000003E-2"/>
    <n v="1.6666666666666665"/>
    <s v="-"/>
    <n v="10.34"/>
    <n v="0.48"/>
    <m/>
    <m/>
    <m/>
    <m/>
    <s v="ATENDE"/>
    <s v="ATENDE"/>
    <s v="ATENDE"/>
    <s v="ATENDE"/>
    <s v="C4"/>
    <s v="P6"/>
    <n v="1.9966666666666666"/>
    <n v="8.99"/>
    <n v="4.29"/>
    <n v="3"/>
    <n v="0.6"/>
    <s v="ATENDE"/>
    <s v="ATENDE"/>
    <s v="ATENDE"/>
    <s v="P6"/>
    <n v="0.70666666666666678"/>
    <n v="5.12"/>
    <n v="3.08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278"/>
    <s v="PVP"/>
    <s v="Travessa Parana, 270"/>
    <n v="-29.993483650000002"/>
    <n v="-50.128321759999999"/>
    <x v="2"/>
    <s v="-"/>
    <x v="1"/>
    <s v="Vapor de sódio"/>
    <n v="150"/>
    <n v="22"/>
    <n v="0"/>
    <n v="300"/>
    <n v="2"/>
    <n v="2"/>
    <n v="8"/>
    <m/>
    <m/>
    <n v="0"/>
    <n v="2"/>
    <n v="0"/>
    <n v="0"/>
    <n v="0"/>
    <n v="0"/>
    <n v="0"/>
    <s v="Unilateral"/>
    <s v="Braço"/>
    <n v="29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599999999999993"/>
    <n v="2.3888888888888888"/>
    <s v="-"/>
    <n v="11.66"/>
    <n v="0.61"/>
    <m/>
    <m/>
    <m/>
    <m/>
    <s v="ATENDE"/>
    <s v="ATENDE"/>
    <s v="ATENDE"/>
    <s v="ATENDE"/>
    <s v="C4"/>
    <s v="P6"/>
    <n v="2.4833333333333329"/>
    <n v="10.45"/>
    <n v="5.79"/>
    <n v="3"/>
    <n v="0.6"/>
    <s v="ATENDE"/>
    <s v="ATENDE"/>
    <s v="ATENDE"/>
    <s v="P6"/>
    <n v="0.68333333333333335"/>
    <n v="5.05"/>
    <n v="2.92"/>
    <n v="3"/>
    <n v="0.6"/>
    <s v="ATENDE"/>
    <s v="ATENDE"/>
    <s v="ATENDE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78"/>
    <s v="PVP"/>
    <s v="Travessa Parana, 270"/>
    <n v="-29.993483650000002"/>
    <n v="-50.128321759999999"/>
    <x v="2"/>
    <s v="-"/>
    <x v="1"/>
    <s v="Vapor de sódio"/>
    <n v="150"/>
    <n v="22"/>
    <n v="0"/>
    <n v="300"/>
    <n v="2"/>
    <n v="2"/>
    <n v="8"/>
    <m/>
    <m/>
    <n v="0"/>
    <n v="2"/>
    <n v="0"/>
    <n v="0"/>
    <n v="0"/>
    <n v="0"/>
    <n v="0"/>
    <s v="Unilateral"/>
    <s v="Braço"/>
    <n v="29.1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8900000000000015"/>
    <n v="1.6666666666666665"/>
    <s v="-"/>
    <n v="12.89"/>
    <n v="0.48"/>
    <m/>
    <m/>
    <m/>
    <m/>
    <s v="ATENDE"/>
    <s v="ATENDE"/>
    <s v="ATENDE"/>
    <s v="ATENDE"/>
    <s v="C4"/>
    <s v="P6"/>
    <n v="2.6933333333333334"/>
    <n v="11.08"/>
    <n v="6.4"/>
    <n v="3"/>
    <n v="0.6"/>
    <s v="ATENDE"/>
    <s v="ATENDE"/>
    <s v="ATENDE"/>
    <s v="P6"/>
    <n v="0.37666666666666671"/>
    <n v="4.13"/>
    <n v="2.36"/>
    <n v="3"/>
    <n v="0.6"/>
    <s v="ATENDE"/>
    <s v="ATENDE"/>
    <s v="ATENDE"/>
    <x v="2"/>
    <s v="SIGSAGPTLRRSSNDL_40W_50IBBRS_x000a_"/>
    <s v="SIGSAGPTLRRSSNDL_40W_50IBBRS_x000a_1-10C1MUN6.5"/>
    <m/>
    <n v="0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79"/>
    <s v="VP"/>
    <s v="Avenida Rubem Berta, 2296"/>
    <n v="-29.994944019999998"/>
    <n v="-50.131980810000002"/>
    <x v="3"/>
    <s v="-"/>
    <x v="0"/>
    <s v="LED"/>
    <n v="50"/>
    <n v="0"/>
    <n v="0"/>
    <n v="200"/>
    <n v="2"/>
    <n v="0"/>
    <n v="7"/>
    <m/>
    <m/>
    <n v="0"/>
    <n v="5"/>
    <n v="5.5"/>
    <n v="0"/>
    <n v="0"/>
    <n v="0"/>
    <n v="0"/>
    <s v="Canteiro central"/>
    <s v="Braço"/>
    <n v="20.2"/>
    <n v="6.7"/>
    <n v="2"/>
    <n v="3.3"/>
    <n v="2.7"/>
    <n v="-0.5999999999999996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5.7499999999999885E-2"/>
    <n v="1.0357142857142851"/>
    <s v="-"/>
    <n v="21.15"/>
    <n v="0.56999999999999995"/>
    <m/>
    <m/>
    <m/>
    <m/>
    <s v="ATENDE"/>
    <s v="ATENDE"/>
    <s v="ATENDE"/>
    <s v="ATENDE"/>
    <s v="C2"/>
    <s v="-"/>
    <e v="#VALUE!"/>
    <m/>
    <m/>
    <s v="-"/>
    <s v="-"/>
    <s v="-"/>
    <s v="-"/>
    <s v="-"/>
    <s v="P5"/>
    <n v="0.74400000000000022"/>
    <n v="8.7200000000000006"/>
    <n v="5.73"/>
    <n v="5"/>
    <n v="1"/>
    <s v="ATENDE"/>
    <s v="ATENDE"/>
    <s v="ATENDE"/>
    <x v="0"/>
    <s v=" SL VT 9.1 52W"/>
    <s v="LUM LED SL VT 9.1 52W"/>
    <m/>
    <e v="#N/A"/>
    <n v="2"/>
    <n v="52"/>
    <n v="0"/>
    <n v="8960.18"/>
    <n v="0"/>
    <n v="0"/>
    <n v="10"/>
    <s v="Longo I"/>
    <m/>
    <s v=""/>
    <s v=""/>
    <m/>
    <m/>
    <m/>
    <m/>
    <m/>
    <m/>
    <n v="52"/>
    <n v="50"/>
    <n v="204"/>
    <n v="-4.0000000000000036E-2"/>
    <m/>
    <m/>
    <s v="Sim"/>
    <m/>
  </r>
  <r>
    <n v="279"/>
    <s v="VP"/>
    <s v="Avenida Rubem Berta, 2296"/>
    <n v="-29.994944019999998"/>
    <n v="-50.131980810000002"/>
    <x v="3"/>
    <s v="-"/>
    <x v="0"/>
    <s v="LED"/>
    <n v="50"/>
    <n v="0"/>
    <n v="0"/>
    <n v="200"/>
    <n v="2"/>
    <n v="0"/>
    <n v="7"/>
    <m/>
    <m/>
    <n v="0"/>
    <n v="5"/>
    <n v="5.5"/>
    <n v="0"/>
    <n v="0"/>
    <n v="0"/>
    <n v="0"/>
    <s v="Canteiro central"/>
    <s v="Braço"/>
    <n v="20.2"/>
    <n v="6.7"/>
    <n v="2"/>
    <n v="3.3"/>
    <n v="2.7"/>
    <n v="-0.5999999999999996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1915"/>
    <n v="1.3571428571428572"/>
    <s v="-"/>
    <n v="23.83"/>
    <n v="0.66"/>
    <m/>
    <m/>
    <m/>
    <m/>
    <s v="ATENDE"/>
    <s v="ATENDE"/>
    <s v="ATENDE"/>
    <s v="ATENDE"/>
    <s v="C2"/>
    <s v="-"/>
    <e v="#VALUE!"/>
    <m/>
    <m/>
    <s v="-"/>
    <s v="-"/>
    <s v="-"/>
    <s v="-"/>
    <s v="-"/>
    <s v="P5"/>
    <n v="0.98399999999999999"/>
    <n v="9.92"/>
    <n v="6.02"/>
    <n v="5"/>
    <n v="1"/>
    <s v="ATENDE"/>
    <s v="ATENDE"/>
    <s v="ATENDE"/>
    <x v="1"/>
    <s v="SX-INEVO050HF"/>
    <s v="SXINEVO050K40L12CZF7PHF"/>
    <m/>
    <e v="#N/A"/>
    <n v="2"/>
    <n v="50"/>
    <e v="#N/A"/>
    <n v="8650"/>
    <e v="#N/A"/>
    <n v="0"/>
    <n v="10"/>
    <s v="Longo I"/>
    <m/>
    <s v=""/>
    <s v=""/>
    <m/>
    <m/>
    <m/>
    <m/>
    <m/>
    <m/>
    <n v="50"/>
    <n v="50"/>
    <n v="200"/>
    <n v="0"/>
    <m/>
    <m/>
    <s v="Sim"/>
    <m/>
  </r>
  <r>
    <n v="279"/>
    <s v="VP"/>
    <s v="Avenida Rubem Berta, 2296"/>
    <n v="-29.994944019999998"/>
    <n v="-50.131980810000002"/>
    <x v="3"/>
    <s v="-"/>
    <x v="0"/>
    <s v="LED"/>
    <n v="50"/>
    <n v="0"/>
    <n v="0"/>
    <n v="200"/>
    <n v="2"/>
    <n v="0"/>
    <n v="7"/>
    <m/>
    <m/>
    <n v="0"/>
    <n v="5"/>
    <n v="5.5"/>
    <n v="0"/>
    <n v="0"/>
    <n v="0"/>
    <n v="0"/>
    <s v="Canteiro central"/>
    <s v="Braço"/>
    <n v="20.2"/>
    <n v="6.7"/>
    <n v="2"/>
    <n v="3.3"/>
    <n v="2.7"/>
    <n v="-0.59999999999999964"/>
    <s v="-"/>
    <s v="-"/>
    <s v="Não"/>
    <n v="4"/>
    <n v="0"/>
    <n v="0"/>
    <n v="0"/>
    <n v="0"/>
    <n v="0"/>
    <s v="-"/>
    <n v="0"/>
    <m/>
    <n v="20"/>
    <n v="0.28000000000000003"/>
    <s v="-"/>
    <n v="0.28000000000000003"/>
    <s v="-"/>
    <n v="14"/>
    <s v="ATENDE"/>
    <n v="0.37949999999999995"/>
    <n v="1.0714285714285712"/>
    <s v="-"/>
    <n v="27.59"/>
    <n v="0.57999999999999996"/>
    <m/>
    <m/>
    <m/>
    <m/>
    <s v="ATENDE"/>
    <s v="ATENDE"/>
    <s v="ATENDE"/>
    <s v="ATENDE"/>
    <s v="C2"/>
    <s v="-"/>
    <e v="#VALUE!"/>
    <m/>
    <m/>
    <s v="-"/>
    <s v="-"/>
    <s v="-"/>
    <s v="-"/>
    <s v="-"/>
    <s v="P5"/>
    <n v="0.6100000000000001"/>
    <n v="8.0500000000000007"/>
    <n v="4.28"/>
    <n v="5"/>
    <n v="1"/>
    <s v="ATENDE"/>
    <s v="ATENDE"/>
    <s v="ATENDE"/>
    <x v="2"/>
    <s v="SIGSAGPTLRRSSNDL_60W_73IBBRS_x000a_"/>
    <s v="SIGSAGPTLRRSSNDL_60W_73IBBRS_x000a_1-10C1MUN6.5"/>
    <m/>
    <n v="0"/>
    <n v="2"/>
    <n v="60"/>
    <e v="#N/A"/>
    <n v="9453"/>
    <e v="#N/A"/>
    <n v="0"/>
    <n v="10"/>
    <s v="Longo I"/>
    <m/>
    <s v=""/>
    <s v=""/>
    <m/>
    <m/>
    <m/>
    <m/>
    <m/>
    <m/>
    <n v="60"/>
    <n v="50"/>
    <n v="220"/>
    <n v="-0.19999999999999996"/>
    <m/>
    <m/>
    <s v="Sim"/>
    <m/>
  </r>
  <r>
    <n v="280"/>
    <s v="PVP"/>
    <s v="Rua Humaita, 1074"/>
    <n v="-29.993810459999999"/>
    <n v="-50.132718590000003"/>
    <x v="2"/>
    <s v="-"/>
    <x v="1"/>
    <s v="Vapor de sódio"/>
    <n v="100"/>
    <n v="17"/>
    <n v="0"/>
    <n v="200"/>
    <n v="2"/>
    <n v="2.5"/>
    <n v="6"/>
    <m/>
    <m/>
    <n v="0"/>
    <n v="2.5"/>
    <n v="0"/>
    <n v="0"/>
    <n v="0"/>
    <n v="0"/>
    <n v="0"/>
    <s v="Unilateral"/>
    <s v="Braço"/>
    <n v="22.8"/>
    <n v="6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399999999999999"/>
    <n v="1.8888888888888893"/>
    <s v="-"/>
    <n v="12.44"/>
    <n v="0.52"/>
    <m/>
    <m/>
    <m/>
    <m/>
    <s v="ATENDE"/>
    <s v="ATENDE"/>
    <s v="ATENDE"/>
    <s v="ATENDE"/>
    <s v="C4"/>
    <s v="P6"/>
    <n v="2.2033333333333331"/>
    <n v="9.61"/>
    <n v="4.95"/>
    <n v="3"/>
    <n v="0.6"/>
    <s v="ATENDE"/>
    <s v="ATENDE"/>
    <s v="ATENDE"/>
    <s v="P6"/>
    <n v="1.37"/>
    <n v="7.11"/>
    <n v="4.150000000000000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00"/>
    <n v="128"/>
    <n v="0.72"/>
    <m/>
    <m/>
    <s v="Sim"/>
    <m/>
  </r>
  <r>
    <n v="280"/>
    <s v="PVP"/>
    <s v="Rua Humaita, 1074"/>
    <n v="-29.993810459999999"/>
    <n v="-50.132718590000003"/>
    <x v="2"/>
    <s v="-"/>
    <x v="1"/>
    <s v="Vapor de sódio"/>
    <n v="100"/>
    <n v="17"/>
    <n v="0"/>
    <n v="200"/>
    <n v="2"/>
    <n v="2.5"/>
    <n v="6"/>
    <m/>
    <m/>
    <n v="0"/>
    <n v="2.5"/>
    <n v="0"/>
    <n v="0"/>
    <n v="0"/>
    <n v="0"/>
    <n v="0"/>
    <s v="Unilateral"/>
    <s v="Braço"/>
    <n v="22.8"/>
    <n v="6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2000000000000037E-2"/>
    <n v="2.833333333333333"/>
    <s v="-"/>
    <n v="10.42"/>
    <n v="0.69"/>
    <m/>
    <m/>
    <m/>
    <m/>
    <s v="ATENDE"/>
    <s v="ATENDE"/>
    <s v="ATENDE"/>
    <s v="ATENDE"/>
    <s v="C4"/>
    <s v="P6"/>
    <n v="1.5533333333333332"/>
    <n v="7.66"/>
    <n v="4.28"/>
    <n v="3"/>
    <n v="0.6"/>
    <s v="ATENDE"/>
    <s v="ATENDE"/>
    <s v="ATENDE"/>
    <s v="P6"/>
    <n v="0.73666666666666658"/>
    <n v="5.21"/>
    <n v="2.76"/>
    <n v="3"/>
    <n v="0.6"/>
    <s v="ATENDE"/>
    <s v="ATENDE"/>
    <s v="ATENDE"/>
    <x v="1"/>
    <s v="SX-INEVO020HF"/>
    <s v="SXINEVO020K40L12CZF7PHF"/>
    <m/>
    <e v="#N/A"/>
    <n v="1"/>
    <n v="22.5"/>
    <n v="0"/>
    <n v="3825"/>
    <n v="0"/>
    <n v="0"/>
    <m/>
    <s v="Curto II"/>
    <m/>
    <s v=""/>
    <s v=""/>
    <m/>
    <m/>
    <m/>
    <m/>
    <m/>
    <m/>
    <n v="22.5"/>
    <n v="100"/>
    <n v="122.5"/>
    <n v="0.77500000000000002"/>
    <m/>
    <m/>
    <s v="Sim"/>
    <m/>
  </r>
  <r>
    <n v="280"/>
    <s v="PVP"/>
    <s v="Rua Humaita, 1074"/>
    <n v="-29.993810459999999"/>
    <n v="-50.132718590000003"/>
    <x v="2"/>
    <s v="-"/>
    <x v="1"/>
    <s v="Vapor de sódio"/>
    <n v="100"/>
    <n v="17"/>
    <n v="0"/>
    <n v="200"/>
    <n v="2"/>
    <n v="2.5"/>
    <n v="6"/>
    <m/>
    <m/>
    <n v="0"/>
    <n v="2.5"/>
    <n v="0"/>
    <n v="0"/>
    <n v="0"/>
    <n v="0"/>
    <n v="0"/>
    <s v="Unilateral"/>
    <s v="Braço"/>
    <n v="22.8"/>
    <n v="6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52699999999999991"/>
    <n v="2.666666666666667"/>
    <s v="-"/>
    <n v="15.27"/>
    <n v="0.66"/>
    <m/>
    <m/>
    <m/>
    <m/>
    <s v="ATENDE"/>
    <s v="ATENDE"/>
    <s v="ATENDE"/>
    <s v="ATENDE"/>
    <s v="C4"/>
    <s v="P6"/>
    <n v="2.6999999999999997"/>
    <n v="11.1"/>
    <n v="6.87"/>
    <n v="3"/>
    <n v="0.6"/>
    <s v="ATENDE"/>
    <s v="ATENDE"/>
    <s v="ATENDE"/>
    <s v="P6"/>
    <n v="1.2666666666666666"/>
    <n v="6.8"/>
    <n v="4.2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81"/>
    <s v="PVP"/>
    <s v="Travessa Borges de Medeiros, 2133"/>
    <n v="-29.99367582"/>
    <n v="-50.134468159999997"/>
    <x v="2"/>
    <s v="-"/>
    <x v="1"/>
    <s v="Vapor de sódio"/>
    <n v="150"/>
    <n v="22"/>
    <n v="0"/>
    <n v="300"/>
    <n v="2"/>
    <n v="2.5"/>
    <n v="8"/>
    <m/>
    <m/>
    <n v="0"/>
    <n v="2.5"/>
    <n v="0"/>
    <n v="0"/>
    <n v="0"/>
    <n v="0"/>
    <n v="0"/>
    <s v="Unilateral"/>
    <s v="Braço"/>
    <n v="30.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5999999999999992"/>
    <n v="1.3333333333333335"/>
    <s v="-"/>
    <n v="11.6"/>
    <n v="0.42"/>
    <m/>
    <m/>
    <m/>
    <m/>
    <s v="ATENDE"/>
    <s v="ATENDE"/>
    <s v="ATENDE"/>
    <s v="ATENDE"/>
    <s v="C4"/>
    <s v="P6"/>
    <n v="2.3733333333333331"/>
    <n v="10.119999999999999"/>
    <n v="4.21"/>
    <n v="3"/>
    <n v="0.6"/>
    <s v="ATENDE"/>
    <s v="ATENDE"/>
    <s v="ATENDE"/>
    <s v="P6"/>
    <n v="0.91000000000000014"/>
    <n v="5.73"/>
    <n v="3.26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281"/>
    <s v="PVP"/>
    <s v="Travessa Borges de Medeiros, 2133"/>
    <n v="-29.99367582"/>
    <n v="-50.134468159999997"/>
    <x v="2"/>
    <s v="-"/>
    <x v="1"/>
    <s v="Vapor de sódio"/>
    <n v="150"/>
    <n v="22"/>
    <n v="0"/>
    <n v="300"/>
    <n v="2"/>
    <n v="2.5"/>
    <n v="8"/>
    <m/>
    <m/>
    <n v="0"/>
    <n v="2.5"/>
    <n v="0"/>
    <n v="0"/>
    <n v="0"/>
    <n v="0"/>
    <n v="0"/>
    <s v="Unilateral"/>
    <s v="Braço"/>
    <n v="30.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8999999999999977E-2"/>
    <n v="2.2222222222222223"/>
    <s v="-"/>
    <n v="10.99"/>
    <n v="0.57999999999999996"/>
    <m/>
    <m/>
    <m/>
    <m/>
    <s v="ATENDE"/>
    <s v="ATENDE"/>
    <s v="ATENDE"/>
    <s v="ATENDE"/>
    <s v="C4"/>
    <s v="P6"/>
    <n v="2.1966666666666668"/>
    <n v="9.59"/>
    <n v="4.63"/>
    <n v="3"/>
    <n v="0.6"/>
    <s v="ATENDE"/>
    <s v="ATENDE"/>
    <s v="ATENDE"/>
    <s v="P6"/>
    <n v="0.40000000000000013"/>
    <n v="4.2"/>
    <n v="2.1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281"/>
    <s v="PVP"/>
    <s v="Travessa Borges de Medeiros, 2133"/>
    <n v="-29.99367582"/>
    <n v="-50.134468159999997"/>
    <x v="2"/>
    <s v="-"/>
    <x v="1"/>
    <s v="Vapor de sódio"/>
    <n v="150"/>
    <n v="22"/>
    <n v="0"/>
    <n v="300"/>
    <n v="2"/>
    <n v="2.5"/>
    <n v="8"/>
    <m/>
    <m/>
    <n v="0"/>
    <n v="2.5"/>
    <n v="0"/>
    <n v="0"/>
    <n v="0"/>
    <n v="0"/>
    <n v="0"/>
    <s v="Unilateral"/>
    <s v="Braço"/>
    <n v="30.7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300000000000008"/>
    <n v="1.5"/>
    <s v="-"/>
    <n v="12.13"/>
    <n v="0.45"/>
    <m/>
    <m/>
    <m/>
    <m/>
    <s v="ATENDE"/>
    <s v="ATENDE"/>
    <s v="ATENDE"/>
    <s v="ATENDE"/>
    <s v="C4"/>
    <s v="P6"/>
    <n v="2.3800000000000003"/>
    <n v="10.14"/>
    <n v="5"/>
    <n v="3"/>
    <n v="0.6"/>
    <s v="ATENDE"/>
    <s v="ATENDE"/>
    <s v="ATENDE"/>
    <s v="P6"/>
    <n v="0.14666666666666672"/>
    <n v="3.44"/>
    <n v="1.6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50"/>
    <n v="190"/>
    <n v="0.73333333333333339"/>
    <m/>
    <m/>
    <s v="Sim"/>
    <m/>
  </r>
  <r>
    <n v="282"/>
    <s v="PVP"/>
    <s v="Rua Getulio Vargas, 908"/>
    <n v="-29.990345420000001"/>
    <n v="-50.13449224"/>
    <x v="4"/>
    <s v="-"/>
    <x v="1"/>
    <s v="Vapor de sódio"/>
    <n v="100"/>
    <n v="17"/>
    <n v="0"/>
    <n v="200"/>
    <n v="2"/>
    <n v="4"/>
    <n v="7"/>
    <m/>
    <m/>
    <n v="0"/>
    <n v="4"/>
    <n v="0"/>
    <n v="0"/>
    <n v="0"/>
    <n v="0"/>
    <n v="0"/>
    <s v="Unilateral"/>
    <s v="Braço"/>
    <n v="32.200000000000003"/>
    <n v="6.8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666666666666656"/>
    <n v="0.88888888888888906"/>
    <s v="-"/>
    <n v="18.25"/>
    <n v="0.34"/>
    <m/>
    <m/>
    <m/>
    <m/>
    <s v="ATENDE"/>
    <s v="ATENDE"/>
    <s v="ATENDE"/>
    <s v="ATENDE"/>
    <s v="C3"/>
    <s v="P6"/>
    <n v="3.0700000000000003"/>
    <n v="12.21"/>
    <n v="5.71"/>
    <n v="3"/>
    <n v="0.6"/>
    <s v="ATENDE"/>
    <s v="ATENDE"/>
    <s v="ATENDE"/>
    <s v="P6"/>
    <n v="1.7833333333333332"/>
    <n v="8.35"/>
    <n v="2.4300000000000002"/>
    <n v="3"/>
    <n v="0.6"/>
    <s v="ATENDE"/>
    <s v="ATENDE"/>
    <s v="ATENDE"/>
    <x v="0"/>
    <s v=" SL VT 9.1 65W"/>
    <s v="LUM LED SL VT 9.1 65W"/>
    <m/>
    <e v="#N/A"/>
    <n v="1"/>
    <n v="65"/>
    <e v="#N/A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282"/>
    <s v="PVP"/>
    <s v="Rua Getulio Vargas, 908"/>
    <n v="-29.990345420000001"/>
    <n v="-50.13449224"/>
    <x v="4"/>
    <s v="-"/>
    <x v="1"/>
    <s v="Vapor de sódio"/>
    <n v="100"/>
    <n v="17"/>
    <n v="0"/>
    <n v="200"/>
    <n v="2"/>
    <n v="4"/>
    <n v="7"/>
    <m/>
    <m/>
    <n v="0"/>
    <n v="4"/>
    <n v="0"/>
    <n v="0"/>
    <n v="0"/>
    <n v="0"/>
    <n v="0"/>
    <s v="Unilateral"/>
    <s v="Braço"/>
    <n v="32.200000000000003"/>
    <n v="6.8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9.6666666666666679E-2"/>
    <n v="1.6666666666666665"/>
    <s v="-"/>
    <n v="16.45"/>
    <n v="0.48"/>
    <m/>
    <m/>
    <m/>
    <m/>
    <s v="ATENDE"/>
    <s v="ATENDE"/>
    <s v="ATENDE"/>
    <s v="ATENDE"/>
    <s v="C3"/>
    <s v="P6"/>
    <n v="2.44"/>
    <n v="10.32"/>
    <n v="2.39"/>
    <n v="3"/>
    <n v="0.6"/>
    <s v="ATENDE"/>
    <s v="ATENDE"/>
    <s v="ATENDE"/>
    <s v="P6"/>
    <n v="1.4366666666666665"/>
    <n v="7.31"/>
    <n v="3.4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82"/>
    <s v="PVP"/>
    <s v="Rua Getulio Vargas, 908"/>
    <n v="-29.990345420000001"/>
    <n v="-50.13449224"/>
    <x v="4"/>
    <s v="-"/>
    <x v="1"/>
    <s v="Vapor de sódio"/>
    <n v="100"/>
    <n v="17"/>
    <n v="0"/>
    <n v="200"/>
    <n v="2"/>
    <n v="4"/>
    <n v="7"/>
    <m/>
    <m/>
    <n v="0"/>
    <n v="4"/>
    <n v="0"/>
    <n v="0"/>
    <n v="0"/>
    <n v="0"/>
    <n v="0"/>
    <s v="Unilateral"/>
    <s v="Braço"/>
    <n v="32.200000000000003"/>
    <n v="6.8"/>
    <n v="1"/>
    <n v="0.3"/>
    <n v="1.3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21133333333333337"/>
    <n v="1.5555555555555558"/>
    <s v="-"/>
    <n v="18.170000000000002"/>
    <n v="0.46"/>
    <m/>
    <m/>
    <m/>
    <m/>
    <s v="ATENDE"/>
    <s v="ATENDE"/>
    <s v="ATENDE"/>
    <s v="ATENDE"/>
    <s v="C3"/>
    <s v="P6"/>
    <n v="2.8633333333333333"/>
    <n v="11.59"/>
    <n v="4"/>
    <n v="3"/>
    <n v="0.6"/>
    <s v="ATENDE"/>
    <s v="ATENDE"/>
    <s v="ATENDE"/>
    <s v="P6"/>
    <n v="0.87000000000000011"/>
    <n v="5.61"/>
    <n v="1.87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283"/>
    <s v="PVP"/>
    <s v="Rua Santo Amaro, 296"/>
    <n v="-29.999972039999999"/>
    <n v="-50.141374489999997"/>
    <x v="2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5.9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400000000000015"/>
    <n v="0.44444444444444464"/>
    <s v="-"/>
    <n v="11.64"/>
    <n v="0.26"/>
    <m/>
    <m/>
    <m/>
    <m/>
    <s v="ATENDE"/>
    <s v="ATENDE"/>
    <s v="ATENDE"/>
    <s v="ATENDE"/>
    <s v="C4"/>
    <s v="P6"/>
    <n v="2.1333333333333333"/>
    <n v="9.4"/>
    <n v="2.2000000000000002"/>
    <n v="3"/>
    <n v="0.6"/>
    <s v="ATENDE"/>
    <s v="ATENDE"/>
    <s v="ATENDE"/>
    <s v="P6"/>
    <n v="0.58000000000000007"/>
    <n v="4.74"/>
    <n v="1.83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83"/>
    <s v="PVP"/>
    <s v="Rua Santo Amaro, 296"/>
    <n v="-29.999972039999999"/>
    <n v="-50.141374489999997"/>
    <x v="2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5.9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999999999999975E-2"/>
    <n v="0.44444444444444464"/>
    <s v="-"/>
    <n v="10.97"/>
    <n v="0.26"/>
    <m/>
    <m/>
    <m/>
    <m/>
    <s v="ATENDE"/>
    <s v="ATENDE"/>
    <s v="ATENDE"/>
    <s v="ATENDE"/>
    <s v="C4"/>
    <s v="P6"/>
    <n v="1.9299999999999997"/>
    <n v="8.7899999999999991"/>
    <n v="1.22"/>
    <n v="3"/>
    <n v="0.6"/>
    <s v="ATENDE"/>
    <s v="ATENDE"/>
    <s v="ATENDE"/>
    <s v="P6"/>
    <n v="3.3333333333331883E-3"/>
    <n v="3.01"/>
    <n v="1.06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100"/>
    <n v="139"/>
    <n v="0.61"/>
    <m/>
    <m/>
    <s v="Sim"/>
    <m/>
  </r>
  <r>
    <n v="283"/>
    <s v="PVP"/>
    <s v="Rua Santo Amaro, 296"/>
    <n v="-29.999972039999999"/>
    <n v="-50.141374489999997"/>
    <x v="2"/>
    <s v="-"/>
    <x v="1"/>
    <s v="Vapor de sódio"/>
    <n v="100"/>
    <n v="17"/>
    <n v="0"/>
    <n v="200"/>
    <n v="2"/>
    <n v="2.5"/>
    <n v="7.5"/>
    <m/>
    <m/>
    <n v="0"/>
    <n v="2.5"/>
    <n v="0"/>
    <n v="0"/>
    <n v="0"/>
    <n v="0"/>
    <n v="0"/>
    <s v="Unilateral"/>
    <s v="Braço"/>
    <n v="35.4"/>
    <n v="5.9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00000000000002"/>
    <n v="0.33333333333333326"/>
    <s v="-"/>
    <n v="11.49"/>
    <n v="0.24"/>
    <m/>
    <m/>
    <m/>
    <m/>
    <s v="ATENDE"/>
    <s v="ATENDE"/>
    <s v="ATENDE"/>
    <s v="ATENDE"/>
    <s v="C4"/>
    <s v="P6"/>
    <n v="1.8866666666666667"/>
    <n v="8.66"/>
    <n v="1.98"/>
    <n v="3"/>
    <n v="0.6"/>
    <s v="ATENDE"/>
    <s v="ATENDE"/>
    <s v="ATENDE"/>
    <s v="P6"/>
    <n v="0.12333333333333329"/>
    <n v="3.37"/>
    <n v="1.100000000000000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s v="Curto II"/>
    <n v="1.4"/>
    <n v="6.5"/>
    <m/>
    <m/>
    <m/>
    <m/>
    <m/>
    <m/>
    <n v="40"/>
    <n v="100"/>
    <n v="140"/>
    <n v="0.6"/>
    <m/>
    <m/>
    <s v="Sim"/>
    <m/>
  </r>
  <r>
    <n v="284"/>
    <s v="VP"/>
    <s v="Avenida Flores da Cunha, 3244"/>
    <n v="-30.00140897"/>
    <n v="-50.140292100000003"/>
    <x v="0"/>
    <s v="-"/>
    <x v="0"/>
    <s v="LED"/>
    <n v="50"/>
    <n v="0"/>
    <n v="0"/>
    <n v="200"/>
    <n v="2"/>
    <n v="0"/>
    <n v="7"/>
    <m/>
    <m/>
    <n v="0"/>
    <n v="2.5"/>
    <n v="15"/>
    <n v="0"/>
    <n v="0"/>
    <n v="0"/>
    <n v="0"/>
    <s v="Canteiro central"/>
    <s v="Braço"/>
    <n v="31.5"/>
    <n v="6.3"/>
    <n v="2"/>
    <n v="7.5"/>
    <n v="2.5"/>
    <n v="-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0999999999999925E-2"/>
    <n v="0.36842105263157898"/>
    <s v="-"/>
    <n v="31.23"/>
    <n v="0.52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5"/>
    <n v="2.0659999999999998"/>
    <n v="15.33"/>
    <n v="10.77"/>
    <n v="5"/>
    <n v="1"/>
    <s v="ATENDE"/>
    <s v="ATENDE"/>
    <s v="ATENDE"/>
    <x v="0"/>
    <s v=" SL VT 9.6 190W"/>
    <s v="LUM LED SL VT 9.6 190W"/>
    <m/>
    <e v="#N/A"/>
    <n v="2"/>
    <n v="190"/>
    <n v="0"/>
    <n v="28644.799999999999"/>
    <n v="0"/>
    <n v="0"/>
    <n v="10"/>
    <s v="Médio II"/>
    <s v="Longo II"/>
    <m/>
    <m/>
    <m/>
    <m/>
    <m/>
    <m/>
    <m/>
    <m/>
    <n v="190"/>
    <n v="50"/>
    <n v="480"/>
    <n v="-2.8"/>
    <m/>
    <m/>
    <s v="Sim"/>
    <m/>
  </r>
  <r>
    <n v="284"/>
    <s v="VP"/>
    <s v="Avenida Flores da Cunha, 3244"/>
    <n v="-30.00140897"/>
    <n v="-50.140292100000003"/>
    <x v="0"/>
    <s v="-"/>
    <x v="0"/>
    <s v="LED"/>
    <n v="50"/>
    <n v="0"/>
    <n v="0"/>
    <n v="200"/>
    <n v="2"/>
    <n v="0"/>
    <n v="7"/>
    <m/>
    <m/>
    <n v="0"/>
    <n v="2.5"/>
    <n v="15"/>
    <n v="0"/>
    <n v="0"/>
    <n v="0"/>
    <n v="0"/>
    <s v="Canteiro central"/>
    <s v="Braço"/>
    <n v="31.5"/>
    <n v="6.3"/>
    <n v="2"/>
    <n v="7.5"/>
    <n v="2.5"/>
    <n v="-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7.4666666666666659E-2"/>
    <n v="0.63157894736842102"/>
    <s v="-"/>
    <n v="32.24"/>
    <n v="0.62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5"/>
    <n v="1.7320000000000002"/>
    <n v="13.66"/>
    <n v="10.8"/>
    <n v="5"/>
    <n v="1"/>
    <s v="ATENDE"/>
    <s v="ATENDE"/>
    <s v="ATENDE"/>
    <x v="1"/>
    <s v="SX-INLPP090HF"/>
    <s v="SXINLPP090K40L12CZF7PHF"/>
    <m/>
    <e v="#N/A"/>
    <n v="2"/>
    <n v="90"/>
    <n v="0"/>
    <n v="15476"/>
    <n v="0"/>
    <n v="0"/>
    <n v="10"/>
    <s v="Médio II"/>
    <m/>
    <m/>
    <m/>
    <s v="APES-2"/>
    <n v="1"/>
    <m/>
    <s v="Redução do distanciamento entre postes de 31.5para 15,75."/>
    <m/>
    <m/>
    <n v="90"/>
    <n v="50"/>
    <n v="280"/>
    <n v="-0.8"/>
    <m/>
    <m/>
    <s v="Sim"/>
    <m/>
  </r>
  <r>
    <n v="284"/>
    <s v="VP"/>
    <s v="Avenida Flores da Cunha, 3244"/>
    <n v="-30.00140897"/>
    <n v="-50.140292100000003"/>
    <x v="0"/>
    <s v="-"/>
    <x v="0"/>
    <s v="LED"/>
    <n v="50"/>
    <n v="0"/>
    <n v="0"/>
    <n v="200"/>
    <n v="2"/>
    <n v="0"/>
    <n v="7"/>
    <m/>
    <m/>
    <n v="0"/>
    <n v="2.5"/>
    <n v="15"/>
    <n v="0"/>
    <n v="0"/>
    <n v="0"/>
    <n v="0"/>
    <s v="Canteiro central"/>
    <s v="Braço"/>
    <n v="31.5"/>
    <n v="6.3"/>
    <n v="2"/>
    <n v="7.5"/>
    <n v="2.5"/>
    <n v="-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0.18599999999999994"/>
    <n v="0.26315789473684204"/>
    <s v="-"/>
    <n v="35.58"/>
    <n v="0.48"/>
    <m/>
    <m/>
    <m/>
    <m/>
    <s v="ATENDE"/>
    <s v="ATENDE"/>
    <s v="ATENDE"/>
    <s v="ATENDE"/>
    <s v="C1"/>
    <s v="-"/>
    <e v="#VALUE!"/>
    <s v=" -"/>
    <s v=" -"/>
    <s v="-"/>
    <s v="-"/>
    <s v="-"/>
    <s v="-"/>
    <s v="-"/>
    <s v="P5"/>
    <n v="1.3359999999999999"/>
    <n v="11.68"/>
    <n v="8.76"/>
    <n v="5"/>
    <n v="1"/>
    <s v="ATENDE"/>
    <s v="ATENDE"/>
    <s v="ATENDE"/>
    <x v="2"/>
    <s v="TAUMAGPTLRRTMNDL183W_95IBB"/>
    <s v="TAUMAGPTLRRTMNDL183W_95IBB_x000a_RS1-10C1MUN6.5"/>
    <m/>
    <e v="#N/A"/>
    <n v="2"/>
    <n v="183"/>
    <n v="0"/>
    <n v="30866"/>
    <n v="0"/>
    <n v="0"/>
    <n v="10"/>
    <s v="Médio II"/>
    <m/>
    <m/>
    <m/>
    <m/>
    <m/>
    <m/>
    <m/>
    <m/>
    <m/>
    <n v="183"/>
    <n v="50"/>
    <n v="466"/>
    <n v="-2.66"/>
    <m/>
    <m/>
    <s v="Sim"/>
    <m/>
  </r>
  <r>
    <n v="285"/>
    <s v="VP"/>
    <s v="Avenida Deputado Osvaldo Bastos, 990"/>
    <n v="-30.005063490000001"/>
    <n v="-50.137536220000001"/>
    <x v="3"/>
    <s v="-"/>
    <x v="1"/>
    <s v="Vapor de sódio"/>
    <n v="250"/>
    <n v="30"/>
    <n v="0"/>
    <n v="500"/>
    <n v="2"/>
    <n v="0"/>
    <n v="7"/>
    <m/>
    <m/>
    <n v="0"/>
    <n v="2.5"/>
    <n v="10.5"/>
    <n v="0"/>
    <n v="0"/>
    <n v="0"/>
    <n v="0"/>
    <s v="Canteiro central"/>
    <s v="Braço"/>
    <n v="38.200000000000003"/>
    <n v="7"/>
    <n v="1"/>
    <n v="5.25"/>
    <n v="1.3"/>
    <n v="-3.95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0.11649999999999983"/>
    <n v="0.4285714285714286"/>
    <s v="-"/>
    <n v="22.33"/>
    <n v="0.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9499999999999997"/>
    <n v="8.85"/>
    <n v="5.49"/>
    <n v="3"/>
    <n v="0.6"/>
    <s v="ATENDE"/>
    <s v="ATENDE"/>
    <s v="ATENDE"/>
    <x v="0"/>
    <s v=" SL VT 9.1 140W"/>
    <s v="LUM LED SL VT 9.1 140W"/>
    <m/>
    <n v="0"/>
    <n v="1"/>
    <n v="140"/>
    <n v="0"/>
    <n v="22440"/>
    <n v="0"/>
    <n v="0"/>
    <n v="10"/>
    <s v="Curto II"/>
    <m/>
    <s v=""/>
    <s v=""/>
    <m/>
    <m/>
    <m/>
    <m/>
    <m/>
    <m/>
    <n v="140"/>
    <n v="250"/>
    <n v="390"/>
    <n v="0.43999999999999995"/>
    <m/>
    <m/>
    <s v="Sim"/>
    <m/>
  </r>
  <r>
    <n v="285"/>
    <s v="VP"/>
    <s v="Avenida Deputado Osvaldo Bastos, 990"/>
    <n v="-30.005063490000001"/>
    <n v="-50.137536220000001"/>
    <x v="3"/>
    <s v="-"/>
    <x v="1"/>
    <s v="Vapor de sódio"/>
    <n v="250"/>
    <n v="30"/>
    <n v="0"/>
    <n v="500"/>
    <n v="2"/>
    <n v="0"/>
    <n v="7"/>
    <m/>
    <m/>
    <n v="0"/>
    <n v="2.5"/>
    <n v="10.5"/>
    <n v="0"/>
    <n v="0"/>
    <n v="0"/>
    <n v="0"/>
    <s v="Canteiro central"/>
    <s v="Braço"/>
    <n v="38.200000000000003"/>
    <n v="7"/>
    <n v="1"/>
    <n v="5.25"/>
    <n v="1.3"/>
    <n v="-3.95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8.4999999999999964E-2"/>
    <n v="0.21428571428571419"/>
    <s v="-"/>
    <n v="21.7"/>
    <n v="0.3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1.3900000000000001"/>
    <n v="7.17"/>
    <n v="4.2699999999999996"/>
    <n v="3"/>
    <n v="0.6"/>
    <s v="ATENDE"/>
    <s v="ATENDE"/>
    <s v="ATENDE"/>
    <x v="1"/>
    <s v="SX-INLPP150HF"/>
    <s v="SXINLPP150K40L12CZF7PHF"/>
    <m/>
    <n v="0"/>
    <n v="1"/>
    <n v="137"/>
    <n v="0"/>
    <n v="23817"/>
    <n v="0"/>
    <n v="0"/>
    <n v="10"/>
    <s v="Curto II"/>
    <m/>
    <s v=""/>
    <s v=""/>
    <m/>
    <m/>
    <m/>
    <m/>
    <m/>
    <m/>
    <n v="137"/>
    <n v="250"/>
    <n v="387"/>
    <n v="0.45199999999999996"/>
    <m/>
    <m/>
    <s v="Sim"/>
    <m/>
  </r>
  <r>
    <n v="285"/>
    <s v="VP"/>
    <s v="Avenida Deputado Osvaldo Bastos, 990"/>
    <n v="-30.005063490000001"/>
    <n v="-50.137536220000001"/>
    <x v="3"/>
    <s v="-"/>
    <x v="1"/>
    <s v="Vapor de sódio"/>
    <n v="250"/>
    <n v="30"/>
    <n v="0"/>
    <n v="500"/>
    <n v="2"/>
    <n v="0"/>
    <n v="7"/>
    <m/>
    <m/>
    <n v="0"/>
    <n v="2.5"/>
    <n v="10.5"/>
    <n v="0"/>
    <n v="0"/>
    <n v="0"/>
    <n v="0"/>
    <s v="Canteiro central"/>
    <s v="Braço"/>
    <n v="38.200000000000003"/>
    <n v="7"/>
    <n v="1"/>
    <n v="5.25"/>
    <n v="1.3"/>
    <n v="-3.95"/>
    <s v="-"/>
    <s v="-"/>
    <s v="Não"/>
    <n v="2"/>
    <n v="0"/>
    <n v="0"/>
    <n v="0"/>
    <n v="0"/>
    <n v="0"/>
    <s v="-"/>
    <n v="0"/>
    <m/>
    <n v="20"/>
    <n v="0.28000000000000003"/>
    <s v="-"/>
    <n v="0.28000000000000003"/>
    <s v="-"/>
    <n v="14"/>
    <s v="ATENDE"/>
    <n v="5.600000000000005E-2"/>
    <n v="0.4285714285714286"/>
    <s v="-"/>
    <n v="21.12"/>
    <n v="0.4"/>
    <m/>
    <m/>
    <m/>
    <m/>
    <s v="ATENDE"/>
    <s v="ATENDE"/>
    <s v="ATENDE"/>
    <s v="ATENDE"/>
    <s v="C2"/>
    <s v="-"/>
    <e v="#VALUE!"/>
    <m/>
    <m/>
    <s v="-"/>
    <s v="-"/>
    <s v="-"/>
    <s v="-"/>
    <s v="-"/>
    <s v="P6"/>
    <n v="0.73333333333333339"/>
    <n v="5.2"/>
    <n v="3.34"/>
    <n v="3"/>
    <n v="0.6"/>
    <s v="ATENDE"/>
    <s v="ATENDE"/>
    <s v="ATENDE"/>
    <x v="2"/>
    <s v="SIGMAGPTLRRSMNDL150W102IBBR_x000a_"/>
    <s v="SIGMAGPTLRRSMNDL150W102IBBR_x000a_S1-10C1MUN6.5"/>
    <m/>
    <n v="0"/>
    <n v="1"/>
    <n v="150"/>
    <e v="#N/A"/>
    <n v="23000"/>
    <n v="0"/>
    <n v="0"/>
    <m/>
    <s v="Curto II"/>
    <m/>
    <s v=""/>
    <s v=""/>
    <m/>
    <m/>
    <m/>
    <m/>
    <m/>
    <m/>
    <n v="150"/>
    <n v="250"/>
    <n v="400"/>
    <n v="0.4"/>
    <m/>
    <m/>
    <s v="Sim"/>
    <m/>
  </r>
  <r>
    <n v="286"/>
    <s v="PVP"/>
    <s v="Rua Andrade Neves, 1379"/>
    <n v="-30.002843160000001"/>
    <n v="-50.13449392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299999999999998"/>
    <n v="0.5555555555555558"/>
    <s v="-"/>
    <n v="11.03"/>
    <n v="0.28000000000000003"/>
    <m/>
    <m/>
    <m/>
    <m/>
    <s v="ATENDE"/>
    <s v="ATENDE"/>
    <s v="ATENDE"/>
    <s v="ATENDE"/>
    <s v="C4"/>
    <s v="P6"/>
    <n v="2.0066666666666664"/>
    <n v="9.02"/>
    <n v="2.3199999999999998"/>
    <n v="3"/>
    <n v="0.6"/>
    <s v="ATENDE"/>
    <s v="ATENDE"/>
    <s v="ATENDE"/>
    <s v="P6"/>
    <n v="1.1966666666666668"/>
    <n v="6.59"/>
    <n v="2.46"/>
    <n v="3"/>
    <n v="0.6"/>
    <s v="ATENDE"/>
    <s v="ATENDE"/>
    <s v="ATENDE"/>
    <x v="0"/>
    <s v=" SL VT 9.1 52W"/>
    <s v="LUM LED SL VT 9.1 52W"/>
    <m/>
    <e v="#N/A"/>
    <n v="1"/>
    <n v="52"/>
    <e v="#N/A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286"/>
    <s v="PVP"/>
    <s v="Rua Andrade Neves, 1379"/>
    <n v="-30.002843160000001"/>
    <n v="-50.13449392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0699999999999994"/>
    <n v="0.50000000000000022"/>
    <s v="-"/>
    <n v="13.07"/>
    <n v="0.27"/>
    <m/>
    <m/>
    <m/>
    <m/>
    <s v="ATENDE"/>
    <s v="ATENDE"/>
    <s v="ATENDE"/>
    <s v="ATENDE"/>
    <s v="C4"/>
    <s v="P6"/>
    <n v="2.36"/>
    <n v="10.08"/>
    <n v="1.49"/>
    <n v="3"/>
    <n v="0.6"/>
    <s v="ATENDE"/>
    <s v="ATENDE"/>
    <s v="ATENDE"/>
    <s v="P6"/>
    <n v="1.5100000000000002"/>
    <n v="7.53"/>
    <n v="3.84"/>
    <n v="3"/>
    <n v="0.6"/>
    <s v="ATENDE"/>
    <s v="ATENDE"/>
    <s v="ATENDE"/>
    <x v="1"/>
    <s v="SX-INEVO050HF"/>
    <s v="SXINEVO050K40L12CZF7PHF"/>
    <m/>
    <e v="#N/A"/>
    <n v="1"/>
    <n v="50"/>
    <e v="#N/A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86"/>
    <s v="PVP"/>
    <s v="Rua Andrade Neves, 1379"/>
    <n v="-30.002843160000001"/>
    <n v="-50.134493929999998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9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0000000000000071E-3"/>
    <n v="0.11111111111111116"/>
    <s v="-"/>
    <n v="10.08"/>
    <n v="0.2"/>
    <m/>
    <m/>
    <m/>
    <m/>
    <s v="ATENDE"/>
    <s v="ATENDE"/>
    <s v="ATENDE"/>
    <s v="ATENDE"/>
    <s v="C4"/>
    <s v="P6"/>
    <n v="1.56"/>
    <n v="7.68"/>
    <n v="1.4"/>
    <n v="3"/>
    <n v="0.6"/>
    <s v="ATENDE"/>
    <s v="ATENDE"/>
    <s v="ATENDE"/>
    <s v="P6"/>
    <n v="0.34333333333333349"/>
    <n v="4.03"/>
    <n v="1.110000000000000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87"/>
    <s v="PVP"/>
    <s v="Rua Pinheiro Machado, 556"/>
    <n v="-30.00260437"/>
    <n v="-50.13295166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666666666666678"/>
    <n v="1.1111111111111112"/>
    <s v="-"/>
    <n v="9.0500000000000007"/>
    <n v="0.38"/>
    <m/>
    <m/>
    <m/>
    <m/>
    <s v="ATENDE"/>
    <s v="ATENDE"/>
    <s v="ATENDE"/>
    <s v="ATENDE"/>
    <s v="C5"/>
    <s v="P6"/>
    <n v="1.4"/>
    <n v="7.2"/>
    <n v="2.38"/>
    <n v="3"/>
    <n v="0.6"/>
    <s v="ATENDE"/>
    <s v="ATENDE"/>
    <s v="ATENDE"/>
    <s v="P6"/>
    <n v="0.7433333333333334"/>
    <n v="5.23"/>
    <n v="2.2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87"/>
    <s v="PVP"/>
    <s v="Rua Pinheiro Machado, 556"/>
    <n v="-30.00260437"/>
    <n v="-50.13295166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400000000000015"/>
    <n v="1.166666666666667"/>
    <s v="-"/>
    <n v="8.73"/>
    <n v="0.39"/>
    <m/>
    <m/>
    <m/>
    <m/>
    <s v="ATENDE"/>
    <s v="ATENDE"/>
    <s v="ATENDE"/>
    <s v="ATENDE"/>
    <s v="C5"/>
    <s v="P6"/>
    <n v="1.1966666666666668"/>
    <n v="6.59"/>
    <n v="1.45"/>
    <n v="3"/>
    <n v="0.6"/>
    <s v="ATENDE"/>
    <s v="ATENDE"/>
    <s v="ATENDE"/>
    <s v="P6"/>
    <n v="0.44000000000000017"/>
    <n v="4.32"/>
    <n v="2.06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287"/>
    <s v="PVP"/>
    <s v="Rua Pinheiro Machado, 556"/>
    <n v="-30.00260437"/>
    <n v="-50.132951660000003"/>
    <x v="1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4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666666666666672"/>
    <n v="1.6666666666666665"/>
    <s v="-"/>
    <n v="8.6"/>
    <n v="0.48"/>
    <m/>
    <m/>
    <m/>
    <m/>
    <s v="ATENDE"/>
    <s v="ATENDE"/>
    <s v="ATENDE"/>
    <s v="ATENDE"/>
    <s v="C5"/>
    <s v="P6"/>
    <n v="1.2133333333333334"/>
    <n v="6.64"/>
    <n v="2.75"/>
    <n v="3"/>
    <n v="0.6"/>
    <s v="ATENDE"/>
    <s v="ATENDE"/>
    <s v="ATENDE"/>
    <s v="P6"/>
    <n v="0.33999999999999986"/>
    <n v="4.0199999999999996"/>
    <n v="2.6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288"/>
    <s v="V"/>
    <s v="Rua Tres de Outubro, 3423"/>
    <n v="-30.008303389999998"/>
    <n v="-50.134921669999997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8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8666666666666663E-2"/>
    <n v="0.5555555555555558"/>
    <s v="-"/>
    <n v="8.09"/>
    <n v="0.2800000000000000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88"/>
    <s v="V"/>
    <s v="Rua Tres de Outubro, 3423"/>
    <n v="-30.008303389999998"/>
    <n v="-50.134921669999997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8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1333333333333222E-2"/>
    <n v="0.16666666666666674"/>
    <s v="-"/>
    <n v="7.81"/>
    <n v="0.2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288"/>
    <s v="V"/>
    <s v="Rua Tres de Outubro, 3423"/>
    <n v="-30.008303389999998"/>
    <n v="-50.134921669999997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8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2.533333333333343E-2"/>
    <n v="0.72222222222222232"/>
    <s v="-"/>
    <n v="7.69"/>
    <n v="0.3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289"/>
    <s v="PVP"/>
    <s v="Rua Pinheiro Machado, 1192"/>
    <n v="-30.00782757"/>
    <n v="-50.13544181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6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999999999999897E-3"/>
    <n v="0.88888888888888906"/>
    <s v="-"/>
    <n v="10.09"/>
    <n v="0.34"/>
    <m/>
    <m/>
    <m/>
    <m/>
    <s v="ATENDE"/>
    <s v="ATENDE"/>
    <s v="ATENDE"/>
    <s v="ATENDE"/>
    <s v="C4"/>
    <s v="P6"/>
    <n v="1.8766666666666669"/>
    <n v="8.6300000000000008"/>
    <n v="2.63"/>
    <n v="3"/>
    <n v="0.6"/>
    <s v="ATENDE"/>
    <s v="ATENDE"/>
    <s v="ATENDE"/>
    <s v="P6"/>
    <n v="0.95333333333333337"/>
    <n v="5.86"/>
    <n v="2.58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89"/>
    <s v="PVP"/>
    <s v="Rua Pinheiro Machado, 1192"/>
    <n v="-30.00782757"/>
    <n v="-50.13544181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6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500000000000003"/>
    <n v="1.0555555555555558"/>
    <s v="-"/>
    <n v="14.05"/>
    <n v="0.37"/>
    <m/>
    <m/>
    <m/>
    <m/>
    <s v="ATENDE"/>
    <s v="ATENDE"/>
    <s v="ATENDE"/>
    <s v="ATENDE"/>
    <s v="C4"/>
    <s v="P6"/>
    <n v="2.8033333333333332"/>
    <n v="11.41"/>
    <n v="2.4700000000000002"/>
    <n v="3"/>
    <n v="0.6"/>
    <s v="ATENDE"/>
    <s v="ATENDE"/>
    <s v="ATENDE"/>
    <s v="P6"/>
    <n v="1.58"/>
    <n v="7.74"/>
    <n v="4.84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89"/>
    <s v="PVP"/>
    <s v="Rua Pinheiro Machado, 1192"/>
    <n v="-30.00782757"/>
    <n v="-50.135441810000003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6.6"/>
    <n v="7"/>
    <n v="1"/>
    <n v="0.5"/>
    <n v="1.3"/>
    <n v="0.8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7999999999999847E-2"/>
    <n v="0.5555555555555558"/>
    <s v="-"/>
    <n v="10.78"/>
    <n v="0.28000000000000003"/>
    <m/>
    <m/>
    <m/>
    <m/>
    <s v="ATENDE"/>
    <s v="ATENDE"/>
    <s v="ATENDE"/>
    <s v="ATENDE"/>
    <s v="C4"/>
    <s v="P6"/>
    <n v="1.9"/>
    <n v="8.6999999999999993"/>
    <n v="2.27"/>
    <n v="3"/>
    <n v="0.6"/>
    <s v="ATENDE"/>
    <s v="ATENDE"/>
    <s v="ATENDE"/>
    <s v="P6"/>
    <n v="0.35333333333333328"/>
    <n v="4.0599999999999996"/>
    <n v="1.56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0"/>
    <s v="PV"/>
    <s v="Rua Brochado da Rocha, 276"/>
    <n v="-30.008699880000002"/>
    <n v="-50.136656449999997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19999999999999"/>
    <n v="1.2777777777777777"/>
    <s v="-"/>
    <n v="11.42"/>
    <n v="0.41"/>
    <m/>
    <m/>
    <m/>
    <m/>
    <s v="ATENDE"/>
    <s v="ATENDE"/>
    <s v="ATENDE"/>
    <s v="ATENDE"/>
    <s v="C4"/>
    <s v="P6"/>
    <n v="2.1166666666666667"/>
    <n v="9.35"/>
    <n v="3.56"/>
    <n v="3"/>
    <n v="0.6"/>
    <s v="ATENDE"/>
    <s v="ATENDE"/>
    <s v="ATENDE"/>
    <s v="-"/>
    <e v="#VALUE!"/>
    <m/>
    <m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0"/>
    <s v="PV"/>
    <s v="Rua Brochado da Rocha, 276"/>
    <n v="-30.008699880000002"/>
    <n v="-50.136656449999997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5999999999999854E-2"/>
    <n v="2.0000000000000004"/>
    <s v="-"/>
    <n v="10.86"/>
    <n v="0.54"/>
    <m/>
    <m/>
    <m/>
    <m/>
    <s v="ATENDE"/>
    <s v="ATENDE"/>
    <s v="ATENDE"/>
    <s v="ATENDE"/>
    <s v="C4"/>
    <s v="P6"/>
    <n v="1.9466666666666668"/>
    <n v="8.84"/>
    <n v="3.6"/>
    <n v="3"/>
    <n v="0.6"/>
    <s v="ATENDE"/>
    <s v="ATENDE"/>
    <s v="ATENDE"/>
    <s v="-"/>
    <e v="#VALUE!"/>
    <m/>
    <m/>
    <s v="-"/>
    <s v="-"/>
    <s v="-"/>
    <s v="-"/>
    <s v="-"/>
    <x v="1"/>
    <s v="SX-INEVO040HF"/>
    <s v="SXINEVO040K40L12CZF7PHF"/>
    <m/>
    <e v="#N/A"/>
    <n v="1"/>
    <n v="39"/>
    <e v="#N/A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90"/>
    <s v="PV"/>
    <s v="Rua Brochado da Rocha, 276"/>
    <n v="-30.008699880000002"/>
    <n v="-50.136656449999997"/>
    <x v="2"/>
    <s v="-"/>
    <x v="1"/>
    <s v="Vapor de sódio"/>
    <n v="100"/>
    <n v="17"/>
    <n v="0"/>
    <n v="200"/>
    <n v="2"/>
    <n v="2.5"/>
    <n v="7"/>
    <m/>
    <m/>
    <n v="0"/>
    <n v="0"/>
    <n v="0"/>
    <n v="0"/>
    <n v="0"/>
    <n v="0"/>
    <n v="0"/>
    <s v="Unilateral"/>
    <s v="Braço"/>
    <n v="32.6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2500000000000009"/>
    <n v="1.5"/>
    <s v="-"/>
    <n v="12.25"/>
    <n v="0.45"/>
    <m/>
    <m/>
    <m/>
    <m/>
    <s v="ATENDE"/>
    <s v="ATENDE"/>
    <s v="ATENDE"/>
    <s v="ATENDE"/>
    <s v="C4"/>
    <s v="P6"/>
    <n v="2.1133333333333333"/>
    <n v="9.34"/>
    <n v="3.89"/>
    <n v="3"/>
    <n v="0.6"/>
    <s v="ATENDE"/>
    <s v="ATENDE"/>
    <s v="ATENDE"/>
    <s v="-"/>
    <e v="#VALUE!"/>
    <m/>
    <m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1"/>
    <s v="PVP"/>
    <s v="Rua Manoel Jose Luiz, 291"/>
    <n v="-30.008224479999999"/>
    <n v="-50.137980349999999"/>
    <x v="2"/>
    <s v="-"/>
    <x v="1"/>
    <s v="Vapor de sódio"/>
    <n v="250"/>
    <n v="30"/>
    <n v="0"/>
    <n v="500"/>
    <n v="2"/>
    <n v="2.5"/>
    <n v="7"/>
    <m/>
    <m/>
    <n v="0"/>
    <n v="2.5"/>
    <n v="0"/>
    <n v="0"/>
    <n v="0"/>
    <n v="0"/>
    <n v="0"/>
    <s v="Unilateral"/>
    <s v="Braço"/>
    <n v="22.1"/>
    <n v="7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1499999999999999"/>
    <n v="2.3333333333333335"/>
    <s v="-"/>
    <n v="11.15"/>
    <n v="0.6"/>
    <m/>
    <m/>
    <m/>
    <m/>
    <s v="ATENDE"/>
    <s v="ATENDE"/>
    <s v="ATENDE"/>
    <s v="ATENDE"/>
    <s v="C4"/>
    <s v="P6"/>
    <n v="1.2833333333333332"/>
    <n v="6.85"/>
    <n v="4.55"/>
    <n v="3"/>
    <n v="0.6"/>
    <s v="ATENDE"/>
    <s v="ATENDE"/>
    <s v="ATENDE"/>
    <s v="-"/>
    <e v="#VALUE!"/>
    <n v="8.07"/>
    <n v="5.41"/>
    <s v="-"/>
    <s v="-"/>
    <s v="-"/>
    <s v="-"/>
    <s v="-"/>
    <x v="0"/>
    <s v=" SL VT 9.1 28W"/>
    <s v="LUM LED SL VT 9.1 28W"/>
    <m/>
    <e v="#N/A"/>
    <n v="1"/>
    <n v="28"/>
    <n v="0"/>
    <n v="4927.3500000000004"/>
    <n v="0"/>
    <n v="0"/>
    <m/>
    <s v="Médio II"/>
    <m/>
    <s v=""/>
    <s v=""/>
    <m/>
    <m/>
    <m/>
    <m/>
    <m/>
    <m/>
    <n v="28"/>
    <n v="250"/>
    <n v="278"/>
    <n v="0.88800000000000001"/>
    <m/>
    <m/>
    <s v="Sim"/>
    <m/>
  </r>
  <r>
    <n v="291"/>
    <s v="PVP"/>
    <s v="Rua Manoel Jose Luiz, 291"/>
    <n v="-30.008224479999999"/>
    <n v="-50.137980349999999"/>
    <x v="2"/>
    <s v="-"/>
    <x v="1"/>
    <s v="Vapor de sódio"/>
    <n v="250"/>
    <n v="30"/>
    <n v="0"/>
    <n v="500"/>
    <n v="2"/>
    <n v="2.5"/>
    <n v="7"/>
    <m/>
    <m/>
    <n v="0"/>
    <n v="2.5"/>
    <n v="0"/>
    <n v="0"/>
    <n v="0"/>
    <n v="0"/>
    <n v="0"/>
    <s v="Unilateral"/>
    <s v="Braço"/>
    <n v="22.1"/>
    <n v="7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200000000000012"/>
    <n v="3"/>
    <s v="-"/>
    <n v="13.82"/>
    <n v="0.72"/>
    <m/>
    <m/>
    <m/>
    <m/>
    <s v="ATENDE"/>
    <s v="ATENDE"/>
    <s v="ATENDE"/>
    <s v="ATENDE"/>
    <s v="C4"/>
    <s v="P6"/>
    <n v="1.4166666666666665"/>
    <n v="7.25"/>
    <n v="4.63"/>
    <n v="3"/>
    <n v="0.6"/>
    <s v="ATENDE"/>
    <s v="ATENDE"/>
    <s v="ATENDE"/>
    <s v="-"/>
    <e v="#VALUE!"/>
    <n v="9.4600000000000009"/>
    <n v="6.59"/>
    <s v="-"/>
    <s v="-"/>
    <s v="-"/>
    <s v="-"/>
    <s v="-"/>
    <x v="1"/>
    <s v="SX-INEVO030HF"/>
    <s v="SXINEVO030K40L12CZF7PHF"/>
    <m/>
    <e v="#N/A"/>
    <n v="1"/>
    <n v="31"/>
    <e v="#N/A"/>
    <n v="5270"/>
    <e v="#N/A"/>
    <n v="0"/>
    <m/>
    <s v="Médio II"/>
    <m/>
    <s v=""/>
    <s v=""/>
    <m/>
    <m/>
    <m/>
    <m/>
    <m/>
    <m/>
    <n v="31"/>
    <n v="250"/>
    <n v="281"/>
    <n v="0.876"/>
    <m/>
    <m/>
    <s v="Sim"/>
    <m/>
  </r>
  <r>
    <n v="291"/>
    <s v="PVP"/>
    <s v="Rua Manoel Jose Luiz, 291"/>
    <n v="-30.008224479999999"/>
    <n v="-50.137980349999999"/>
    <x v="2"/>
    <s v="-"/>
    <x v="1"/>
    <s v="Vapor de sódio"/>
    <n v="250"/>
    <n v="30"/>
    <n v="0"/>
    <n v="500"/>
    <n v="2"/>
    <n v="2.5"/>
    <n v="7"/>
    <m/>
    <m/>
    <n v="0"/>
    <n v="2.5"/>
    <n v="0"/>
    <n v="0"/>
    <n v="0"/>
    <n v="0"/>
    <n v="0"/>
    <s v="Unilateral"/>
    <s v="Braço"/>
    <n v="22.1"/>
    <n v="7"/>
    <n v="1"/>
    <n v="0.3"/>
    <n v="2.5"/>
    <n v="2.200000000000000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8100000000000001"/>
    <n v="2.833333333333333"/>
    <s v="-"/>
    <n v="13.81"/>
    <n v="0.69"/>
    <m/>
    <m/>
    <m/>
    <m/>
    <s v="ATENDE"/>
    <s v="ATENDE"/>
    <s v="ATENDE"/>
    <s v="ATENDE"/>
    <s v="C4"/>
    <s v="P6"/>
    <n v="1.58"/>
    <n v="7.74"/>
    <n v="5.51"/>
    <n v="3"/>
    <n v="0.6"/>
    <s v="ATENDE"/>
    <s v="ATENDE"/>
    <s v="ATENDE"/>
    <s v="-"/>
    <e v="#VALUE!"/>
    <n v="8.5500000000000007"/>
    <n v="6.2"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Médio II"/>
    <m/>
    <s v=""/>
    <s v=""/>
    <m/>
    <m/>
    <m/>
    <m/>
    <m/>
    <m/>
    <n v="30"/>
    <n v="250"/>
    <n v="280"/>
    <n v="0.88"/>
    <m/>
    <m/>
    <s v="Sim"/>
    <m/>
  </r>
  <r>
    <n v="292"/>
    <s v="VP"/>
    <s v="Avenida Flores da Cunha, 3677"/>
    <n v="-30.005087509999999"/>
    <n v="-50.142101680000003"/>
    <x v="0"/>
    <s v="-"/>
    <x v="1"/>
    <s v="LED"/>
    <n v="50"/>
    <n v="0"/>
    <n v="0"/>
    <n v="200"/>
    <n v="2"/>
    <n v="0"/>
    <n v="7"/>
    <m/>
    <m/>
    <n v="0"/>
    <n v="5"/>
    <n v="10"/>
    <n v="0"/>
    <n v="0"/>
    <n v="0"/>
    <n v="0"/>
    <s v="Canteiro central"/>
    <s v="Braço"/>
    <n v="30.8"/>
    <n v="6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7.9333333333333478E-2"/>
    <n v="0.18421052631578938"/>
    <s v="-"/>
    <n v="32.380000000000003"/>
    <n v="0.45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2.3533333333333335"/>
    <n v="10.06"/>
    <n v="4.41"/>
    <n v="3"/>
    <n v="0.6"/>
    <s v="ATENDE"/>
    <s v="ATENDE"/>
    <s v="ATENDE"/>
    <x v="0"/>
    <s v=" SL VT 9.1 140W"/>
    <s v="LUM LED SL VT 9.1 140W"/>
    <m/>
    <n v="0"/>
    <n v="2"/>
    <n v="140"/>
    <n v="0"/>
    <n v="22440"/>
    <n v="0"/>
    <n v="0"/>
    <n v="10"/>
    <s v="Médio II"/>
    <m/>
    <s v=""/>
    <s v=""/>
    <m/>
    <m/>
    <m/>
    <m/>
    <m/>
    <m/>
    <n v="140"/>
    <n v="50"/>
    <n v="380"/>
    <n v="-1.7999999999999998"/>
    <m/>
    <m/>
    <s v="Sim"/>
    <m/>
  </r>
  <r>
    <n v="292"/>
    <s v="VP"/>
    <s v="Avenida Flores da Cunha, 3677"/>
    <n v="-30.005087509999999"/>
    <n v="-50.142101680000003"/>
    <x v="0"/>
    <s v="-"/>
    <x v="1"/>
    <s v="LED"/>
    <n v="50"/>
    <n v="0"/>
    <n v="0"/>
    <n v="200"/>
    <n v="2"/>
    <n v="0"/>
    <n v="7"/>
    <m/>
    <m/>
    <n v="0"/>
    <n v="5"/>
    <n v="10"/>
    <n v="0"/>
    <n v="0"/>
    <n v="0"/>
    <n v="0"/>
    <s v="Canteiro central"/>
    <s v="Braço"/>
    <n v="30.8"/>
    <n v="6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8999999999999932E-2"/>
    <n v="0"/>
    <s v="-"/>
    <n v="31.47"/>
    <n v="0.38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.7466666666666666"/>
    <n v="8.24"/>
    <n v="3.9"/>
    <n v="3"/>
    <n v="0.6"/>
    <s v="ATENDE"/>
    <s v="ATENDE"/>
    <s v="ATENDE"/>
    <x v="1"/>
    <s v="SX-INLPP150HF"/>
    <s v="SXINLPP150K40L12CZF7PHF"/>
    <m/>
    <e v="#N/A"/>
    <n v="2"/>
    <n v="137"/>
    <n v="0"/>
    <n v="23817"/>
    <n v="0"/>
    <n v="0"/>
    <n v="10"/>
    <s v="Médio II"/>
    <m/>
    <s v=""/>
    <s v=""/>
    <m/>
    <m/>
    <m/>
    <m/>
    <m/>
    <m/>
    <n v="137"/>
    <n v="50"/>
    <n v="374"/>
    <n v="-1.7400000000000002"/>
    <m/>
    <m/>
    <s v="Sim"/>
    <m/>
  </r>
  <r>
    <n v="292"/>
    <s v="VP"/>
    <s v="Avenida Flores da Cunha, 3677"/>
    <n v="-30.005087509999999"/>
    <n v="-50.142101680000003"/>
    <x v="0"/>
    <s v="-"/>
    <x v="1"/>
    <s v="LED"/>
    <n v="50"/>
    <n v="0"/>
    <n v="0"/>
    <n v="200"/>
    <n v="2"/>
    <n v="0"/>
    <n v="7"/>
    <m/>
    <m/>
    <n v="0"/>
    <n v="5"/>
    <n v="10"/>
    <n v="0"/>
    <n v="0"/>
    <n v="0"/>
    <n v="0"/>
    <s v="Canteiro central"/>
    <s v="Braço"/>
    <n v="30.8"/>
    <n v="6.5"/>
    <n v="2"/>
    <n v="5"/>
    <n v="2.5"/>
    <n v="-2.5"/>
    <s v="-"/>
    <s v="-"/>
    <s v="Não"/>
    <n v="4"/>
    <n v="0"/>
    <n v="0"/>
    <n v="0"/>
    <n v="0"/>
    <n v="0"/>
    <s v="-"/>
    <n v="0"/>
    <m/>
    <n v="30"/>
    <n v="0.38"/>
    <s v="-"/>
    <n v="0.38"/>
    <s v="-"/>
    <n v="14"/>
    <s v="ATENDE"/>
    <n v="4.3333333333333446E-2"/>
    <n v="0.34210526315789469"/>
    <s v="-"/>
    <n v="31.3"/>
    <n v="0.51"/>
    <m/>
    <m/>
    <m/>
    <m/>
    <s v="ATENDE"/>
    <s v="ATENDE"/>
    <s v="ATENDE"/>
    <s v="ATENDE"/>
    <s v="C1"/>
    <s v="-"/>
    <e v="#VALUE!"/>
    <m/>
    <m/>
    <s v="-"/>
    <s v="-"/>
    <s v="-"/>
    <s v="-"/>
    <s v="-"/>
    <s v="P6"/>
    <n v="1.7566666666666664"/>
    <n v="8.27"/>
    <n v="4.1500000000000004"/>
    <n v="3"/>
    <n v="0.6"/>
    <s v="ATENDE"/>
    <s v="ATENDE"/>
    <s v="ATENDE"/>
    <x v="2"/>
    <s v="SIGMAGPTLRRSMNDL150W102IBBR_x000a_"/>
    <s v="SIGMAGPTLRRSMNDL150W102IBBR_x000a_S1-10C1MUN6.5"/>
    <m/>
    <e v="#N/A"/>
    <n v="2"/>
    <n v="150"/>
    <n v="0"/>
    <n v="23000"/>
    <n v="0"/>
    <n v="0"/>
    <n v="10"/>
    <s v="Médio II"/>
    <m/>
    <s v=""/>
    <s v=""/>
    <m/>
    <m/>
    <m/>
    <m/>
    <m/>
    <m/>
    <n v="150"/>
    <n v="50"/>
    <n v="400"/>
    <n v="-2"/>
    <m/>
    <m/>
    <s v="Sim"/>
    <m/>
  </r>
  <r>
    <n v="293"/>
    <s v="PVP"/>
    <s v="Rua Padre Reus, 1555"/>
    <n v="-30.007552409999999"/>
    <n v="-50.14582124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2999999999999918E-2"/>
    <n v="1.6666666666666665"/>
    <s v="-"/>
    <n v="10.33"/>
    <n v="0.48"/>
    <m/>
    <m/>
    <m/>
    <m/>
    <s v="ATENDE"/>
    <s v="ATENDE"/>
    <s v="ATENDE"/>
    <s v="ATENDE"/>
    <s v="C4"/>
    <s v="-"/>
    <e v="#VALUE!"/>
    <n v="8.2200000000000006"/>
    <n v="3.52"/>
    <s v="-"/>
    <s v="-"/>
    <s v="-"/>
    <s v="-"/>
    <s v="-"/>
    <s v="P6"/>
    <n v="0.99"/>
    <n v="5.97"/>
    <n v="3.1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293"/>
    <s v="PVP"/>
    <s v="Rua Padre Reus, 1555"/>
    <n v="-30.007552409999999"/>
    <n v="-50.14582124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900000000000004"/>
    <n v="2.4444444444444446"/>
    <s v="-"/>
    <n v="11.69"/>
    <n v="0.62"/>
    <m/>
    <m/>
    <m/>
    <m/>
    <s v="ATENDE"/>
    <s v="ATENDE"/>
    <s v="ATENDE"/>
    <s v="ATENDE"/>
    <s v="C4"/>
    <s v="-"/>
    <e v="#VALUE!"/>
    <n v="9.52"/>
    <n v="4.7300000000000004"/>
    <s v="-"/>
    <s v="-"/>
    <s v="-"/>
    <s v="-"/>
    <s v="-"/>
    <s v="P6"/>
    <n v="1.0733333333333333"/>
    <n v="6.22"/>
    <n v="3.97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293"/>
    <s v="PVP"/>
    <s v="Rua Padre Reus, 1555"/>
    <n v="-30.007552409999999"/>
    <n v="-50.145821249999997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1800000000000006"/>
    <n v="1.9444444444444446"/>
    <s v="-"/>
    <n v="13.18"/>
    <n v="0.53"/>
    <m/>
    <m/>
    <m/>
    <m/>
    <s v="ATENDE"/>
    <s v="ATENDE"/>
    <s v="ATENDE"/>
    <s v="ATENDE"/>
    <s v="C4"/>
    <s v="-"/>
    <e v="#VALUE!"/>
    <n v="10.039999999999999"/>
    <n v="5.12"/>
    <s v="-"/>
    <s v="-"/>
    <s v="-"/>
    <s v="-"/>
    <s v="-"/>
    <s v="P6"/>
    <n v="0.75333333333333319"/>
    <n v="5.26"/>
    <n v="3.0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4"/>
    <s v="PVP"/>
    <s v="Rua Eleodoro Franzen, 848"/>
    <n v="-30.007494260000001"/>
    <n v="-50.15165234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6"/>
    <n v="7"/>
    <n v="1"/>
    <n v="2.5"/>
    <n v="1.3"/>
    <n v="-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4000000000000039E-2"/>
    <n v="1.2777777777777777"/>
    <s v="-"/>
    <n v="10.44"/>
    <n v="0.41"/>
    <m/>
    <m/>
    <m/>
    <m/>
    <s v="ATENDE"/>
    <s v="ATENDE"/>
    <s v="ATENDE"/>
    <s v="ATENDE"/>
    <s v="C4"/>
    <s v="-"/>
    <e v="#VALUE!"/>
    <n v="13.02"/>
    <n v="5.22"/>
    <s v="-"/>
    <s v="-"/>
    <s v="-"/>
    <s v="-"/>
    <s v="-"/>
    <s v="-"/>
    <e v="#VALUE!"/>
    <n v="4.3099999999999996"/>
    <n v="2.61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4"/>
    <s v="PVP"/>
    <s v="Rua Eleodoro Franzen, 848"/>
    <n v="-30.007494260000001"/>
    <n v="-50.15165234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6"/>
    <n v="7"/>
    <n v="1"/>
    <n v="2.5"/>
    <n v="1.3"/>
    <n v="-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4999999999999996"/>
    <n v="2.1111111111111116"/>
    <s v="-"/>
    <n v="14.5"/>
    <n v="0.56000000000000005"/>
    <m/>
    <m/>
    <m/>
    <m/>
    <s v="ATENDE"/>
    <s v="ATENDE"/>
    <s v="ATENDE"/>
    <s v="ATENDE"/>
    <s v="C4"/>
    <s v="-"/>
    <e v="#VALUE!"/>
    <n v="17.920000000000002"/>
    <n v="9.0500000000000007"/>
    <s v="-"/>
    <s v="-"/>
    <s v="-"/>
    <s v="-"/>
    <s v="-"/>
    <s v="-"/>
    <e v="#VALUE!"/>
    <n v="4.82"/>
    <n v="2.44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94"/>
    <s v="PVP"/>
    <s v="Rua Eleodoro Franzen, 848"/>
    <n v="-30.007494260000001"/>
    <n v="-50.151652349999999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0.6"/>
    <n v="7"/>
    <n v="1"/>
    <n v="2.5"/>
    <n v="1.3"/>
    <n v="-1.2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2999999999999954E-2"/>
    <n v="1.6111111111111112"/>
    <s v="-"/>
    <n v="10.73"/>
    <n v="0.47"/>
    <m/>
    <m/>
    <m/>
    <m/>
    <s v="ATENDE"/>
    <s v="ATENDE"/>
    <s v="ATENDE"/>
    <s v="ATENDE"/>
    <s v="C4"/>
    <s v="-"/>
    <e v="#VALUE!"/>
    <n v="13.45"/>
    <n v="6.59"/>
    <s v="-"/>
    <s v="-"/>
    <s v="-"/>
    <s v="-"/>
    <s v="-"/>
    <s v="-"/>
    <e v="#VALUE!"/>
    <n v="3.3"/>
    <n v="2.1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5"/>
    <s v="Curto II"/>
    <m/>
    <s v=""/>
    <s v=""/>
    <m/>
    <m/>
    <m/>
    <m/>
    <m/>
    <m/>
    <n v="40"/>
    <n v="100"/>
    <n v="140"/>
    <n v="0.6"/>
    <m/>
    <m/>
    <s v="Sim"/>
    <m/>
  </r>
  <r>
    <n v="295"/>
    <s v="PVP"/>
    <s v="Rua Eleodoro Franzen, 624"/>
    <n v="-30.005127040000001"/>
    <n v="-50.150485959999997"/>
    <x v="2"/>
    <s v="-"/>
    <x v="1"/>
    <s v="Vapor metálic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5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3"/>
    <n v="1"/>
    <s v="-"/>
    <n v="10.02"/>
    <n v="0.36"/>
    <m/>
    <m/>
    <m/>
    <m/>
    <s v="ATENDE"/>
    <s v="ATENDE"/>
    <s v="ATENDE"/>
    <s v="ATENDE"/>
    <s v="C4"/>
    <s v="P6"/>
    <n v="1.8466666666666662"/>
    <n v="8.5399999999999991"/>
    <n v="2.83"/>
    <n v="3"/>
    <n v="0.6"/>
    <s v="ATENDE"/>
    <s v="ATENDE"/>
    <s v="ATENDE"/>
    <s v="P6"/>
    <n v="0.68333333333333335"/>
    <n v="5.05"/>
    <n v="2.430000000000000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5"/>
    <s v="PVP"/>
    <s v="Rua Eleodoro Franzen, 624"/>
    <n v="-30.005127040000001"/>
    <n v="-50.150485959999997"/>
    <x v="2"/>
    <s v="-"/>
    <x v="1"/>
    <s v="Vapor metálic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5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39500000000000002"/>
    <n v="1.3333333333333335"/>
    <s v="-"/>
    <n v="13.95"/>
    <n v="0.42"/>
    <m/>
    <m/>
    <m/>
    <m/>
    <s v="ATENDE"/>
    <s v="ATENDE"/>
    <s v="ATENDE"/>
    <s v="ATENDE"/>
    <s v="C4"/>
    <s v="P6"/>
    <n v="2.7266666666666666"/>
    <n v="11.18"/>
    <n v="2.86"/>
    <n v="3"/>
    <n v="0.6"/>
    <s v="ATENDE"/>
    <s v="ATENDE"/>
    <s v="ATENDE"/>
    <s v="P6"/>
    <n v="1.1033333333333331"/>
    <n v="6.31"/>
    <n v="4.24"/>
    <n v="3"/>
    <n v="0.6"/>
    <s v="ATENDE"/>
    <s v="ATENDE"/>
    <s v="ATENDE"/>
    <x v="1"/>
    <s v="SX-INEVO050HF"/>
    <s v="SXINEVO050K40L12CZF7PHF"/>
    <m/>
    <n v="0"/>
    <n v="1"/>
    <n v="50"/>
    <e v="#N/A"/>
    <n v="8650"/>
    <e v="#N/A"/>
    <n v="0"/>
    <m/>
    <s v="Curto II"/>
    <m/>
    <s v=""/>
    <s v=""/>
    <m/>
    <m/>
    <m/>
    <m/>
    <m/>
    <m/>
    <n v="50"/>
    <n v="100"/>
    <n v="150"/>
    <n v="0.5"/>
    <m/>
    <m/>
    <s v="Sim"/>
    <m/>
  </r>
  <r>
    <n v="295"/>
    <s v="PVP"/>
    <s v="Rua Eleodoro Franzen, 624"/>
    <n v="-30.005127040000001"/>
    <n v="-50.150485959999997"/>
    <x v="2"/>
    <s v="-"/>
    <x v="1"/>
    <s v="Vapor metálico"/>
    <n v="100"/>
    <n v="17"/>
    <n v="0"/>
    <n v="200"/>
    <n v="2"/>
    <n v="2.5"/>
    <n v="8"/>
    <m/>
    <m/>
    <n v="0"/>
    <n v="2.5"/>
    <n v="0"/>
    <n v="0"/>
    <n v="0"/>
    <n v="0"/>
    <n v="0"/>
    <s v="Unilateral"/>
    <s v="Braço"/>
    <n v="35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0999999999999934E-2"/>
    <n v="0.72222222222222232"/>
    <s v="-"/>
    <n v="10.51"/>
    <n v="0.31"/>
    <m/>
    <m/>
    <m/>
    <m/>
    <s v="ATENDE"/>
    <s v="ATENDE"/>
    <s v="ATENDE"/>
    <s v="ATENDE"/>
    <s v="C4"/>
    <s v="P6"/>
    <n v="1.8399999999999999"/>
    <n v="8.52"/>
    <n v="2.66"/>
    <n v="3"/>
    <n v="0.6"/>
    <s v="ATENDE"/>
    <s v="ATENDE"/>
    <s v="ATENDE"/>
    <s v="P6"/>
    <n v="2.6666666666666616E-2"/>
    <n v="3.08"/>
    <n v="1.3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m/>
    <s v="Curto II"/>
    <m/>
    <s v=""/>
    <s v=""/>
    <m/>
    <m/>
    <m/>
    <m/>
    <m/>
    <m/>
    <n v="40"/>
    <n v="100"/>
    <n v="140"/>
    <n v="0.6"/>
    <m/>
    <m/>
    <s v="Sim"/>
    <m/>
  </r>
  <r>
    <n v="296"/>
    <s v="PVP"/>
    <s v="Rua Franca, 102"/>
    <n v="-30.000870500000001"/>
    <n v="-50.154624740000003"/>
    <x v="2"/>
    <s v="-"/>
    <x v="1"/>
    <s v="LED"/>
    <n v="50"/>
    <n v="0"/>
    <n v="0"/>
    <n v="100"/>
    <n v="2"/>
    <n v="2"/>
    <n v="7.5"/>
    <m/>
    <m/>
    <n v="0"/>
    <n v="2"/>
    <n v="0"/>
    <n v="0"/>
    <n v="0"/>
    <n v="0"/>
    <n v="0"/>
    <s v="Unilateral"/>
    <s v="Braço"/>
    <n v="33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4999999999999964E-2"/>
    <n v="1.2222222222222223"/>
    <s v="-"/>
    <n v="10.85"/>
    <n v="0.4"/>
    <m/>
    <m/>
    <m/>
    <m/>
    <s v="ATENDE"/>
    <s v="ATENDE"/>
    <s v="ATENDE"/>
    <s v="ATENDE"/>
    <s v="C4"/>
    <s v="P6"/>
    <n v="2.2333333333333329"/>
    <n v="9.6999999999999993"/>
    <n v="3.58"/>
    <n v="3"/>
    <n v="0.6"/>
    <s v="ATENDE"/>
    <s v="ATENDE"/>
    <s v="ATENDE"/>
    <s v="P6"/>
    <n v="1.0666666666666669"/>
    <n v="6.2"/>
    <n v="3.21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296"/>
    <s v="PVP"/>
    <s v="Rua Franca, 102"/>
    <n v="-30.000870500000001"/>
    <n v="-50.154624740000003"/>
    <x v="2"/>
    <s v="-"/>
    <x v="1"/>
    <s v="LED"/>
    <n v="50"/>
    <n v="0"/>
    <n v="0"/>
    <n v="100"/>
    <n v="2"/>
    <n v="2"/>
    <n v="7.5"/>
    <m/>
    <m/>
    <n v="0"/>
    <n v="2"/>
    <n v="0"/>
    <n v="0"/>
    <n v="0"/>
    <n v="0"/>
    <n v="0"/>
    <s v="Unilateral"/>
    <s v="Braço"/>
    <n v="33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3.1000000000000139E-2"/>
    <n v="2.0000000000000004"/>
    <s v="-"/>
    <n v="10.31"/>
    <n v="0.54"/>
    <m/>
    <m/>
    <m/>
    <m/>
    <s v="ATENDE"/>
    <s v="ATENDE"/>
    <s v="ATENDE"/>
    <s v="ATENDE"/>
    <s v="C4"/>
    <s v="P6"/>
    <n v="2.0866666666666664"/>
    <n v="9.26"/>
    <n v="3.76"/>
    <n v="3"/>
    <n v="0.6"/>
    <s v="ATENDE"/>
    <s v="ATENDE"/>
    <s v="ATENDE"/>
    <s v="P6"/>
    <n v="0.67999999999999994"/>
    <n v="5.04"/>
    <n v="3.5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296"/>
    <s v="PVP"/>
    <s v="Rua Franca, 102"/>
    <n v="-30.000870500000001"/>
    <n v="-50.154624740000003"/>
    <x v="2"/>
    <s v="-"/>
    <x v="1"/>
    <s v="LED"/>
    <n v="50"/>
    <n v="0"/>
    <n v="0"/>
    <n v="100"/>
    <n v="2"/>
    <n v="2"/>
    <n v="7.5"/>
    <m/>
    <m/>
    <n v="0"/>
    <n v="2"/>
    <n v="0"/>
    <n v="0"/>
    <n v="0"/>
    <n v="0"/>
    <n v="0"/>
    <s v="Unilateral"/>
    <s v="Braço"/>
    <n v="33.5"/>
    <n v="7"/>
    <n v="1"/>
    <n v="0.4"/>
    <n v="1.3"/>
    <n v="0.9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900000000000002"/>
    <n v="1.2222222222222223"/>
    <s v="-"/>
    <n v="11.49"/>
    <n v="0.4"/>
    <m/>
    <m/>
    <m/>
    <m/>
    <s v="ATENDE"/>
    <s v="ATENDE"/>
    <s v="ATENDE"/>
    <s v="ATENDE"/>
    <s v="C4"/>
    <s v="P6"/>
    <n v="2.2766666666666668"/>
    <n v="9.83"/>
    <n v="3.99"/>
    <n v="3"/>
    <n v="0.6"/>
    <s v="ATENDE"/>
    <s v="ATENDE"/>
    <s v="ATENDE"/>
    <s v="P6"/>
    <n v="0.3899999999999999"/>
    <n v="4.17"/>
    <n v="2.25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50"/>
    <n v="90"/>
    <n v="0.19999999999999996"/>
    <m/>
    <m/>
    <s v="Sim"/>
    <m/>
  </r>
  <r>
    <n v="297"/>
    <s v="PVP"/>
    <s v="Rua Bolivia, 356"/>
    <n v="-30.00137295"/>
    <n v="-50.15723751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1.2000000000000011E-2"/>
    <n v="0.66666666666666674"/>
    <s v="-"/>
    <n v="10.119999999999999"/>
    <n v="0.3"/>
    <m/>
    <m/>
    <m/>
    <m/>
    <s v="ATENDE"/>
    <s v="ATENDE"/>
    <s v="ATENDE"/>
    <s v="ATENDE"/>
    <s v="C4"/>
    <s v="P6"/>
    <n v="1.75"/>
    <n v="8.25"/>
    <n v="2.27"/>
    <n v="3"/>
    <n v="0.6"/>
    <s v="ATENDE"/>
    <s v="ATENDE"/>
    <s v="ATENDE"/>
    <s v="P6"/>
    <n v="0.95"/>
    <n v="5.85"/>
    <n v="2.34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297"/>
    <s v="PVP"/>
    <s v="Rua Bolivia, 356"/>
    <n v="-30.00137295"/>
    <n v="-50.15723751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900000000000003"/>
    <n v="0.5555555555555558"/>
    <s v="-"/>
    <n v="14.09"/>
    <n v="0.28000000000000003"/>
    <m/>
    <m/>
    <m/>
    <m/>
    <s v="ATENDE"/>
    <s v="ATENDE"/>
    <s v="ATENDE"/>
    <s v="ATENDE"/>
    <s v="C4"/>
    <s v="P6"/>
    <n v="2.5866666666666664"/>
    <n v="10.76"/>
    <n v="1.66"/>
    <n v="3"/>
    <n v="0.6"/>
    <s v="ATENDE"/>
    <s v="ATENDE"/>
    <s v="ATENDE"/>
    <s v="P6"/>
    <n v="1.5766666666666667"/>
    <n v="7.73"/>
    <n v="4.1399999999999997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297"/>
    <s v="PVP"/>
    <s v="Rua Bolivia, 356"/>
    <n v="-30.00137295"/>
    <n v="-50.157237510000002"/>
    <x v="2"/>
    <s v="-"/>
    <x v="1"/>
    <s v="Vapor de sódio"/>
    <n v="100"/>
    <n v="17"/>
    <n v="0"/>
    <n v="200"/>
    <n v="2"/>
    <n v="2.5"/>
    <n v="7"/>
    <m/>
    <m/>
    <n v="0"/>
    <n v="2.5"/>
    <n v="0"/>
    <n v="0"/>
    <n v="0"/>
    <n v="0"/>
    <n v="0"/>
    <s v="Unilateral"/>
    <s v="Braço"/>
    <n v="37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2000000000000073E-2"/>
    <n v="0.16666666666666674"/>
    <s v="-"/>
    <n v="10.82"/>
    <n v="0.21"/>
    <m/>
    <m/>
    <m/>
    <m/>
    <s v="ATENDE"/>
    <s v="ATENDE"/>
    <s v="ATENDE"/>
    <s v="ATENDE"/>
    <s v="C4"/>
    <s v="P6"/>
    <n v="1.7333333333333329"/>
    <n v="8.1999999999999993"/>
    <n v="1.59"/>
    <n v="3"/>
    <n v="0.6"/>
    <s v="ATENDE"/>
    <s v="ATENDE"/>
    <s v="ATENDE"/>
    <s v="P6"/>
    <n v="0.34999999999999987"/>
    <n v="4.05"/>
    <n v="1.17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100"/>
    <n v="140"/>
    <n v="0.6"/>
    <m/>
    <m/>
    <s v="Sim"/>
    <m/>
  </r>
  <r>
    <n v="298"/>
    <s v="PVP"/>
    <s v="Rua Pernambuco, 1657"/>
    <n v="-30.001259449999999"/>
    <n v="-50.151004389999997"/>
    <x v="1"/>
    <s v="-"/>
    <x v="1"/>
    <s v="Vapor de sódio"/>
    <n v="150"/>
    <n v="22"/>
    <n v="0"/>
    <n v="300"/>
    <n v="2"/>
    <n v="3"/>
    <n v="8"/>
    <m/>
    <m/>
    <n v="0"/>
    <n v="3"/>
    <n v="0"/>
    <n v="0"/>
    <n v="0"/>
    <n v="0"/>
    <n v="0"/>
    <s v="Unilateral"/>
    <s v="Braço"/>
    <n v="31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93333333333332"/>
    <n v="1.3333333333333335"/>
    <s v="-"/>
    <n v="9.52"/>
    <n v="0.42"/>
    <m/>
    <m/>
    <m/>
    <m/>
    <s v="ATENDE"/>
    <s v="ATENDE"/>
    <s v="ATENDE"/>
    <s v="ATENDE"/>
    <s v="C5"/>
    <s v="P6"/>
    <n v="1.4933333333333336"/>
    <n v="7.48"/>
    <n v="2.92"/>
    <n v="3"/>
    <n v="0.6"/>
    <s v="ATENDE"/>
    <s v="ATENDE"/>
    <s v="ATENDE"/>
    <s v="P6"/>
    <n v="0.3600000000000001"/>
    <n v="4.08"/>
    <n v="2.0699999999999998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I"/>
    <m/>
    <s v=""/>
    <s v=""/>
    <m/>
    <m/>
    <m/>
    <m/>
    <m/>
    <m/>
    <n v="35"/>
    <n v="150"/>
    <n v="185"/>
    <n v="0.76666666666666661"/>
    <m/>
    <m/>
    <s v="Sim"/>
    <m/>
  </r>
  <r>
    <n v="298"/>
    <s v="PVP"/>
    <s v="Rua Pernambuco, 1657"/>
    <n v="-30.001259449999999"/>
    <n v="-50.151004389999997"/>
    <x v="1"/>
    <s v="-"/>
    <x v="1"/>
    <s v="Vapor de sódio"/>
    <n v="150"/>
    <n v="22"/>
    <n v="0"/>
    <n v="300"/>
    <n v="2"/>
    <n v="3"/>
    <n v="8"/>
    <m/>
    <m/>
    <n v="0"/>
    <n v="3"/>
    <n v="0"/>
    <n v="0"/>
    <n v="0"/>
    <n v="0"/>
    <n v="0"/>
    <s v="Unilateral"/>
    <s v="Braço"/>
    <n v="31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199999999999995"/>
    <n v="1.7222222222222223"/>
    <s v="-"/>
    <n v="8.94"/>
    <n v="0.49"/>
    <m/>
    <m/>
    <m/>
    <m/>
    <s v="ATENDE"/>
    <s v="ATENDE"/>
    <s v="ATENDE"/>
    <s v="ATENDE"/>
    <s v="C5"/>
    <s v="P6"/>
    <n v="0.96333333333333315"/>
    <n v="5.89"/>
    <n v="1.1399999999999999"/>
    <n v="3"/>
    <n v="0.6"/>
    <s v="ATENDE"/>
    <s v="ATENDE"/>
    <s v="ATENDE"/>
    <s v="P6"/>
    <n v="0.35333333333333328"/>
    <n v="4.0599999999999996"/>
    <n v="2.56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n v="5"/>
    <s v="Curto II"/>
    <m/>
    <s v=""/>
    <s v=""/>
    <m/>
    <m/>
    <m/>
    <m/>
    <m/>
    <m/>
    <n v="31"/>
    <n v="150"/>
    <n v="181"/>
    <n v="0.79333333333333333"/>
    <m/>
    <m/>
    <s v="Sim"/>
    <m/>
  </r>
  <r>
    <n v="298"/>
    <s v="PVP"/>
    <s v="Rua Pernambuco, 1657"/>
    <n v="-30.001259449999999"/>
    <n v="-50.151004389999997"/>
    <x v="1"/>
    <s v="-"/>
    <x v="1"/>
    <s v="Vapor de sódio"/>
    <n v="150"/>
    <n v="22"/>
    <n v="0"/>
    <n v="300"/>
    <n v="2"/>
    <n v="3"/>
    <n v="8"/>
    <m/>
    <m/>
    <n v="0"/>
    <n v="3"/>
    <n v="0"/>
    <n v="0"/>
    <n v="0"/>
    <n v="0"/>
    <n v="0"/>
    <s v="Unilateral"/>
    <s v="Braço"/>
    <n v="31.6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933333333333335"/>
    <n v="2.0000000000000004"/>
    <s v="-"/>
    <n v="8.92"/>
    <n v="0.54"/>
    <m/>
    <m/>
    <m/>
    <m/>
    <s v="ATENDE"/>
    <s v="ATENDE"/>
    <s v="ATENDE"/>
    <s v="ATENDE"/>
    <s v="C5"/>
    <s v="P6"/>
    <n v="1.29"/>
    <n v="6.87"/>
    <n v="3.37"/>
    <n v="3"/>
    <n v="0.6"/>
    <s v="ATENDE"/>
    <s v="ATENDE"/>
    <s v="ATENDE"/>
    <s v="P6"/>
    <n v="0"/>
    <n v="3"/>
    <n v="1.76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299"/>
    <s v="PVP"/>
    <s v="Rua Xavantes, 263"/>
    <n v="-29.997439400000001"/>
    <n v="-50.145535219999999"/>
    <x v="2"/>
    <s v="-"/>
    <x v="1"/>
    <s v="LED"/>
    <n v="50"/>
    <n v="0"/>
    <n v="0"/>
    <n v="100"/>
    <n v="2"/>
    <n v="2.5"/>
    <n v="8"/>
    <m/>
    <m/>
    <n v="0"/>
    <n v="2.5"/>
    <n v="0"/>
    <n v="0"/>
    <n v="0"/>
    <n v="0"/>
    <n v="0"/>
    <s v="Unilateral"/>
    <s v="Braço"/>
    <n v="34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500000000000016E-2"/>
    <n v="0.94444444444444442"/>
    <s v="-"/>
    <n v="10.55"/>
    <n v="0.35"/>
    <m/>
    <m/>
    <m/>
    <m/>
    <s v="ATENDE"/>
    <s v="ATENDE"/>
    <s v="ATENDE"/>
    <s v="ATENDE"/>
    <s v="C4"/>
    <s v="P6"/>
    <n v="1.9866666666666668"/>
    <n v="8.9600000000000009"/>
    <n v="2.98"/>
    <n v="3"/>
    <n v="0.6"/>
    <s v="ATENDE"/>
    <s v="ATENDE"/>
    <s v="ATENDE"/>
    <s v="P6"/>
    <n v="0.68666666666666654"/>
    <n v="5.0599999999999996"/>
    <n v="2.4700000000000002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50"/>
    <n v="94"/>
    <n v="0.12"/>
    <m/>
    <m/>
    <s v="Sim"/>
    <m/>
  </r>
  <r>
    <n v="299"/>
    <s v="PVP"/>
    <s v="Rua Xavantes, 263"/>
    <n v="-29.997439400000001"/>
    <n v="-50.145535219999999"/>
    <x v="2"/>
    <s v="-"/>
    <x v="1"/>
    <s v="LED"/>
    <n v="50"/>
    <n v="0"/>
    <n v="0"/>
    <n v="100"/>
    <n v="2"/>
    <n v="2.5"/>
    <n v="8"/>
    <m/>
    <m/>
    <n v="0"/>
    <n v="2.5"/>
    <n v="0"/>
    <n v="0"/>
    <n v="0"/>
    <n v="0"/>
    <n v="0"/>
    <s v="Unilateral"/>
    <s v="Braço"/>
    <n v="34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"/>
    <n v="1.6111111111111112"/>
    <s v="-"/>
    <n v="10"/>
    <n v="0.47"/>
    <m/>
    <m/>
    <m/>
    <m/>
    <s v="ATENDE"/>
    <s v="ATENDE"/>
    <s v="ATENDE"/>
    <s v="ATENDE"/>
    <s v="C4"/>
    <s v="P6"/>
    <n v="1.8166666666666664"/>
    <n v="8.4499999999999993"/>
    <n v="2.64"/>
    <n v="3"/>
    <n v="0.6"/>
    <s v="ATENDE"/>
    <s v="ATENDE"/>
    <s v="ATENDE"/>
    <s v="P6"/>
    <n v="0.20999999999999996"/>
    <n v="3.63"/>
    <n v="1.88"/>
    <n v="3"/>
    <n v="0.6"/>
    <s v="ATENDE"/>
    <s v="ATENDE"/>
    <s v="ATENDE"/>
    <x v="1"/>
    <s v="SX-INEVO040HF"/>
    <s v="SXINEVO040K40L12CZF7PHF"/>
    <m/>
    <e v="#N/A"/>
    <n v="1"/>
    <n v="39"/>
    <e v="#N/A"/>
    <n v="6552"/>
    <e v="#N/A"/>
    <n v="0"/>
    <m/>
    <s v="Curto II"/>
    <m/>
    <s v=""/>
    <s v=""/>
    <m/>
    <m/>
    <m/>
    <m/>
    <m/>
    <m/>
    <n v="39"/>
    <n v="50"/>
    <n v="89"/>
    <n v="0.21999999999999997"/>
    <m/>
    <m/>
    <s v="Sim"/>
    <m/>
  </r>
  <r>
    <n v="299"/>
    <s v="PVP"/>
    <s v="Rua Xavantes, 263"/>
    <n v="-29.997439400000001"/>
    <n v="-50.145535219999999"/>
    <x v="2"/>
    <s v="-"/>
    <x v="1"/>
    <s v="LED"/>
    <n v="50"/>
    <n v="0"/>
    <n v="0"/>
    <n v="100"/>
    <n v="2"/>
    <n v="2.5"/>
    <n v="8"/>
    <m/>
    <m/>
    <n v="0"/>
    <n v="2.5"/>
    <n v="0"/>
    <n v="0"/>
    <n v="0"/>
    <n v="0"/>
    <n v="0"/>
    <s v="Unilateral"/>
    <s v="Braço"/>
    <n v="34.6"/>
    <n v="6.8"/>
    <n v="1"/>
    <n v="0.3"/>
    <n v="1.3"/>
    <n v="1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0199999999999987"/>
    <n v="1.0555555555555558"/>
    <s v="-"/>
    <n v="11.02"/>
    <n v="0.37"/>
    <m/>
    <m/>
    <m/>
    <m/>
    <s v="ATENDE"/>
    <s v="ATENDE"/>
    <s v="ATENDE"/>
    <s v="ATENDE"/>
    <s v="C4"/>
    <s v="P6"/>
    <n v="1.6633333333333336"/>
    <n v="7.99"/>
    <n v="2.09"/>
    <n v="3"/>
    <n v="0.6"/>
    <s v="ATENDE"/>
    <s v="ATENDE"/>
    <s v="ATENDE"/>
    <s v="P6"/>
    <n v="0.35666666666666669"/>
    <n v="4.07"/>
    <n v="2.31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e v="#N/A"/>
    <n v="6641"/>
    <e v="#N/A"/>
    <n v="0"/>
    <n v="5"/>
    <s v="Curto II"/>
    <m/>
    <s v=""/>
    <s v=""/>
    <m/>
    <m/>
    <m/>
    <m/>
    <m/>
    <m/>
    <n v="40"/>
    <n v="50"/>
    <n v="90"/>
    <n v="0.19999999999999996"/>
    <m/>
    <m/>
    <s v="Sim"/>
    <m/>
  </r>
  <r>
    <n v="300"/>
    <s v="PVP"/>
    <s v="Rua Santa Catarina, 939"/>
    <n v="-30.009370929999999"/>
    <n v="-50.174031720000002"/>
    <x v="2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5.6"/>
    <n v="6.8"/>
    <n v="1"/>
    <n v="0.6"/>
    <n v="0.6"/>
    <n v="0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9999999999999996"/>
    <n v="0.16666666666666674"/>
    <s v="-"/>
    <n v="12"/>
    <n v="0.21"/>
    <m/>
    <m/>
    <m/>
    <m/>
    <s v="ATENDE"/>
    <s v="ATENDE"/>
    <s v="ATENDE"/>
    <s v="ATENDE"/>
    <s v="C4"/>
    <s v="P6"/>
    <n v="2.686666666666667"/>
    <n v="11.06"/>
    <n v="1.88"/>
    <n v="3"/>
    <n v="0.6"/>
    <s v="ATENDE"/>
    <s v="ATENDE"/>
    <s v="ATENDE"/>
    <s v="P6"/>
    <n v="0.9933333333333334"/>
    <n v="5.98"/>
    <n v="1.46"/>
    <n v="3"/>
    <n v="0.6"/>
    <s v="ATENDE"/>
    <s v="ATENDE"/>
    <s v="ATENDE"/>
    <x v="0"/>
    <s v=" SL VT 9.1 65W"/>
    <s v="LUM LED SL VT 9.1 65W"/>
    <m/>
    <n v="0"/>
    <n v="1"/>
    <n v="65"/>
    <n v="0"/>
    <n v="10496"/>
    <n v="0"/>
    <n v="0"/>
    <n v="5"/>
    <s v="Curto I"/>
    <m/>
    <s v=""/>
    <s v=""/>
    <m/>
    <m/>
    <m/>
    <m/>
    <m/>
    <m/>
    <n v="65"/>
    <n v="100"/>
    <n v="165"/>
    <n v="0.35"/>
    <m/>
    <m/>
    <s v="Sim"/>
    <m/>
  </r>
  <r>
    <n v="300"/>
    <s v="PVP"/>
    <s v="Rua Santa Catarina, 939"/>
    <n v="-30.009370929999999"/>
    <n v="-50.174031720000002"/>
    <x v="2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5.6"/>
    <n v="6.8"/>
    <n v="1"/>
    <n v="0.6"/>
    <n v="0.6"/>
    <n v="0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0000000000000018E-2"/>
    <n v="5.555555555555558E-2"/>
    <s v="-"/>
    <n v="10.199999999999999"/>
    <n v="0.19"/>
    <m/>
    <m/>
    <m/>
    <m/>
    <s v="ATENDE"/>
    <s v="ATENDE"/>
    <s v="ATENDE"/>
    <s v="ATENDE"/>
    <s v="C4"/>
    <s v="P6"/>
    <n v="1.0833333333333335"/>
    <n v="6.25"/>
    <n v="0.83"/>
    <n v="3"/>
    <n v="0.6"/>
    <s v="ATENDE"/>
    <s v="ATENDE"/>
    <s v="ATENDE"/>
    <s v="P6"/>
    <n v="1.6799999999999997"/>
    <n v="8.0399999999999991"/>
    <n v="3.61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"/>
    <s v="Longo I"/>
    <n v="2.8"/>
    <n v="8"/>
    <m/>
    <m/>
    <m/>
    <m/>
    <m/>
    <m/>
    <n v="50"/>
    <n v="100"/>
    <n v="150"/>
    <n v="0.5"/>
    <m/>
    <m/>
    <s v="Sim"/>
    <m/>
  </r>
  <r>
    <n v="300"/>
    <s v="PVP"/>
    <s v="Rua Santa Catarina, 939"/>
    <n v="-30.009370929999999"/>
    <n v="-50.174031720000002"/>
    <x v="2"/>
    <s v="-"/>
    <x v="1"/>
    <s v="Vapor de sódio"/>
    <n v="100"/>
    <n v="17"/>
    <n v="0"/>
    <n v="200"/>
    <n v="2"/>
    <n v="2.5"/>
    <n v="7"/>
    <m/>
    <m/>
    <n v="0"/>
    <n v="3"/>
    <n v="0"/>
    <n v="0"/>
    <n v="0"/>
    <n v="0"/>
    <n v="0"/>
    <s v="Unilateral"/>
    <s v="Braço"/>
    <n v="45.6"/>
    <n v="6.8"/>
    <n v="1"/>
    <n v="0.6"/>
    <n v="0.6"/>
    <n v="0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6400000000000015"/>
    <n v="0"/>
    <s v="-"/>
    <n v="11.64"/>
    <n v="0.18"/>
    <m/>
    <m/>
    <m/>
    <m/>
    <s v="ATENDE"/>
    <s v="ATENDE"/>
    <s v="ATENDE"/>
    <s v="ATENDE"/>
    <s v="C4"/>
    <s v="P6"/>
    <n v="1.3166666666666669"/>
    <n v="6.95"/>
    <n v="1.38"/>
    <n v="3"/>
    <n v="0.6"/>
    <s v="ATENDE"/>
    <s v="ATENDE"/>
    <s v="ATENDE"/>
    <s v="P6"/>
    <n v="1.5033333333333334"/>
    <n v="7.51"/>
    <n v="1.99"/>
    <n v="3"/>
    <n v="0.6"/>
    <s v="ATENDE"/>
    <s v="ATENDE"/>
    <s v="ATENDE"/>
    <x v="2"/>
    <s v="SIGSAGPTLRRSSNDL_60W_73IBBRS_x000a_"/>
    <s v="SIGSAGPTLRRSSNDL_60W_73IBBRS_x000a_1-10C1MUN6.5"/>
    <m/>
    <e v="#N/A"/>
    <n v="1"/>
    <n v="60"/>
    <n v="0"/>
    <n v="9453"/>
    <n v="0"/>
    <n v="0"/>
    <m/>
    <s v="Curto I"/>
    <s v="Longo I"/>
    <n v="2.8"/>
    <n v="8"/>
    <m/>
    <m/>
    <m/>
    <m/>
    <m/>
    <m/>
    <n v="60"/>
    <n v="100"/>
    <n v="160"/>
    <n v="0.4"/>
    <m/>
    <m/>
    <s v="Sim"/>
    <m/>
  </r>
  <r>
    <n v="301"/>
    <s v="PVP"/>
    <s v="Rua Quarenta, 150"/>
    <n v="-29.99655332"/>
    <n v="-50.184397930000003"/>
    <x v="1"/>
    <s v="-"/>
    <x v="1"/>
    <s v="Vapor de sódio"/>
    <n v="150"/>
    <n v="22"/>
    <n v="0"/>
    <n v="300"/>
    <n v="2"/>
    <n v="1.5"/>
    <n v="6"/>
    <m/>
    <m/>
    <n v="0"/>
    <n v="1.5"/>
    <n v="0"/>
    <n v="0"/>
    <n v="0"/>
    <n v="0"/>
    <n v="0"/>
    <s v="Unilateral"/>
    <s v="Braço"/>
    <n v="33.4"/>
    <n v="6.7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4.2666666666666631E-2"/>
    <n v="0.94444444444444442"/>
    <s v="-"/>
    <n v="7.82"/>
    <n v="0.35"/>
    <m/>
    <m/>
    <m/>
    <m/>
    <s v="ATENDE"/>
    <s v="ATENDE"/>
    <s v="ATENDE"/>
    <s v="ATENDE"/>
    <s v="C5"/>
    <s v="P6"/>
    <n v="1.1466666666666669"/>
    <n v="6.44"/>
    <n v="2.25"/>
    <n v="3"/>
    <n v="0.6"/>
    <s v="ATENDE"/>
    <s v="ATENDE"/>
    <s v="ATENDE"/>
    <s v="P6"/>
    <n v="0.93666666666666654"/>
    <n v="5.81"/>
    <n v="2.54"/>
    <n v="3"/>
    <n v="0.6"/>
    <s v="ATENDE"/>
    <s v="ATENDE"/>
    <s v="ATENDE"/>
    <x v="0"/>
    <s v=" SL VT 9.1 28W"/>
    <s v="LUM LED SL VT 9.1 28W"/>
    <m/>
    <e v="#N/A"/>
    <n v="1"/>
    <n v="28"/>
    <n v="0"/>
    <n v="4927.3500000000004"/>
    <n v="0"/>
    <n v="0"/>
    <m/>
    <s v="Curto II"/>
    <m/>
    <s v=""/>
    <s v=""/>
    <m/>
    <m/>
    <m/>
    <m/>
    <m/>
    <m/>
    <n v="28"/>
    <n v="150"/>
    <n v="178"/>
    <n v="0.81333333333333335"/>
    <m/>
    <m/>
    <s v="Sim"/>
    <m/>
  </r>
  <r>
    <n v="301"/>
    <s v="PVP"/>
    <s v="Rua Quarenta, 150"/>
    <n v="-29.99655332"/>
    <n v="-50.184397930000003"/>
    <x v="1"/>
    <s v="-"/>
    <x v="1"/>
    <s v="Vapor de sódio"/>
    <n v="150"/>
    <n v="22"/>
    <n v="0"/>
    <n v="300"/>
    <n v="2"/>
    <n v="1.5"/>
    <n v="6"/>
    <m/>
    <m/>
    <n v="0"/>
    <n v="1.5"/>
    <n v="0"/>
    <n v="0"/>
    <n v="0"/>
    <n v="0"/>
    <n v="0"/>
    <s v="Unilateral"/>
    <s v="Braço"/>
    <n v="33.4"/>
    <n v="6.7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0000000000000004"/>
    <n v="0.88888888888888906"/>
    <s v="-"/>
    <n v="9.75"/>
    <n v="0.34"/>
    <m/>
    <m/>
    <m/>
    <m/>
    <s v="ATENDE"/>
    <s v="ATENDE"/>
    <s v="ATENDE"/>
    <s v="ATENDE"/>
    <s v="C5"/>
    <s v="P6"/>
    <n v="1.5166666666666666"/>
    <n v="7.55"/>
    <n v="1.83"/>
    <n v="3"/>
    <n v="0.6"/>
    <s v="ATENDE"/>
    <s v="ATENDE"/>
    <s v="ATENDE"/>
    <s v="P6"/>
    <n v="1.3166666666666669"/>
    <n v="6.95"/>
    <n v="3.56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50"/>
    <n v="181"/>
    <n v="0.79333333333333333"/>
    <m/>
    <m/>
    <s v="Sim"/>
    <m/>
  </r>
  <r>
    <n v="301"/>
    <s v="PVP"/>
    <s v="Rua Quarenta, 150"/>
    <n v="-29.99655332"/>
    <n v="-50.184397930000003"/>
    <x v="1"/>
    <s v="-"/>
    <x v="1"/>
    <s v="Vapor de sódio"/>
    <n v="150"/>
    <n v="22"/>
    <n v="0"/>
    <n v="300"/>
    <n v="2"/>
    <n v="1.5"/>
    <n v="6"/>
    <m/>
    <m/>
    <n v="0"/>
    <n v="1.5"/>
    <n v="0"/>
    <n v="0"/>
    <n v="0"/>
    <n v="0"/>
    <n v="0"/>
    <s v="Unilateral"/>
    <s v="Braço"/>
    <n v="33.4"/>
    <n v="6.7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9466666666666685"/>
    <n v="1.3888888888888888"/>
    <s v="-"/>
    <n v="9.7100000000000009"/>
    <n v="0.43"/>
    <m/>
    <m/>
    <m/>
    <m/>
    <s v="ATENDE"/>
    <s v="ATENDE"/>
    <s v="ATENDE"/>
    <s v="ATENDE"/>
    <s v="C5"/>
    <s v="P6"/>
    <n v="1.5100000000000002"/>
    <n v="7.53"/>
    <n v="3.2"/>
    <n v="3"/>
    <n v="0.6"/>
    <s v="ATENDE"/>
    <s v="ATENDE"/>
    <s v="ATENDE"/>
    <s v="P6"/>
    <n v="1.0833333333333335"/>
    <n v="6.25"/>
    <n v="3.98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50"/>
    <n v="180"/>
    <n v="0.8"/>
    <m/>
    <m/>
    <s v="Sim"/>
    <m/>
  </r>
  <r>
    <n v="302"/>
    <s v="PVP"/>
    <s v="Rua Parque Janio, 682"/>
    <n v="-30.01173412"/>
    <n v="-50.16835854"/>
    <x v="2"/>
    <s v="-"/>
    <x v="1"/>
    <s v="Vapor de sódio"/>
    <n v="100"/>
    <n v="17"/>
    <n v="0"/>
    <n v="200"/>
    <n v="2"/>
    <n v="4"/>
    <n v="7"/>
    <m/>
    <m/>
    <n v="0"/>
    <n v="6"/>
    <n v="0"/>
    <n v="0"/>
    <n v="0"/>
    <n v="0"/>
    <n v="0"/>
    <s v="Unilateral"/>
    <s v="Braço"/>
    <n v="36.200000000000003"/>
    <n v="6"/>
    <n v="1"/>
    <n v="0.5"/>
    <n v="0.7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4999999999999956E-2"/>
    <n v="0.5555555555555558"/>
    <s v="-"/>
    <n v="10.75"/>
    <n v="0.28000000000000003"/>
    <m/>
    <m/>
    <m/>
    <m/>
    <s v="ATENDE"/>
    <s v="ATENDE"/>
    <s v="ATENDE"/>
    <s v="ATENDE"/>
    <s v="C4"/>
    <s v="P6"/>
    <n v="1.8066666666666666"/>
    <n v="8.42"/>
    <n v="1.51"/>
    <n v="3"/>
    <n v="0.6"/>
    <s v="ATENDE"/>
    <s v="ATENDE"/>
    <s v="ATENDE"/>
    <s v="-"/>
    <e v="#VALUE!"/>
    <n v="3.39"/>
    <n v="1.21"/>
    <s v="-"/>
    <s v="-"/>
    <s v="-"/>
    <s v="-"/>
    <s v="-"/>
    <x v="0"/>
    <s v=" SL VT 9.1 44W"/>
    <s v="LUM LED SL VT 9.1 44W"/>
    <m/>
    <e v="#N/A"/>
    <n v="1"/>
    <n v="44"/>
    <n v="0"/>
    <n v="7657.99"/>
    <n v="0"/>
    <n v="0"/>
    <n v="5"/>
    <s v="Curto I"/>
    <m/>
    <s v=""/>
    <s v=""/>
    <m/>
    <m/>
    <m/>
    <m/>
    <m/>
    <m/>
    <n v="44"/>
    <n v="100"/>
    <n v="144"/>
    <n v="0.56000000000000005"/>
    <m/>
    <m/>
    <s v="Sim"/>
    <m/>
  </r>
  <r>
    <n v="302"/>
    <s v="PVP"/>
    <s v="Rua Parque Janio, 682"/>
    <n v="-30.01173412"/>
    <n v="-50.16835854"/>
    <x v="2"/>
    <s v="-"/>
    <x v="1"/>
    <s v="Vapor de sódio"/>
    <n v="100"/>
    <n v="17"/>
    <n v="0"/>
    <n v="200"/>
    <n v="2"/>
    <n v="4"/>
    <n v="7"/>
    <m/>
    <m/>
    <n v="0"/>
    <n v="6"/>
    <n v="0"/>
    <n v="0"/>
    <n v="0"/>
    <n v="0"/>
    <n v="0"/>
    <s v="Unilateral"/>
    <s v="Braço"/>
    <n v="36.200000000000003"/>
    <n v="6"/>
    <n v="1"/>
    <n v="0.5"/>
    <n v="0.7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5109999999999999"/>
    <n v="0.38888888888888884"/>
    <s v="-"/>
    <n v="15.11"/>
    <n v="0.25"/>
    <m/>
    <m/>
    <m/>
    <m/>
    <s v="ATENDE"/>
    <s v="ATENDE"/>
    <s v="ATENDE"/>
    <s v="ATENDE"/>
    <s v="C4"/>
    <s v="P6"/>
    <n v="2.7899999999999996"/>
    <n v="11.37"/>
    <n v="0.64"/>
    <n v="3"/>
    <n v="0.6"/>
    <s v="ATENDE"/>
    <s v="ATENDE"/>
    <s v="ATENDE"/>
    <s v="-"/>
    <e v="#VALUE!"/>
    <n v="3.2"/>
    <n v="0.61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n v="2"/>
    <s v="Curto I"/>
    <m/>
    <s v=""/>
    <s v=""/>
    <m/>
    <m/>
    <m/>
    <m/>
    <m/>
    <m/>
    <n v="50"/>
    <n v="100"/>
    <n v="150"/>
    <n v="0.5"/>
    <m/>
    <m/>
    <s v="Sim"/>
    <m/>
  </r>
  <r>
    <n v="302"/>
    <s v="PVP"/>
    <s v="Rua Parque Janio, 682"/>
    <n v="-30.01173412"/>
    <n v="-50.16835854"/>
    <x v="2"/>
    <s v="-"/>
    <x v="1"/>
    <s v="Vapor de sódio"/>
    <n v="100"/>
    <n v="17"/>
    <n v="0"/>
    <n v="200"/>
    <n v="2"/>
    <n v="4"/>
    <n v="7"/>
    <m/>
    <m/>
    <n v="0"/>
    <n v="6"/>
    <n v="0"/>
    <n v="0"/>
    <n v="0"/>
    <n v="0"/>
    <n v="0"/>
    <s v="Unilateral"/>
    <s v="Braço"/>
    <n v="36.200000000000003"/>
    <n v="6"/>
    <n v="1"/>
    <n v="0.5"/>
    <n v="0.7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800000000000012"/>
    <n v="5.555555555555558E-2"/>
    <s v="-"/>
    <n v="11.38"/>
    <n v="0.19"/>
    <m/>
    <m/>
    <m/>
    <m/>
    <s v="ATENDE"/>
    <s v="ATENDE"/>
    <s v="ATENDE"/>
    <s v="ATENDE"/>
    <s v="C4"/>
    <s v="P6"/>
    <n v="1.1533333333333333"/>
    <n v="6.46"/>
    <n v="0.68"/>
    <n v="3"/>
    <n v="0.6"/>
    <s v="ATENDE"/>
    <s v="ATENDE"/>
    <s v="ATENDE"/>
    <s v="-"/>
    <e v="#VALUE!"/>
    <n v="3.17"/>
    <n v="0.65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6"/>
    <s v="Curto I"/>
    <s v="Curto II"/>
    <n v="1.4"/>
    <n v="6.5"/>
    <m/>
    <m/>
    <m/>
    <m/>
    <m/>
    <m/>
    <n v="40"/>
    <n v="100"/>
    <n v="140"/>
    <n v="0.6"/>
    <m/>
    <m/>
    <s v="Sim"/>
    <m/>
  </r>
  <r>
    <n v="303"/>
    <s v="PVP"/>
    <s v="Rua Parque Janio, 730"/>
    <n v="-30.012711199999998"/>
    <n v="-50.168695939999999"/>
    <x v="1"/>
    <s v="-"/>
    <x v="1"/>
    <s v="Vapor de sódio"/>
    <n v="150"/>
    <n v="22"/>
    <n v="0"/>
    <n v="300"/>
    <n v="2"/>
    <n v="4"/>
    <n v="7"/>
    <m/>
    <m/>
    <n v="0"/>
    <n v="4"/>
    <n v="0"/>
    <n v="0"/>
    <n v="0"/>
    <n v="0"/>
    <n v="0"/>
    <s v="Unilateral"/>
    <s v="Braço"/>
    <n v="32.700000000000003"/>
    <n v="7"/>
    <n v="1"/>
    <n v="1.5"/>
    <n v="2.2999999999999998"/>
    <n v="0.7999999999999998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6666666666666661"/>
    <n v="1.3333333333333335"/>
    <s v="-"/>
    <n v="9.5"/>
    <n v="0.42"/>
    <m/>
    <m/>
    <m/>
    <m/>
    <s v="ATENDE"/>
    <s v="ATENDE"/>
    <s v="ATENDE"/>
    <s v="ATENDE"/>
    <s v="C5"/>
    <s v="P6"/>
    <n v="1.2533333333333334"/>
    <n v="6.76"/>
    <n v="2.33"/>
    <n v="3"/>
    <n v="0.6"/>
    <s v="ATENDE"/>
    <s v="ATENDE"/>
    <s v="ATENDE"/>
    <s v="P6"/>
    <n v="0.44666666666666655"/>
    <n v="4.34"/>
    <n v="1.89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Médio II"/>
    <m/>
    <s v=""/>
    <s v=""/>
    <m/>
    <m/>
    <m/>
    <m/>
    <m/>
    <m/>
    <n v="35"/>
    <n v="150"/>
    <n v="185"/>
    <n v="0.76666666666666661"/>
    <m/>
    <m/>
    <s v="Sim"/>
    <m/>
  </r>
  <r>
    <n v="303"/>
    <s v="PVP"/>
    <s v="Rua Parque Janio, 730"/>
    <n v="-30.012711199999998"/>
    <n v="-50.168695939999999"/>
    <x v="1"/>
    <s v="-"/>
    <x v="1"/>
    <s v="Vapor de sódio"/>
    <n v="150"/>
    <n v="22"/>
    <n v="0"/>
    <n v="300"/>
    <n v="2"/>
    <n v="4"/>
    <n v="7"/>
    <m/>
    <m/>
    <n v="0"/>
    <n v="4"/>
    <n v="0"/>
    <n v="0"/>
    <n v="0"/>
    <n v="0"/>
    <n v="0"/>
    <s v="Unilateral"/>
    <s v="Braço"/>
    <n v="32.700000000000003"/>
    <n v="7"/>
    <n v="1"/>
    <n v="1.5"/>
    <n v="2.2999999999999998"/>
    <n v="0.7999999999999998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2266666666666657"/>
    <n v="1.6666666666666665"/>
    <s v="-"/>
    <n v="9.17"/>
    <n v="0.48"/>
    <m/>
    <m/>
    <m/>
    <m/>
    <s v="ATENDE"/>
    <s v="ATENDE"/>
    <s v="ATENDE"/>
    <s v="ATENDE"/>
    <s v="C5"/>
    <s v="P6"/>
    <n v="1.0100000000000002"/>
    <n v="6.03"/>
    <n v="1.17"/>
    <n v="3"/>
    <n v="0.6"/>
    <s v="ATENDE"/>
    <s v="ATENDE"/>
    <s v="ATENDE"/>
    <s v="P6"/>
    <n v="0.10333333333333328"/>
    <n v="3.31"/>
    <n v="1.2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Médio II"/>
    <m/>
    <s v=""/>
    <s v=""/>
    <m/>
    <m/>
    <m/>
    <m/>
    <m/>
    <m/>
    <n v="31"/>
    <n v="150"/>
    <n v="181"/>
    <n v="0.79333333333333333"/>
    <m/>
    <m/>
    <s v="Sim"/>
    <m/>
  </r>
  <r>
    <n v="303"/>
    <s v="PVP"/>
    <s v="Rua Parque Janio, 730"/>
    <n v="-30.012711199999998"/>
    <n v="-50.168695939999999"/>
    <x v="1"/>
    <s v="-"/>
    <x v="1"/>
    <s v="Vapor de sódio"/>
    <n v="150"/>
    <n v="22"/>
    <n v="0"/>
    <n v="300"/>
    <n v="2"/>
    <n v="4"/>
    <n v="7"/>
    <m/>
    <m/>
    <n v="0"/>
    <n v="4"/>
    <n v="0"/>
    <n v="0"/>
    <n v="0"/>
    <n v="0"/>
    <n v="0"/>
    <s v="Unilateral"/>
    <s v="Braço"/>
    <n v="32.700000000000003"/>
    <n v="7"/>
    <n v="1"/>
    <n v="1.5"/>
    <n v="2.2999999999999998"/>
    <n v="0.7999999999999998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0133333333333336"/>
    <n v="2.0555555555555558"/>
    <s v="-"/>
    <n v="9.01"/>
    <n v="0.55000000000000004"/>
    <m/>
    <m/>
    <m/>
    <m/>
    <s v="ATENDE"/>
    <s v="ATENDE"/>
    <s v="ATENDE"/>
    <s v="ATENDE"/>
    <s v="C5"/>
    <s v="P6"/>
    <n v="1.0766666666666667"/>
    <n v="6.23"/>
    <n v="2.59"/>
    <n v="3"/>
    <n v="0.6"/>
    <s v="ATENDE"/>
    <s v="ATENDE"/>
    <s v="ATENDE"/>
    <s v="P6"/>
    <n v="8.3333333333333259E-2"/>
    <n v="3.25"/>
    <n v="1.61"/>
    <n v="3"/>
    <n v="0.6"/>
    <s v="ATENDE"/>
    <s v="ATENDE"/>
    <s v="ATENDE"/>
    <x v="2"/>
    <s v="SIGSAGPTLRRSSNDL_30W_38IBBRS_x000a_"/>
    <s v="SIGSAGPTLRRSSNDL_30W_38IBBRS_x000a_1-10C1MUN6.5"/>
    <m/>
    <n v="0"/>
    <n v="1"/>
    <n v="30"/>
    <e v="#N/A"/>
    <n v="5266"/>
    <e v="#N/A"/>
    <n v="0"/>
    <m/>
    <s v="Médio II"/>
    <m/>
    <s v=""/>
    <s v=""/>
    <m/>
    <m/>
    <m/>
    <m/>
    <m/>
    <m/>
    <n v="30"/>
    <n v="150"/>
    <n v="180"/>
    <n v="0.8"/>
    <m/>
    <m/>
    <s v="Sim"/>
    <m/>
  </r>
  <r>
    <n v="304"/>
    <s v="PVP"/>
    <s v="Rua Octavio Rodolfo dos Santos, 1988"/>
    <n v="-30.01668394"/>
    <n v="-50.175423430000002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42.2"/>
    <n v="6.8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1.7333333333333423E-2"/>
    <n v="0"/>
    <s v="-"/>
    <n v="7.63"/>
    <n v="0.18"/>
    <m/>
    <m/>
    <m/>
    <m/>
    <s v="ATENDE"/>
    <s v="ATENDE"/>
    <s v="ATENDE"/>
    <s v="ATENDE"/>
    <s v="C5"/>
    <s v="P6"/>
    <n v="1.0233333333333334"/>
    <n v="6.07"/>
    <n v="0.81"/>
    <n v="3"/>
    <n v="0.6"/>
    <s v="ATENDE"/>
    <s v="ATENDE"/>
    <s v="ATENDE"/>
    <s v="P6"/>
    <n v="0.55666666666666664"/>
    <n v="4.67"/>
    <n v="1.0900000000000001"/>
    <n v="3"/>
    <n v="0.6"/>
    <s v="ATENDE"/>
    <s v="ATENDE"/>
    <s v="ATENDE"/>
    <x v="0"/>
    <s v=" SL VT 9.1 35W"/>
    <s v="LUM LED SL VT 9.1 35W"/>
    <m/>
    <n v="0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4"/>
    <s v="PVP"/>
    <s v="Rua Octavio Rodolfo dos Santos, 1988"/>
    <n v="-30.01668394"/>
    <n v="-50.175423430000002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42.2"/>
    <n v="6.8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5333333333333332"/>
    <n v="5.555555555555558E-2"/>
    <s v="-"/>
    <n v="8.65"/>
    <n v="0.19"/>
    <m/>
    <m/>
    <m/>
    <m/>
    <s v="ATENDE"/>
    <s v="ATENDE"/>
    <s v="ATENDE"/>
    <s v="ATENDE"/>
    <s v="C5"/>
    <s v="P6"/>
    <n v="1.3433333333333333"/>
    <n v="7.03"/>
    <n v="0.82"/>
    <n v="3"/>
    <n v="0.6"/>
    <s v="ATENDE"/>
    <s v="ATENDE"/>
    <s v="ATENDE"/>
    <s v="P6"/>
    <n v="0.64666666666666672"/>
    <n v="4.9400000000000004"/>
    <n v="1.49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00"/>
    <n v="139"/>
    <n v="0.61"/>
    <m/>
    <m/>
    <s v="Sim"/>
    <m/>
  </r>
  <r>
    <n v="304"/>
    <s v="PVP"/>
    <s v="Rua Octavio Rodolfo dos Santos, 1988"/>
    <n v="-30.01668394"/>
    <n v="-50.175423430000002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42.2"/>
    <n v="6.8"/>
    <n v="1"/>
    <n v="0.3"/>
    <n v="1.5"/>
    <n v="1.2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199999999999998"/>
    <n v="-5.5555555555555469E-2"/>
    <s v="-"/>
    <n v="9.24"/>
    <n v="0.17"/>
    <m/>
    <m/>
    <m/>
    <m/>
    <s v="ATENDE"/>
    <s v="ATENDE"/>
    <s v="ATENDIMENTO LIMIAR"/>
    <s v="ATENDE"/>
    <s v="C5"/>
    <s v="P6"/>
    <n v="0.90333333333333332"/>
    <n v="5.71"/>
    <n v="1.1000000000000001"/>
    <n v="3"/>
    <n v="0.6"/>
    <s v="ATENDE"/>
    <s v="ATENDE"/>
    <s v="ATENDE"/>
    <s v="P6"/>
    <n v="0.97333333333333338"/>
    <n v="5.92"/>
    <n v="1.38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Médio II"/>
    <n v="2.4"/>
    <n v="7.5"/>
    <m/>
    <m/>
    <m/>
    <m/>
    <m/>
    <m/>
    <n v="40"/>
    <n v="100"/>
    <n v="140"/>
    <n v="0.6"/>
    <m/>
    <m/>
    <s v="Sim"/>
    <m/>
  </r>
  <r>
    <n v="305"/>
    <s v="PVP"/>
    <s v="Rua Onze, 57"/>
    <n v="-29.981011720000001"/>
    <n v="-50.210250930000001"/>
    <x v="2"/>
    <s v="-"/>
    <x v="1"/>
    <s v="Vapor de sódio"/>
    <n v="100"/>
    <n v="17"/>
    <n v="0"/>
    <n v="200"/>
    <n v="2"/>
    <n v="1.5"/>
    <n v="7"/>
    <m/>
    <m/>
    <n v="0"/>
    <n v="1.5"/>
    <n v="0"/>
    <n v="0"/>
    <n v="0"/>
    <n v="0"/>
    <n v="0"/>
    <s v="Unilateral"/>
    <s v="Braço"/>
    <n v="28.1"/>
    <n v="6.8"/>
    <n v="1"/>
    <n v="1.3"/>
    <n v="1.5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9.6000000000000085E-2"/>
    <n v="1.6666666666666665"/>
    <s v="-"/>
    <n v="10.96"/>
    <n v="0.48"/>
    <m/>
    <m/>
    <m/>
    <m/>
    <s v="ATENDE"/>
    <s v="ATENDE"/>
    <s v="ATENDE"/>
    <s v="ATENDE"/>
    <s v="C4"/>
    <s v="P6"/>
    <n v="2.7100000000000004"/>
    <n v="11.13"/>
    <n v="5.34"/>
    <n v="3"/>
    <n v="0.6"/>
    <s v="ATENDE"/>
    <s v="ATENDE"/>
    <s v="ATENDE"/>
    <s v="P6"/>
    <n v="0.93333333333333335"/>
    <n v="5.8"/>
    <n v="3.6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5"/>
    <s v="PVP"/>
    <s v="Rua Onze, 57"/>
    <n v="-29.981011720000001"/>
    <n v="-50.210250930000001"/>
    <x v="2"/>
    <s v="-"/>
    <x v="1"/>
    <s v="Vapor de sódio"/>
    <n v="100"/>
    <n v="17"/>
    <n v="0"/>
    <n v="200"/>
    <n v="2"/>
    <n v="1.5"/>
    <n v="7"/>
    <m/>
    <m/>
    <n v="0"/>
    <n v="1.5"/>
    <n v="0"/>
    <n v="0"/>
    <n v="0"/>
    <n v="0"/>
    <n v="0"/>
    <s v="Unilateral"/>
    <s v="Braço"/>
    <n v="28.1"/>
    <n v="6.8"/>
    <n v="1"/>
    <n v="1.3"/>
    <n v="1.5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7000000000000153E-2"/>
    <n v="2.3333333333333335"/>
    <s v="-"/>
    <n v="10.47"/>
    <n v="0.6"/>
    <m/>
    <m/>
    <m/>
    <m/>
    <s v="ATENDE"/>
    <s v="ATENDE"/>
    <s v="ATENDE"/>
    <s v="ATENDE"/>
    <s v="C4"/>
    <s v="P6"/>
    <n v="2.5866666666666664"/>
    <n v="10.76"/>
    <n v="5.76"/>
    <n v="3"/>
    <n v="0.6"/>
    <s v="ATENDE"/>
    <s v="ATENDE"/>
    <s v="ATENDE"/>
    <s v="P6"/>
    <n v="0.51"/>
    <n v="4.53"/>
    <n v="3.1"/>
    <n v="3"/>
    <n v="0.6"/>
    <s v="ATENDE"/>
    <s v="ATENDE"/>
    <s v="ATENDE"/>
    <x v="1"/>
    <s v="SX-INEVO030HF"/>
    <s v="SXINEVO030K40L12CZF7PHF"/>
    <m/>
    <e v="#N/A"/>
    <n v="1"/>
    <n v="31"/>
    <n v="0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05"/>
    <s v="PVP"/>
    <s v="Rua Onze, 57"/>
    <n v="-29.981011720000001"/>
    <n v="-50.210250930000001"/>
    <x v="2"/>
    <s v="-"/>
    <x v="1"/>
    <s v="Vapor de sódio"/>
    <n v="100"/>
    <n v="17"/>
    <n v="0"/>
    <n v="200"/>
    <n v="2"/>
    <n v="1.5"/>
    <n v="7"/>
    <m/>
    <m/>
    <n v="0"/>
    <n v="1.5"/>
    <n v="0"/>
    <n v="0"/>
    <n v="0"/>
    <n v="0"/>
    <n v="0"/>
    <s v="Unilateral"/>
    <s v="Braço"/>
    <n v="28.1"/>
    <n v="6.8"/>
    <n v="1"/>
    <n v="1.3"/>
    <n v="1.5"/>
    <n v="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2.200000000000002E-2"/>
    <n v="2.1666666666666665"/>
    <s v="-"/>
    <n v="10.220000000000001"/>
    <n v="0.56999999999999995"/>
    <m/>
    <m/>
    <m/>
    <m/>
    <s v="ATENDE"/>
    <s v="ATENDE"/>
    <s v="ATENDE"/>
    <s v="ATENDE"/>
    <s v="C4"/>
    <s v="P6"/>
    <n v="2.5733333333333337"/>
    <n v="10.72"/>
    <n v="6.32"/>
    <n v="3"/>
    <n v="0.6"/>
    <s v="ATENDE"/>
    <s v="ATENDE"/>
    <s v="ATENDE"/>
    <s v="P6"/>
    <n v="0.44333333333333336"/>
    <n v="4.33"/>
    <n v="3.3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06"/>
    <s v="PVP"/>
    <s v="Rua Bruno Oscar Koetz, 1102"/>
    <n v="-30.009985369999999"/>
    <n v="-50.1703641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6"/>
    <n v="7.3"/>
    <n v="1"/>
    <n v="0.2"/>
    <n v="1.7"/>
    <n v="1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733333333333334"/>
    <n v="1.166666666666667"/>
    <s v="-"/>
    <n v="8.83"/>
    <n v="0.39"/>
    <m/>
    <m/>
    <m/>
    <m/>
    <s v="ATENDE"/>
    <s v="ATENDE"/>
    <s v="ATENDE"/>
    <s v="ATENDE"/>
    <s v="C5"/>
    <s v="P6"/>
    <n v="1.2399999999999998"/>
    <n v="6.72"/>
    <n v="2.54"/>
    <n v="3"/>
    <n v="0.6"/>
    <s v="ATENDE"/>
    <s v="ATENDE"/>
    <s v="ATENDE"/>
    <s v="P6"/>
    <n v="1.0733333333333333"/>
    <n v="6.22"/>
    <n v="2.99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Médio I"/>
    <m/>
    <s v=""/>
    <s v=""/>
    <m/>
    <m/>
    <m/>
    <m/>
    <m/>
    <m/>
    <n v="35"/>
    <n v="100"/>
    <n v="135"/>
    <n v="0.65"/>
    <m/>
    <m/>
    <s v="Sim"/>
    <m/>
  </r>
  <r>
    <n v="306"/>
    <s v="PVP"/>
    <s v="Rua Bruno Oscar Koetz, 1102"/>
    <n v="-30.009985369999999"/>
    <n v="-50.1703641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6"/>
    <n v="7.3"/>
    <n v="1"/>
    <n v="0.2"/>
    <n v="1.7"/>
    <n v="1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733333333333331"/>
    <n v="1.2222222222222223"/>
    <s v="-"/>
    <n v="8.5299999999999994"/>
    <n v="0.4"/>
    <m/>
    <m/>
    <m/>
    <m/>
    <s v="ATENDE"/>
    <s v="ATENDE"/>
    <s v="ATENDE"/>
    <s v="ATENDE"/>
    <s v="C5"/>
    <s v="P6"/>
    <n v="1.0333333333333332"/>
    <n v="6.1"/>
    <n v="1.77"/>
    <n v="3"/>
    <n v="0.6"/>
    <s v="ATENDE"/>
    <s v="ATENDE"/>
    <s v="ATENDE"/>
    <s v="P6"/>
    <n v="0.84999999999999987"/>
    <n v="5.55"/>
    <n v="3.21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Médio I"/>
    <m/>
    <s v=""/>
    <s v=""/>
    <m/>
    <m/>
    <m/>
    <m/>
    <m/>
    <m/>
    <n v="31"/>
    <n v="100"/>
    <n v="131"/>
    <n v="0.69"/>
    <m/>
    <m/>
    <s v="Sim"/>
    <m/>
  </r>
  <r>
    <n v="306"/>
    <s v="PVP"/>
    <s v="Rua Bruno Oscar Koetz, 1102"/>
    <n v="-30.009985369999999"/>
    <n v="-50.1703641"/>
    <x v="1"/>
    <s v="-"/>
    <x v="1"/>
    <s v="Vapor de sódio"/>
    <n v="100"/>
    <n v="17"/>
    <n v="0"/>
    <n v="200"/>
    <n v="2"/>
    <n v="2"/>
    <n v="7"/>
    <m/>
    <m/>
    <n v="0"/>
    <n v="2"/>
    <n v="0"/>
    <n v="0"/>
    <n v="0"/>
    <n v="0"/>
    <n v="0"/>
    <s v="Unilateral"/>
    <s v="Braço"/>
    <n v="34.6"/>
    <n v="7.3"/>
    <n v="1"/>
    <n v="0.2"/>
    <n v="1.7"/>
    <n v="1.5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3200000000000012"/>
    <n v="1.7222222222222223"/>
    <s v="-"/>
    <n v="8.49"/>
    <n v="0.49"/>
    <m/>
    <m/>
    <m/>
    <m/>
    <s v="ATENDE"/>
    <s v="ATENDE"/>
    <s v="ATENDE"/>
    <s v="ATENDE"/>
    <s v="C5"/>
    <s v="P6"/>
    <n v="1.0500000000000003"/>
    <n v="6.15"/>
    <n v="2.95"/>
    <n v="3"/>
    <n v="0.6"/>
    <s v="ATENDE"/>
    <s v="ATENDE"/>
    <s v="ATENDE"/>
    <s v="P6"/>
    <n v="0.66999999999999993"/>
    <n v="5.01"/>
    <n v="3.57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Médio I"/>
    <m/>
    <s v=""/>
    <s v=""/>
    <m/>
    <m/>
    <m/>
    <m/>
    <m/>
    <m/>
    <n v="30"/>
    <n v="100"/>
    <n v="130"/>
    <n v="0.7"/>
    <m/>
    <m/>
    <s v="Sim"/>
    <m/>
  </r>
  <r>
    <n v="307"/>
    <s v="PVP"/>
    <s v="Rua Uruguai, 15"/>
    <n v="-30.003022059999999"/>
    <n v="-50.159882799999998"/>
    <x v="1"/>
    <s v="-"/>
    <x v="1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.4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1599999999999988"/>
    <n v="0.72222222222222232"/>
    <s v="-"/>
    <n v="8.3699999999999992"/>
    <n v="0.31"/>
    <m/>
    <m/>
    <m/>
    <m/>
    <s v="ATENDE"/>
    <s v="ATENDE"/>
    <s v="ATENDE"/>
    <s v="ATENDE"/>
    <s v="C5"/>
    <s v="P6"/>
    <n v="1.1066666666666669"/>
    <n v="6.32"/>
    <n v="1.57"/>
    <n v="3"/>
    <n v="0.6"/>
    <s v="ATENDE"/>
    <s v="ATENDE"/>
    <s v="ATENDE"/>
    <s v="P6"/>
    <n v="0.70666666666666678"/>
    <n v="5.12"/>
    <n v="1.91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07"/>
    <s v="PVP"/>
    <s v="Rua Uruguai, 15"/>
    <n v="-30.003022059999999"/>
    <n v="-50.159882799999998"/>
    <x v="1"/>
    <s v="-"/>
    <x v="1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.4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6000000000000068E-2"/>
    <n v="0.44444444444444464"/>
    <s v="-"/>
    <n v="8.07"/>
    <n v="0.26"/>
    <m/>
    <m/>
    <m/>
    <m/>
    <s v="ATENDE"/>
    <s v="ATENDE"/>
    <s v="ATENDE"/>
    <s v="ATENDE"/>
    <s v="C5"/>
    <s v="P6"/>
    <n v="0.90333333333333332"/>
    <n v="5.71"/>
    <n v="0.65"/>
    <n v="3"/>
    <n v="0.6"/>
    <s v="ATENDE"/>
    <s v="ATENDE"/>
    <s v="ATENDE"/>
    <s v="P6"/>
    <n v="0.44000000000000017"/>
    <n v="4.32"/>
    <n v="1.68"/>
    <n v="3"/>
    <n v="0.6"/>
    <s v="ATENDE"/>
    <s v="ATENDE"/>
    <s v="ATENDE"/>
    <x v="1"/>
    <s v="SX-INEVO030HF"/>
    <s v="SXINEVO030K40L12CZF7PHF"/>
    <m/>
    <e v="#N/A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307"/>
    <s v="PVP"/>
    <s v="Rua Uruguai, 15"/>
    <n v="-30.003022059999999"/>
    <n v="-50.159882799999998"/>
    <x v="1"/>
    <s v="-"/>
    <x v="1"/>
    <s v="Vapor de sódio"/>
    <n v="100"/>
    <n v="17"/>
    <n v="0"/>
    <n v="200"/>
    <n v="2"/>
    <n v="3"/>
    <n v="7"/>
    <m/>
    <m/>
    <n v="0"/>
    <n v="2"/>
    <n v="0"/>
    <n v="0"/>
    <n v="0"/>
    <n v="0"/>
    <n v="0"/>
    <s v="Unilateral"/>
    <s v="Braço"/>
    <n v="37.4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133333333333324E-2"/>
    <n v="1"/>
    <s v="-"/>
    <n v="7.96"/>
    <n v="0.36"/>
    <m/>
    <m/>
    <m/>
    <m/>
    <s v="ATENDE"/>
    <s v="ATENDE"/>
    <s v="ATENDE"/>
    <s v="ATENDE"/>
    <s v="C5"/>
    <s v="P6"/>
    <n v="0.93666666666666654"/>
    <n v="5.81"/>
    <n v="1.76"/>
    <n v="3"/>
    <n v="0.6"/>
    <s v="ATENDE"/>
    <s v="ATENDE"/>
    <s v="ATENDE"/>
    <s v="P6"/>
    <n v="0.32333333333333347"/>
    <n v="3.97"/>
    <n v="2.22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308"/>
    <s v="PVP"/>
    <s v="Avenida A-Treze, 826"/>
    <n v="-30.057473389999998"/>
    <n v="-50.164351670000002"/>
    <x v="2"/>
    <s v="-"/>
    <x v="1"/>
    <s v="Vapor de sódio"/>
    <n v="250"/>
    <n v="30"/>
    <n v="0"/>
    <n v="500"/>
    <n v="2"/>
    <n v="3.5"/>
    <n v="7"/>
    <m/>
    <m/>
    <n v="0"/>
    <n v="3.5"/>
    <n v="0"/>
    <n v="0"/>
    <n v="0"/>
    <n v="0"/>
    <n v="0"/>
    <s v="Bilateral alternada"/>
    <s v="Braço"/>
    <n v="36.5"/>
    <n v="8"/>
    <n v="1"/>
    <n v="5.5"/>
    <n v="1.3"/>
    <n v="-4.2"/>
    <s v="-"/>
    <s v="-"/>
    <s v="Não"/>
    <n v="3"/>
    <n v="0"/>
    <n v="0"/>
    <n v="0"/>
    <n v="0"/>
    <n v="0"/>
    <s v="-"/>
    <n v="0"/>
    <m/>
    <n v="10"/>
    <n v="0.18"/>
    <s v="-"/>
    <n v="0.18"/>
    <s v="-"/>
    <n v="16"/>
    <s v="ATENDE"/>
    <n v="0.17599999999999993"/>
    <n v="3.1111111111111116"/>
    <s v="-"/>
    <n v="11.76"/>
    <n v="0.74"/>
    <m/>
    <m/>
    <m/>
    <m/>
    <s v="ATENDE"/>
    <s v="ATENDE"/>
    <s v="ATENDE"/>
    <s v="ATENDE"/>
    <s v="C4"/>
    <s v="P6"/>
    <n v="2.73"/>
    <n v="11.19"/>
    <n v="4.6100000000000003"/>
    <n v="3"/>
    <n v="0.6"/>
    <s v="ATENDE"/>
    <s v="ATENDE"/>
    <s v="ATENDE"/>
    <s v="P6"/>
    <n v="2.7333333333333329"/>
    <n v="11.2"/>
    <n v="4.5599999999999996"/>
    <n v="3"/>
    <n v="0.6"/>
    <s v="ATENDE"/>
    <s v="ATENDE"/>
    <s v="ATENDE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250"/>
    <n v="294"/>
    <n v="0.82400000000000007"/>
    <m/>
    <m/>
    <s v="Sim"/>
    <m/>
  </r>
  <r>
    <n v="308"/>
    <s v="PVP"/>
    <s v="Avenida A-Treze, 826"/>
    <n v="-30.057473389999998"/>
    <n v="-50.164351670000002"/>
    <x v="2"/>
    <s v="-"/>
    <x v="1"/>
    <s v="Vapor de sódio"/>
    <n v="250"/>
    <n v="30"/>
    <n v="0"/>
    <n v="500"/>
    <n v="2"/>
    <n v="3.5"/>
    <n v="7"/>
    <m/>
    <m/>
    <n v="0"/>
    <n v="3.5"/>
    <n v="0"/>
    <n v="0"/>
    <n v="0"/>
    <n v="0"/>
    <n v="0"/>
    <s v="Bilateral alternada"/>
    <s v="Braço"/>
    <n v="36.5"/>
    <n v="8"/>
    <n v="1"/>
    <n v="5.5"/>
    <n v="1.3"/>
    <n v="-4.2"/>
    <s v="-"/>
    <s v="-"/>
    <s v="Não"/>
    <n v="3"/>
    <n v="0"/>
    <n v="0"/>
    <n v="0"/>
    <n v="0"/>
    <n v="0"/>
    <s v="-"/>
    <n v="0"/>
    <m/>
    <n v="10"/>
    <n v="0.18"/>
    <s v="-"/>
    <n v="0.18"/>
    <s v="-"/>
    <n v="16"/>
    <s v="ATENDE"/>
    <n v="3.2000000000000028E-2"/>
    <n v="2.9444444444444442"/>
    <s v="-"/>
    <n v="10.32"/>
    <n v="0.71"/>
    <m/>
    <m/>
    <m/>
    <m/>
    <s v="ATENDE"/>
    <s v="ATENDE"/>
    <s v="ATENDE"/>
    <s v="ATENDE"/>
    <s v="C4"/>
    <s v="P6"/>
    <n v="2.2833333333333332"/>
    <n v="9.85"/>
    <n v="5.89"/>
    <n v="3"/>
    <n v="0.6"/>
    <s v="ATENDE"/>
    <s v="ATENDE"/>
    <s v="ATENDE"/>
    <s v="P6"/>
    <n v="2.2833333333333332"/>
    <n v="9.85"/>
    <n v="5.76"/>
    <n v="3"/>
    <n v="0.6"/>
    <s v="ATENDE"/>
    <s v="ATENDE"/>
    <s v="ATENDE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250"/>
    <n v="289"/>
    <n v="0.84399999999999997"/>
    <m/>
    <m/>
    <s v="Sim"/>
    <m/>
  </r>
  <r>
    <n v="308"/>
    <s v="PVP"/>
    <s v="Avenida A-Treze, 826"/>
    <n v="-30.057473389999998"/>
    <n v="-50.164351670000002"/>
    <x v="2"/>
    <s v="-"/>
    <x v="1"/>
    <s v="Vapor de sódio"/>
    <n v="250"/>
    <n v="30"/>
    <n v="0"/>
    <n v="500"/>
    <n v="2"/>
    <n v="3.5"/>
    <n v="7"/>
    <m/>
    <m/>
    <n v="0"/>
    <n v="3.5"/>
    <n v="0"/>
    <n v="0"/>
    <n v="0"/>
    <n v="0"/>
    <n v="0"/>
    <s v="Bilateral alternada"/>
    <s v="Braço"/>
    <n v="36.5"/>
    <n v="8"/>
    <n v="1"/>
    <n v="5.5"/>
    <n v="1.3"/>
    <n v="-4.2"/>
    <s v="-"/>
    <s v="-"/>
    <s v="Não"/>
    <n v="3"/>
    <n v="0"/>
    <n v="0"/>
    <n v="0"/>
    <n v="0"/>
    <n v="0"/>
    <s v="-"/>
    <n v="0"/>
    <m/>
    <n v="10"/>
    <n v="0.18"/>
    <s v="-"/>
    <n v="0.18"/>
    <s v="-"/>
    <n v="16"/>
    <s v="ATENDE"/>
    <n v="7.8999999999999959E-2"/>
    <n v="3.5000000000000009"/>
    <s v="-"/>
    <n v="10.79"/>
    <n v="0.81"/>
    <m/>
    <m/>
    <m/>
    <m/>
    <s v="ATENDE"/>
    <s v="ATENDE"/>
    <s v="ATENDE"/>
    <s v="ATENDE"/>
    <s v="C4"/>
    <s v="P6"/>
    <n v="3.5866666666666669"/>
    <n v="13.76"/>
    <n v="8.02"/>
    <n v="3"/>
    <n v="0.6"/>
    <s v="ATENDE"/>
    <s v="ATENDE"/>
    <s v="ATENDE"/>
    <s v="P6"/>
    <n v="3.58"/>
    <n v="13.74"/>
    <n v="7.88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250"/>
    <n v="300"/>
    <n v="0.8"/>
    <m/>
    <m/>
    <s v="Sim"/>
    <m/>
  </r>
  <r>
    <n v="309"/>
    <s v="V"/>
    <s v="Estrada -Osorio, 7790"/>
    <n v="-29.985152719999999"/>
    <n v="-50.213820630000001"/>
    <x v="1"/>
    <s v="-"/>
    <x v="2"/>
    <s v="Vapor de sódio"/>
    <n v="70"/>
    <n v="14"/>
    <n v="0"/>
    <n v="140"/>
    <n v="2"/>
    <n v="0"/>
    <n v="6.7"/>
    <m/>
    <m/>
    <n v="0"/>
    <n v="0"/>
    <n v="0"/>
    <n v="0"/>
    <n v="0"/>
    <n v="0"/>
    <n v="0"/>
    <s v="Unilateral"/>
    <s v="Braço"/>
    <n v="38.5"/>
    <n v="5.5"/>
    <n v="1"/>
    <n v="0.3"/>
    <n v="0.7"/>
    <n v="0.3999999999999999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6533333333333333"/>
    <n v="0.22222222222222232"/>
    <s v="-"/>
    <n v="8.74"/>
    <n v="0.22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"/>
    <s v="Curto II"/>
    <n v="1.4"/>
    <n v="6.5"/>
    <m/>
    <m/>
    <m/>
    <m/>
    <m/>
    <m/>
    <n v="35"/>
    <n v="70"/>
    <n v="105"/>
    <n v="0.5"/>
    <m/>
    <m/>
    <s v="Sim"/>
    <m/>
  </r>
  <r>
    <n v="309"/>
    <s v="V"/>
    <s v="Estrada -Osorio, 7790"/>
    <n v="-29.985152719999999"/>
    <n v="-50.213820630000001"/>
    <x v="1"/>
    <s v="-"/>
    <x v="2"/>
    <s v="Vapor de sódio"/>
    <n v="70"/>
    <n v="14"/>
    <n v="0"/>
    <n v="140"/>
    <n v="2"/>
    <n v="0"/>
    <n v="6.7"/>
    <m/>
    <m/>
    <n v="0"/>
    <n v="0"/>
    <n v="0"/>
    <n v="0"/>
    <n v="0"/>
    <n v="0"/>
    <n v="0"/>
    <s v="Unilateral"/>
    <s v="Braço"/>
    <n v="38.5"/>
    <n v="5.5"/>
    <n v="1"/>
    <n v="0.3"/>
    <n v="0.7"/>
    <n v="0.3999999999999999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7.0666666666666655E-2"/>
    <n v="0"/>
    <s v="-"/>
    <n v="8.0299999999999994"/>
    <n v="0.18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1"/>
    <n v="31"/>
    <n v="0"/>
    <n v="5270"/>
    <n v="0"/>
    <n v="0"/>
    <m/>
    <s v="Curto I"/>
    <s v="Médio I"/>
    <n v="1.8"/>
    <n v="7"/>
    <m/>
    <m/>
    <m/>
    <m/>
    <m/>
    <m/>
    <n v="31"/>
    <n v="70"/>
    <n v="101"/>
    <n v="0.55714285714285716"/>
    <m/>
    <m/>
    <s v="Sim"/>
    <m/>
  </r>
  <r>
    <n v="309"/>
    <s v="V"/>
    <s v="Estrada -Osorio, 7790"/>
    <n v="-29.985152719999999"/>
    <n v="-50.213820630000001"/>
    <x v="1"/>
    <s v="-"/>
    <x v="2"/>
    <s v="Vapor de sódio"/>
    <n v="70"/>
    <n v="14"/>
    <n v="0"/>
    <n v="140"/>
    <n v="2"/>
    <n v="0"/>
    <n v="6.7"/>
    <m/>
    <m/>
    <n v="0"/>
    <n v="0"/>
    <n v="0"/>
    <n v="0"/>
    <n v="0"/>
    <n v="0"/>
    <n v="0"/>
    <s v="Unilateral"/>
    <s v="Braço"/>
    <n v="38.5"/>
    <n v="5.5"/>
    <n v="1"/>
    <n v="0.3"/>
    <n v="0.7"/>
    <n v="0.39999999999999997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80000000000001"/>
    <n v="0.16666666666666674"/>
    <s v="-"/>
    <n v="8.31"/>
    <n v="0.2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m/>
    <s v="Curto I"/>
    <s v="Curto II"/>
    <n v="1.4"/>
    <n v="6.5"/>
    <m/>
    <m/>
    <m/>
    <m/>
    <m/>
    <m/>
    <n v="30"/>
    <n v="70"/>
    <n v="100"/>
    <n v="0.5714285714285714"/>
    <m/>
    <m/>
    <s v="Sim"/>
    <m/>
  </r>
  <r>
    <n v="310"/>
    <s v="PVP"/>
    <s v="Rua Vinte e Dois, 430"/>
    <n v="-29.98265576"/>
    <n v="-50.21513392"/>
    <x v="2"/>
    <s v="-"/>
    <x v="1"/>
    <s v="Vapor de sódio"/>
    <n v="70"/>
    <n v="14"/>
    <n v="0"/>
    <n v="140"/>
    <n v="2"/>
    <n v="2"/>
    <n v="7"/>
    <m/>
    <m/>
    <n v="0"/>
    <n v="2.5"/>
    <n v="0"/>
    <n v="0"/>
    <n v="0"/>
    <n v="0"/>
    <n v="0"/>
    <s v="Unilateral"/>
    <s v="Braço"/>
    <n v="24.7"/>
    <n v="6.6"/>
    <n v="1"/>
    <n v="0.7"/>
    <n v="0.9"/>
    <n v="0.2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7100000000000013"/>
    <n v="1.8888888888888893"/>
    <s v="-"/>
    <n v="12.71"/>
    <n v="0.52"/>
    <m/>
    <m/>
    <m/>
    <m/>
    <s v="ATENDE"/>
    <s v="ATENDE"/>
    <s v="ATENDE"/>
    <s v="ATENDE"/>
    <s v="C4"/>
    <s v="P6"/>
    <n v="3.1833333333333336"/>
    <n v="12.55"/>
    <n v="6.82"/>
    <n v="3"/>
    <n v="0.6"/>
    <s v="ATENDE"/>
    <s v="ATENDE"/>
    <s v="ATENDE"/>
    <s v="P6"/>
    <n v="0.82000000000000006"/>
    <n v="5.46"/>
    <n v="3.45"/>
    <n v="3"/>
    <n v="0.6"/>
    <s v="ATENDE"/>
    <s v="ATENDE"/>
    <s v="ATENDE"/>
    <x v="0"/>
    <s v=" SL VT 9.1 35W"/>
    <s v="LUM LED SL VT 9.1 35W"/>
    <m/>
    <e v="#N/A"/>
    <n v="1"/>
    <n v="35"/>
    <e v="#N/A"/>
    <n v="5955.62"/>
    <n v="0"/>
    <n v="0"/>
    <m/>
    <s v="Curto I"/>
    <m/>
    <s v=""/>
    <s v=""/>
    <m/>
    <m/>
    <m/>
    <m/>
    <m/>
    <m/>
    <n v="35"/>
    <n v="70"/>
    <n v="105"/>
    <n v="0.5"/>
    <m/>
    <m/>
    <s v="Sim"/>
    <m/>
  </r>
  <r>
    <n v="310"/>
    <s v="PVP"/>
    <s v="Rua Vinte e Dois, 430"/>
    <n v="-29.98265576"/>
    <n v="-50.21513392"/>
    <x v="2"/>
    <s v="-"/>
    <x v="1"/>
    <s v="Vapor de sódio"/>
    <n v="70"/>
    <n v="14"/>
    <n v="0"/>
    <n v="140"/>
    <n v="2"/>
    <n v="2"/>
    <n v="7"/>
    <m/>
    <m/>
    <n v="0"/>
    <n v="2.5"/>
    <n v="0"/>
    <n v="0"/>
    <n v="0"/>
    <n v="0"/>
    <n v="0"/>
    <s v="Unilateral"/>
    <s v="Braço"/>
    <n v="24.7"/>
    <n v="6.6"/>
    <n v="1"/>
    <n v="0.7"/>
    <n v="0.9"/>
    <n v="0.2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0999999999999996"/>
    <n v="2.4444444444444446"/>
    <s v="-"/>
    <n v="12.1"/>
    <n v="0.62"/>
    <m/>
    <m/>
    <m/>
    <m/>
    <s v="ATENDE"/>
    <s v="ATENDE"/>
    <s v="ATENDE"/>
    <s v="ATENDE"/>
    <s v="C4"/>
    <s v="P6"/>
    <n v="2.9966666666666666"/>
    <n v="11.99"/>
    <n v="7.78"/>
    <n v="3"/>
    <n v="0.6"/>
    <s v="ATENDE"/>
    <s v="ATENDE"/>
    <s v="ATENDE"/>
    <s v="P6"/>
    <n v="0.30333333333333345"/>
    <n v="3.91"/>
    <n v="1.9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"/>
    <m/>
    <s v=""/>
    <s v=""/>
    <m/>
    <m/>
    <m/>
    <m/>
    <m/>
    <m/>
    <n v="31"/>
    <n v="70"/>
    <n v="101"/>
    <n v="0.55714285714285716"/>
    <m/>
    <m/>
    <s v="Sim"/>
    <m/>
  </r>
  <r>
    <n v="310"/>
    <s v="PVP"/>
    <s v="Rua Vinte e Dois, 430"/>
    <n v="-29.98265576"/>
    <n v="-50.21513392"/>
    <x v="2"/>
    <s v="-"/>
    <x v="1"/>
    <s v="Vapor de sódio"/>
    <n v="70"/>
    <n v="14"/>
    <n v="0"/>
    <n v="140"/>
    <n v="2"/>
    <n v="2"/>
    <n v="7"/>
    <m/>
    <m/>
    <n v="0"/>
    <n v="2.5"/>
    <n v="0"/>
    <n v="0"/>
    <n v="0"/>
    <n v="0"/>
    <n v="0"/>
    <s v="Unilateral"/>
    <s v="Braço"/>
    <n v="24.7"/>
    <n v="6.6"/>
    <n v="1"/>
    <n v="0.7"/>
    <n v="0.9"/>
    <n v="0.20000000000000007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8300000000000005"/>
    <n v="2.1666666666666665"/>
    <s v="-"/>
    <n v="11.83"/>
    <n v="0.56999999999999995"/>
    <m/>
    <m/>
    <m/>
    <m/>
    <s v="ATENDE"/>
    <s v="ATENDE"/>
    <s v="ATENDE"/>
    <s v="ATENDE"/>
    <s v="C4"/>
    <s v="P6"/>
    <n v="2.9833333333333329"/>
    <n v="11.95"/>
    <n v="7.78"/>
    <n v="3"/>
    <n v="0.6"/>
    <s v="ATENDE"/>
    <s v="ATENDE"/>
    <s v="ATENDE"/>
    <s v="P6"/>
    <n v="0.33333333333333326"/>
    <n v="4"/>
    <n v="2.470000000000000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"/>
    <m/>
    <s v=""/>
    <s v=""/>
    <m/>
    <m/>
    <m/>
    <m/>
    <m/>
    <m/>
    <n v="30"/>
    <n v="70"/>
    <n v="100"/>
    <n v="0.5714285714285714"/>
    <m/>
    <m/>
    <s v="Sim"/>
    <m/>
  </r>
  <r>
    <n v="311"/>
    <s v="PVP"/>
    <s v="Rua Manoel da Silva Mendes, 1418"/>
    <n v="-29.998562570000001"/>
    <n v="-50.183093710000001"/>
    <x v="4"/>
    <s v="-"/>
    <x v="1"/>
    <s v="LED"/>
    <n v="99"/>
    <n v="0"/>
    <n v="0"/>
    <n v="198"/>
    <n v="2"/>
    <n v="4.5"/>
    <n v="8"/>
    <m/>
    <m/>
    <n v="0"/>
    <n v="3"/>
    <n v="0"/>
    <n v="0"/>
    <n v="0"/>
    <n v="0"/>
    <n v="0"/>
    <s v="Unilateral"/>
    <s v="Braço"/>
    <n v="25.8"/>
    <n v="4.8"/>
    <n v="1"/>
    <n v="0.5"/>
    <n v="1.5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4799999999999991"/>
    <n v="0.72222222222222232"/>
    <s v="-"/>
    <n v="17.22"/>
    <n v="0.31"/>
    <m/>
    <m/>
    <m/>
    <m/>
    <s v="ATENDE"/>
    <s v="ATENDE"/>
    <s v="ATENDE"/>
    <s v="ATENDE"/>
    <s v="C3"/>
    <s v="P6"/>
    <n v="2.02"/>
    <n v="9.06"/>
    <n v="1.29"/>
    <n v="3"/>
    <n v="0.6"/>
    <s v="ATENDE"/>
    <s v="ATENDE"/>
    <s v="ATENDE"/>
    <s v="P6"/>
    <n v="0.46666666666666679"/>
    <n v="4.4000000000000004"/>
    <n v="2.42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n v="5"/>
    <s v="Curto II"/>
    <m/>
    <s v=""/>
    <s v=""/>
    <m/>
    <m/>
    <m/>
    <m/>
    <m/>
    <m/>
    <n v="44"/>
    <n v="99"/>
    <n v="143"/>
    <n v="0.55555555555555558"/>
    <m/>
    <m/>
    <s v="Sim"/>
    <m/>
  </r>
  <r>
    <n v="311"/>
    <s v="PVP"/>
    <s v="Rua Manoel da Silva Mendes, 1418"/>
    <n v="-29.998562570000001"/>
    <n v="-50.183093710000001"/>
    <x v="4"/>
    <s v="-"/>
    <x v="1"/>
    <s v="LED"/>
    <n v="99"/>
    <n v="0"/>
    <n v="0"/>
    <n v="198"/>
    <n v="2"/>
    <n v="4.5"/>
    <n v="8"/>
    <m/>
    <m/>
    <n v="0"/>
    <n v="3"/>
    <n v="0"/>
    <n v="0"/>
    <n v="0"/>
    <n v="0"/>
    <n v="0"/>
    <s v="Unilateral"/>
    <s v="Braço"/>
    <n v="25.8"/>
    <n v="4.8"/>
    <n v="1"/>
    <n v="0.5"/>
    <n v="1.5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58266666666666667"/>
    <n v="1"/>
    <s v="-"/>
    <n v="23.74"/>
    <n v="0.36"/>
    <m/>
    <m/>
    <m/>
    <m/>
    <s v="ATENDE"/>
    <s v="ATENDE"/>
    <s v="ATENDE"/>
    <s v="ATENDE"/>
    <s v="C3"/>
    <s v="P6"/>
    <n v="2.39"/>
    <n v="10.17"/>
    <n v="0.66"/>
    <n v="3"/>
    <n v="0.6"/>
    <s v="ATENDE"/>
    <s v="ATENDE"/>
    <s v="ATENDE"/>
    <s v="P6"/>
    <n v="0.56666666666666665"/>
    <n v="4.7"/>
    <n v="1.96"/>
    <n v="3"/>
    <n v="0.6"/>
    <s v="ATENDE"/>
    <s v="ATENDE"/>
    <s v="ATENDE"/>
    <x v="1"/>
    <s v="SX-INEVO050HF"/>
    <s v="SXINEVO050K40L12CZF7PHF"/>
    <m/>
    <n v="0"/>
    <n v="1"/>
    <n v="50"/>
    <e v="#N/A"/>
    <n v="8650"/>
    <e v="#N/A"/>
    <n v="0"/>
    <n v="5"/>
    <s v="Curto II"/>
    <m/>
    <s v=""/>
    <s v=""/>
    <m/>
    <m/>
    <m/>
    <m/>
    <m/>
    <m/>
    <n v="50"/>
    <n v="99"/>
    <n v="149"/>
    <n v="0.49494949494949492"/>
    <m/>
    <m/>
    <s v="Sim"/>
    <m/>
  </r>
  <r>
    <n v="311"/>
    <s v="PVP"/>
    <s v="Rua Manoel da Silva Mendes, 1418"/>
    <n v="-29.998562570000001"/>
    <n v="-50.183093710000001"/>
    <x v="4"/>
    <s v="-"/>
    <x v="1"/>
    <s v="LED"/>
    <n v="99"/>
    <n v="0"/>
    <n v="0"/>
    <n v="198"/>
    <n v="2"/>
    <n v="4.5"/>
    <n v="8"/>
    <m/>
    <m/>
    <n v="0"/>
    <n v="3"/>
    <n v="0"/>
    <n v="0"/>
    <n v="0"/>
    <n v="0"/>
    <n v="0"/>
    <s v="Unilateral"/>
    <s v="Braço"/>
    <n v="25.8"/>
    <n v="4.8"/>
    <n v="1"/>
    <n v="0.5"/>
    <n v="1.5"/>
    <n v="1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3833333333333333"/>
    <n v="0.5555555555555558"/>
    <s v="-"/>
    <n v="20.75"/>
    <n v="0.28000000000000003"/>
    <m/>
    <m/>
    <m/>
    <m/>
    <s v="ATENDE"/>
    <s v="ATENDE"/>
    <s v="ATENDE"/>
    <s v="ATENDE"/>
    <s v="C3"/>
    <s v="P6"/>
    <n v="2.2066666666666666"/>
    <n v="9.6199999999999992"/>
    <n v="0.89"/>
    <n v="3"/>
    <n v="0.6"/>
    <s v="ATENDE"/>
    <s v="ATENDE"/>
    <s v="ATENDE"/>
    <s v="P6"/>
    <n v="4.0000000000000036E-2"/>
    <n v="3.12"/>
    <n v="1.1100000000000001"/>
    <n v="3"/>
    <n v="0.6"/>
    <s v="ATENDE"/>
    <s v="ATENDE"/>
    <s v="ATENDE"/>
    <x v="2"/>
    <s v="SIGSAGPTLRRSSNDL_50W_61IBBRS_x000a_"/>
    <s v="SIGSAGPTLRRSSNDL_50W_61IBBRS_x000a_1-10C1MUN6.5"/>
    <m/>
    <e v="#N/A"/>
    <n v="1"/>
    <n v="50"/>
    <e v="#N/A"/>
    <n v="8163"/>
    <e v="#N/A"/>
    <n v="0"/>
    <n v="8"/>
    <s v="Curto II"/>
    <m/>
    <s v=""/>
    <s v=""/>
    <m/>
    <m/>
    <m/>
    <m/>
    <m/>
    <m/>
    <n v="50"/>
    <n v="99"/>
    <n v="149"/>
    <n v="0.49494949494949492"/>
    <m/>
    <m/>
    <s v="Sim"/>
    <m/>
  </r>
  <r>
    <n v="312"/>
    <s v="PV"/>
    <s v="Rua Dezesseis"/>
    <n v="-29.98156328"/>
    <n v="-50.211571540000001"/>
    <x v="4"/>
    <s v="-"/>
    <x v="1"/>
    <s v="Vapor de sódio"/>
    <n v="100"/>
    <n v="17"/>
    <n v="0"/>
    <n v="200"/>
    <n v="2"/>
    <n v="3.5"/>
    <n v="7"/>
    <m/>
    <m/>
    <n v="0"/>
    <n v="0"/>
    <n v="0"/>
    <n v="0"/>
    <n v="0"/>
    <n v="0"/>
    <n v="0"/>
    <s v="Unilateral"/>
    <s v="Braço"/>
    <n v="31.5"/>
    <n v="7.2"/>
    <n v="1"/>
    <n v="1.2"/>
    <n v="1.3"/>
    <n v="0.1000000000000000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4866666666666672"/>
    <n v="0.94444444444444442"/>
    <s v="-"/>
    <n v="17.23"/>
    <n v="0.35"/>
    <m/>
    <m/>
    <m/>
    <m/>
    <s v="ATENDE"/>
    <s v="ATENDE"/>
    <s v="ATENDE"/>
    <s v="ATENDE"/>
    <s v="C3"/>
    <s v="P6"/>
    <n v="3.9266666666666667"/>
    <n v="14.78"/>
    <n v="7.86"/>
    <n v="3"/>
    <n v="0.6"/>
    <s v="ATENDE"/>
    <s v="ATENDE"/>
    <s v="ATENDE"/>
    <s v="-"/>
    <e v="#VALUE!"/>
    <m/>
    <m/>
    <s v="-"/>
    <s v="-"/>
    <s v="-"/>
    <s v="-"/>
    <s v="-"/>
    <x v="0"/>
    <s v=" SL VT 9.1 65W"/>
    <s v="LUM LED SL VT 9.1 65W"/>
    <m/>
    <n v="0"/>
    <n v="1"/>
    <n v="65"/>
    <n v="0"/>
    <n v="10496"/>
    <n v="0"/>
    <n v="0"/>
    <m/>
    <s v="Curto II"/>
    <m/>
    <s v=""/>
    <s v=""/>
    <m/>
    <m/>
    <m/>
    <m/>
    <m/>
    <m/>
    <n v="65"/>
    <n v="100"/>
    <n v="165"/>
    <n v="0.35"/>
    <m/>
    <m/>
    <s v="Sim"/>
    <m/>
  </r>
  <r>
    <n v="312"/>
    <s v="PV"/>
    <s v="Rua Dezesseis"/>
    <n v="-29.98156328"/>
    <n v="-50.211571540000001"/>
    <x v="4"/>
    <s v="-"/>
    <x v="1"/>
    <s v="Vapor de sódio"/>
    <n v="100"/>
    <n v="17"/>
    <n v="0"/>
    <n v="200"/>
    <n v="2"/>
    <n v="3.5"/>
    <n v="7"/>
    <m/>
    <m/>
    <n v="0"/>
    <n v="0"/>
    <n v="0"/>
    <n v="0"/>
    <n v="0"/>
    <n v="0"/>
    <n v="0"/>
    <s v="Unilateral"/>
    <s v="Braço"/>
    <n v="31.5"/>
    <n v="7.2"/>
    <n v="1"/>
    <n v="1.2"/>
    <n v="1.3"/>
    <n v="0.1000000000000000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2.8666666666666618E-2"/>
    <n v="2.5"/>
    <s v="-"/>
    <n v="15.43"/>
    <n v="0.63"/>
    <m/>
    <m/>
    <m/>
    <m/>
    <s v="ATENDE"/>
    <s v="ATENDE"/>
    <s v="ATENDE"/>
    <s v="ATENDE"/>
    <s v="C3"/>
    <s v="P6"/>
    <n v="3.49"/>
    <n v="13.47"/>
    <n v="5.51"/>
    <n v="3"/>
    <n v="0.6"/>
    <s v="ATENDE"/>
    <s v="ATENDE"/>
    <s v="ATENDE"/>
    <s v="-"/>
    <e v="#VALUE!"/>
    <m/>
    <m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312"/>
    <s v="PV"/>
    <s v="Rua Dezesseis"/>
    <n v="-29.98156328"/>
    <n v="-50.211571540000001"/>
    <x v="4"/>
    <s v="-"/>
    <x v="1"/>
    <s v="Vapor de sódio"/>
    <n v="100"/>
    <n v="17"/>
    <n v="0"/>
    <n v="200"/>
    <n v="2"/>
    <n v="3.5"/>
    <n v="7"/>
    <m/>
    <m/>
    <n v="0"/>
    <n v="0"/>
    <n v="0"/>
    <n v="0"/>
    <n v="0"/>
    <n v="0"/>
    <n v="0"/>
    <s v="Unilateral"/>
    <s v="Braço"/>
    <n v="31.5"/>
    <n v="7.2"/>
    <n v="1"/>
    <n v="1.2"/>
    <n v="1.3"/>
    <n v="0.10000000000000009"/>
    <s v="-"/>
    <s v="-"/>
    <s v="Não"/>
    <n v="2"/>
    <n v="0"/>
    <n v="0"/>
    <n v="0"/>
    <n v="0"/>
    <n v="0"/>
    <s v="-"/>
    <n v="0"/>
    <m/>
    <n v="15"/>
    <n v="0.18"/>
    <s v="-"/>
    <n v="0.18"/>
    <s v="-"/>
    <n v="15"/>
    <s v="ATENDE"/>
    <n v="0.1186666666666667"/>
    <n v="1.7777777777777777"/>
    <s v="-"/>
    <n v="16.78"/>
    <n v="0.5"/>
    <m/>
    <m/>
    <m/>
    <m/>
    <s v="ATENDE"/>
    <s v="ATENDE"/>
    <s v="ATENDE"/>
    <s v="ATENDE"/>
    <s v="C3"/>
    <s v="P6"/>
    <n v="3.9733333333333336"/>
    <n v="14.92"/>
    <n v="7.17"/>
    <n v="3"/>
    <n v="0.6"/>
    <s v="ATENDE"/>
    <s v="ATENDE"/>
    <s v="ATENDE"/>
    <s v="-"/>
    <e v="#VALUE!"/>
    <m/>
    <m/>
    <s v="-"/>
    <s v="-"/>
    <s v="-"/>
    <s v="-"/>
    <s v="-"/>
    <x v="2"/>
    <s v="SIGSAGPTLRRSSNDL_60W_73IBBRS_x000a_"/>
    <s v="SIGSAGPTLRRSSNDL_60W_73IBBRS_x000a_1-10C1MUN6.5"/>
    <m/>
    <e v="#N/A"/>
    <n v="1"/>
    <n v="60"/>
    <n v="0"/>
    <n v="9453"/>
    <n v="0"/>
    <n v="0"/>
    <m/>
    <s v="Curto II"/>
    <m/>
    <s v=""/>
    <s v=""/>
    <m/>
    <m/>
    <m/>
    <m/>
    <m/>
    <m/>
    <n v="60"/>
    <n v="100"/>
    <n v="160"/>
    <n v="0.4"/>
    <m/>
    <m/>
    <s v="Sim"/>
    <m/>
  </r>
  <r>
    <n v="313"/>
    <s v="PVP"/>
    <s v="Rua Lurdes de Lima Manito, 191"/>
    <n v="-29.994019059999999"/>
    <n v="-50.182366569999999"/>
    <x v="2"/>
    <s v="-"/>
    <x v="1"/>
    <s v="Vapor de sódio"/>
    <n v="70"/>
    <n v="14"/>
    <n v="0"/>
    <n v="140"/>
    <n v="2"/>
    <n v="3"/>
    <n v="7"/>
    <m/>
    <m/>
    <n v="0"/>
    <n v="2"/>
    <n v="0"/>
    <n v="0"/>
    <n v="0"/>
    <n v="0"/>
    <n v="0"/>
    <s v="Unilateral"/>
    <s v="Braço"/>
    <n v="33.1"/>
    <n v="7.5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7.0000000000001172E-3"/>
    <n v="1.4444444444444446"/>
    <s v="-"/>
    <n v="10.07"/>
    <n v="0.44"/>
    <m/>
    <m/>
    <m/>
    <m/>
    <s v="ATENDE"/>
    <s v="ATENDE"/>
    <s v="ATENDE"/>
    <s v="ATENDE"/>
    <s v="C4"/>
    <s v="P6"/>
    <n v="2.35"/>
    <n v="10.050000000000001"/>
    <n v="4.0199999999999996"/>
    <n v="3"/>
    <n v="0.6"/>
    <s v="ATENDE"/>
    <s v="ATENDE"/>
    <s v="ATENDE"/>
    <s v="P6"/>
    <n v="0.93333333333333335"/>
    <n v="5.8"/>
    <n v="3.31"/>
    <n v="3"/>
    <n v="0.6"/>
    <s v="ATENDE"/>
    <s v="ATENDE"/>
    <s v="ATENDE"/>
    <x v="0"/>
    <s v=" SL VT 9.1 44W"/>
    <s v="LUM LED SL VT 9.1 44W"/>
    <m/>
    <e v="#N/A"/>
    <n v="1"/>
    <n v="44"/>
    <n v="0"/>
    <n v="7657.99"/>
    <n v="0"/>
    <n v="0"/>
    <m/>
    <s v="Curto II"/>
    <m/>
    <s v=""/>
    <s v=""/>
    <m/>
    <m/>
    <m/>
    <m/>
    <m/>
    <m/>
    <n v="44"/>
    <n v="70"/>
    <n v="114"/>
    <n v="0.37142857142857144"/>
    <m/>
    <m/>
    <s v="Sim"/>
    <m/>
  </r>
  <r>
    <n v="313"/>
    <s v="PVP"/>
    <s v="Rua Lurdes de Lima Manito, 191"/>
    <n v="-29.994019059999999"/>
    <n v="-50.182366569999999"/>
    <x v="2"/>
    <s v="-"/>
    <x v="1"/>
    <s v="Vapor de sódio"/>
    <n v="70"/>
    <n v="14"/>
    <n v="0"/>
    <n v="140"/>
    <n v="2"/>
    <n v="3"/>
    <n v="7"/>
    <m/>
    <m/>
    <n v="0"/>
    <n v="2"/>
    <n v="0"/>
    <n v="0"/>
    <n v="0"/>
    <n v="0"/>
    <n v="0"/>
    <s v="Unilateral"/>
    <s v="Braço"/>
    <n v="33.1"/>
    <n v="7.5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40199999999999991"/>
    <n v="2.4444444444444446"/>
    <s v="-"/>
    <n v="14.02"/>
    <n v="0.62"/>
    <m/>
    <m/>
    <m/>
    <m/>
    <s v="ATENDE"/>
    <s v="ATENDE"/>
    <s v="ATENDE"/>
    <s v="ATENDE"/>
    <s v="C4"/>
    <s v="P6"/>
    <n v="3.5633333333333335"/>
    <n v="13.69"/>
    <n v="6.15"/>
    <n v="3"/>
    <n v="0.6"/>
    <s v="ATENDE"/>
    <s v="ATENDE"/>
    <s v="ATENDE"/>
    <s v="P6"/>
    <n v="1.5233333333333334"/>
    <n v="7.57"/>
    <n v="5.79"/>
    <n v="3"/>
    <n v="0.6"/>
    <s v="ATENDE"/>
    <s v="ATENDE"/>
    <s v="ATENDE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70"/>
    <n v="120"/>
    <n v="0.2857142857142857"/>
    <m/>
    <m/>
    <s v="Sim"/>
    <m/>
  </r>
  <r>
    <n v="313"/>
    <s v="PVP"/>
    <s v="Rua Lurdes de Lima Manito, 191"/>
    <n v="-29.994019059999999"/>
    <n v="-50.182366569999999"/>
    <x v="2"/>
    <s v="-"/>
    <x v="1"/>
    <s v="Vapor de sódio"/>
    <n v="70"/>
    <n v="14"/>
    <n v="0"/>
    <n v="140"/>
    <n v="2"/>
    <n v="3"/>
    <n v="7"/>
    <m/>
    <m/>
    <n v="0"/>
    <n v="2"/>
    <n v="0"/>
    <n v="0"/>
    <n v="0"/>
    <n v="0"/>
    <n v="0"/>
    <s v="Unilateral"/>
    <s v="Braço"/>
    <n v="33.1"/>
    <n v="7.5"/>
    <n v="1"/>
    <n v="1.5"/>
    <n v="1.3"/>
    <n v="-0.19999999999999996"/>
    <s v="-"/>
    <s v="-"/>
    <s v="Não"/>
    <n v="2"/>
    <n v="0"/>
    <n v="0"/>
    <n v="0"/>
    <n v="0"/>
    <n v="0"/>
    <s v="-"/>
    <n v="0"/>
    <m/>
    <n v="10"/>
    <n v="0.18"/>
    <s v="-"/>
    <n v="0.18"/>
    <s v="-"/>
    <n v="16"/>
    <s v="ATENDE"/>
    <n v="5.600000000000005E-2"/>
    <n v="1.6111111111111112"/>
    <s v="-"/>
    <n v="10.56"/>
    <n v="0.47"/>
    <m/>
    <m/>
    <m/>
    <m/>
    <s v="ATENDE"/>
    <s v="ATENDE"/>
    <s v="ATENDE"/>
    <s v="ATENDE"/>
    <s v="C4"/>
    <s v="P6"/>
    <n v="2.5166666666666671"/>
    <n v="10.55"/>
    <n v="5.12"/>
    <n v="3"/>
    <n v="0.6"/>
    <s v="ATENDE"/>
    <s v="ATENDE"/>
    <s v="ATENDE"/>
    <s v="P6"/>
    <n v="0.29000000000000004"/>
    <n v="3.87"/>
    <n v="2.29"/>
    <n v="3"/>
    <n v="0.6"/>
    <s v="ATENDE"/>
    <s v="ATENDE"/>
    <s v="ATENDE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m/>
    <s v=""/>
    <s v=""/>
    <m/>
    <m/>
    <m/>
    <m/>
    <m/>
    <m/>
    <n v="40"/>
    <n v="70"/>
    <n v="110"/>
    <n v="0.4285714285714286"/>
    <m/>
    <m/>
    <s v="Sim"/>
    <m/>
  </r>
  <r>
    <n v="314"/>
    <s v="PVP"/>
    <s v="Rua Angelica Diehl, 721"/>
    <n v="-30.011972310000001"/>
    <n v="-50.167095580000002"/>
    <x v="1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3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3866666666666658"/>
    <n v="1.2222222222222223"/>
    <s v="-"/>
    <n v="9.2899999999999991"/>
    <n v="0.4"/>
    <m/>
    <m/>
    <m/>
    <m/>
    <s v="ATENDE"/>
    <s v="ATENDE"/>
    <s v="ATENDE"/>
    <s v="ATENDE"/>
    <s v="C5"/>
    <s v="P6"/>
    <n v="1.3366666666666664"/>
    <n v="7.01"/>
    <n v="2.42"/>
    <n v="3"/>
    <n v="0.6"/>
    <s v="ATENDE"/>
    <s v="ATENDE"/>
    <s v="ATENDE"/>
    <s v="P6"/>
    <n v="0.68333333333333335"/>
    <n v="5.05"/>
    <n v="2.25"/>
    <n v="3"/>
    <n v="0.6"/>
    <s v="ATENDE"/>
    <s v="ATENDE"/>
    <s v="ATENDE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14"/>
    <s v="PVP"/>
    <s v="Rua Angelica Diehl, 721"/>
    <n v="-30.011972310000001"/>
    <n v="-50.167095580000002"/>
    <x v="1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3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333333333333313"/>
    <n v="1.3888888888888888"/>
    <s v="-"/>
    <n v="8.9499999999999993"/>
    <n v="0.43"/>
    <m/>
    <m/>
    <m/>
    <m/>
    <s v="ATENDE"/>
    <s v="ATENDE"/>
    <s v="ATENDE"/>
    <s v="ATENDE"/>
    <s v="C5"/>
    <s v="P6"/>
    <n v="1.1133333333333333"/>
    <n v="6.34"/>
    <n v="1.44"/>
    <n v="3"/>
    <n v="0.6"/>
    <s v="ATENDE"/>
    <s v="ATENDE"/>
    <s v="ATENDE"/>
    <s v="P6"/>
    <n v="0.36333333333333329"/>
    <n v="4.09"/>
    <n v="1.98"/>
    <n v="3"/>
    <n v="0.6"/>
    <s v="ATENDE"/>
    <s v="ATENDE"/>
    <s v="ATENDE"/>
    <x v="1"/>
    <s v="SX-INEVO030HF"/>
    <s v="SXINEVO030K40L12CZF7PHF"/>
    <m/>
    <e v="#N/A"/>
    <n v="1"/>
    <n v="31"/>
    <e v="#N/A"/>
    <n v="5270"/>
    <n v="0"/>
    <n v="0"/>
    <m/>
    <s v="Curto II"/>
    <m/>
    <s v=""/>
    <s v=""/>
    <m/>
    <m/>
    <m/>
    <m/>
    <m/>
    <m/>
    <n v="31"/>
    <n v="100"/>
    <n v="131"/>
    <n v="0.69"/>
    <m/>
    <m/>
    <s v="Sim"/>
    <m/>
  </r>
  <r>
    <n v="314"/>
    <s v="PVP"/>
    <s v="Rua Angelica Diehl, 721"/>
    <n v="-30.011972310000001"/>
    <n v="-50.167095580000002"/>
    <x v="1"/>
    <s v="-"/>
    <x v="1"/>
    <s v="Vapor de sódio"/>
    <n v="100"/>
    <n v="17"/>
    <n v="0"/>
    <n v="200"/>
    <n v="2"/>
    <n v="3"/>
    <n v="7"/>
    <m/>
    <m/>
    <n v="0"/>
    <n v="3"/>
    <n v="0"/>
    <n v="0"/>
    <n v="0"/>
    <n v="0"/>
    <n v="0"/>
    <s v="Unilateral"/>
    <s v="Braço"/>
    <n v="33.700000000000003"/>
    <n v="7"/>
    <n v="1"/>
    <n v="0.3"/>
    <n v="1.3"/>
    <n v="1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7733333333333334"/>
    <n v="1.8333333333333335"/>
    <s v="-"/>
    <n v="8.83"/>
    <n v="0.51"/>
    <m/>
    <m/>
    <m/>
    <m/>
    <s v="ATENDE"/>
    <s v="ATENDE"/>
    <s v="ATENDE"/>
    <s v="ATENDE"/>
    <s v="C5"/>
    <s v="P6"/>
    <n v="1.1466666666666669"/>
    <n v="6.44"/>
    <n v="2.76"/>
    <n v="3"/>
    <n v="0.6"/>
    <s v="ATENDE"/>
    <s v="ATENDE"/>
    <s v="ATENDE"/>
    <s v="P6"/>
    <n v="0.28666666666666663"/>
    <n v="3.86"/>
    <n v="2.42"/>
    <n v="3"/>
    <n v="0.6"/>
    <s v="ATENDE"/>
    <s v="ATENDE"/>
    <s v="ATENDE"/>
    <x v="2"/>
    <s v="SIGSAGPTLRRSSNDL_30W_38IBBRS_x000a_"/>
    <s v="SIGSAGPTLRRSSNDL_30W_38IBBRS_x000a_1-10C1MUN6.5"/>
    <m/>
    <e v="#N/A"/>
    <n v="1"/>
    <n v="30"/>
    <n v="0"/>
    <n v="5266"/>
    <n v="0"/>
    <n v="0"/>
    <m/>
    <s v="Curto II"/>
    <m/>
    <s v=""/>
    <s v=""/>
    <m/>
    <m/>
    <m/>
    <m/>
    <m/>
    <m/>
    <n v="30"/>
    <n v="100"/>
    <n v="130"/>
    <n v="0.7"/>
    <m/>
    <m/>
    <s v="Sim"/>
    <m/>
  </r>
  <r>
    <n v="315"/>
    <s v="V"/>
    <s v="Rua Santo Cristo, 173"/>
    <n v="-30.057143669999999"/>
    <n v="-50.160398919999999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5.70000000000000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266666666666668"/>
    <n v="1.2777777777777777"/>
    <s v="-"/>
    <n v="8.27"/>
    <n v="0.41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100"/>
    <n v="135"/>
    <n v="0.65"/>
    <m/>
    <m/>
    <s v="Sim"/>
    <m/>
  </r>
  <r>
    <n v="315"/>
    <s v="V"/>
    <s v="Rua Santo Cristo, 173"/>
    <n v="-30.057143669999999"/>
    <n v="-50.160398919999999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5.70000000000000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6.4000000000000057E-2"/>
    <n v="1.5"/>
    <s v="-"/>
    <n v="7.98"/>
    <n v="0.45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n v="0"/>
    <n v="1"/>
    <n v="31"/>
    <e v="#N/A"/>
    <n v="5270"/>
    <e v="#N/A"/>
    <n v="0"/>
    <m/>
    <s v="Curto II"/>
    <m/>
    <s v=""/>
    <s v=""/>
    <m/>
    <m/>
    <m/>
    <m/>
    <m/>
    <m/>
    <n v="31"/>
    <n v="100"/>
    <n v="131"/>
    <n v="0.69"/>
    <m/>
    <m/>
    <s v="Sim"/>
    <m/>
  </r>
  <r>
    <n v="315"/>
    <s v="V"/>
    <s v="Rua Santo Cristo, 173"/>
    <n v="-30.057143669999999"/>
    <n v="-50.160398919999999"/>
    <x v="1"/>
    <s v="-"/>
    <x v="2"/>
    <s v="Vapor de sódio"/>
    <n v="100"/>
    <n v="17"/>
    <n v="0"/>
    <n v="200"/>
    <n v="2"/>
    <n v="0"/>
    <n v="7"/>
    <m/>
    <m/>
    <n v="0"/>
    <n v="0"/>
    <n v="0"/>
    <n v="0"/>
    <n v="0"/>
    <n v="0"/>
    <n v="0"/>
    <s v="Unilateral"/>
    <s v="Braço"/>
    <n v="35.700000000000003"/>
    <n v="7.5"/>
    <n v="1"/>
    <n v="0.4"/>
    <n v="1.3"/>
    <n v="0.9"/>
    <s v="-"/>
    <s v="-"/>
    <s v="Não"/>
    <n v="2"/>
    <n v="0"/>
    <n v="0"/>
    <n v="0"/>
    <n v="0"/>
    <n v="0"/>
    <s v="-"/>
    <n v="0"/>
    <m/>
    <n v="7.5"/>
    <n v="0.18"/>
    <s v="-"/>
    <n v="0.18"/>
    <s v="-"/>
    <n v="16"/>
    <s v="ATENDE"/>
    <n v="5.4666666666666641E-2"/>
    <n v="1.8888888888888893"/>
    <s v="-"/>
    <n v="7.91"/>
    <n v="0.52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1"/>
    <n v="30"/>
    <e v="#N/A"/>
    <n v="5266"/>
    <e v="#N/A"/>
    <n v="0"/>
    <m/>
    <s v="Curto II"/>
    <m/>
    <s v=""/>
    <s v=""/>
    <m/>
    <m/>
    <m/>
    <m/>
    <m/>
    <m/>
    <n v="30"/>
    <n v="100"/>
    <n v="130"/>
    <n v="0.7"/>
    <m/>
    <m/>
    <s v="Sim"/>
    <m/>
  </r>
  <r>
    <n v="316"/>
    <s v="PVP"/>
    <s v="Rua Sao Francisco de Assis, 537"/>
    <n v="-30.05458672"/>
    <n v="-50.162341670000004"/>
    <x v="2"/>
    <s v="-"/>
    <x v="1"/>
    <s v="Vapor de sódio"/>
    <n v="150"/>
    <n v="22"/>
    <n v="0"/>
    <n v="300"/>
    <n v="2"/>
    <n v="2.5"/>
    <n v="7"/>
    <m/>
    <m/>
    <n v="0"/>
    <n v="1.5"/>
    <n v="0"/>
    <n v="0"/>
    <n v="0"/>
    <n v="0"/>
    <n v="3"/>
    <s v="Unilateral"/>
    <s v="Braço"/>
    <n v="29.2"/>
    <n v="8"/>
    <n v="1"/>
    <n v="0.5"/>
    <n v="1.3"/>
    <n v="0.8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3800000000000012"/>
    <n v="2.1111111111111116"/>
    <s v="-"/>
    <n v="11.38"/>
    <n v="0.56000000000000005"/>
    <m/>
    <m/>
    <m/>
    <m/>
    <s v="ATENDE"/>
    <s v="ATENDE"/>
    <s v="ATENDE"/>
    <s v="ATENDE"/>
    <s v="C4"/>
    <s v="P6"/>
    <n v="2.2933333333333334"/>
    <n v="9.8800000000000008"/>
    <n v="5.25"/>
    <n v="3"/>
    <n v="0.6"/>
    <s v="ATENDE"/>
    <s v="ATENDE"/>
    <s v="ATENDE"/>
    <s v="-"/>
    <e v="#VALUE!"/>
    <n v="4.83"/>
    <n v="3.45"/>
    <s v="-"/>
    <s v="-"/>
    <s v="-"/>
    <s v="-"/>
    <s v="-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50"/>
    <n v="194"/>
    <n v="0.70666666666666667"/>
    <m/>
    <m/>
    <s v="Sim"/>
    <m/>
  </r>
  <r>
    <n v="316"/>
    <s v="PVP"/>
    <s v="Rua Sao Francisco de Assis, 537"/>
    <n v="-30.05458672"/>
    <n v="-50.162341670000004"/>
    <x v="2"/>
    <s v="-"/>
    <x v="1"/>
    <s v="Vapor de sódio"/>
    <n v="150"/>
    <n v="22"/>
    <n v="0"/>
    <n v="300"/>
    <n v="2"/>
    <n v="2.5"/>
    <n v="7"/>
    <m/>
    <m/>
    <n v="0"/>
    <n v="1.5"/>
    <n v="0"/>
    <n v="0"/>
    <n v="0"/>
    <n v="0"/>
    <n v="3"/>
    <s v="Unilateral"/>
    <s v="Braço"/>
    <n v="29.2"/>
    <n v="8"/>
    <n v="1"/>
    <n v="0.5"/>
    <n v="1.3"/>
    <n v="0.8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8.2000000000000073E-2"/>
    <n v="2.9444444444444442"/>
    <s v="-"/>
    <n v="10.82"/>
    <n v="0.71"/>
    <m/>
    <m/>
    <m/>
    <m/>
    <s v="ATENDE"/>
    <s v="ATENDE"/>
    <s v="ATENDE"/>
    <s v="ATENDE"/>
    <s v="C4"/>
    <s v="P6"/>
    <n v="2.15"/>
    <n v="9.4499999999999993"/>
    <n v="5.81"/>
    <n v="3"/>
    <n v="0.6"/>
    <s v="ATENDE"/>
    <s v="ATENDE"/>
    <s v="ATENDE"/>
    <s v="-"/>
    <e v="#VALUE!"/>
    <n v="3.3"/>
    <n v="1.9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150"/>
    <n v="189"/>
    <n v="0.74"/>
    <m/>
    <m/>
    <s v="Sim"/>
    <m/>
  </r>
  <r>
    <n v="316"/>
    <s v="PVP"/>
    <s v="Rua Sao Francisco de Assis, 537"/>
    <n v="-30.05458672"/>
    <n v="-50.162341670000004"/>
    <x v="2"/>
    <s v="-"/>
    <x v="1"/>
    <s v="Vapor de sódio"/>
    <n v="150"/>
    <n v="22"/>
    <n v="0"/>
    <n v="300"/>
    <n v="2"/>
    <n v="2.5"/>
    <n v="7"/>
    <m/>
    <m/>
    <n v="0"/>
    <n v="1.5"/>
    <n v="0"/>
    <n v="0"/>
    <n v="0"/>
    <n v="0"/>
    <n v="3"/>
    <s v="Unilateral"/>
    <s v="Braço"/>
    <n v="29.2"/>
    <n v="8"/>
    <n v="1"/>
    <n v="0.5"/>
    <n v="1.3"/>
    <n v="0.8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1700000000000008"/>
    <n v="2.9444444444444442"/>
    <s v="-"/>
    <n v="12.17"/>
    <n v="0.71"/>
    <m/>
    <m/>
    <m/>
    <m/>
    <s v="ATENDE"/>
    <s v="ATENDE"/>
    <s v="ATENDE"/>
    <s v="ATENDE"/>
    <s v="C4"/>
    <s v="P6"/>
    <n v="2.0399999999999996"/>
    <n v="9.1199999999999992"/>
    <n v="6.08"/>
    <n v="3"/>
    <n v="0.6"/>
    <s v="ATENDE"/>
    <s v="ATENDE"/>
    <s v="ATENDE"/>
    <s v="-"/>
    <e v="#VALUE!"/>
    <n v="3.81"/>
    <n v="2.9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n v="5"/>
    <s v="Curto II"/>
    <m/>
    <s v=""/>
    <s v=""/>
    <m/>
    <m/>
    <m/>
    <m/>
    <m/>
    <m/>
    <n v="40"/>
    <n v="150"/>
    <n v="190"/>
    <n v="0.73333333333333339"/>
    <m/>
    <m/>
    <s v="Sim"/>
    <m/>
  </r>
  <r>
    <n v="317"/>
    <s v="PVP"/>
    <s v="Rua Sidnei Ferri, 837"/>
    <n v="-30.009484199999999"/>
    <n v="-50.173273350000002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7.5"/>
    <n v="6.1"/>
    <n v="1"/>
    <n v="0.6"/>
    <n v="1.4"/>
    <n v="0.79999999999999993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21999999999999997"/>
    <n v="5.555555555555558E-2"/>
    <s v="-"/>
    <n v="9.15"/>
    <n v="0.19"/>
    <m/>
    <m/>
    <m/>
    <m/>
    <s v="ATENDE"/>
    <s v="ATENDE"/>
    <s v="ATENDE"/>
    <s v="ATENDE"/>
    <s v="C5"/>
    <s v="P6"/>
    <n v="1.4833333333333334"/>
    <n v="7.45"/>
    <n v="0.97"/>
    <n v="3"/>
    <n v="0.6"/>
    <s v="ATENDE"/>
    <s v="ATENDE"/>
    <s v="ATENDE"/>
    <s v="-"/>
    <e v="#VALUE!"/>
    <n v="3.87"/>
    <n v="0.94"/>
    <s v="-"/>
    <s v="-"/>
    <s v="-"/>
    <s v="-"/>
    <s v="-"/>
    <x v="0"/>
    <s v=" SL VT 9.1 35W"/>
    <s v="LUM LED SL VT 9.1 35W"/>
    <m/>
    <e v="#N/A"/>
    <n v="1"/>
    <n v="35"/>
    <n v="0"/>
    <n v="5955.62"/>
    <n v="0"/>
    <n v="0"/>
    <m/>
    <s v="Curto II"/>
    <m/>
    <s v=""/>
    <s v=""/>
    <m/>
    <m/>
    <m/>
    <m/>
    <m/>
    <m/>
    <n v="35"/>
    <n v="70"/>
    <n v="105"/>
    <n v="0.5"/>
    <m/>
    <m/>
    <s v="Sim"/>
    <m/>
  </r>
  <r>
    <n v="317"/>
    <s v="PVP"/>
    <s v="Rua Sidnei Ferri, 837"/>
    <n v="-30.009484199999999"/>
    <n v="-50.173273350000002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7.5"/>
    <n v="6.1"/>
    <n v="1"/>
    <n v="0.6"/>
    <n v="1.4"/>
    <n v="0.79999999999999993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37333333333333352"/>
    <n v="0.22222222222222232"/>
    <s v="-"/>
    <n v="10.3"/>
    <n v="0.22"/>
    <m/>
    <m/>
    <m/>
    <m/>
    <s v="ATENDE"/>
    <s v="ATENDE"/>
    <s v="ATENDE"/>
    <s v="ATENDE"/>
    <s v="C5"/>
    <s v="P6"/>
    <n v="1.8766666666666669"/>
    <n v="8.6300000000000008"/>
    <n v="0.97"/>
    <n v="3"/>
    <n v="0.6"/>
    <s v="ATENDE"/>
    <s v="ATENDE"/>
    <s v="ATENDE"/>
    <s v="-"/>
    <e v="#VALUE!"/>
    <n v="3.65"/>
    <n v="1.1299999999999999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m/>
    <s v="Curto II"/>
    <m/>
    <s v=""/>
    <s v=""/>
    <m/>
    <m/>
    <m/>
    <m/>
    <m/>
    <m/>
    <n v="39"/>
    <n v="70"/>
    <n v="109"/>
    <n v="0.44285714285714284"/>
    <m/>
    <m/>
    <s v="Sim"/>
    <m/>
  </r>
  <r>
    <n v="317"/>
    <s v="PVP"/>
    <s v="Rua Sidnei Ferri, 837"/>
    <n v="-30.009484199999999"/>
    <n v="-50.173273350000002"/>
    <x v="1"/>
    <s v="-"/>
    <x v="1"/>
    <s v="Vapor de sódio"/>
    <n v="70"/>
    <n v="14"/>
    <n v="0"/>
    <n v="140"/>
    <n v="2"/>
    <n v="2.5"/>
    <n v="7"/>
    <m/>
    <m/>
    <n v="0"/>
    <n v="2.5"/>
    <n v="0"/>
    <n v="0"/>
    <n v="0"/>
    <n v="0"/>
    <n v="0"/>
    <s v="Unilateral"/>
    <s v="Braço"/>
    <n v="37.5"/>
    <n v="6.1"/>
    <n v="1"/>
    <n v="0.6"/>
    <n v="1.4"/>
    <n v="0.79999999999999993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4133333333333331"/>
    <n v="0"/>
    <s v="-"/>
    <n v="8.56"/>
    <n v="0.18"/>
    <m/>
    <m/>
    <m/>
    <m/>
    <s v="ATENDE"/>
    <s v="ATENDE"/>
    <s v="ATENDE"/>
    <s v="ATENDE"/>
    <s v="C5"/>
    <s v="P6"/>
    <n v="1.2033333333333336"/>
    <n v="6.61"/>
    <n v="0.9"/>
    <n v="3"/>
    <n v="0.6"/>
    <s v="ATENDE"/>
    <s v="ATENDE"/>
    <s v="ATENDE"/>
    <s v="-"/>
    <e v="#VALUE!"/>
    <n v="3.16"/>
    <n v="1.23"/>
    <s v="-"/>
    <s v="-"/>
    <s v="-"/>
    <s v="-"/>
    <s v="-"/>
    <x v="2"/>
    <s v="SIGSAGPTLRRSSNDL_30W_38IBBRS_x000a_"/>
    <s v="SIGSAGPTLRRSSNDL_30W_38IBBRS_x000a_1-10C1MUN6.5"/>
    <m/>
    <e v="#N/A"/>
    <n v="1"/>
    <n v="30"/>
    <n v="0"/>
    <n v="5266"/>
    <n v="0"/>
    <n v="0"/>
    <n v="2"/>
    <s v="Curto II"/>
    <m/>
    <s v=""/>
    <s v=""/>
    <m/>
    <m/>
    <m/>
    <m/>
    <m/>
    <m/>
    <n v="30"/>
    <n v="70"/>
    <n v="100"/>
    <n v="0.5714285714285714"/>
    <m/>
    <m/>
    <s v="Sim"/>
    <m/>
  </r>
  <r>
    <n v="318"/>
    <s v="V"/>
    <s v="Rua Manoel da Silva Mendes, 1074"/>
    <n v="-29.999595450000001"/>
    <n v="-50.180046769999997"/>
    <x v="1"/>
    <s v="-"/>
    <x v="2"/>
    <s v="Vapor de sódio"/>
    <n v="150"/>
    <n v="22"/>
    <n v="0"/>
    <n v="600"/>
    <n v="2"/>
    <n v="0"/>
    <n v="6"/>
    <m/>
    <m/>
    <n v="0"/>
    <n v="0"/>
    <n v="0"/>
    <n v="0"/>
    <n v="0"/>
    <n v="0"/>
    <n v="0"/>
    <s v="Unilateral"/>
    <s v="Braço"/>
    <n v="28.8"/>
    <n v="7.5"/>
    <n v="2"/>
    <n v="0.8"/>
    <n v="1.5"/>
    <n v="0.7"/>
    <m/>
    <m/>
    <s v="Não"/>
    <n v="4"/>
    <n v="0"/>
    <n v="0"/>
    <n v="0"/>
    <n v="0"/>
    <n v="0"/>
    <s v="-"/>
    <n v="0"/>
    <m/>
    <n v="7.5"/>
    <n v="0.18"/>
    <s v="-"/>
    <n v="0.18"/>
    <s v="-"/>
    <n v="16"/>
    <s v="ATENDE"/>
    <n v="8.666666666666667E-2"/>
    <n v="1.9444444444444446"/>
    <s v="-"/>
    <n v="8.15"/>
    <n v="0.53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0"/>
    <s v=" SL VT 9.1 28W"/>
    <s v="LUM LED SL VT 9.1 28W"/>
    <m/>
    <e v="#N/A"/>
    <n v="2"/>
    <n v="28"/>
    <e v="#N/A"/>
    <n v="4927.3500000000004"/>
    <n v="0"/>
    <n v="0"/>
    <m/>
    <s v="Curto II"/>
    <m/>
    <s v=""/>
    <s v=""/>
    <m/>
    <m/>
    <m/>
    <m/>
    <m/>
    <m/>
    <n v="28"/>
    <n v="150"/>
    <n v="356"/>
    <n v="0.81333333333333335"/>
    <m/>
    <m/>
    <s v="Sim"/>
    <m/>
  </r>
  <r>
    <n v="318"/>
    <s v="V"/>
    <s v="Rua Manoel da Silva Mendes, 1074"/>
    <n v="-29.999595450000001"/>
    <n v="-50.180046769999997"/>
    <x v="1"/>
    <s v="-"/>
    <x v="2"/>
    <s v="Vapor de sódio"/>
    <n v="150"/>
    <n v="22"/>
    <n v="0"/>
    <n v="600"/>
    <n v="2"/>
    <n v="0"/>
    <n v="6"/>
    <m/>
    <m/>
    <n v="0"/>
    <n v="0"/>
    <n v="0"/>
    <n v="0"/>
    <n v="0"/>
    <n v="0"/>
    <n v="0"/>
    <s v="Unilateral"/>
    <s v="Braço"/>
    <n v="28.8"/>
    <n v="7.5"/>
    <n v="2"/>
    <n v="0.8"/>
    <n v="1.5"/>
    <n v="0.7"/>
    <m/>
    <m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5333333333333328"/>
    <n v="3.1111111111111116"/>
    <s v="-"/>
    <n v="10.15"/>
    <n v="0.74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1"/>
    <s v="SX-INEVO030HF"/>
    <s v="SXINEVO030K40L12CZF7PHF"/>
    <m/>
    <e v="#N/A"/>
    <n v="2"/>
    <n v="31"/>
    <n v="0"/>
    <n v="5270"/>
    <n v="0"/>
    <n v="0"/>
    <m/>
    <s v="Curto II"/>
    <m/>
    <s v=""/>
    <s v=""/>
    <m/>
    <m/>
    <m/>
    <m/>
    <m/>
    <m/>
    <n v="31"/>
    <n v="150"/>
    <n v="362"/>
    <n v="0.79333333333333333"/>
    <m/>
    <m/>
    <s v="Sim"/>
    <m/>
  </r>
  <r>
    <n v="318"/>
    <s v="V"/>
    <s v="Rua Manoel da Silva Mendes, 1074"/>
    <n v="-29.999595450000001"/>
    <n v="-50.180046769999997"/>
    <x v="1"/>
    <s v="-"/>
    <x v="2"/>
    <s v="Vapor de sódio"/>
    <n v="150"/>
    <n v="22"/>
    <n v="0"/>
    <n v="600"/>
    <n v="2"/>
    <n v="0"/>
    <n v="6"/>
    <m/>
    <m/>
    <n v="0"/>
    <n v="0"/>
    <n v="0"/>
    <n v="0"/>
    <n v="0"/>
    <n v="0"/>
    <n v="0"/>
    <s v="Unilateral"/>
    <s v="Braço"/>
    <n v="28.8"/>
    <n v="7.5"/>
    <n v="2"/>
    <n v="0.8"/>
    <n v="1.5"/>
    <n v="0.7"/>
    <m/>
    <m/>
    <s v="Não"/>
    <n v="4"/>
    <n v="0"/>
    <n v="0"/>
    <n v="0"/>
    <n v="0"/>
    <n v="0"/>
    <s v="-"/>
    <n v="0"/>
    <m/>
    <n v="7.5"/>
    <n v="0.18"/>
    <s v="-"/>
    <n v="0.18"/>
    <s v="-"/>
    <n v="16"/>
    <s v="ATENDE"/>
    <n v="0.35333333333333328"/>
    <n v="2.8888888888888888"/>
    <s v="-"/>
    <n v="10.15"/>
    <n v="0.7"/>
    <m/>
    <m/>
    <m/>
    <m/>
    <s v="ATENDE"/>
    <s v="ATENDE"/>
    <s v="ATENDE"/>
    <s v="ATENDE"/>
    <s v="C5"/>
    <s v="-"/>
    <e v="#VALUE!"/>
    <m/>
    <m/>
    <s v="-"/>
    <s v="-"/>
    <s v="-"/>
    <s v="-"/>
    <s v="-"/>
    <s v="-"/>
    <e v="#VALUE!"/>
    <m/>
    <m/>
    <s v="-"/>
    <s v="-"/>
    <s v="-"/>
    <s v="-"/>
    <s v="-"/>
    <x v="2"/>
    <s v="SIGSAGPTLRRSSNDL_30W_38IBBRS_x000a_"/>
    <s v="SIGSAGPTLRRSSNDL_30W_38IBBRS_x000a_1-10C1MUN6.5"/>
    <m/>
    <e v="#N/A"/>
    <n v="2"/>
    <n v="30"/>
    <n v="0"/>
    <n v="5266"/>
    <n v="0"/>
    <n v="0"/>
    <m/>
    <s v="Curto II"/>
    <m/>
    <s v=""/>
    <s v=""/>
    <m/>
    <m/>
    <m/>
    <m/>
    <m/>
    <m/>
    <n v="30"/>
    <n v="150"/>
    <n v="360"/>
    <n v="0.8"/>
    <m/>
    <m/>
    <s v="Sim"/>
    <m/>
  </r>
  <r>
    <n v="319"/>
    <s v="VP"/>
    <s v="Avenida Central, 443"/>
    <n v="-30.055220670000001"/>
    <n v="-50.160000340000003"/>
    <x v="4"/>
    <s v="-"/>
    <x v="1"/>
    <s v="LED"/>
    <n v="99"/>
    <n v="0"/>
    <n v="0"/>
    <n v="396"/>
    <n v="2"/>
    <n v="0"/>
    <n v="6.5"/>
    <m/>
    <m/>
    <n v="0"/>
    <n v="4.5"/>
    <n v="7"/>
    <n v="0"/>
    <n v="0"/>
    <n v="0"/>
    <n v="0"/>
    <s v="Canteiro central"/>
    <s v="Braço"/>
    <n v="20.7"/>
    <n v="7.5"/>
    <n v="2"/>
    <n v="3.5"/>
    <n v="2.5"/>
    <n v="-1"/>
    <m/>
    <m/>
    <s v="Não"/>
    <n v="4"/>
    <n v="0"/>
    <n v="0"/>
    <n v="0"/>
    <n v="0"/>
    <n v="0"/>
    <s v="-"/>
    <n v="0"/>
    <m/>
    <n v="15"/>
    <n v="0.18"/>
    <s v="-"/>
    <n v="0.18"/>
    <s v="-"/>
    <n v="15"/>
    <s v="ATENDE"/>
    <n v="2.4000000000000021E-2"/>
    <n v="2.3333333333333335"/>
    <s v="-"/>
    <n v="15.36"/>
    <n v="0.6"/>
    <m/>
    <m/>
    <m/>
    <m/>
    <s v="ATENDE"/>
    <s v="ATENDE"/>
    <s v="ATENDE"/>
    <s v="ATENDE"/>
    <s v="C3"/>
    <s v="-"/>
    <e v="#VALUE!"/>
    <m/>
    <m/>
    <s v="-"/>
    <s v="-"/>
    <s v="-"/>
    <s v="-"/>
    <s v="-"/>
    <s v="P6"/>
    <n v="4.7233333333333336"/>
    <n v="17.170000000000002"/>
    <n v="12.46"/>
    <n v="3"/>
    <n v="0.6"/>
    <s v="ATENDE"/>
    <s v="ATENDE"/>
    <s v="ATENDE"/>
    <x v="0"/>
    <s v=" SL VT 9.1 35W"/>
    <s v="LUM LED SL VT 9.1 35W"/>
    <m/>
    <e v="#N/A"/>
    <n v="2"/>
    <n v="35"/>
    <n v="0"/>
    <n v="5955.62"/>
    <n v="0"/>
    <n v="0"/>
    <m/>
    <s v="Médio II"/>
    <m/>
    <s v=""/>
    <s v=""/>
    <m/>
    <m/>
    <m/>
    <m/>
    <m/>
    <m/>
    <n v="35"/>
    <n v="99"/>
    <n v="268"/>
    <n v="0.64646464646464641"/>
    <m/>
    <m/>
    <s v="Sim"/>
    <m/>
  </r>
  <r>
    <n v="319"/>
    <s v="VP"/>
    <s v="Avenida Central, 443"/>
    <n v="-30.055220670000001"/>
    <n v="-50.160000340000003"/>
    <x v="4"/>
    <s v="-"/>
    <x v="1"/>
    <s v="LED"/>
    <n v="99"/>
    <n v="0"/>
    <n v="0"/>
    <n v="396"/>
    <n v="2"/>
    <n v="0"/>
    <n v="6.5"/>
    <m/>
    <m/>
    <n v="0"/>
    <n v="4.5"/>
    <n v="7"/>
    <n v="0"/>
    <n v="0"/>
    <n v="0"/>
    <n v="0"/>
    <s v="Canteiro central"/>
    <s v="Braço"/>
    <n v="20.7"/>
    <n v="7.5"/>
    <n v="2"/>
    <n v="3.5"/>
    <n v="2.5"/>
    <n v="-1"/>
    <m/>
    <m/>
    <s v="Não"/>
    <n v="4"/>
    <n v="0"/>
    <n v="0"/>
    <n v="0"/>
    <n v="0"/>
    <n v="0"/>
    <s v="-"/>
    <n v="0"/>
    <m/>
    <n v="15"/>
    <n v="0.18"/>
    <s v="-"/>
    <n v="0.18"/>
    <s v="-"/>
    <n v="15"/>
    <s v="ATENDE"/>
    <n v="0.1246666666666667"/>
    <n v="2.6111111111111112"/>
    <s v="-"/>
    <n v="16.87"/>
    <n v="0.65"/>
    <m/>
    <m/>
    <m/>
    <m/>
    <s v="ATENDE"/>
    <s v="ATENDE"/>
    <s v="ATENDE"/>
    <s v="ATENDE"/>
    <s v="C3"/>
    <s v="-"/>
    <e v="#VALUE!"/>
    <m/>
    <m/>
    <s v="-"/>
    <s v="-"/>
    <s v="-"/>
    <s v="-"/>
    <s v="-"/>
    <s v="P6"/>
    <n v="5.32"/>
    <n v="18.96"/>
    <n v="15.05"/>
    <n v="3"/>
    <n v="0.6"/>
    <s v="ATENDE"/>
    <s v="ATENDE"/>
    <s v="ATENDE"/>
    <x v="1"/>
    <s v="SX-INEVO040HF"/>
    <s v="SXINEVO040K40L12CZF7PHF"/>
    <m/>
    <e v="#N/A"/>
    <n v="2"/>
    <n v="39"/>
    <e v="#N/A"/>
    <n v="6552"/>
    <e v="#N/A"/>
    <n v="0"/>
    <m/>
    <s v="Médio II"/>
    <m/>
    <s v=""/>
    <s v=""/>
    <m/>
    <m/>
    <m/>
    <m/>
    <m/>
    <m/>
    <n v="39"/>
    <n v="99"/>
    <n v="276"/>
    <n v="0.60606060606060608"/>
    <m/>
    <m/>
    <s v="Sim"/>
    <m/>
  </r>
  <r>
    <n v="319"/>
    <s v="VP"/>
    <s v="Avenida Central, 443"/>
    <n v="-30.055220670000001"/>
    <n v="-50.160000340000003"/>
    <x v="4"/>
    <s v="-"/>
    <x v="1"/>
    <s v="LED"/>
    <n v="99"/>
    <n v="0"/>
    <n v="0"/>
    <n v="396"/>
    <n v="2"/>
    <n v="0"/>
    <n v="6.5"/>
    <m/>
    <m/>
    <n v="0"/>
    <n v="4.5"/>
    <n v="7"/>
    <n v="0"/>
    <n v="0"/>
    <n v="0"/>
    <n v="0"/>
    <s v="Canteiro central"/>
    <s v="Braço"/>
    <n v="20.7"/>
    <n v="7.5"/>
    <n v="2"/>
    <n v="3.5"/>
    <n v="2.5"/>
    <n v="-1"/>
    <m/>
    <m/>
    <s v="Não"/>
    <n v="4"/>
    <n v="0"/>
    <n v="0"/>
    <n v="0"/>
    <n v="0"/>
    <n v="0"/>
    <s v="-"/>
    <n v="0"/>
    <m/>
    <n v="15"/>
    <n v="0.18"/>
    <s v="-"/>
    <n v="0.18"/>
    <s v="-"/>
    <n v="15"/>
    <s v="ATENDE"/>
    <n v="0.2546666666666666"/>
    <n v="1.8333333333333335"/>
    <s v="-"/>
    <n v="18.82"/>
    <n v="0.51"/>
    <m/>
    <m/>
    <m/>
    <m/>
    <s v="ATENDE"/>
    <s v="ATENDE"/>
    <s v="ATENDE"/>
    <s v="ATENDE"/>
    <s v="C3"/>
    <s v="-"/>
    <e v="#VALUE!"/>
    <m/>
    <m/>
    <s v="-"/>
    <s v="-"/>
    <s v="-"/>
    <s v="-"/>
    <s v="-"/>
    <s v="P6"/>
    <n v="6.3299999999999992"/>
    <n v="21.99"/>
    <n v="17.03"/>
    <n v="3"/>
    <n v="0.6"/>
    <s v="ATENDE"/>
    <s v="ATENDE"/>
    <s v="ATENDE"/>
    <x v="2"/>
    <s v="SIGSAGPTLRRSSNDL_40W_50IBBRS_x000a_"/>
    <s v="SIGSAGPTLRRSSNDL_40W_50IBBRS_x000a_1-10C1MUN6.5"/>
    <m/>
    <e v="#N/A"/>
    <n v="2"/>
    <n v="40"/>
    <e v="#N/A"/>
    <n v="6641"/>
    <e v="#N/A"/>
    <n v="0"/>
    <m/>
    <s v="Médio II"/>
    <m/>
    <s v=""/>
    <s v=""/>
    <m/>
    <m/>
    <m/>
    <m/>
    <m/>
    <m/>
    <n v="40"/>
    <n v="99"/>
    <n v="278"/>
    <n v="0.59595959595959602"/>
    <m/>
    <m/>
    <s v="Sim"/>
    <m/>
  </r>
  <r>
    <n v="320"/>
    <s v="PVP"/>
    <s v="Rua Hildebrando Pinheiro Veloso, 1304"/>
    <n v="-30.01458654"/>
    <n v="-50.173791059999999"/>
    <x v="1"/>
    <s v="-"/>
    <x v="1"/>
    <s v="Vapor de sódio"/>
    <n v="100"/>
    <n v="17"/>
    <n v="0"/>
    <n v="200"/>
    <n v="2"/>
    <n v="2.5"/>
    <n v="8"/>
    <m/>
    <m/>
    <n v="0"/>
    <n v="3"/>
    <n v="0"/>
    <n v="0"/>
    <n v="0"/>
    <n v="0"/>
    <n v="0"/>
    <s v="Unilateral"/>
    <s v="Braço"/>
    <n v="41.6"/>
    <n v="6.6"/>
    <n v="1"/>
    <n v="0.7"/>
    <n v="1.5"/>
    <n v="0.8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8133333333333335"/>
    <n v="0.33333333333333326"/>
    <s v="-"/>
    <n v="8.86"/>
    <n v="0.24"/>
    <m/>
    <m/>
    <m/>
    <m/>
    <s v="ATENDE"/>
    <s v="ATENDE"/>
    <s v="ATENDE"/>
    <s v="ATENDE"/>
    <s v="C5"/>
    <s v="P6"/>
    <n v="1.6266666666666665"/>
    <n v="7.88"/>
    <n v="1.58"/>
    <n v="3"/>
    <n v="0.6"/>
    <s v="ATENDE"/>
    <s v="ATENDE"/>
    <s v="ATENDE"/>
    <s v="-"/>
    <e v="#VALUE!"/>
    <n v="3.59"/>
    <n v="1.25"/>
    <s v="-"/>
    <s v="-"/>
    <s v="-"/>
    <s v="-"/>
    <s v="-"/>
    <x v="0"/>
    <s v=" SL VT 9.1 44W"/>
    <s v="LUM LED SL VT 9.1 44W"/>
    <m/>
    <n v="0"/>
    <n v="1"/>
    <n v="44"/>
    <n v="0"/>
    <n v="7657.99"/>
    <n v="0"/>
    <n v="0"/>
    <m/>
    <s v="Curto II"/>
    <m/>
    <s v=""/>
    <s v=""/>
    <m/>
    <m/>
    <m/>
    <m/>
    <m/>
    <m/>
    <n v="44"/>
    <n v="100"/>
    <n v="144"/>
    <n v="0.56000000000000005"/>
    <m/>
    <m/>
    <s v="Sim"/>
    <m/>
  </r>
  <r>
    <n v="320"/>
    <s v="PVP"/>
    <s v="Rua Hildebrando Pinheiro Veloso, 1304"/>
    <n v="-30.01458654"/>
    <n v="-50.173791059999999"/>
    <x v="1"/>
    <s v="-"/>
    <x v="1"/>
    <s v="Vapor de sódio"/>
    <n v="100"/>
    <n v="17"/>
    <n v="0"/>
    <n v="200"/>
    <n v="2"/>
    <n v="2.5"/>
    <n v="8"/>
    <m/>
    <m/>
    <n v="0"/>
    <n v="3"/>
    <n v="0"/>
    <n v="0"/>
    <n v="0"/>
    <n v="0"/>
    <n v="0"/>
    <s v="Unilateral"/>
    <s v="Braço"/>
    <n v="41.6"/>
    <n v="6.6"/>
    <n v="1"/>
    <n v="0.7"/>
    <n v="1.5"/>
    <n v="0.8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0666666666666669"/>
    <n v="0.11111111111111116"/>
    <s v="-"/>
    <n v="8.3000000000000007"/>
    <n v="0.2"/>
    <m/>
    <m/>
    <m/>
    <m/>
    <s v="ATENDE"/>
    <s v="ATENDE"/>
    <s v="ATENDE"/>
    <s v="ATENDE"/>
    <s v="C5"/>
    <s v="P6"/>
    <n v="1.33"/>
    <n v="6.99"/>
    <n v="0.62"/>
    <n v="3"/>
    <n v="0.6"/>
    <s v="ATENDE"/>
    <s v="ATENDE"/>
    <s v="ATENDE"/>
    <s v="-"/>
    <e v="#VALUE!"/>
    <n v="3.08"/>
    <n v="1.1599999999999999"/>
    <s v="-"/>
    <s v="-"/>
    <s v="-"/>
    <s v="-"/>
    <s v="-"/>
    <x v="1"/>
    <s v="SX-INEVO040HF"/>
    <s v="SXINEVO040K40L12CZF7PHF"/>
    <m/>
    <e v="#N/A"/>
    <n v="1"/>
    <n v="39"/>
    <n v="0"/>
    <n v="6552"/>
    <n v="0"/>
    <n v="0"/>
    <n v="3.5"/>
    <s v="Curto II"/>
    <m/>
    <s v=""/>
    <s v=""/>
    <m/>
    <m/>
    <m/>
    <m/>
    <m/>
    <m/>
    <n v="39"/>
    <n v="100"/>
    <n v="139"/>
    <n v="0.61"/>
    <m/>
    <m/>
    <s v="Sim"/>
    <m/>
  </r>
  <r>
    <n v="320"/>
    <s v="PVP"/>
    <s v="Rua Hildebrando Pinheiro Veloso, 1304"/>
    <n v="-30.01458654"/>
    <n v="-50.173791059999999"/>
    <x v="1"/>
    <s v="-"/>
    <x v="1"/>
    <s v="Vapor de sódio"/>
    <n v="100"/>
    <n v="17"/>
    <n v="0"/>
    <n v="200"/>
    <n v="2"/>
    <n v="2.5"/>
    <n v="8"/>
    <m/>
    <m/>
    <n v="0"/>
    <n v="3"/>
    <n v="0"/>
    <n v="0"/>
    <n v="0"/>
    <n v="0"/>
    <n v="0"/>
    <s v="Unilateral"/>
    <s v="Braço"/>
    <n v="41.6"/>
    <n v="6.6"/>
    <n v="1"/>
    <n v="0.7"/>
    <n v="1.5"/>
    <n v="0.8"/>
    <m/>
    <m/>
    <s v="Não"/>
    <n v="2"/>
    <n v="0"/>
    <n v="0"/>
    <n v="0"/>
    <n v="0"/>
    <n v="0"/>
    <s v="-"/>
    <n v="0"/>
    <m/>
    <n v="7.5"/>
    <n v="0.18"/>
    <s v="-"/>
    <n v="0.18"/>
    <s v="-"/>
    <n v="16"/>
    <s v="ATENDE"/>
    <n v="0.19466666666666677"/>
    <n v="0.22222222222222232"/>
    <s v="-"/>
    <n v="8.9600000000000009"/>
    <n v="0.22"/>
    <m/>
    <m/>
    <m/>
    <m/>
    <s v="ATENDE"/>
    <s v="ATENDE"/>
    <s v="ATENDE"/>
    <s v="ATENDE"/>
    <s v="C5"/>
    <s v="P6"/>
    <n v="1.0100000000000002"/>
    <n v="6.03"/>
    <n v="1.28"/>
    <n v="3"/>
    <n v="0.6"/>
    <s v="ATENDE"/>
    <s v="ATENDE"/>
    <s v="ATENDE"/>
    <s v="-"/>
    <e v="#VALUE!"/>
    <n v="3.56"/>
    <n v="1.04"/>
    <s v="-"/>
    <s v="-"/>
    <s v="-"/>
    <s v="-"/>
    <s v="-"/>
    <x v="2"/>
    <s v="SIGSAGPTLRRSSNDL_40W_50IBBRS_x000a_"/>
    <s v="SIGSAGPTLRRSSNDL_40W_50IBBRS_x000a_1-10C1MUN6.5"/>
    <m/>
    <e v="#N/A"/>
    <n v="1"/>
    <n v="40"/>
    <n v="0"/>
    <n v="6641"/>
    <n v="0"/>
    <n v="0"/>
    <m/>
    <s v="Curto II"/>
    <s v="Médio II"/>
    <n v="2.4"/>
    <n v="7.5"/>
    <m/>
    <m/>
    <m/>
    <m/>
    <m/>
    <m/>
    <n v="40"/>
    <n v="100"/>
    <n v="140"/>
    <n v="0.6"/>
    <m/>
    <m/>
    <s v="Sim"/>
    <m/>
  </r>
  <r>
    <n v="321"/>
    <s v="PVP"/>
    <s v="Rua A-Sete da Verbenas, 528"/>
    <n v="-30.061360270000002"/>
    <n v="-50.160618079999999"/>
    <x v="2"/>
    <s v="-"/>
    <x v="1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9.299999999999997"/>
    <n v="7.5"/>
    <n v="1"/>
    <n v="0.4"/>
    <n v="1.3"/>
    <n v="0.9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4.8000000000000043E-2"/>
    <n v="0.83333333333333348"/>
    <s v="-"/>
    <n v="10.48"/>
    <n v="0.33"/>
    <m/>
    <m/>
    <m/>
    <m/>
    <s v="ATENDE"/>
    <s v="ATENDE"/>
    <s v="ATENDE"/>
    <s v="ATENDE"/>
    <s v="C4"/>
    <s v="P6"/>
    <n v="1.9499999999999997"/>
    <n v="8.85"/>
    <n v="2.71"/>
    <n v="3"/>
    <n v="0.6"/>
    <s v="ATENDE"/>
    <s v="ATENDE"/>
    <s v="ATENDE"/>
    <s v="-"/>
    <e v="#VALUE!"/>
    <n v="6.97"/>
    <n v="2.93"/>
    <s v="-"/>
    <s v="-"/>
    <s v="-"/>
    <s v="-"/>
    <s v="-"/>
    <x v="0"/>
    <s v=" SL VT 9.1 52W"/>
    <s v="LUM LED SL VT 9.1 52W"/>
    <m/>
    <e v="#N/A"/>
    <n v="1"/>
    <n v="52"/>
    <n v="0"/>
    <n v="8960.18"/>
    <n v="0"/>
    <n v="0"/>
    <m/>
    <s v="Curto II"/>
    <m/>
    <s v=""/>
    <s v=""/>
    <m/>
    <m/>
    <m/>
    <m/>
    <m/>
    <m/>
    <n v="52"/>
    <n v="100"/>
    <n v="152"/>
    <n v="0.48"/>
    <m/>
    <m/>
    <s v="Sim"/>
    <m/>
  </r>
  <r>
    <n v="321"/>
    <s v="PVP"/>
    <s v="Rua A-Sete da Verbenas, 528"/>
    <n v="-30.061360270000002"/>
    <n v="-50.160618079999999"/>
    <x v="2"/>
    <s v="-"/>
    <x v="1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9.299999999999997"/>
    <n v="7.5"/>
    <n v="1"/>
    <n v="0.4"/>
    <n v="1.3"/>
    <n v="0.9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24199999999999999"/>
    <n v="1.0555555555555558"/>
    <s v="-"/>
    <n v="12.42"/>
    <n v="0.37"/>
    <m/>
    <m/>
    <m/>
    <m/>
    <s v="ATENDE"/>
    <s v="ATENDE"/>
    <s v="ATENDE"/>
    <s v="ATENDE"/>
    <s v="C4"/>
    <s v="P6"/>
    <n v="2.34"/>
    <n v="10.02"/>
    <n v="2.3199999999999998"/>
    <n v="3"/>
    <n v="0.6"/>
    <s v="ATENDE"/>
    <s v="ATENDE"/>
    <s v="ATENDE"/>
    <s v="-"/>
    <e v="#VALUE!"/>
    <n v="8.17"/>
    <n v="5.0599999999999996"/>
    <s v="-"/>
    <s v="-"/>
    <s v="-"/>
    <s v="-"/>
    <s v="-"/>
    <x v="1"/>
    <s v="SX-INEVO050HF"/>
    <s v="SXINEVO050K40L12CZF7PHF"/>
    <m/>
    <e v="#N/A"/>
    <n v="1"/>
    <n v="50"/>
    <n v="0"/>
    <n v="8650"/>
    <n v="0"/>
    <n v="0"/>
    <m/>
    <s v="Curto II"/>
    <m/>
    <s v=""/>
    <s v=""/>
    <m/>
    <m/>
    <m/>
    <m/>
    <m/>
    <m/>
    <n v="50"/>
    <n v="100"/>
    <n v="150"/>
    <n v="0.5"/>
    <m/>
    <m/>
    <s v="Sim"/>
    <m/>
  </r>
  <r>
    <n v="321"/>
    <s v="PVP"/>
    <s v="Rua A-Sete da Verbenas, 528"/>
    <n v="-30.061360270000002"/>
    <n v="-50.160618079999999"/>
    <x v="2"/>
    <s v="-"/>
    <x v="1"/>
    <s v="Vapor de sódio"/>
    <n v="100"/>
    <n v="17"/>
    <n v="0"/>
    <n v="200"/>
    <n v="2"/>
    <n v="2.5"/>
    <n v="7"/>
    <m/>
    <m/>
    <n v="0"/>
    <n v="2"/>
    <n v="0"/>
    <n v="0"/>
    <n v="0"/>
    <n v="0"/>
    <n v="0"/>
    <s v="Unilateral"/>
    <s v="Braço"/>
    <n v="39.299999999999997"/>
    <n v="7.5"/>
    <n v="1"/>
    <n v="0.4"/>
    <n v="1.3"/>
    <n v="0.9"/>
    <m/>
    <m/>
    <s v="Não"/>
    <n v="2"/>
    <n v="0"/>
    <n v="0"/>
    <n v="0"/>
    <n v="0"/>
    <n v="0"/>
    <s v="-"/>
    <n v="0"/>
    <m/>
    <n v="10"/>
    <n v="0.18"/>
    <s v="-"/>
    <n v="0.18"/>
    <s v="-"/>
    <n v="16"/>
    <s v="ATENDE"/>
    <n v="0.14300000000000002"/>
    <n v="0.61111111111111116"/>
    <s v="-"/>
    <n v="11.43"/>
    <n v="0.28999999999999998"/>
    <m/>
    <m/>
    <m/>
    <m/>
    <s v="ATENDE"/>
    <s v="ATENDE"/>
    <s v="ATENDE"/>
    <s v="ATENDE"/>
    <s v="C4"/>
    <s v="P6"/>
    <n v="2.1433333333333331"/>
    <n v="9.43"/>
    <n v="2.92"/>
    <n v="3"/>
    <n v="0.6"/>
    <s v="ATENDE"/>
    <s v="ATENDE"/>
    <s v="ATENDE"/>
    <s v="-"/>
    <e v="#VALUE!"/>
    <n v="5.09"/>
    <n v="1.91"/>
    <s v="-"/>
    <s v="-"/>
    <s v="-"/>
    <s v="-"/>
    <s v="-"/>
    <x v="2"/>
    <s v="SIGSAGPTLRRSSNDL_50W_61IBBRS_x000a_"/>
    <s v="SIGSAGPTLRRSSNDL_50W_61IBBRS_x000a_1-10C1MUN6.5"/>
    <m/>
    <e v="#N/A"/>
    <n v="1"/>
    <n v="50"/>
    <n v="0"/>
    <n v="8163"/>
    <n v="0"/>
    <n v="0"/>
    <m/>
    <s v="Curto II"/>
    <m/>
    <s v=""/>
    <s v=""/>
    <m/>
    <m/>
    <m/>
    <m/>
    <m/>
    <m/>
    <n v="50"/>
    <n v="100"/>
    <n v="150"/>
    <n v="0.5"/>
    <m/>
    <m/>
    <s v="Sim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2000000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15" firstHeaderRow="1" firstDataRow="1" firstDataCol="1"/>
  <pivotFields count="114"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84"/>
  </rowFields>
  <rowItems count="12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 v="2"/>
    </i>
    <i r="1">
      <x v="3"/>
    </i>
    <i t="grand">
      <x/>
    </i>
  </rowItems>
  <colItems count="1">
    <i/>
  </colItems>
  <dataFields count="1">
    <dataField name="Média de  Potência simulada - IP Principal (W)" fld="90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1000000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6:B43" firstHeaderRow="1" firstDataRow="1" firstDataCol="1"/>
  <pivotFields count="114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2" showAll="0"/>
    <pivotField showAll="0"/>
    <pivotField numFmtId="2" showAll="0"/>
    <pivotField numFmtId="2" showAll="0"/>
    <pivotField showAll="0"/>
    <pivotField numFmtId="2" showAll="0"/>
    <pivotField showAll="0"/>
    <pivotField numFmtId="2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10" showAll="0"/>
    <pivotField showAll="0"/>
    <pivotField showAll="0"/>
    <pivotField showAll="0"/>
    <pivotField showAll="0"/>
  </pivotFields>
  <rowFields count="2">
    <field x="7"/>
    <field x="84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Média de  Potência simulada - IP Principal (W)" fld="90" subtotal="average" baseField="7" baseItem="0" numFmtId="1"/>
  </dataFields>
  <formats count="1">
    <format dxfId="5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4" firstHeaderRow="1" firstDataRow="1" firstDataCol="1"/>
  <pivotFields count="114"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showAll="0"/>
    <pivotField numFmtId="2" showAll="0"/>
    <pivotField showAll="0"/>
    <pivotField numFmtId="2" showAll="0"/>
    <pivotField numFmtId="2" showAll="0"/>
    <pivotField showAll="0"/>
    <pivotField numFmtId="2" showAll="0"/>
    <pivotField showAll="0"/>
    <pivotField numFmtId="2"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10" showAll="0"/>
    <pivotField showAll="0"/>
    <pivotField showAll="0"/>
    <pivotField showAll="0"/>
    <pivotField showAll="0"/>
  </pivotFields>
  <rowFields count="2">
    <field x="5"/>
    <field x="84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Média de  Potência simulada - IP Principal (W)" fld="90" subtotal="average" baseField="5" baseItem="0" numFmtId="1"/>
  </dataFields>
  <formats count="1">
    <format dxfId="5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3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M396" firstHeaderRow="1" firstDataRow="1" firstDataCol="12" rowPageCount="1" colPageCount="1"/>
  <pivotFields count="15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ubtotalTop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">
        <item x="5"/>
        <item x="4"/>
        <item x="2"/>
        <item x="0"/>
        <item x="1"/>
        <item x="3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6">
        <item x="1"/>
        <item x="2"/>
        <item x="4"/>
        <item x="0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5">
        <item x="2"/>
        <item x="0"/>
        <item x="1"/>
        <item m="1"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9">
        <item m="1" x="76"/>
        <item m="1" x="59"/>
        <item m="1" x="47"/>
        <item m="1" x="50"/>
        <item m="1" x="64"/>
        <item m="1" x="62"/>
        <item m="1" x="67"/>
        <item m="1" x="55"/>
        <item m="1" x="51"/>
        <item m="1" x="49"/>
        <item m="1" x="74"/>
        <item m="1" x="73"/>
        <item m="1" x="69"/>
        <item m="1" x="77"/>
        <item m="1" x="46"/>
        <item m="1" x="52"/>
        <item m="1" x="45"/>
        <item m="1" x="65"/>
        <item m="1" x="71"/>
        <item m="1" x="48"/>
        <item m="1" x="57"/>
        <item m="1" x="58"/>
        <item m="1" x="63"/>
        <item m="1" x="61"/>
        <item m="1" x="53"/>
        <item m="1" x="60"/>
        <item m="1" x="72"/>
        <item m="1" x="56"/>
        <item m="1" x="75"/>
        <item x="3"/>
        <item x="4"/>
        <item x="5"/>
        <item x="6"/>
        <item x="9"/>
        <item x="7"/>
        <item x="8"/>
        <item x="10"/>
        <item x="11"/>
        <item x="12"/>
        <item x="13"/>
        <item x="16"/>
        <item x="27"/>
        <item x="17"/>
        <item x="37"/>
        <item x="18"/>
        <item x="21"/>
        <item x="22"/>
        <item x="23"/>
        <item x="0"/>
        <item x="1"/>
        <item x="2"/>
        <item x="19"/>
        <item x="34"/>
        <item x="31"/>
        <item x="29"/>
        <item m="1" x="54"/>
        <item m="1" x="66"/>
        <item m="1" x="68"/>
        <item m="1" x="70"/>
        <item m="1" x="78"/>
        <item x="35"/>
        <item x="41"/>
        <item x="40"/>
        <item m="1" x="43"/>
        <item m="1" x="44"/>
        <item x="26"/>
        <item x="15"/>
        <item x="20"/>
        <item x="14"/>
        <item x="28"/>
        <item m="1" x="42"/>
        <item x="30"/>
        <item x="32"/>
        <item x="33"/>
        <item x="36"/>
        <item x="39"/>
        <item x="24"/>
        <item x="25"/>
        <item x="3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4">
        <item x="3"/>
        <item x="15"/>
        <item x="10"/>
        <item x="14"/>
        <item x="16"/>
        <item x="17"/>
        <item x="1"/>
        <item x="2"/>
        <item x="4"/>
        <item x="7"/>
        <item x="5"/>
        <item x="6"/>
        <item x="8"/>
        <item x="9"/>
        <item x="13"/>
        <item x="22"/>
        <item x="30"/>
        <item x="18"/>
        <item x="0"/>
        <item x="27"/>
        <item x="26"/>
        <item x="24"/>
        <item x="28"/>
        <item x="33"/>
        <item x="12"/>
        <item x="21"/>
        <item x="11"/>
        <item x="23"/>
        <item x="25"/>
        <item x="29"/>
        <item x="32"/>
        <item x="19"/>
        <item x="2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">
        <item x="1"/>
        <item x="2"/>
        <item x="3"/>
        <item x="0"/>
        <item x="4"/>
        <item m="1" x="6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8">
        <item x="0"/>
        <item x="6"/>
        <item x="3"/>
        <item x="4"/>
        <item x="2"/>
        <item x="1"/>
        <item x="5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">
        <item x="0"/>
        <item m="1" x="5"/>
        <item m="1" x="6"/>
        <item x="4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">
        <item x="0"/>
        <item x="2"/>
        <item x="3"/>
        <item x="4"/>
        <item x="5"/>
        <item x="6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x="0"/>
        <item x="2"/>
        <item x="1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2">
    <field x="2"/>
    <field x="3"/>
    <field x="4"/>
    <field x="5"/>
    <field x="6"/>
    <field x="7"/>
    <field x="8"/>
    <field x="9"/>
    <field x="10"/>
    <field x="11"/>
    <field x="12"/>
    <field x="13"/>
  </rowFields>
  <rowItems count="393">
    <i>
      <x/>
      <x/>
      <x/>
      <x v="31"/>
      <x/>
      <x/>
      <x/>
      <x/>
      <x/>
      <x/>
      <x v="1"/>
      <x/>
    </i>
    <i r="6">
      <x v="1"/>
      <x/>
      <x/>
      <x/>
      <x v="1"/>
      <x/>
    </i>
    <i r="5">
      <x v="1"/>
      <x/>
      <x/>
      <x/>
      <x/>
      <x v="1"/>
      <x/>
    </i>
    <i r="5">
      <x v="2"/>
      <x/>
      <x/>
      <x/>
      <x/>
      <x v="1"/>
      <x/>
    </i>
    <i r="2">
      <x v="1"/>
      <x v="32"/>
      <x v="8"/>
      <x/>
      <x/>
      <x/>
      <x/>
      <x/>
      <x v="1"/>
      <x/>
    </i>
    <i r="6">
      <x v="1"/>
      <x/>
      <x/>
      <x/>
      <x v="1"/>
      <x/>
    </i>
    <i r="5">
      <x v="1"/>
      <x/>
      <x/>
      <x/>
      <x/>
      <x v="1"/>
      <x/>
    </i>
    <i r="5">
      <x v="2"/>
      <x/>
      <x/>
      <x/>
      <x/>
      <x v="1"/>
      <x/>
    </i>
    <i r="2">
      <x v="2"/>
      <x v="30"/>
      <x v="7"/>
      <x/>
      <x/>
      <x/>
      <x/>
      <x/>
      <x v="1"/>
      <x/>
    </i>
    <i r="6">
      <x v="2"/>
      <x/>
      <x/>
      <x/>
      <x v="1"/>
      <x/>
    </i>
    <i r="5">
      <x v="2"/>
      <x/>
      <x/>
      <x/>
      <x/>
      <x v="1"/>
      <x/>
    </i>
    <i r="3">
      <x v="34"/>
      <x v="10"/>
      <x v="1"/>
      <x/>
      <x/>
      <x/>
      <x/>
      <x v="1"/>
      <x/>
    </i>
    <i r="1">
      <x v="1"/>
      <x/>
      <x v="31"/>
      <x/>
      <x/>
      <x/>
      <x/>
      <x/>
      <x/>
      <x v="1"/>
      <x/>
    </i>
    <i r="3">
      <x v="35"/>
      <x v="11"/>
      <x v="1"/>
      <x/>
      <x/>
      <x/>
      <x/>
      <x v="1"/>
      <x/>
    </i>
    <i r="2">
      <x v="1"/>
      <x v="29"/>
      <x v="6"/>
      <x/>
      <x/>
      <x/>
      <x/>
      <x/>
      <x v="1"/>
      <x/>
    </i>
    <i r="3">
      <x v="32"/>
      <x v="8"/>
      <x/>
      <x/>
      <x/>
      <x/>
      <x/>
      <x v="1"/>
      <x/>
    </i>
    <i r="3">
      <x v="33"/>
      <x v="9"/>
      <x v="1"/>
      <x/>
      <x/>
      <x/>
      <x/>
      <x v="1"/>
      <x/>
    </i>
    <i r="3">
      <x v="44"/>
      <x v="1"/>
      <x v="1"/>
      <x/>
      <x/>
      <x/>
      <x/>
      <x v="1"/>
      <x/>
    </i>
    <i r="2">
      <x v="2"/>
      <x v="30"/>
      <x v="7"/>
      <x/>
      <x/>
      <x/>
      <x/>
      <x/>
      <x v="1"/>
      <x/>
    </i>
    <i r="3">
      <x v="37"/>
      <x v="13"/>
      <x v="1"/>
      <x/>
      <x/>
      <x/>
      <x/>
      <x v="1"/>
      <x/>
    </i>
    <i>
      <x v="1"/>
      <x/>
      <x/>
      <x v="31"/>
      <x/>
      <x v="1"/>
      <x/>
      <x/>
      <x/>
      <x/>
      <x v="1"/>
      <x/>
    </i>
    <i r="8">
      <x v="1"/>
      <x/>
      <x v="1"/>
      <x/>
    </i>
    <i r="6">
      <x v="2"/>
      <x/>
      <x/>
      <x/>
      <x v="1"/>
      <x/>
    </i>
    <i r="5">
      <x v="3"/>
      <x/>
      <x/>
      <x/>
      <x/>
      <x v="1"/>
      <x/>
    </i>
    <i r="5">
      <x v="4"/>
      <x/>
      <x/>
      <x/>
      <x/>
      <x v="1"/>
      <x/>
    </i>
    <i r="3">
      <x v="35"/>
      <x v="11"/>
      <x v="1"/>
      <x/>
      <x/>
      <x/>
      <x/>
      <x v="1"/>
      <x/>
    </i>
    <i r="6">
      <x v="4"/>
      <x/>
      <x/>
      <x/>
      <x v="1"/>
      <x/>
    </i>
    <i r="6">
      <x v="6"/>
      <x/>
      <x v="1"/>
      <x/>
      <x v="1"/>
      <x/>
    </i>
    <i r="3">
      <x v="39"/>
      <x v="13"/>
      <x v="1"/>
      <x/>
      <x/>
      <x/>
      <x/>
      <x v="1"/>
      <x/>
    </i>
    <i r="6">
      <x v="4"/>
      <x/>
      <x/>
      <x/>
      <x v="1"/>
      <x/>
    </i>
    <i r="2">
      <x v="1"/>
      <x v="29"/>
      <x v="6"/>
      <x v="1"/>
      <x/>
      <x/>
      <x/>
      <x/>
      <x v="1"/>
      <x/>
    </i>
    <i r="8">
      <x v="1"/>
      <x/>
      <x v="1"/>
      <x/>
    </i>
    <i r="5">
      <x v="4"/>
      <x/>
      <x/>
      <x/>
      <x/>
      <x v="1"/>
      <x/>
    </i>
    <i r="3">
      <x v="32"/>
      <x v="8"/>
      <x v="1"/>
      <x/>
      <x/>
      <x/>
      <x/>
      <x v="1"/>
      <x/>
    </i>
    <i r="6">
      <x v="2"/>
      <x/>
      <x/>
      <x/>
      <x v="1"/>
      <x/>
    </i>
    <i r="5">
      <x v="3"/>
      <x/>
      <x/>
      <x/>
      <x/>
      <x v="1"/>
      <x/>
    </i>
    <i r="3">
      <x v="33"/>
      <x v="9"/>
      <x v="1"/>
      <x/>
      <x/>
      <x/>
      <x/>
      <x v="1"/>
      <x/>
    </i>
    <i r="2">
      <x v="2"/>
      <x v="30"/>
      <x v="7"/>
      <x v="1"/>
      <x/>
      <x/>
      <x/>
      <x/>
      <x v="1"/>
      <x/>
    </i>
    <i r="8">
      <x v="1"/>
      <x/>
      <x v="1"/>
      <x/>
    </i>
    <i r="5">
      <x v="3"/>
      <x/>
      <x/>
      <x/>
      <x/>
      <x v="1"/>
      <x/>
    </i>
    <i r="5">
      <x v="4"/>
      <x/>
      <x/>
      <x/>
      <x/>
      <x v="1"/>
      <x/>
    </i>
    <i r="3">
      <x v="34"/>
      <x v="10"/>
      <x v="1"/>
      <x/>
      <x/>
      <x/>
      <x/>
      <x v="1"/>
      <x/>
    </i>
    <i r="8">
      <x v="1"/>
      <x/>
      <x v="1"/>
      <x/>
    </i>
    <i r="6">
      <x v="2"/>
      <x/>
      <x/>
      <x/>
      <x v="1"/>
      <x/>
    </i>
    <i r="3">
      <x v="37"/>
      <x v="13"/>
      <x v="1"/>
      <x v="4"/>
      <x/>
      <x/>
      <x/>
      <x v="1"/>
      <x/>
    </i>
    <i r="6">
      <x v="5"/>
      <x/>
      <x/>
      <x/>
      <x v="1"/>
      <x/>
    </i>
    <i r="3">
      <x v="40"/>
      <x v="14"/>
      <x v="1"/>
      <x/>
      <x/>
      <x/>
      <x/>
      <x v="1"/>
      <x/>
    </i>
    <i r="8">
      <x v="1"/>
      <x/>
      <x v="1"/>
      <x/>
    </i>
    <i r="1">
      <x v="1"/>
      <x/>
      <x v="31"/>
      <x/>
      <x v="1"/>
      <x/>
      <x/>
      <x/>
      <x/>
      <x v="1"/>
      <x/>
    </i>
    <i r="3">
      <x v="35"/>
      <x v="11"/>
      <x v="1"/>
      <x/>
      <x/>
      <x/>
      <x/>
      <x v="1"/>
      <x/>
    </i>
    <i r="6">
      <x v="1"/>
      <x/>
      <x/>
      <x/>
      <x v="1"/>
      <x/>
    </i>
    <i r="5">
      <x v="2"/>
      <x/>
      <x/>
      <x/>
      <x/>
      <x v="1"/>
      <x/>
    </i>
    <i r="3">
      <x v="39"/>
      <x v="13"/>
      <x v="1"/>
      <x/>
      <x/>
      <x/>
      <x/>
      <x v="1"/>
      <x/>
    </i>
    <i r="6">
      <x v="3"/>
      <x/>
      <x/>
      <x/>
      <x v="1"/>
      <x/>
    </i>
    <i r="6">
      <x v="4"/>
      <x/>
      <x/>
      <x/>
      <x v="1"/>
      <x/>
    </i>
    <i r="3">
      <x v="67"/>
      <x v="4"/>
      <x v="1"/>
      <x/>
      <x/>
      <x/>
      <x/>
      <x v="1"/>
      <x/>
    </i>
    <i r="2">
      <x v="1"/>
      <x v="32"/>
      <x v="8"/>
      <x v="1"/>
      <x/>
      <x/>
      <x/>
      <x/>
      <x v="1"/>
      <x/>
    </i>
    <i r="5">
      <x v="2"/>
      <x/>
      <x/>
      <x/>
      <x/>
      <x v="1"/>
      <x/>
    </i>
    <i r="3">
      <x v="33"/>
      <x v="9"/>
      <x v="1"/>
      <x/>
      <x/>
      <x/>
      <x/>
      <x v="1"/>
      <x/>
    </i>
    <i r="3">
      <x v="36"/>
      <x v="12"/>
      <x v="1"/>
      <x/>
      <x/>
      <x/>
      <x/>
      <x v="1"/>
      <x/>
    </i>
    <i r="3">
      <x v="44"/>
      <x v="1"/>
      <x v="1"/>
      <x/>
      <x/>
      <x/>
      <x/>
      <x v="1"/>
      <x/>
    </i>
    <i r="2">
      <x v="2"/>
      <x v="30"/>
      <x v="7"/>
      <x v="1"/>
      <x/>
      <x/>
      <x/>
      <x/>
      <x v="1"/>
      <x/>
    </i>
    <i r="3">
      <x v="34"/>
      <x v="10"/>
      <x v="1"/>
      <x/>
      <x/>
      <x/>
      <x/>
      <x v="1"/>
      <x/>
    </i>
    <i r="7">
      <x v="4"/>
      <x/>
      <x/>
      <x/>
      <x/>
    </i>
    <i r="5">
      <x v="2"/>
      <x/>
      <x/>
      <x/>
      <x/>
      <x v="1"/>
      <x/>
    </i>
    <i r="3">
      <x v="37"/>
      <x v="13"/>
      <x v="1"/>
      <x/>
      <x/>
      <x/>
      <x/>
      <x v="1"/>
      <x/>
    </i>
    <i r="6">
      <x v="3"/>
      <x/>
      <x/>
      <x/>
      <x v="1"/>
      <x/>
    </i>
    <i r="1">
      <x v="3"/>
      <x/>
      <x v="31"/>
      <x/>
      <x v="1"/>
      <x/>
      <x/>
      <x/>
      <x/>
      <x v="1"/>
      <x/>
    </i>
    <i r="3">
      <x v="43"/>
      <x v="16"/>
      <x v="1"/>
      <x/>
      <x/>
      <x v="6"/>
      <x/>
      <x v="1"/>
      <x/>
    </i>
    <i r="3">
      <x v="62"/>
      <x v="24"/>
      <x v="1"/>
      <x/>
      <x v="4"/>
      <x/>
      <x/>
      <x/>
      <x/>
    </i>
    <i r="3">
      <x v="67"/>
      <x v="4"/>
      <x v="1"/>
      <x/>
      <x/>
      <x v="1"/>
      <x/>
      <x v="1"/>
      <x/>
    </i>
    <i r="6">
      <x v="2"/>
      <x v="6"/>
      <x/>
      <x/>
      <x v="1"/>
      <x v="2"/>
    </i>
    <i r="2">
      <x v="1"/>
      <x v="32"/>
      <x v="8"/>
      <x v="1"/>
      <x/>
      <x/>
      <x/>
      <x/>
      <x v="1"/>
      <x/>
    </i>
    <i r="3">
      <x v="48"/>
      <x v="18"/>
      <x v="1"/>
      <x/>
      <x/>
      <x v="1"/>
      <x/>
      <x v="1"/>
      <x/>
    </i>
    <i r="3">
      <x v="51"/>
      <x v="4"/>
      <x v="1"/>
      <x/>
      <x v="4"/>
      <x/>
      <x/>
      <x/>
      <x/>
    </i>
    <i r="3">
      <x v="52"/>
      <x v="19"/>
      <x v="1"/>
      <x/>
      <x/>
      <x/>
      <x/>
      <x v="1"/>
      <x/>
    </i>
    <i r="3">
      <x v="60"/>
      <x v="22"/>
      <x v="1"/>
      <x/>
      <x/>
      <x v="6"/>
      <x/>
      <x v="1"/>
      <x/>
    </i>
    <i r="2">
      <x v="2"/>
      <x v="30"/>
      <x v="7"/>
      <x v="1"/>
      <x/>
      <x/>
      <x/>
      <x/>
      <x v="1"/>
      <x/>
    </i>
    <i r="3">
      <x v="42"/>
      <x v="3"/>
      <x v="1"/>
      <x/>
      <x/>
      <x v="6"/>
      <x/>
      <x v="1"/>
      <x/>
    </i>
    <i r="7">
      <x v="4"/>
      <x/>
      <x/>
      <x/>
      <x/>
    </i>
    <i r="3">
      <x v="53"/>
      <x v="20"/>
      <x v="1"/>
      <x v="2"/>
      <x/>
      <x/>
      <x/>
      <x v="1"/>
      <x/>
    </i>
    <i r="3">
      <x v="74"/>
      <x v="29"/>
      <x v="1"/>
      <x/>
      <x/>
      <x v="1"/>
      <x/>
      <x v="1"/>
      <x/>
    </i>
    <i r="1">
      <x v="4"/>
      <x/>
      <x v="31"/>
      <x/>
      <x v="1"/>
      <x/>
      <x/>
      <x v="1"/>
      <x/>
      <x v="1"/>
      <x/>
    </i>
    <i r="5">
      <x v="3"/>
      <x/>
      <x/>
      <x v="1"/>
      <x/>
      <x v="1"/>
      <x/>
    </i>
    <i r="3">
      <x v="38"/>
      <x v="2"/>
      <x v="1"/>
      <x/>
      <x/>
      <x v="1"/>
      <x/>
      <x v="1"/>
      <x/>
    </i>
    <i r="3">
      <x v="39"/>
      <x v="13"/>
      <x v="1"/>
      <x/>
      <x/>
      <x v="1"/>
      <x/>
      <x v="1"/>
      <x/>
    </i>
    <i r="3">
      <x v="43"/>
      <x v="16"/>
      <x v="1"/>
      <x/>
      <x/>
      <x v="1"/>
      <x/>
      <x v="1"/>
      <x/>
    </i>
    <i r="5">
      <x v="4"/>
      <x v="4"/>
      <x/>
      <x v="1"/>
      <x/>
      <x v="1"/>
      <x/>
    </i>
    <i r="3">
      <x v="67"/>
      <x v="4"/>
      <x v="1"/>
      <x/>
      <x/>
      <x v="3"/>
      <x/>
      <x v="1"/>
      <x/>
    </i>
    <i r="2">
      <x v="1"/>
      <x v="29"/>
      <x v="6"/>
      <x v="1"/>
      <x/>
      <x/>
      <x v="1"/>
      <x/>
      <x v="1"/>
      <x/>
    </i>
    <i r="3">
      <x v="36"/>
      <x v="12"/>
      <x v="1"/>
      <x/>
      <x/>
      <x v="1"/>
      <x/>
      <x v="1"/>
      <x/>
    </i>
    <i r="3">
      <x v="47"/>
      <x v="17"/>
      <x v="3"/>
      <x/>
      <x/>
      <x v="1"/>
      <x/>
      <x v="1"/>
      <x/>
    </i>
    <i r="3">
      <x v="51"/>
      <x v="4"/>
      <x v="1"/>
      <x v="5"/>
      <x/>
      <x v="3"/>
      <x/>
      <x v="1"/>
      <x/>
    </i>
    <i r="3">
      <x v="60"/>
      <x v="22"/>
      <x v="1"/>
      <x/>
      <x/>
      <x v="1"/>
      <x/>
      <x v="1"/>
      <x/>
    </i>
    <i r="5">
      <x v="4"/>
      <x v="5"/>
      <x/>
      <x v="1"/>
      <x/>
      <x v="1"/>
      <x/>
    </i>
    <i r="2">
      <x v="2"/>
      <x v="30"/>
      <x v="7"/>
      <x v="1"/>
      <x/>
      <x/>
      <x v="1"/>
      <x/>
      <x v="1"/>
      <x/>
    </i>
    <i r="3">
      <x v="37"/>
      <x v="13"/>
      <x v="1"/>
      <x/>
      <x/>
      <x v="1"/>
      <x/>
      <x v="1"/>
      <x/>
    </i>
    <i r="3">
      <x v="40"/>
      <x v="14"/>
      <x v="3"/>
      <x/>
      <x/>
      <x v="1"/>
      <x/>
      <x v="1"/>
      <x/>
    </i>
    <i r="3">
      <x v="42"/>
      <x v="3"/>
      <x v="1"/>
      <x/>
      <x/>
      <x v="1"/>
      <x/>
      <x v="1"/>
      <x/>
    </i>
    <i r="3">
      <x v="45"/>
      <x v="2"/>
      <x v="1"/>
      <x/>
      <x/>
      <x v="1"/>
      <x/>
      <x v="1"/>
      <x/>
    </i>
    <i r="3">
      <x v="66"/>
      <x v="24"/>
      <x v="1"/>
      <x/>
      <x/>
      <x v="3"/>
      <x/>
      <x v="1"/>
      <x/>
    </i>
    <i r="3">
      <x v="74"/>
      <x v="29"/>
      <x v="4"/>
      <x v="3"/>
      <x/>
      <x v="1"/>
      <x/>
      <x v="1"/>
      <x/>
    </i>
    <i>
      <x v="2"/>
      <x/>
      <x/>
      <x v="31"/>
      <x/>
      <x v="1"/>
      <x/>
      <x/>
      <x/>
      <x/>
      <x v="1"/>
      <x/>
    </i>
    <i r="8">
      <x v="1"/>
      <x/>
      <x v="1"/>
      <x/>
    </i>
    <i r="3">
      <x v="35"/>
      <x v="11"/>
      <x v="1"/>
      <x/>
      <x/>
      <x v="1"/>
      <x/>
      <x v="1"/>
      <x/>
    </i>
    <i r="2">
      <x v="1"/>
      <x v="29"/>
      <x v="6"/>
      <x v="1"/>
      <x/>
      <x/>
      <x/>
      <x/>
      <x v="1"/>
      <x/>
    </i>
    <i r="8">
      <x v="1"/>
      <x/>
      <x v="1"/>
      <x/>
    </i>
    <i r="3">
      <x v="32"/>
      <x v="8"/>
      <x v="1"/>
      <x/>
      <x/>
      <x v="1"/>
      <x/>
      <x v="1"/>
      <x/>
    </i>
    <i r="2">
      <x v="2"/>
      <x v="30"/>
      <x v="7"/>
      <x v="1"/>
      <x/>
      <x/>
      <x/>
      <x/>
      <x v="1"/>
      <x/>
    </i>
    <i r="3">
      <x v="34"/>
      <x v="10"/>
      <x v="1"/>
      <x/>
      <x/>
      <x v="1"/>
      <x/>
      <x v="1"/>
      <x/>
    </i>
    <i r="3">
      <x v="40"/>
      <x v="14"/>
      <x v="1"/>
      <x/>
      <x/>
      <x v="1"/>
      <x/>
      <x v="1"/>
      <x/>
    </i>
    <i r="1">
      <x v="1"/>
      <x/>
      <x v="31"/>
      <x/>
      <x/>
      <x/>
      <x/>
      <x v="2"/>
      <x/>
      <x v="1"/>
      <x/>
    </i>
    <i r="5">
      <x v="1"/>
      <x/>
      <x/>
      <x/>
      <x/>
      <x v="1"/>
      <x/>
    </i>
    <i r="5">
      <x v="3"/>
      <x/>
      <x/>
      <x/>
      <x/>
      <x v="1"/>
      <x/>
    </i>
    <i r="3">
      <x v="39"/>
      <x v="13"/>
      <x v="1"/>
      <x/>
      <x/>
      <x v="6"/>
      <x/>
      <x v="1"/>
      <x/>
    </i>
    <i r="2">
      <x v="1"/>
      <x v="29"/>
      <x v="6"/>
      <x/>
      <x/>
      <x/>
      <x v="2"/>
      <x/>
      <x v="1"/>
      <x/>
    </i>
    <i r="5">
      <x v="1"/>
      <x/>
      <x/>
      <x/>
      <x/>
      <x v="1"/>
      <x/>
    </i>
    <i r="5">
      <x v="3"/>
      <x/>
      <x/>
      <x/>
      <x/>
      <x v="1"/>
      <x/>
    </i>
    <i r="3">
      <x v="33"/>
      <x v="9"/>
      <x v="1"/>
      <x/>
      <x/>
      <x v="6"/>
      <x/>
      <x v="1"/>
      <x/>
    </i>
    <i r="2">
      <x v="2"/>
      <x v="30"/>
      <x v="7"/>
      <x v="1"/>
      <x/>
      <x/>
      <x/>
      <x/>
      <x v="1"/>
      <x/>
    </i>
    <i r="5">
      <x v="3"/>
      <x/>
      <x/>
      <x/>
      <x/>
      <x v="1"/>
      <x/>
    </i>
    <i r="3">
      <x v="34"/>
      <x v="10"/>
      <x v="1"/>
      <x/>
      <x/>
      <x v="6"/>
      <x/>
      <x v="1"/>
      <x/>
    </i>
    <i r="3">
      <x v="40"/>
      <x v="14"/>
      <x/>
      <x/>
      <x/>
      <x v="2"/>
      <x/>
      <x v="1"/>
      <x/>
    </i>
    <i r="1">
      <x v="3"/>
      <x/>
      <x v="46"/>
      <x v="5"/>
      <x/>
      <x/>
      <x/>
      <x v="2"/>
      <x/>
      <x v="1"/>
      <x/>
    </i>
    <i r="3">
      <x v="54"/>
      <x v="21"/>
      <x v="1"/>
      <x/>
      <x/>
      <x v="1"/>
      <x/>
      <x v="1"/>
      <x/>
    </i>
    <i r="2">
      <x v="1"/>
      <x v="36"/>
      <x v="12"/>
      <x/>
      <x/>
      <x/>
      <x v="2"/>
      <x/>
      <x v="1"/>
      <x/>
    </i>
    <i r="3">
      <x v="69"/>
      <x v="27"/>
      <x v="1"/>
      <x/>
      <x/>
      <x v="1"/>
      <x/>
      <x v="1"/>
      <x/>
    </i>
    <i r="2">
      <x v="2"/>
      <x v="42"/>
      <x v="3"/>
      <x/>
      <x/>
      <x/>
      <x v="2"/>
      <x/>
      <x v="1"/>
      <x/>
    </i>
    <i r="3">
      <x v="66"/>
      <x v="24"/>
      <x v="1"/>
      <x/>
      <x/>
      <x v="1"/>
      <x/>
      <x v="1"/>
      <x/>
    </i>
    <i r="1">
      <x v="4"/>
      <x/>
      <x v="39"/>
      <x v="13"/>
      <x v="2"/>
      <x/>
      <x/>
      <x/>
      <x/>
      <x v="1"/>
      <x/>
    </i>
    <i r="3">
      <x v="46"/>
      <x v="5"/>
      <x/>
      <x/>
      <x/>
      <x v="2"/>
      <x/>
      <x v="1"/>
      <x/>
    </i>
    <i r="3">
      <x v="50"/>
      <x v="18"/>
      <x v="1"/>
      <x v="5"/>
      <x/>
      <x v="1"/>
      <x/>
      <x v="1"/>
      <x/>
    </i>
    <i r="3">
      <x v="65"/>
      <x v="25"/>
      <x v="1"/>
      <x/>
      <x/>
      <x/>
      <x/>
      <x v="1"/>
      <x/>
    </i>
    <i r="5">
      <x v="3"/>
      <x v="5"/>
      <x v="4"/>
      <x/>
      <x/>
      <x/>
      <x/>
    </i>
    <i r="2">
      <x v="1"/>
      <x v="36"/>
      <x v="12"/>
      <x/>
      <x/>
      <x/>
      <x v="2"/>
      <x/>
      <x v="1"/>
      <x/>
    </i>
    <i r="3">
      <x v="44"/>
      <x v="1"/>
      <x v="2"/>
      <x/>
      <x/>
      <x/>
      <x/>
      <x v="1"/>
      <x/>
    </i>
    <i r="3">
      <x v="71"/>
      <x v="28"/>
      <x v="1"/>
      <x/>
      <x/>
      <x/>
      <x/>
      <x v="1"/>
      <x/>
    </i>
    <i r="3">
      <x v="73"/>
      <x v="26"/>
      <x v="3"/>
      <x v="5"/>
      <x/>
      <x/>
      <x/>
      <x v="1"/>
      <x/>
    </i>
    <i r="3">
      <x v="78"/>
      <x v="33"/>
      <x v="1"/>
      <x v="5"/>
      <x/>
      <x v="1"/>
      <x/>
      <x v="1"/>
      <x/>
    </i>
    <i r="2">
      <x v="2"/>
      <x v="37"/>
      <x v="13"/>
      <x v="2"/>
      <x/>
      <x/>
      <x/>
      <x/>
      <x v="1"/>
      <x/>
    </i>
    <i r="3">
      <x v="42"/>
      <x v="3"/>
      <x/>
      <x/>
      <x/>
      <x v="2"/>
      <x/>
      <x v="1"/>
      <x/>
    </i>
    <i r="3">
      <x v="49"/>
      <x v="18"/>
      <x v="3"/>
      <x v="5"/>
      <x v="4"/>
      <x/>
      <x/>
      <x/>
      <x/>
    </i>
    <i r="3">
      <x v="53"/>
      <x v="20"/>
      <x v="1"/>
      <x/>
      <x/>
      <x/>
      <x/>
      <x v="1"/>
      <x/>
    </i>
    <i r="3">
      <x v="66"/>
      <x v="24"/>
      <x v="1"/>
      <x v="5"/>
      <x/>
      <x v="1"/>
      <x/>
      <x v="1"/>
      <x/>
    </i>
    <i>
      <x v="3"/>
      <x v="2"/>
      <x/>
      <x v="35"/>
      <x v="11"/>
      <x v="1"/>
      <x/>
      <x/>
      <x v="6"/>
      <x/>
      <x v="1"/>
      <x/>
    </i>
    <i r="5">
      <x v="3"/>
      <x/>
      <x/>
      <x v="1"/>
      <x/>
      <x v="1"/>
      <x/>
    </i>
    <i r="3">
      <x v="39"/>
      <x v="13"/>
      <x v="1"/>
      <x/>
      <x/>
      <x/>
      <x/>
      <x v="1"/>
      <x/>
    </i>
    <i r="3">
      <x v="46"/>
      <x v="5"/>
      <x/>
      <x/>
      <x/>
      <x/>
      <x/>
      <x v="1"/>
      <x/>
    </i>
    <i r="2">
      <x v="1"/>
      <x v="32"/>
      <x v="8"/>
      <x v="3"/>
      <x/>
      <x/>
      <x v="1"/>
      <x/>
      <x v="1"/>
      <x/>
    </i>
    <i r="3">
      <x v="33"/>
      <x v="9"/>
      <x v="1"/>
      <x/>
      <x/>
      <x/>
      <x/>
      <x v="1"/>
      <x/>
    </i>
    <i r="8">
      <x v="6"/>
      <x/>
      <x v="1"/>
      <x/>
    </i>
    <i r="3">
      <x v="36"/>
      <x v="12"/>
      <x/>
      <x/>
      <x/>
      <x/>
      <x/>
      <x v="1"/>
      <x/>
    </i>
    <i r="2">
      <x v="2"/>
      <x v="34"/>
      <x v="10"/>
      <x v="1"/>
      <x/>
      <x/>
      <x v="6"/>
      <x/>
      <x v="1"/>
      <x/>
    </i>
    <i r="5">
      <x v="3"/>
      <x/>
      <x/>
      <x v="1"/>
      <x/>
      <x v="1"/>
      <x/>
    </i>
    <i r="3">
      <x v="37"/>
      <x v="13"/>
      <x v="1"/>
      <x/>
      <x/>
      <x/>
      <x/>
      <x v="1"/>
      <x/>
    </i>
    <i r="3">
      <x v="42"/>
      <x v="3"/>
      <x/>
      <x/>
      <x/>
      <x/>
      <x/>
      <x v="1"/>
      <x/>
    </i>
    <i r="1">
      <x v="3"/>
      <x/>
      <x v="50"/>
      <x v="18"/>
      <x/>
      <x v="5"/>
      <x/>
      <x v="6"/>
      <x/>
      <x v="1"/>
      <x/>
    </i>
    <i r="5">
      <x v="3"/>
      <x v="5"/>
      <x/>
      <x/>
      <x/>
      <x v="1"/>
      <x/>
    </i>
    <i r="2">
      <x v="1"/>
      <x v="48"/>
      <x v="18"/>
      <x/>
      <x v="5"/>
      <x/>
      <x v="6"/>
      <x/>
      <x v="1"/>
      <x/>
    </i>
    <i r="5">
      <x v="3"/>
      <x/>
      <x/>
      <x/>
      <x/>
      <x v="1"/>
      <x/>
    </i>
    <i r="2">
      <x v="2"/>
      <x v="49"/>
      <x v="18"/>
      <x/>
      <x v="4"/>
      <x/>
      <x v="6"/>
      <x/>
      <x v="1"/>
      <x/>
    </i>
    <i r="5">
      <x v="3"/>
      <x/>
      <x/>
      <x/>
      <x/>
      <x v="1"/>
      <x/>
    </i>
    <i r="1">
      <x v="4"/>
      <x/>
      <x v="62"/>
      <x v="24"/>
      <x v="4"/>
      <x/>
      <x/>
      <x v="1"/>
      <x/>
      <x v="1"/>
      <x/>
    </i>
    <i r="2">
      <x v="1"/>
      <x v="41"/>
      <x v="15"/>
      <x v="4"/>
      <x/>
      <x/>
      <x v="1"/>
      <x/>
      <x v="1"/>
      <x/>
    </i>
    <i r="2">
      <x v="2"/>
      <x v="42"/>
      <x v="3"/>
      <x v="4"/>
      <x/>
      <x/>
      <x v="1"/>
      <x/>
      <x v="1"/>
      <x/>
    </i>
    <i>
      <x v="4"/>
      <x/>
      <x/>
      <x v="31"/>
      <x/>
      <x/>
      <x/>
      <x/>
      <x/>
      <x/>
      <x v="1"/>
      <x/>
    </i>
    <i r="5">
      <x v="1"/>
      <x/>
      <x/>
      <x/>
      <x/>
      <x v="1"/>
      <x/>
    </i>
    <i r="5">
      <x v="2"/>
      <x/>
      <x/>
      <x/>
      <x/>
      <x v="1"/>
      <x/>
    </i>
    <i r="5">
      <x v="3"/>
      <x/>
      <x/>
      <x/>
      <x/>
      <x v="1"/>
      <x/>
    </i>
    <i r="5">
      <x v="4"/>
      <x/>
      <x/>
      <x/>
      <x/>
      <x v="1"/>
      <x/>
    </i>
    <i r="3">
      <x v="35"/>
      <x v="11"/>
      <x v="1"/>
      <x/>
      <x/>
      <x/>
      <x/>
      <x v="1"/>
      <x/>
    </i>
    <i r="6">
      <x v="4"/>
      <x/>
      <x/>
      <x/>
      <x v="1"/>
      <x/>
    </i>
    <i r="5">
      <x v="3"/>
      <x v="5"/>
      <x/>
      <x/>
      <x/>
      <x v="1"/>
      <x/>
    </i>
    <i r="3">
      <x v="38"/>
      <x v="2"/>
      <x v="4"/>
      <x/>
      <x/>
      <x/>
      <x/>
      <x v="1"/>
      <x/>
    </i>
    <i r="2">
      <x v="1"/>
      <x v="29"/>
      <x v="6"/>
      <x/>
      <x/>
      <x/>
      <x/>
      <x/>
      <x v="1"/>
      <x/>
    </i>
    <i r="5">
      <x v="1"/>
      <x/>
      <x/>
      <x/>
      <x/>
      <x v="1"/>
      <x/>
    </i>
    <i r="5">
      <x v="3"/>
      <x/>
      <x/>
      <x/>
      <x/>
      <x v="1"/>
      <x/>
    </i>
    <i r="3">
      <x v="32"/>
      <x v="8"/>
      <x v="1"/>
      <x/>
      <x/>
      <x/>
      <x/>
      <x v="1"/>
      <x/>
    </i>
    <i r="5">
      <x v="2"/>
      <x/>
      <x/>
      <x/>
      <x/>
      <x v="1"/>
      <x/>
    </i>
    <i r="3">
      <x v="33"/>
      <x v="9"/>
      <x v="1"/>
      <x/>
      <x/>
      <x/>
      <x/>
      <x v="1"/>
      <x/>
    </i>
    <i r="5">
      <x v="3"/>
      <x/>
      <x/>
      <x/>
      <x/>
      <x v="1"/>
      <x/>
    </i>
    <i r="3">
      <x v="44"/>
      <x v="1"/>
      <x v="4"/>
      <x/>
      <x/>
      <x/>
      <x/>
      <x v="1"/>
      <x/>
    </i>
    <i r="3">
      <x v="47"/>
      <x v="17"/>
      <x v="4"/>
      <x/>
      <x/>
      <x/>
      <x/>
      <x v="1"/>
      <x/>
    </i>
    <i r="2">
      <x v="2"/>
      <x v="30"/>
      <x v="7"/>
      <x/>
      <x/>
      <x/>
      <x/>
      <x/>
      <x v="1"/>
      <x/>
    </i>
    <i r="5">
      <x v="1"/>
      <x/>
      <x/>
      <x/>
      <x/>
      <x v="1"/>
      <x/>
    </i>
    <i r="5">
      <x v="2"/>
      <x/>
      <x/>
      <x/>
      <x/>
      <x v="1"/>
      <x/>
    </i>
    <i r="3">
      <x v="34"/>
      <x v="10"/>
      <x v="1"/>
      <x/>
      <x/>
      <x/>
      <x/>
      <x v="1"/>
      <x/>
    </i>
    <i r="5">
      <x v="3"/>
      <x v="5"/>
      <x/>
      <x/>
      <x/>
      <x v="1"/>
      <x/>
    </i>
    <i r="3">
      <x v="37"/>
      <x v="13"/>
      <x v="4"/>
      <x/>
      <x/>
      <x/>
      <x/>
      <x v="1"/>
      <x/>
    </i>
    <i r="3">
      <x v="40"/>
      <x v="14"/>
      <x v="1"/>
      <x/>
      <x/>
      <x/>
      <x/>
      <x v="1"/>
      <x/>
    </i>
    <i r="5">
      <x v="3"/>
      <x/>
      <x/>
      <x/>
      <x/>
      <x v="1"/>
      <x/>
    </i>
    <i r="5">
      <x v="4"/>
      <x/>
      <x/>
      <x/>
      <x/>
      <x v="1"/>
      <x/>
    </i>
    <i r="1">
      <x v="1"/>
      <x/>
      <x v="31"/>
      <x/>
      <x/>
      <x/>
      <x/>
      <x v="4"/>
      <x/>
      <x v="1"/>
      <x/>
    </i>
    <i r="5">
      <x v="1"/>
      <x/>
      <x/>
      <x/>
      <x/>
      <x v="1"/>
      <x/>
    </i>
    <i r="5">
      <x v="3"/>
      <x/>
      <x/>
      <x/>
      <x/>
      <x v="1"/>
      <x/>
    </i>
    <i r="3">
      <x v="35"/>
      <x v="11"/>
      <x v="1"/>
      <x/>
      <x/>
      <x/>
      <x/>
      <x v="1"/>
      <x/>
    </i>
    <i r="5">
      <x v="2"/>
      <x/>
      <x/>
      <x/>
      <x/>
      <x v="1"/>
      <x/>
    </i>
    <i r="5">
      <x v="3"/>
      <x/>
      <x/>
      <x/>
      <x/>
      <x v="1"/>
      <x/>
    </i>
    <i r="5">
      <x v="4"/>
      <x/>
      <x/>
      <x/>
      <x/>
      <x v="1"/>
      <x/>
    </i>
    <i r="3">
      <x v="38"/>
      <x v="2"/>
      <x v="3"/>
      <x/>
      <x/>
      <x/>
      <x/>
      <x v="1"/>
      <x/>
    </i>
    <i r="3">
      <x v="43"/>
      <x v="16"/>
      <x v="3"/>
      <x/>
      <x/>
      <x v="1"/>
      <x/>
      <x v="1"/>
      <x/>
    </i>
    <i r="2">
      <x v="1"/>
      <x v="29"/>
      <x v="6"/>
      <x/>
      <x/>
      <x/>
      <x v="4"/>
      <x/>
      <x v="1"/>
      <x/>
    </i>
    <i r="5">
      <x v="1"/>
      <x/>
      <x/>
      <x/>
      <x/>
      <x v="1"/>
      <x/>
    </i>
    <i r="3">
      <x v="32"/>
      <x v="8"/>
      <x v="1"/>
      <x/>
      <x/>
      <x/>
      <x/>
      <x v="1"/>
      <x/>
    </i>
    <i r="5">
      <x v="3"/>
      <x/>
      <x/>
      <x/>
      <x/>
      <x v="1"/>
      <x/>
    </i>
    <i r="3">
      <x v="33"/>
      <x v="9"/>
      <x v="1"/>
      <x/>
      <x/>
      <x/>
      <x/>
      <x v="1"/>
      <x/>
    </i>
    <i r="5">
      <x v="4"/>
      <x/>
      <x/>
      <x/>
      <x/>
      <x v="1"/>
      <x/>
    </i>
    <i r="3">
      <x v="36"/>
      <x v="12"/>
      <x v="3"/>
      <x/>
      <x/>
      <x/>
      <x/>
      <x v="1"/>
      <x/>
    </i>
    <i r="3">
      <x v="41"/>
      <x v="15"/>
      <x v="3"/>
      <x/>
      <x/>
      <x v="1"/>
      <x/>
      <x v="1"/>
      <x/>
    </i>
    <i r="3">
      <x v="44"/>
      <x v="1"/>
      <x v="1"/>
      <x/>
      <x/>
      <x/>
      <x/>
      <x v="1"/>
      <x/>
    </i>
    <i r="5">
      <x v="2"/>
      <x/>
      <x/>
      <x/>
      <x/>
      <x v="1"/>
      <x/>
    </i>
    <i r="5">
      <x v="3"/>
      <x/>
      <x/>
      <x/>
      <x/>
      <x v="1"/>
      <x/>
    </i>
    <i r="2">
      <x v="2"/>
      <x v="30"/>
      <x v="7"/>
      <x/>
      <x/>
      <x/>
      <x v="4"/>
      <x/>
      <x v="1"/>
      <x/>
    </i>
    <i r="5">
      <x v="1"/>
      <x/>
      <x/>
      <x/>
      <x/>
      <x v="1"/>
      <x/>
    </i>
    <i r="5">
      <x v="3"/>
      <x/>
      <x/>
      <x/>
      <x/>
      <x v="1"/>
      <x/>
    </i>
    <i r="3">
      <x v="34"/>
      <x v="10"/>
      <x v="1"/>
      <x/>
      <x/>
      <x/>
      <x/>
      <x v="1"/>
      <x/>
    </i>
    <i r="5">
      <x v="4"/>
      <x/>
      <x/>
      <x/>
      <x/>
      <x v="1"/>
      <x/>
    </i>
    <i r="3">
      <x v="37"/>
      <x v="13"/>
      <x v="1"/>
      <x/>
      <x/>
      <x/>
      <x/>
      <x v="1"/>
      <x/>
    </i>
    <i r="5">
      <x v="2"/>
      <x/>
      <x/>
      <x/>
      <x/>
      <x v="1"/>
      <x/>
    </i>
    <i r="5">
      <x v="3"/>
      <x/>
      <x/>
      <x/>
      <x/>
      <x v="1"/>
      <x/>
    </i>
    <i r="3">
      <x v="42"/>
      <x v="3"/>
      <x v="3"/>
      <x/>
      <x/>
      <x/>
      <x/>
      <x v="1"/>
      <x/>
    </i>
    <i r="8">
      <x v="1"/>
      <x/>
      <x v="1"/>
      <x/>
    </i>
    <i r="1">
      <x v="3"/>
      <x/>
      <x v="50"/>
      <x v="18"/>
      <x v="3"/>
      <x/>
      <x v="5"/>
      <x v="1"/>
      <x/>
      <x/>
      <x/>
    </i>
    <i r="3">
      <x v="54"/>
      <x v="21"/>
      <x v="3"/>
      <x/>
      <x/>
      <x v="1"/>
      <x/>
      <x v="1"/>
      <x/>
    </i>
    <i r="3">
      <x v="65"/>
      <x v="25"/>
      <x v="3"/>
      <x/>
      <x/>
      <x v="1"/>
      <x/>
      <x v="1"/>
      <x/>
    </i>
    <i r="7">
      <x v="4"/>
      <x v="1"/>
      <x/>
      <x/>
      <x/>
    </i>
    <i r="3">
      <x v="67"/>
      <x v="4"/>
      <x v="1"/>
      <x/>
      <x v="4"/>
      <x/>
      <x/>
      <x/>
      <x/>
    </i>
    <i r="5">
      <x v="3"/>
      <x/>
      <x/>
      <x v="1"/>
      <x/>
      <x v="1"/>
      <x/>
    </i>
    <i r="5">
      <x v="4"/>
      <x/>
      <x/>
      <x v="1"/>
      <x/>
      <x v="1"/>
      <x/>
    </i>
    <i r="2">
      <x v="1"/>
      <x v="51"/>
      <x v="4"/>
      <x v="3"/>
      <x/>
      <x/>
      <x v="1"/>
      <x/>
      <x v="1"/>
      <x/>
    </i>
    <i r="3">
      <x v="68"/>
      <x v="26"/>
      <x v="1"/>
      <x/>
      <x/>
      <x/>
      <x/>
      <x v="1"/>
      <x/>
    </i>
    <i r="5">
      <x v="3"/>
      <x v="4"/>
      <x/>
      <x v="1"/>
      <x/>
      <x v="1"/>
      <x/>
    </i>
    <i r="3">
      <x v="71"/>
      <x v="28"/>
      <x v="3"/>
      <x/>
      <x/>
      <x v="1"/>
      <x/>
      <x v="1"/>
      <x/>
    </i>
    <i r="7">
      <x v="4"/>
      <x v="1"/>
      <x/>
      <x/>
      <x/>
    </i>
    <i r="3">
      <x v="72"/>
      <x v="18"/>
      <x v="4"/>
      <x/>
      <x/>
      <x v="1"/>
      <x/>
      <x v="1"/>
      <x/>
    </i>
    <i r="3">
      <x v="75"/>
      <x v="30"/>
      <x v="3"/>
      <x v="5"/>
      <x/>
      <x v="1"/>
      <x/>
      <x v="1"/>
      <x/>
    </i>
    <i r="2">
      <x v="2"/>
      <x v="53"/>
      <x v="20"/>
      <x v="3"/>
      <x/>
      <x/>
      <x v="1"/>
      <x/>
      <x v="1"/>
      <x/>
    </i>
    <i r="7">
      <x v="4"/>
      <x v="1"/>
      <x/>
      <x/>
      <x/>
    </i>
    <i r="3">
      <x v="66"/>
      <x v="24"/>
      <x v="1"/>
      <x v="2"/>
      <x v="6"/>
      <x/>
      <x/>
      <x v="1"/>
      <x v="2"/>
    </i>
    <i r="5">
      <x v="3"/>
      <x/>
      <x/>
      <x v="1"/>
      <x/>
      <x v="1"/>
      <x/>
    </i>
    <i r="7">
      <x v="5"/>
      <x v="1"/>
      <x/>
      <x/>
      <x/>
    </i>
    <i r="5">
      <x v="4"/>
      <x/>
      <x/>
      <x v="1"/>
      <x/>
      <x v="1"/>
      <x/>
    </i>
    <i r="1">
      <x v="4"/>
      <x/>
      <x v="31"/>
      <x/>
      <x v="1"/>
      <x/>
      <x/>
      <x v="1"/>
      <x/>
      <x v="1"/>
      <x/>
    </i>
    <i r="3">
      <x v="35"/>
      <x v="11"/>
      <x/>
      <x/>
      <x/>
      <x v="4"/>
      <x/>
      <x v="1"/>
      <x/>
    </i>
    <i r="3">
      <x v="38"/>
      <x v="2"/>
      <x/>
      <x/>
      <x/>
      <x v="4"/>
      <x/>
      <x v="1"/>
      <x/>
    </i>
    <i r="5">
      <x v="4"/>
      <x/>
      <x/>
      <x v="1"/>
      <x/>
      <x v="1"/>
      <x/>
    </i>
    <i r="3">
      <x v="46"/>
      <x v="5"/>
      <x v="2"/>
      <x/>
      <x/>
      <x v="1"/>
      <x/>
      <x v="1"/>
      <x/>
    </i>
    <i r="5">
      <x v="3"/>
      <x/>
      <x/>
      <x v="1"/>
      <x/>
      <x v="1"/>
      <x/>
    </i>
    <i r="3">
      <x v="54"/>
      <x v="21"/>
      <x v="1"/>
      <x/>
      <x/>
      <x/>
      <x/>
      <x v="1"/>
      <x/>
    </i>
    <i r="3">
      <x v="67"/>
      <x v="4"/>
      <x v="3"/>
      <x/>
      <x/>
      <x v="1"/>
      <x/>
      <x v="1"/>
      <x/>
    </i>
    <i r="2">
      <x v="1"/>
      <x v="29"/>
      <x v="6"/>
      <x v="1"/>
      <x/>
      <x/>
      <x v="1"/>
      <x/>
      <x v="1"/>
      <x/>
    </i>
    <i r="3">
      <x v="33"/>
      <x v="9"/>
      <x/>
      <x/>
      <x/>
      <x v="4"/>
      <x/>
      <x v="1"/>
      <x/>
    </i>
    <i r="3">
      <x v="36"/>
      <x v="12"/>
      <x/>
      <x/>
      <x/>
      <x v="4"/>
      <x/>
      <x v="1"/>
      <x/>
    </i>
    <i r="5">
      <x v="3"/>
      <x/>
      <x/>
      <x v="1"/>
      <x/>
      <x v="1"/>
      <x/>
    </i>
    <i r="3">
      <x v="41"/>
      <x v="15"/>
      <x v="2"/>
      <x/>
      <x/>
      <x v="1"/>
      <x/>
      <x v="1"/>
      <x/>
    </i>
    <i r="3">
      <x v="44"/>
      <x v="1"/>
      <x v="4"/>
      <x/>
      <x/>
      <x v="1"/>
      <x/>
      <x v="1"/>
      <x/>
    </i>
    <i r="3">
      <x v="52"/>
      <x v="19"/>
      <x v="1"/>
      <x/>
      <x/>
      <x/>
      <x/>
      <x v="1"/>
      <x/>
    </i>
    <i r="3">
      <x v="60"/>
      <x v="22"/>
      <x v="3"/>
      <x/>
      <x/>
      <x v="1"/>
      <x/>
      <x v="1"/>
      <x/>
    </i>
    <i r="2">
      <x v="2"/>
      <x v="30"/>
      <x v="7"/>
      <x v="1"/>
      <x/>
      <x/>
      <x v="1"/>
      <x/>
      <x v="1"/>
      <x/>
    </i>
    <i r="3">
      <x v="37"/>
      <x v="13"/>
      <x/>
      <x/>
      <x/>
      <x v="4"/>
      <x/>
      <x v="1"/>
      <x/>
    </i>
    <i r="5">
      <x v="4"/>
      <x/>
      <x/>
      <x v="1"/>
      <x/>
      <x v="1"/>
      <x/>
    </i>
    <i r="3">
      <x v="42"/>
      <x v="3"/>
      <x v="1"/>
      <x v="4"/>
      <x v="5"/>
      <x/>
      <x/>
      <x/>
      <x/>
    </i>
    <i r="5">
      <x v="2"/>
      <x/>
      <x/>
      <x v="1"/>
      <x/>
      <x v="1"/>
      <x/>
    </i>
    <i r="5">
      <x v="3"/>
      <x/>
      <x/>
      <x v="1"/>
      <x/>
      <x v="1"/>
      <x/>
    </i>
    <i r="3">
      <x v="74"/>
      <x v="29"/>
      <x v="3"/>
      <x/>
      <x/>
      <x v="1"/>
      <x/>
      <x v="1"/>
      <x/>
    </i>
    <i>
      <x v="5"/>
      <x/>
      <x/>
      <x v="31"/>
      <x/>
      <x v="1"/>
      <x/>
      <x/>
      <x/>
      <x/>
      <x v="1"/>
      <x/>
    </i>
    <i r="8">
      <x v="1"/>
      <x/>
      <x v="1"/>
      <x/>
    </i>
    <i r="8">
      <x v="6"/>
      <x/>
      <x v="1"/>
      <x/>
    </i>
    <i r="6">
      <x v="2"/>
      <x/>
      <x/>
      <x/>
      <x v="1"/>
      <x/>
    </i>
    <i r="8">
      <x v="1"/>
      <x/>
      <x v="1"/>
      <x/>
    </i>
    <i r="6">
      <x v="5"/>
      <x/>
      <x/>
      <x/>
      <x v="1"/>
      <x/>
    </i>
    <i r="6">
      <x v="6"/>
      <x/>
      <x/>
      <x/>
      <x v="1"/>
      <x/>
    </i>
    <i r="5">
      <x v="2"/>
      <x/>
      <x/>
      <x/>
      <x/>
      <x v="1"/>
      <x/>
    </i>
    <i r="3">
      <x v="35"/>
      <x v="11"/>
      <x v="1"/>
      <x/>
      <x/>
      <x/>
      <x/>
      <x v="1"/>
      <x/>
    </i>
    <i r="6">
      <x v="3"/>
      <x/>
      <x/>
      <x/>
      <x v="1"/>
      <x/>
    </i>
    <i r="6">
      <x v="4"/>
      <x/>
      <x/>
      <x/>
      <x v="1"/>
      <x/>
    </i>
    <i r="3">
      <x v="38"/>
      <x v="2"/>
      <x v="1"/>
      <x/>
      <x/>
      <x/>
      <x/>
      <x v="1"/>
      <x/>
    </i>
    <i r="3">
      <x v="39"/>
      <x v="13"/>
      <x v="1"/>
      <x/>
      <x/>
      <x/>
      <x/>
      <x v="1"/>
      <x/>
    </i>
    <i r="6">
      <x v="5"/>
      <x/>
      <x/>
      <x/>
      <x v="1"/>
      <x/>
    </i>
    <i r="3">
      <x v="46"/>
      <x v="5"/>
      <x v="1"/>
      <x v="5"/>
      <x/>
      <x/>
      <x/>
      <x v="1"/>
      <x/>
    </i>
    <i r="2">
      <x v="1"/>
      <x v="29"/>
      <x v="6"/>
      <x v="1"/>
      <x/>
      <x/>
      <x/>
      <x/>
      <x v="1"/>
      <x/>
    </i>
    <i r="8">
      <x v="1"/>
      <x/>
      <x v="1"/>
      <x/>
    </i>
    <i r="5">
      <x v="2"/>
      <x/>
      <x/>
      <x/>
      <x/>
      <x v="1"/>
      <x/>
    </i>
    <i r="3">
      <x v="32"/>
      <x v="8"/>
      <x v="1"/>
      <x/>
      <x/>
      <x/>
      <x/>
      <x v="1"/>
      <x/>
    </i>
    <i r="8">
      <x v="1"/>
      <x/>
      <x v="1"/>
      <x/>
    </i>
    <i r="6">
      <x v="2"/>
      <x/>
      <x/>
      <x/>
      <x v="1"/>
      <x/>
    </i>
    <i r="6">
      <x v="5"/>
      <x/>
      <x/>
      <x/>
      <x v="1"/>
      <x/>
    </i>
    <i r="5">
      <x v="2"/>
      <x/>
      <x/>
      <x/>
      <x/>
      <x v="1"/>
      <x/>
    </i>
    <i r="3">
      <x v="33"/>
      <x v="9"/>
      <x v="1"/>
      <x/>
      <x/>
      <x/>
      <x/>
      <x v="1"/>
      <x/>
    </i>
    <i r="3">
      <x v="36"/>
      <x v="12"/>
      <x v="1"/>
      <x/>
      <x/>
      <x/>
      <x/>
      <x v="1"/>
      <x/>
    </i>
    <i r="6">
      <x v="5"/>
      <x/>
      <x/>
      <x/>
      <x v="1"/>
      <x/>
    </i>
    <i r="3">
      <x v="44"/>
      <x v="1"/>
      <x v="1"/>
      <x/>
      <x/>
      <x/>
      <x/>
      <x v="1"/>
      <x/>
    </i>
    <i r="6">
      <x v="2"/>
      <x/>
      <x/>
      <x/>
      <x v="1"/>
      <x/>
    </i>
    <i r="3">
      <x v="47"/>
      <x v="17"/>
      <x v="1"/>
      <x/>
      <x/>
      <x v="1"/>
      <x/>
      <x v="1"/>
      <x/>
    </i>
    <i r="8">
      <x v="6"/>
      <x/>
      <x v="1"/>
      <x/>
    </i>
    <i r="2">
      <x v="2"/>
      <x v="30"/>
      <x v="7"/>
      <x v="1"/>
      <x/>
      <x/>
      <x/>
      <x/>
      <x v="1"/>
      <x/>
    </i>
    <i r="8">
      <x v="1"/>
      <x/>
      <x v="1"/>
      <x/>
    </i>
    <i r="6">
      <x v="2"/>
      <x/>
      <x/>
      <x/>
      <x v="1"/>
      <x/>
    </i>
    <i r="6">
      <x v="5"/>
      <x/>
      <x/>
      <x/>
      <x v="1"/>
      <x/>
    </i>
    <i r="5">
      <x v="2"/>
      <x/>
      <x/>
      <x/>
      <x/>
      <x v="1"/>
      <x/>
    </i>
    <i r="3">
      <x v="34"/>
      <x v="10"/>
      <x v="1"/>
      <x/>
      <x/>
      <x/>
      <x/>
      <x v="1"/>
      <x/>
    </i>
    <i r="6">
      <x v="2"/>
      <x/>
      <x/>
      <x/>
      <x v="1"/>
      <x/>
    </i>
    <i r="6">
      <x v="3"/>
      <x/>
      <x/>
      <x/>
      <x v="1"/>
      <x/>
    </i>
    <i r="3">
      <x v="37"/>
      <x v="13"/>
      <x v="1"/>
      <x/>
      <x/>
      <x/>
      <x/>
      <x v="1"/>
      <x/>
    </i>
    <i r="6">
      <x v="5"/>
      <x/>
      <x/>
      <x/>
      <x v="1"/>
      <x/>
    </i>
    <i r="3">
      <x v="40"/>
      <x v="14"/>
      <x v="1"/>
      <x/>
      <x/>
      <x/>
      <x/>
      <x v="1"/>
      <x/>
    </i>
    <i r="8">
      <x v="1"/>
      <x/>
      <x v="1"/>
      <x/>
    </i>
    <i r="8">
      <x v="6"/>
      <x/>
      <x v="1"/>
      <x/>
    </i>
    <i r="6">
      <x v="5"/>
      <x/>
      <x v="1"/>
      <x/>
      <x v="1"/>
      <x/>
    </i>
    <i r="3">
      <x v="45"/>
      <x v="2"/>
      <x v="1"/>
      <x/>
      <x/>
      <x/>
      <x/>
      <x v="1"/>
      <x/>
    </i>
    <i r="6">
      <x v="5"/>
      <x/>
      <x/>
      <x/>
      <x v="1"/>
      <x/>
    </i>
    <i r="1">
      <x v="1"/>
      <x/>
      <x v="31"/>
      <x/>
      <x v="1"/>
      <x/>
      <x/>
      <x/>
      <x/>
      <x v="1"/>
      <x/>
    </i>
    <i r="8">
      <x v="1"/>
      <x/>
      <x v="1"/>
      <x/>
    </i>
    <i r="7">
      <x v="4"/>
      <x/>
      <x/>
      <x/>
      <x/>
    </i>
    <i r="6">
      <x v="3"/>
      <x/>
      <x/>
      <x/>
      <x v="1"/>
      <x/>
    </i>
    <i r="5">
      <x v="3"/>
      <x/>
      <x v="4"/>
      <x/>
      <x/>
      <x/>
      <x/>
    </i>
    <i r="3">
      <x v="35"/>
      <x v="11"/>
      <x/>
      <x/>
      <x/>
      <x/>
      <x/>
      <x v="1"/>
      <x/>
    </i>
    <i r="6">
      <x v="1"/>
      <x/>
      <x/>
      <x/>
      <x v="1"/>
      <x/>
    </i>
    <i r="5">
      <x v="1"/>
      <x/>
      <x/>
      <x/>
      <x/>
      <x v="1"/>
      <x/>
    </i>
    <i r="6">
      <x v="1"/>
      <x/>
      <x/>
      <x/>
      <x v="1"/>
      <x/>
    </i>
    <i r="6">
      <x v="6"/>
      <x/>
      <x/>
      <x/>
      <x v="1"/>
      <x/>
    </i>
    <i r="5">
      <x v="3"/>
      <x/>
      <x/>
      <x/>
      <x/>
      <x v="1"/>
      <x/>
    </i>
    <i r="3">
      <x v="38"/>
      <x v="2"/>
      <x/>
      <x v="4"/>
      <x/>
      <x/>
      <x/>
      <x v="1"/>
      <x/>
    </i>
    <i r="5">
      <x v="1"/>
      <x/>
      <x/>
      <x/>
      <x/>
      <x v="1"/>
      <x/>
    </i>
    <i r="3">
      <x v="39"/>
      <x v="13"/>
      <x/>
      <x/>
      <x/>
      <x v="3"/>
      <x/>
      <x v="1"/>
      <x/>
    </i>
    <i r="5">
      <x v="1"/>
      <x/>
      <x/>
      <x/>
      <x/>
      <x v="1"/>
      <x/>
    </i>
    <i r="8">
      <x v="3"/>
      <x/>
      <x v="1"/>
      <x/>
    </i>
    <i r="6">
      <x v="4"/>
      <x/>
      <x/>
      <x/>
      <x v="1"/>
      <x/>
    </i>
    <i r="3">
      <x v="46"/>
      <x v="5"/>
      <x v="1"/>
      <x/>
      <x/>
      <x/>
      <x/>
      <x v="1"/>
      <x/>
    </i>
    <i r="3">
      <x v="67"/>
      <x v="4"/>
      <x v="1"/>
      <x/>
      <x/>
      <x/>
      <x/>
      <x v="1"/>
      <x/>
    </i>
    <i r="2">
      <x v="1"/>
      <x v="29"/>
      <x v="6"/>
      <x v="1"/>
      <x/>
      <x/>
      <x/>
      <x/>
      <x v="1"/>
      <x/>
    </i>
    <i r="3">
      <x v="32"/>
      <x v="8"/>
      <x v="1"/>
      <x/>
      <x/>
      <x/>
      <x/>
      <x v="1"/>
      <x/>
    </i>
    <i r="3">
      <x v="33"/>
      <x v="9"/>
      <x/>
      <x/>
      <x/>
      <x/>
      <x/>
      <x v="1"/>
      <x/>
    </i>
    <i r="5">
      <x v="1"/>
      <x/>
      <x/>
      <x/>
      <x/>
      <x v="1"/>
      <x/>
    </i>
    <i r="8">
      <x v="1"/>
      <x/>
      <x v="1"/>
      <x/>
    </i>
    <i r="5">
      <x v="3"/>
      <x/>
      <x/>
      <x/>
      <x/>
      <x v="1"/>
      <x/>
    </i>
    <i r="3">
      <x v="36"/>
      <x v="12"/>
      <x/>
      <x/>
      <x/>
      <x/>
      <x/>
      <x v="1"/>
      <x/>
    </i>
    <i r="5">
      <x v="1"/>
      <x/>
      <x/>
      <x/>
      <x/>
      <x v="1"/>
      <x/>
    </i>
    <i r="5">
      <x v="3"/>
      <x/>
      <x/>
      <x/>
      <x/>
      <x v="1"/>
      <x/>
    </i>
    <i r="3">
      <x v="44"/>
      <x v="1"/>
      <x/>
      <x/>
      <x/>
      <x/>
      <x/>
      <x v="1"/>
      <x/>
    </i>
    <i r="8">
      <x v="3"/>
      <x/>
      <x v="1"/>
      <x/>
    </i>
    <i r="5">
      <x v="1"/>
      <x/>
      <x/>
      <x/>
      <x/>
      <x v="1"/>
      <x/>
    </i>
    <i r="8">
      <x v="3"/>
      <x/>
      <x v="1"/>
      <x/>
    </i>
    <i r="6">
      <x v="2"/>
      <x/>
      <x/>
      <x/>
      <x v="1"/>
      <x/>
    </i>
    <i r="3">
      <x v="60"/>
      <x v="22"/>
      <x v="1"/>
      <x/>
      <x/>
      <x/>
      <x/>
      <x v="1"/>
      <x/>
    </i>
    <i r="2">
      <x v="2"/>
      <x v="30"/>
      <x v="7"/>
      <x v="1"/>
      <x/>
      <x/>
      <x/>
      <x/>
      <x v="1"/>
      <x/>
    </i>
    <i r="8">
      <x v="1"/>
      <x/>
      <x v="1"/>
      <x/>
    </i>
    <i r="6">
      <x v="2"/>
      <x/>
      <x/>
      <x/>
      <x v="1"/>
      <x/>
    </i>
    <i r="3">
      <x v="34"/>
      <x v="10"/>
      <x/>
      <x/>
      <x/>
      <x/>
      <x/>
      <x v="1"/>
      <x/>
    </i>
    <i r="5">
      <x v="1"/>
      <x/>
      <x/>
      <x/>
      <x/>
      <x v="1"/>
      <x/>
    </i>
    <i r="6">
      <x v="3"/>
      <x/>
      <x/>
      <x/>
      <x v="1"/>
      <x/>
    </i>
    <i r="6">
      <x v="6"/>
      <x/>
      <x/>
      <x/>
      <x v="1"/>
      <x/>
    </i>
    <i r="5">
      <x v="3"/>
      <x v="1"/>
      <x/>
      <x/>
      <x/>
      <x v="1"/>
      <x/>
    </i>
    <i r="3">
      <x v="37"/>
      <x v="13"/>
      <x/>
      <x/>
      <x/>
      <x/>
      <x/>
      <x v="1"/>
      <x/>
    </i>
    <i r="8">
      <x v="3"/>
      <x/>
      <x v="1"/>
      <x/>
    </i>
    <i r="6">
      <x v="4"/>
      <x/>
      <x/>
      <x/>
      <x v="1"/>
      <x/>
    </i>
    <i r="5">
      <x v="1"/>
      <x/>
      <x/>
      <x/>
      <x/>
      <x v="1"/>
      <x/>
    </i>
    <i r="8">
      <x v="3"/>
      <x/>
      <x v="1"/>
      <x/>
    </i>
    <i r="6">
      <x v="4"/>
      <x/>
      <x/>
      <x/>
      <x v="1"/>
      <x/>
    </i>
    <i r="3">
      <x v="40"/>
      <x v="14"/>
      <x v="1"/>
      <x/>
      <x/>
      <x/>
      <x/>
      <x v="1"/>
      <x/>
    </i>
    <i r="3">
      <x v="42"/>
      <x v="3"/>
      <x v="1"/>
      <x/>
      <x/>
      <x/>
      <x/>
      <x v="1"/>
      <x/>
    </i>
    <i r="5">
      <x v="3"/>
      <x/>
      <x/>
      <x/>
      <x/>
      <x v="1"/>
      <x/>
    </i>
    <i r="3">
      <x v="45"/>
      <x v="2"/>
      <x v="1"/>
      <x/>
      <x/>
      <x/>
      <x/>
      <x v="1"/>
      <x/>
    </i>
    <i r="1">
      <x v="2"/>
      <x/>
      <x v="35"/>
      <x v="11"/>
      <x v="1"/>
      <x/>
      <x/>
      <x/>
      <x/>
      <x v="1"/>
      <x/>
    </i>
    <i r="3">
      <x v="38"/>
      <x v="2"/>
      <x v="1"/>
      <x/>
      <x/>
      <x/>
      <x/>
      <x v="1"/>
      <x/>
    </i>
    <i r="3">
      <x v="39"/>
      <x v="13"/>
      <x/>
      <x/>
      <x/>
      <x v="3"/>
      <x/>
      <x v="1"/>
      <x/>
    </i>
    <i r="3">
      <x v="62"/>
      <x v="24"/>
      <x v="1"/>
      <x v="5"/>
      <x/>
      <x/>
      <x/>
      <x v="1"/>
      <x/>
    </i>
    <i r="2">
      <x v="1"/>
      <x v="36"/>
      <x v="12"/>
      <x/>
      <x/>
      <x/>
      <x v="3"/>
      <x/>
      <x v="1"/>
      <x/>
    </i>
    <i r="5">
      <x v="1"/>
      <x/>
      <x/>
      <x/>
      <x/>
      <x v="1"/>
      <x/>
    </i>
    <i r="3">
      <x v="41"/>
      <x v="15"/>
      <x v="1"/>
      <x/>
      <x/>
      <x/>
      <x/>
      <x v="1"/>
      <x/>
    </i>
    <i r="3">
      <x v="44"/>
      <x v="1"/>
      <x v="1"/>
      <x/>
      <x/>
      <x/>
      <x/>
      <x v="1"/>
      <x/>
    </i>
    <i r="2">
      <x v="2"/>
      <x v="37"/>
      <x v="13"/>
      <x/>
      <x/>
      <x/>
      <x v="3"/>
      <x/>
      <x v="1"/>
      <x/>
    </i>
    <i r="5">
      <x v="1"/>
      <x/>
      <x/>
      <x/>
      <x/>
      <x v="1"/>
      <x/>
    </i>
    <i r="3">
      <x v="42"/>
      <x v="3"/>
      <x v="1"/>
      <x/>
      <x/>
      <x/>
      <x/>
      <x v="1"/>
      <x/>
    </i>
    <i r="1">
      <x v="3"/>
      <x/>
      <x v="43"/>
      <x v="16"/>
      <x v="1"/>
      <x/>
      <x/>
      <x/>
      <x/>
      <x v="1"/>
      <x/>
    </i>
    <i r="3">
      <x v="50"/>
      <x v="18"/>
      <x v="1"/>
      <x/>
      <x v="4"/>
      <x/>
      <x/>
      <x/>
      <x/>
    </i>
    <i r="2">
      <x v="1"/>
      <x v="68"/>
      <x v="26"/>
      <x v="1"/>
      <x/>
      <x/>
      <x/>
      <x/>
      <x v="1"/>
      <x/>
    </i>
    <i r="3">
      <x v="75"/>
      <x v="30"/>
      <x v="1"/>
      <x v="5"/>
      <x v="4"/>
      <x/>
      <x/>
      <x/>
      <x/>
    </i>
    <i r="2">
      <x v="2"/>
      <x v="53"/>
      <x v="20"/>
      <x v="1"/>
      <x/>
      <x/>
      <x/>
      <x/>
      <x v="1"/>
      <x/>
    </i>
    <i r="3">
      <x v="66"/>
      <x v="24"/>
      <x v="1"/>
      <x/>
      <x v="4"/>
      <x/>
      <x/>
      <x/>
      <x/>
    </i>
    <i r="1">
      <x v="4"/>
      <x/>
      <x v="38"/>
      <x v="2"/>
      <x v="1"/>
      <x/>
      <x/>
      <x v="1"/>
      <x/>
      <x v="1"/>
      <x/>
    </i>
    <i r="3">
      <x v="43"/>
      <x v="16"/>
      <x v="1"/>
      <x/>
      <x/>
      <x v="1"/>
      <x/>
      <x v="1"/>
      <x/>
    </i>
    <i r="3">
      <x v="46"/>
      <x v="5"/>
      <x v="4"/>
      <x/>
      <x/>
      <x v="1"/>
      <x/>
      <x v="1"/>
      <x/>
    </i>
    <i r="2">
      <x v="1"/>
      <x v="36"/>
      <x v="12"/>
      <x v="1"/>
      <x/>
      <x/>
      <x v="1"/>
      <x/>
      <x v="1"/>
      <x/>
    </i>
    <i r="3">
      <x v="41"/>
      <x v="15"/>
      <x v="4"/>
      <x/>
      <x/>
      <x v="1"/>
      <x/>
      <x v="1"/>
      <x/>
    </i>
    <i r="3">
      <x v="60"/>
      <x v="22"/>
      <x v="1"/>
      <x/>
      <x/>
      <x v="1"/>
      <x/>
      <x v="1"/>
      <x/>
    </i>
    <i r="2">
      <x v="2"/>
      <x v="37"/>
      <x v="13"/>
      <x v="1"/>
      <x/>
      <x/>
      <x v="1"/>
      <x/>
      <x v="1"/>
      <x/>
    </i>
    <i r="3">
      <x v="42"/>
      <x v="3"/>
      <x v="4"/>
      <x/>
      <x/>
      <x v="1"/>
      <x/>
      <x v="1"/>
      <x/>
    </i>
    <i r="3">
      <x v="74"/>
      <x v="29"/>
      <x v="1"/>
      <x/>
      <x/>
      <x v="1"/>
      <x/>
      <x v="1"/>
      <x/>
    </i>
    <i>
      <x v="6"/>
      <x v="4"/>
      <x/>
      <x v="65"/>
      <x v="25"/>
      <x v="3"/>
      <x v="5"/>
      <x/>
      <x v="1"/>
      <x/>
      <x v="1"/>
      <x/>
    </i>
    <i r="2">
      <x v="1"/>
      <x v="76"/>
      <x v="31"/>
      <x v="3"/>
      <x v="4"/>
      <x/>
      <x v="1"/>
      <x/>
      <x v="1"/>
      <x/>
    </i>
    <i r="2">
      <x v="2"/>
      <x v="77"/>
      <x v="32"/>
      <x v="3"/>
      <x/>
      <x/>
      <x v="1"/>
      <x/>
      <x v="1"/>
      <x/>
    </i>
    <i t="grand">
      <x/>
    </i>
  </rowItems>
  <colItems count="1">
    <i/>
  </colItems>
  <pageFields count="1">
    <pageField fld="1" item="0" hier="-1"/>
  </pageFields>
  <dataFields count="1">
    <dataField name="Sum of Número de logradouros" fld="14" baseField="0" baseItem="0"/>
  </dataFields>
  <formats count="26">
    <format dxfId="49">
      <pivotArea field="2" type="button" dataOnly="0" labelOnly="1" outline="0" axis="axisRow" fieldPosition="0"/>
    </format>
    <format dxfId="48">
      <pivotArea field="3" type="button" dataOnly="0" labelOnly="1" outline="0" axis="axisRow" fieldPosition="1"/>
    </format>
    <format dxfId="47">
      <pivotArea field="4" type="button" dataOnly="0" labelOnly="1" outline="0" axis="axisRow" fieldPosition="2"/>
    </format>
    <format dxfId="46">
      <pivotArea field="5" type="button" dataOnly="0" labelOnly="1" outline="0" axis="axisRow" fieldPosition="3"/>
    </format>
    <format dxfId="45">
      <pivotArea field="6" type="button" dataOnly="0" labelOnly="1" outline="0" axis="axisRow" fieldPosition="4"/>
    </format>
    <format dxfId="44">
      <pivotArea field="7" type="button" dataOnly="0" labelOnly="1" outline="0" axis="axisRow" fieldPosition="5"/>
    </format>
    <format dxfId="43">
      <pivotArea field="8" type="button" dataOnly="0" labelOnly="1" outline="0" axis="axisRow" fieldPosition="6"/>
    </format>
    <format dxfId="42">
      <pivotArea field="9" type="button" dataOnly="0" labelOnly="1" outline="0" axis="axisRow" fieldPosition="7"/>
    </format>
    <format dxfId="41">
      <pivotArea field="10" type="button" dataOnly="0" labelOnly="1" outline="0" axis="axisRow" fieldPosition="8"/>
    </format>
    <format dxfId="40">
      <pivotArea field="11" type="button" dataOnly="0" labelOnly="1" outline="0" axis="axisRow" fieldPosition="9"/>
    </format>
    <format dxfId="39">
      <pivotArea field="12" type="button" dataOnly="0" labelOnly="1" outline="0" axis="axisRow" fieldPosition="10"/>
    </format>
    <format dxfId="38">
      <pivotArea field="13" type="button" dataOnly="0" labelOnly="1" outline="0" axis="axisRow" fieldPosition="11"/>
    </format>
    <format dxfId="37">
      <pivotArea dataOnly="0" labelOnly="1" outline="0" axis="axisValues" fieldPosition="0"/>
    </format>
    <format dxfId="36">
      <pivotArea field="2" type="button" dataOnly="0" labelOnly="1" outline="0" axis="axisRow" fieldPosition="0"/>
    </format>
    <format dxfId="35">
      <pivotArea field="3" type="button" dataOnly="0" labelOnly="1" outline="0" axis="axisRow" fieldPosition="1"/>
    </format>
    <format dxfId="34">
      <pivotArea field="4" type="button" dataOnly="0" labelOnly="1" outline="0" axis="axisRow" fieldPosition="2"/>
    </format>
    <format dxfId="33">
      <pivotArea field="5" type="button" dataOnly="0" labelOnly="1" outline="0" axis="axisRow" fieldPosition="3"/>
    </format>
    <format dxfId="32">
      <pivotArea field="6" type="button" dataOnly="0" labelOnly="1" outline="0" axis="axisRow" fieldPosition="4"/>
    </format>
    <format dxfId="31">
      <pivotArea field="7" type="button" dataOnly="0" labelOnly="1" outline="0" axis="axisRow" fieldPosition="5"/>
    </format>
    <format dxfId="30">
      <pivotArea field="8" type="button" dataOnly="0" labelOnly="1" outline="0" axis="axisRow" fieldPosition="6"/>
    </format>
    <format dxfId="29">
      <pivotArea field="9" type="button" dataOnly="0" labelOnly="1" outline="0" axis="axisRow" fieldPosition="7"/>
    </format>
    <format dxfId="28">
      <pivotArea field="10" type="button" dataOnly="0" labelOnly="1" outline="0" axis="axisRow" fieldPosition="8"/>
    </format>
    <format dxfId="27">
      <pivotArea field="11" type="button" dataOnly="0" labelOnly="1" outline="0" axis="axisRow" fieldPosition="9"/>
    </format>
    <format dxfId="26">
      <pivotArea field="12" type="button" dataOnly="0" labelOnly="1" outline="0" axis="axisRow" fieldPosition="10"/>
    </format>
    <format dxfId="25">
      <pivotArea field="13" type="button" dataOnly="0" labelOnly="1" outline="0" axis="axisRow" fieldPosition="11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2:I1000"/>
  <sheetViews>
    <sheetView workbookViewId="0">
      <selection activeCell="E15" sqref="E15"/>
    </sheetView>
  </sheetViews>
  <sheetFormatPr defaultColWidth="14.44140625" defaultRowHeight="15" customHeight="1" x14ac:dyDescent="0.3"/>
  <cols>
    <col min="1" max="1" width="7.44140625" customWidth="1"/>
    <col min="2" max="2" width="14.33203125" customWidth="1"/>
    <col min="3" max="3" width="15.5546875" customWidth="1"/>
    <col min="4" max="4" width="9.5546875" customWidth="1"/>
    <col min="5" max="5" width="15.33203125" customWidth="1"/>
    <col min="6" max="6" width="12.88671875" customWidth="1"/>
    <col min="7" max="7" width="12.109375" customWidth="1"/>
    <col min="8" max="8" width="12.44140625" customWidth="1"/>
    <col min="9" max="9" width="48.5546875" customWidth="1"/>
    <col min="10" max="26" width="8.6640625" customWidth="1"/>
  </cols>
  <sheetData>
    <row r="2" spans="2:9" ht="14.4" x14ac:dyDescent="0.3">
      <c r="D2" s="1" t="s">
        <v>0</v>
      </c>
    </row>
    <row r="3" spans="2:9" ht="14.4" x14ac:dyDescent="0.3">
      <c r="B3" s="168" t="s">
        <v>1</v>
      </c>
      <c r="C3" s="169"/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  <row r="4" spans="2:9" ht="14.4" x14ac:dyDescent="0.3">
      <c r="B4" s="3" t="s">
        <v>8</v>
      </c>
      <c r="C4" s="3" t="s">
        <v>9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4" t="s">
        <v>10</v>
      </c>
    </row>
    <row r="5" spans="2:9" ht="14.4" x14ac:dyDescent="0.3">
      <c r="B5" s="3" t="s">
        <v>11</v>
      </c>
      <c r="C5" s="3" t="s">
        <v>12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4" t="s">
        <v>10</v>
      </c>
    </row>
    <row r="6" spans="2:9" ht="14.4" x14ac:dyDescent="0.3">
      <c r="B6" s="3" t="s">
        <v>13</v>
      </c>
      <c r="C6" s="4" t="s">
        <v>14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5" t="s">
        <v>15</v>
      </c>
    </row>
    <row r="7" spans="2:9" ht="14.4" x14ac:dyDescent="0.3">
      <c r="B7" s="3" t="s">
        <v>16</v>
      </c>
      <c r="C7" s="3" t="s">
        <v>17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4" t="s">
        <v>10</v>
      </c>
    </row>
    <row r="8" spans="2:9" ht="14.4" x14ac:dyDescent="0.3">
      <c r="B8" s="3" t="s">
        <v>18</v>
      </c>
      <c r="C8" s="3" t="s">
        <v>19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4" t="s">
        <v>10</v>
      </c>
    </row>
    <row r="9" spans="2:9" ht="14.4" x14ac:dyDescent="0.3">
      <c r="B9" s="3" t="s">
        <v>20</v>
      </c>
      <c r="C9" s="3" t="s">
        <v>21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5" t="s">
        <v>15</v>
      </c>
    </row>
    <row r="10" spans="2:9" ht="14.4" x14ac:dyDescent="0.3">
      <c r="B10" s="3" t="s">
        <v>22</v>
      </c>
      <c r="C10" s="3" t="s">
        <v>23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5" t="s">
        <v>15</v>
      </c>
    </row>
    <row r="11" spans="2:9" ht="14.4" x14ac:dyDescent="0.3">
      <c r="B11" s="3" t="s">
        <v>24</v>
      </c>
      <c r="C11" s="3" t="s">
        <v>25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4" t="s">
        <v>10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3:C3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DV25"/>
  <sheetViews>
    <sheetView tabSelected="1" zoomScale="85" zoomScaleNormal="85" workbookViewId="0">
      <pane xSplit="11" ySplit="1" topLeftCell="L2" activePane="bottomRight" state="frozen"/>
      <selection pane="topRight" activeCell="G1" sqref="G1"/>
      <selection pane="bottomLeft" activeCell="A2" sqref="A2"/>
      <selection pane="bottomRight" activeCell="H2" sqref="H2:H7"/>
    </sheetView>
  </sheetViews>
  <sheetFormatPr defaultColWidth="14.44140625" defaultRowHeight="15" customHeight="1" x14ac:dyDescent="0.3"/>
  <cols>
    <col min="1" max="1" width="30.88671875" style="153" customWidth="1"/>
    <col min="2" max="2" width="13.77734375" style="153" hidden="1" customWidth="1"/>
    <col min="3" max="3" width="22.21875" style="153" hidden="1" customWidth="1"/>
    <col min="4" max="4" width="14.6640625" style="153" hidden="1" customWidth="1"/>
    <col min="5" max="5" width="23" style="153" hidden="1" customWidth="1"/>
    <col min="6" max="6" width="28" bestFit="1" customWidth="1"/>
    <col min="7" max="7" width="9.5546875" customWidth="1"/>
    <col min="8" max="8" width="36.33203125" bestFit="1" customWidth="1"/>
    <col min="9" max="10" width="18.33203125" bestFit="1" customWidth="1"/>
    <col min="11" max="11" width="26" bestFit="1" customWidth="1"/>
    <col min="12" max="12" width="12.6640625" customWidth="1"/>
    <col min="13" max="13" width="12" customWidth="1"/>
    <col min="14" max="14" width="19.109375" customWidth="1"/>
    <col min="15" max="15" width="12.33203125" customWidth="1"/>
    <col min="16" max="16" width="9" customWidth="1"/>
    <col min="17" max="17" width="10.6640625" customWidth="1"/>
    <col min="18" max="18" width="12.109375" customWidth="1"/>
    <col min="19" max="19" width="9.6640625" style="151" customWidth="1"/>
    <col min="20" max="20" width="15.6640625" customWidth="1"/>
    <col min="21" max="21" width="11.6640625" customWidth="1"/>
    <col min="22" max="23" width="14.44140625" style="145" customWidth="1"/>
    <col min="24" max="24" width="12.5546875" style="145" customWidth="1"/>
    <col min="25" max="25" width="13.109375" customWidth="1"/>
    <col min="26" max="26" width="15.33203125" customWidth="1"/>
    <col min="27" max="27" width="17.6640625" bestFit="1" customWidth="1"/>
    <col min="28" max="28" width="17.6640625" customWidth="1"/>
    <col min="29" max="29" width="15" customWidth="1"/>
    <col min="30" max="30" width="15.109375" customWidth="1"/>
    <col min="31" max="31" width="17.88671875" customWidth="1"/>
    <col min="32" max="32" width="13" customWidth="1"/>
    <col min="33" max="33" width="13.88671875" customWidth="1"/>
    <col min="34" max="34" width="14.6640625" customWidth="1"/>
    <col min="35" max="35" width="15" customWidth="1"/>
    <col min="36" max="36" width="14.33203125" customWidth="1"/>
    <col min="37" max="37" width="13.44140625" customWidth="1"/>
    <col min="38" max="38" width="12.6640625" customWidth="1"/>
    <col min="39" max="39" width="15.109375" customWidth="1"/>
    <col min="40" max="40" width="14" customWidth="1"/>
    <col min="41" max="41" width="12.5546875" customWidth="1"/>
    <col min="42" max="42" width="20.109375" customWidth="1"/>
    <col min="43" max="44" width="15.88671875" customWidth="1"/>
    <col min="45" max="45" width="15.5546875" customWidth="1"/>
    <col min="46" max="46" width="17.33203125" customWidth="1"/>
    <col min="47" max="47" width="9.5546875" customWidth="1"/>
    <col min="48" max="48" width="14" customWidth="1"/>
    <col min="49" max="49" width="19.5546875" customWidth="1"/>
    <col min="50" max="50" width="23.6640625" customWidth="1"/>
    <col min="51" max="51" width="15.44140625" customWidth="1"/>
    <col min="52" max="52" width="12.6640625" customWidth="1"/>
    <col min="53" max="53" width="13.44140625" customWidth="1"/>
    <col min="54" max="54" width="15.5546875" customWidth="1"/>
    <col min="55" max="55" width="13.33203125" customWidth="1"/>
    <col min="56" max="56" width="11.88671875" customWidth="1"/>
    <col min="57" max="57" width="19.33203125" customWidth="1"/>
    <col min="58" max="58" width="31.5546875" bestFit="1" customWidth="1"/>
    <col min="59" max="59" width="23.44140625" bestFit="1" customWidth="1"/>
    <col min="60" max="60" width="21.109375" bestFit="1" customWidth="1"/>
    <col min="61" max="61" width="21" bestFit="1" customWidth="1"/>
    <col min="62" max="62" width="23.44140625" bestFit="1" customWidth="1"/>
    <col min="63" max="63" width="11.33203125" customWidth="1"/>
    <col min="64" max="64" width="13.33203125" customWidth="1"/>
    <col min="65" max="65" width="11" customWidth="1"/>
    <col min="66" max="66" width="8.88671875" customWidth="1"/>
    <col min="67" max="67" width="20.33203125" customWidth="1"/>
    <col min="68" max="68" width="21.44140625" customWidth="1"/>
    <col min="69" max="69" width="18.44140625" customWidth="1"/>
    <col min="70" max="70" width="21.44140625" customWidth="1"/>
    <col min="71" max="71" width="11.33203125" customWidth="1"/>
    <col min="72" max="72" width="13.5546875" customWidth="1"/>
    <col min="73" max="73" width="16.33203125" customWidth="1"/>
    <col min="74" max="74" width="14.5546875" customWidth="1"/>
    <col min="75" max="75" width="17.109375" customWidth="1"/>
    <col min="76" max="76" width="17.33203125" customWidth="1"/>
    <col min="77" max="77" width="19.109375" customWidth="1"/>
    <col min="78" max="78" width="20.33203125" customWidth="1"/>
    <col min="79" max="79" width="16.44140625" customWidth="1"/>
    <col min="80" max="80" width="18.44140625" customWidth="1"/>
    <col min="81" max="81" width="13.5546875" customWidth="1"/>
    <col min="82" max="82" width="21.109375" customWidth="1"/>
    <col min="83" max="83" width="14.5546875" customWidth="1"/>
    <col min="84" max="84" width="14.6640625" customWidth="1"/>
    <col min="85" max="85" width="16.6640625" customWidth="1"/>
    <col min="86" max="86" width="17.6640625" customWidth="1"/>
    <col min="87" max="87" width="17.88671875" customWidth="1"/>
    <col min="88" max="88" width="26.5546875" customWidth="1"/>
    <col min="89" max="89" width="21.33203125" customWidth="1"/>
    <col min="90" max="90" width="20" bestFit="1" customWidth="1"/>
    <col min="91" max="91" width="47.88671875" bestFit="1" customWidth="1"/>
    <col min="92" max="92" width="67.33203125" bestFit="1" customWidth="1"/>
    <col min="93" max="93" width="22.33203125" customWidth="1"/>
    <col min="94" max="94" width="27.6640625" customWidth="1"/>
    <col min="95" max="95" width="21.6640625" customWidth="1"/>
    <col min="96" max="96" width="23.6640625" customWidth="1"/>
    <col min="97" max="97" width="25.109375" customWidth="1"/>
    <col min="98" max="98" width="22.6640625" customWidth="1"/>
    <col min="99" max="99" width="25" customWidth="1"/>
    <col min="100" max="100" width="20.88671875" customWidth="1"/>
    <col min="101" max="101" width="13.88671875" customWidth="1"/>
    <col min="102" max="102" width="20.109375" customWidth="1"/>
    <col min="103" max="103" width="15.109375" customWidth="1"/>
    <col min="104" max="104" width="14.88671875" customWidth="1"/>
    <col min="105" max="105" width="19.109375" customWidth="1"/>
    <col min="106" max="106" width="31" customWidth="1"/>
    <col min="107" max="107" width="19.44140625" customWidth="1"/>
    <col min="108" max="108" width="19.5546875" customWidth="1"/>
    <col min="109" max="109" width="100.5546875" bestFit="1" customWidth="1"/>
    <col min="110" max="110" width="26.5546875" customWidth="1"/>
    <col min="111" max="111" width="37.33203125" customWidth="1"/>
    <col min="112" max="112" width="14.33203125" customWidth="1"/>
    <col min="113" max="113" width="12" customWidth="1"/>
    <col min="114" max="114" width="13.6640625" customWidth="1"/>
    <col min="115" max="115" width="20.109375" customWidth="1"/>
    <col min="116" max="116" width="16" customWidth="1"/>
    <col min="117" max="117" width="11.88671875" customWidth="1"/>
    <col min="118" max="118" width="12.33203125" customWidth="1"/>
    <col min="119" max="119" width="16.5546875" customWidth="1"/>
    <col min="120" max="120" width="8.6640625" customWidth="1"/>
    <col min="121" max="121" width="17.88671875" bestFit="1" customWidth="1"/>
    <col min="122" max="126" width="8.6640625" customWidth="1"/>
  </cols>
  <sheetData>
    <row r="1" spans="1:126" ht="51" customHeight="1" x14ac:dyDescent="0.3">
      <c r="A1" s="151" t="s">
        <v>666</v>
      </c>
      <c r="B1" s="151" t="s">
        <v>122</v>
      </c>
      <c r="C1" s="151" t="s">
        <v>670</v>
      </c>
      <c r="D1" s="151" t="s">
        <v>123</v>
      </c>
      <c r="E1" s="151" t="s">
        <v>671</v>
      </c>
      <c r="F1" s="159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152" t="s">
        <v>667</v>
      </c>
      <c r="L1" s="6" t="s">
        <v>31</v>
      </c>
      <c r="M1" s="6" t="s">
        <v>32</v>
      </c>
      <c r="N1" s="6" t="s">
        <v>33</v>
      </c>
      <c r="O1" s="6" t="s">
        <v>34</v>
      </c>
      <c r="P1" s="6" t="s">
        <v>656</v>
      </c>
      <c r="Q1" s="6" t="s">
        <v>35</v>
      </c>
      <c r="R1" s="6" t="s">
        <v>36</v>
      </c>
      <c r="S1" s="7" t="s">
        <v>660</v>
      </c>
      <c r="T1" s="6" t="s">
        <v>37</v>
      </c>
      <c r="U1" s="6" t="s">
        <v>38</v>
      </c>
      <c r="V1" s="6" t="s">
        <v>39</v>
      </c>
      <c r="W1" s="6" t="s">
        <v>40</v>
      </c>
      <c r="X1" s="6" t="s">
        <v>41</v>
      </c>
      <c r="Y1" s="6" t="s">
        <v>42</v>
      </c>
      <c r="Z1" s="6" t="s">
        <v>43</v>
      </c>
      <c r="AA1" s="6" t="s">
        <v>44</v>
      </c>
      <c r="AB1" s="6" t="s">
        <v>45</v>
      </c>
      <c r="AC1" s="150" t="s">
        <v>46</v>
      </c>
      <c r="AD1" s="150" t="s">
        <v>47</v>
      </c>
      <c r="AE1" s="150" t="s">
        <v>48</v>
      </c>
      <c r="AF1" s="150" t="s">
        <v>49</v>
      </c>
      <c r="AG1" s="144" t="s">
        <v>659</v>
      </c>
      <c r="AH1" s="144" t="s">
        <v>658</v>
      </c>
      <c r="AI1" s="144" t="s">
        <v>50</v>
      </c>
      <c r="AJ1" s="144" t="s">
        <v>51</v>
      </c>
      <c r="AK1" s="144" t="s">
        <v>52</v>
      </c>
      <c r="AL1" s="144" t="s">
        <v>53</v>
      </c>
      <c r="AM1" s="150" t="s">
        <v>54</v>
      </c>
      <c r="AN1" s="150" t="s">
        <v>55</v>
      </c>
      <c r="AO1" s="150" t="s">
        <v>56</v>
      </c>
      <c r="AP1" s="6" t="s">
        <v>57</v>
      </c>
      <c r="AQ1" s="6" t="s">
        <v>58</v>
      </c>
      <c r="AR1" s="6" t="s">
        <v>59</v>
      </c>
      <c r="AS1" s="6" t="s">
        <v>60</v>
      </c>
      <c r="AT1" s="6" t="s">
        <v>61</v>
      </c>
      <c r="AU1" s="6" t="s">
        <v>62</v>
      </c>
      <c r="AV1" s="6" t="s">
        <v>63</v>
      </c>
      <c r="AW1" s="6" t="s">
        <v>64</v>
      </c>
      <c r="AX1" s="6" t="s">
        <v>65</v>
      </c>
      <c r="AY1" s="6" t="s">
        <v>66</v>
      </c>
      <c r="AZ1" s="6" t="s">
        <v>67</v>
      </c>
      <c r="BA1" s="6" t="s">
        <v>68</v>
      </c>
      <c r="BB1" s="6" t="s">
        <v>69</v>
      </c>
      <c r="BC1" s="6" t="s">
        <v>70</v>
      </c>
      <c r="BD1" s="6" t="s">
        <v>71</v>
      </c>
      <c r="BE1" s="8" t="s">
        <v>72</v>
      </c>
      <c r="BF1" s="9" t="s">
        <v>73</v>
      </c>
      <c r="BG1" s="9" t="s">
        <v>74</v>
      </c>
      <c r="BH1" s="9" t="s">
        <v>75</v>
      </c>
      <c r="BI1" s="7" t="s">
        <v>76</v>
      </c>
      <c r="BJ1" s="7" t="s">
        <v>93</v>
      </c>
      <c r="BK1" s="7" t="s">
        <v>77</v>
      </c>
      <c r="BL1" s="7" t="s">
        <v>78</v>
      </c>
      <c r="BM1" s="7" t="s">
        <v>79</v>
      </c>
      <c r="BN1" s="7" t="s">
        <v>80</v>
      </c>
      <c r="BO1" s="9" t="s">
        <v>81</v>
      </c>
      <c r="BP1" s="9" t="s">
        <v>82</v>
      </c>
      <c r="BQ1" s="9" t="s">
        <v>83</v>
      </c>
      <c r="BR1" s="9" t="s">
        <v>84</v>
      </c>
      <c r="BS1" s="9" t="s">
        <v>85</v>
      </c>
      <c r="BT1" s="10" t="s">
        <v>86</v>
      </c>
      <c r="BU1" s="10" t="s">
        <v>87</v>
      </c>
      <c r="BV1" s="7" t="s">
        <v>76</v>
      </c>
      <c r="BW1" s="7" t="s">
        <v>88</v>
      </c>
      <c r="BX1" s="10" t="s">
        <v>89</v>
      </c>
      <c r="BY1" s="10" t="s">
        <v>88</v>
      </c>
      <c r="BZ1" s="10" t="s">
        <v>90</v>
      </c>
      <c r="CA1" s="10" t="s">
        <v>82</v>
      </c>
      <c r="CB1" s="10" t="s">
        <v>91</v>
      </c>
      <c r="CC1" s="10" t="s">
        <v>86</v>
      </c>
      <c r="CD1" s="10" t="s">
        <v>92</v>
      </c>
      <c r="CE1" s="146" t="s">
        <v>76</v>
      </c>
      <c r="CF1" s="7" t="s">
        <v>88</v>
      </c>
      <c r="CG1" s="10" t="s">
        <v>89</v>
      </c>
      <c r="CH1" s="10" t="s">
        <v>94</v>
      </c>
      <c r="CI1" s="10" t="s">
        <v>95</v>
      </c>
      <c r="CJ1" s="10" t="s">
        <v>82</v>
      </c>
      <c r="CK1" s="10" t="s">
        <v>91</v>
      </c>
      <c r="CL1" s="11" t="s">
        <v>96</v>
      </c>
      <c r="CM1" s="7" t="s">
        <v>97</v>
      </c>
      <c r="CN1" s="11" t="s">
        <v>98</v>
      </c>
      <c r="CO1" s="11" t="s">
        <v>99</v>
      </c>
      <c r="CP1" s="11" t="s">
        <v>100</v>
      </c>
      <c r="CQ1" s="11" t="s">
        <v>101</v>
      </c>
      <c r="CR1" s="11" t="s">
        <v>102</v>
      </c>
      <c r="CS1" s="11" t="s">
        <v>103</v>
      </c>
      <c r="CT1" s="12" t="s">
        <v>104</v>
      </c>
      <c r="CU1" s="12" t="s">
        <v>105</v>
      </c>
      <c r="CV1" s="7" t="s">
        <v>106</v>
      </c>
      <c r="CW1" s="7" t="s">
        <v>107</v>
      </c>
      <c r="CX1" s="11" t="s">
        <v>108</v>
      </c>
      <c r="CY1" s="7" t="s">
        <v>109</v>
      </c>
      <c r="CZ1" s="11" t="s">
        <v>110</v>
      </c>
      <c r="DA1" s="11" t="s">
        <v>111</v>
      </c>
      <c r="DB1" s="11" t="s">
        <v>112</v>
      </c>
      <c r="DC1" s="11" t="s">
        <v>113</v>
      </c>
      <c r="DD1" s="11" t="s">
        <v>114</v>
      </c>
      <c r="DE1" s="11" t="s">
        <v>115</v>
      </c>
      <c r="DF1" s="11" t="s">
        <v>116</v>
      </c>
      <c r="DG1" s="11" t="s">
        <v>117</v>
      </c>
      <c r="DH1" s="13" t="s">
        <v>118</v>
      </c>
      <c r="DI1" s="13" t="s">
        <v>119</v>
      </c>
      <c r="DJ1" s="13" t="s">
        <v>120</v>
      </c>
      <c r="DK1" s="13" t="s">
        <v>121</v>
      </c>
      <c r="DL1" s="9" t="s">
        <v>123</v>
      </c>
      <c r="DM1" s="14" t="s">
        <v>124</v>
      </c>
      <c r="DN1" s="13" t="s">
        <v>125</v>
      </c>
      <c r="DO1" s="13" t="s">
        <v>126</v>
      </c>
      <c r="DQ1" s="1" t="s">
        <v>127</v>
      </c>
    </row>
    <row r="2" spans="1:126" ht="14.4" x14ac:dyDescent="0.3">
      <c r="A2" s="163" t="s">
        <v>676</v>
      </c>
      <c r="B2" s="154" t="s">
        <v>668</v>
      </c>
      <c r="C2" s="154" t="s">
        <v>669</v>
      </c>
      <c r="D2" s="156" t="s">
        <v>665</v>
      </c>
      <c r="E2" s="157" t="s">
        <v>669</v>
      </c>
      <c r="F2" s="185">
        <v>219474977</v>
      </c>
      <c r="G2" s="161" t="s">
        <v>657</v>
      </c>
      <c r="H2" s="162" t="s">
        <v>672</v>
      </c>
      <c r="I2" s="161">
        <v>-19.565708000000001</v>
      </c>
      <c r="J2" s="161">
        <v>-44.078040999999999</v>
      </c>
      <c r="K2" s="161" t="s">
        <v>144</v>
      </c>
      <c r="L2" s="160"/>
      <c r="M2" s="161" t="s">
        <v>146</v>
      </c>
      <c r="N2" s="161" t="s">
        <v>132</v>
      </c>
      <c r="O2" s="161">
        <v>80</v>
      </c>
      <c r="P2" s="160"/>
      <c r="Q2" s="161">
        <v>60</v>
      </c>
      <c r="R2" s="161">
        <v>4</v>
      </c>
      <c r="S2" s="161">
        <v>2</v>
      </c>
      <c r="T2" s="162">
        <v>1.7</v>
      </c>
      <c r="U2" s="161">
        <v>7</v>
      </c>
      <c r="V2" s="165"/>
      <c r="W2" s="165"/>
      <c r="X2" s="148"/>
      <c r="Y2" s="162">
        <v>1.7</v>
      </c>
      <c r="Z2" s="184" t="s">
        <v>677</v>
      </c>
      <c r="AA2" s="165"/>
      <c r="AB2" s="165"/>
      <c r="AC2" s="161">
        <v>4.5</v>
      </c>
      <c r="AD2" s="161" t="s">
        <v>651</v>
      </c>
      <c r="AE2" s="161" t="s">
        <v>662</v>
      </c>
      <c r="AF2" s="161" t="s">
        <v>663</v>
      </c>
      <c r="AG2" s="161">
        <v>37.799999999999997</v>
      </c>
      <c r="AH2" s="161">
        <v>7.8</v>
      </c>
      <c r="AI2" s="161">
        <v>1</v>
      </c>
      <c r="AJ2" s="161">
        <v>0.4</v>
      </c>
      <c r="AK2" s="161">
        <v>2.7</v>
      </c>
      <c r="AL2" s="166">
        <f t="shared" ref="AL2:AL25" si="0">AK2-AJ2</f>
        <v>2.3000000000000003</v>
      </c>
      <c r="AM2" s="164" t="s">
        <v>664</v>
      </c>
      <c r="AN2" s="16" t="s">
        <v>664</v>
      </c>
      <c r="AO2" s="15" t="s">
        <v>133</v>
      </c>
      <c r="AP2" s="16">
        <f t="shared" ref="AP2:AP25" si="1">IF(AE2="Unilateral",2*AI2,IF(AE2="Bilateral Alternada",3*AI2,IF(AE2="Bilateral Frontal",4*AI2,IF(AE2="Canteiro Central",2*AI2,"erro"))))</f>
        <v>2</v>
      </c>
      <c r="AQ2" s="16">
        <v>0</v>
      </c>
      <c r="AR2" s="16">
        <v>0</v>
      </c>
      <c r="AS2" s="16">
        <v>0</v>
      </c>
      <c r="AT2" s="16">
        <v>0</v>
      </c>
      <c r="AU2" s="16">
        <v>0</v>
      </c>
      <c r="AV2" s="16">
        <v>0</v>
      </c>
      <c r="AW2" s="17">
        <f t="shared" ref="AW2:AW25" si="2">IF(AQ2=0,0,IF(AE2="Unilateral",2*AQ2,IF(AE2="Bilateral Alternada",3*AQ2,IF(AE2="Bilateral Frontal",4*AQ2,IF(AE2="Canteiro Central",2*AQ2,"erro")))))</f>
        <v>0</v>
      </c>
      <c r="AX2" s="17"/>
      <c r="AY2" s="17">
        <f>VLOOKUP(K2,ABNT5101!$I$3:$J$9,2)</f>
        <v>30</v>
      </c>
      <c r="AZ2" s="17">
        <f>VLOOKUP(K2,ABNT5101!$I$3:$M$9,5)</f>
        <v>0.38</v>
      </c>
      <c r="BA2" s="128" t="str">
        <f>_xlfn.XLOOKUP(K2,ABNT5101!$I:$I,ABNT5101!$L:$L)</f>
        <v>-</v>
      </c>
      <c r="BB2" s="128">
        <f>_xlfn.XLOOKUP(K2,ABNT5101!$I:$I,ABNT5101!M:M)</f>
        <v>0.38</v>
      </c>
      <c r="BC2" s="128" t="str">
        <f>_xlfn.XLOOKUP(K2,ABNT5101!$I:$I,ABNT5101!N:N)</f>
        <v>-</v>
      </c>
      <c r="BD2" s="128">
        <f>_xlfn.XLOOKUP(K2,ABNT5101!$I:$I,ABNT5101!O:O)</f>
        <v>14</v>
      </c>
      <c r="BE2" s="18" t="str">
        <f t="shared" ref="BE2:BE25" si="3">IF(BO2="NÃO ATENDE","NÃO ATENDE",IF(BZ2="NÃO ATENDE","NÃO ATENDE",IF(CI2="NÃO ATENDE","NÃO ATENDE","ATENDE")))</f>
        <v>ATENDE</v>
      </c>
      <c r="BF2" s="19">
        <f t="shared" ref="BF2:BF25" si="4">BI2/AY2-1</f>
        <v>2.4999999999999911E-2</v>
      </c>
      <c r="BG2" s="19">
        <f t="shared" ref="BG2:BG25" si="5">BJ2/AZ2-1</f>
        <v>0.42105263157894735</v>
      </c>
      <c r="BH2" s="19" t="str">
        <f t="shared" ref="BH2:BH25" si="6">IF($K2="M6",BK2/BA2-1,"-")</f>
        <v>-</v>
      </c>
      <c r="BI2" s="20">
        <v>30.75</v>
      </c>
      <c r="BJ2" s="20">
        <v>0.54</v>
      </c>
      <c r="BK2" s="20"/>
      <c r="BL2" s="20"/>
      <c r="BM2" s="21"/>
      <c r="BN2" s="20"/>
      <c r="BO2" s="142" t="str">
        <f t="shared" ref="BO2:BO25" si="7">IF(OR(BP2="NÃO ATENDE",BQ2="NÃO ATENDE",BR2="NÃO ATENDE"),"NÃO ATENDE","ATENDE")</f>
        <v>ATENDE</v>
      </c>
      <c r="BP2" s="142" t="str">
        <f t="shared" ref="BP2:BP25" si="8">IF(BI2&gt;=AY2,"ATENDE",IF(BI2&gt;=0.99*AY2,"ATENDIMENTO LIMIAR","NÃO ATENDE"))</f>
        <v>ATENDE</v>
      </c>
      <c r="BQ2" s="142" t="str">
        <f t="shared" ref="BQ2:BQ25" si="9">IF(BJ2&gt;=AZ2,"ATENDE",IF(BJ2&gt;=(AZ2-0.02),"ATENDIMENTO LIMIAR","NÃO ATENDE"))</f>
        <v>ATENDE</v>
      </c>
      <c r="BR2" s="142" t="str">
        <f t="shared" ref="BR2:BR25" si="10">IF(BA2="-","ATENDE",IF(BK2&gt;=BA2,"ATENDE",IF(BK2&gt;=(BA2-0.02),"ATENDIMENTO LIMIAR","NÃO ATENDE")))</f>
        <v>ATENDE</v>
      </c>
      <c r="BS2" s="22" t="str">
        <f t="shared" ref="BS2:BS25" si="11">K2</f>
        <v>C1</v>
      </c>
      <c r="BT2" s="22" t="str">
        <f t="shared" ref="BT2:BT25" si="12">M2</f>
        <v>P4</v>
      </c>
      <c r="BU2" s="23">
        <f t="shared" ref="BU2:BU25" si="13">IF(BV2="-","-",BV2/BX2-1)</f>
        <v>1.1653333333333333</v>
      </c>
      <c r="BV2" s="20">
        <v>16.239999999999998</v>
      </c>
      <c r="BW2" s="20">
        <v>10.26</v>
      </c>
      <c r="BX2" s="129">
        <f>IF(BT2="-","-",_xlfn.XLOOKUP(BT2,ABNT5101!$B$4:$B$9,ABNT5101!$C$4:$C$9))</f>
        <v>7.5</v>
      </c>
      <c r="BY2" s="129">
        <f>IF(BT2="-","-",_xlfn.XLOOKUP(BT2,ABNT5101!$B$4:$B$9,ABNT5101!$D$4:$D$9))</f>
        <v>1.5</v>
      </c>
      <c r="BZ2" s="18" t="str">
        <f t="shared" ref="BZ2:BZ25" si="14">IF(CA2="-","-",IF(CA2="NÃO ATENDE","NÃO ATENDE",IF(CB2="NÃO ATENDE","NÃO ATENDE","ATENDE")))</f>
        <v>ATENDE</v>
      </c>
      <c r="CA2" s="18" t="str">
        <f t="shared" ref="CA2:CA25" si="15">IF(BT2="-","-",IF(BV2&gt;=BX2,"ATENDE",IF(BV2&gt;=(BX2*0.99),"ATENDIMENTO LIMIAR","NÃO ATENDE")))</f>
        <v>ATENDE</v>
      </c>
      <c r="CB2" s="18" t="str">
        <f t="shared" ref="CB2:CB25" si="16">IF(BT2="-","-",IF(BW2&gt;=BY2,"ATENDE","NÃO ATENDE"))</f>
        <v>ATENDE</v>
      </c>
      <c r="CC2" s="22" t="str">
        <f t="shared" ref="CC2:CC25" si="17">BT2</f>
        <v>P4</v>
      </c>
      <c r="CD2" s="143" t="e">
        <f t="shared" ref="CD2:CD25" si="18">IF(CE2="-","-",CE2/CG2-1)</f>
        <v>#DIV/0!</v>
      </c>
      <c r="CE2" s="22">
        <v>16.239999999999998</v>
      </c>
      <c r="CF2" s="22">
        <v>10.28</v>
      </c>
      <c r="CG2" s="127"/>
      <c r="CH2" s="127"/>
      <c r="CI2" s="18" t="str">
        <f t="shared" ref="CI2:CI25" si="19">IF(CJ2="-","-",IF(CJ2="NÃO ATENDE","NÃO ATENDE",IF(CK2="NÃO ATENDE","NÃO ATENDE","ATENDE")))</f>
        <v>ATENDE</v>
      </c>
      <c r="CJ2" s="18" t="str">
        <f t="shared" ref="CJ2:CJ25" si="20">IF(CC2="-","-",IF(CE2&gt;=(CG2),"ATENDE",IF(CE2&gt;=(0.99*CG2),"ATENDIMENTO LIMIAR","NÃO ATENDE")))</f>
        <v>ATENDE</v>
      </c>
      <c r="CK2" s="18" t="str">
        <f t="shared" ref="CK2:CK25" si="21">IF(CC2="-","-",IF(CF2&gt;=CH2,"ATENDE","NÃO ATENDE"))</f>
        <v>ATENDE</v>
      </c>
      <c r="CL2" s="130" t="str">
        <f>_xlfn.XLOOKUP(CM2,'Banco de dados'!$B:$B,'Banco de dados'!$D:$D)</f>
        <v>LEDSTAR</v>
      </c>
      <c r="CM2" s="25" t="str">
        <f>'Banco de dados'!B28</f>
        <v xml:space="preserve"> SL VT 9.1 100W</v>
      </c>
      <c r="CN2" s="24" t="str">
        <f>_xlfn.XLOOKUP(CM2,'Banco de dados'!$B:$B,'Banco de dados'!$E:$E)</f>
        <v>LUM LED SL VT 9.1 100W</v>
      </c>
      <c r="CO2" s="24"/>
      <c r="CP2" s="24">
        <f>IF(CO2="-","-",_xlfn.XLOOKUP(CO2,'Banco de dados'!$B:$B,'Banco de dados'!$E:$E))</f>
        <v>0</v>
      </c>
      <c r="CQ2" s="26">
        <f t="shared" ref="CQ2:CQ25" si="22">AI2</f>
        <v>1</v>
      </c>
      <c r="CR2" s="24">
        <f>_xlfn.XLOOKUP(CM2,'Banco de dados'!$B:$B,'Banco de dados'!$H:$H)</f>
        <v>100</v>
      </c>
      <c r="CS2" s="24">
        <f>_xlfn.XLOOKUP(CO2,'Banco de dados'!$B:$B,'Banco de dados'!$H:$H)</f>
        <v>0</v>
      </c>
      <c r="CT2" s="24">
        <f>_xlfn.XLOOKUP(CM2,'Banco de dados'!$B:$B,'Banco de dados'!$F:$F)</f>
        <v>15900</v>
      </c>
      <c r="CU2" s="24">
        <f>_xlfn.XLOOKUP(CO2,'Banco de dados'!$B:$B,'Banco de dados'!$F:$F)</f>
        <v>0</v>
      </c>
      <c r="CV2" s="25"/>
      <c r="CW2" s="25">
        <v>5</v>
      </c>
      <c r="CX2" s="24" t="str">
        <f>IF(AK2&lt;=0.5,"Curto I",IF(AND(AK2&gt;='Braços de IP'!$B$9,AK2&lt;='Braços de IP'!$D$9),'Braços de IP'!$E$9,IF(AND(AK2&gt;='Braços de IP'!$B$10,AK2&lt;='Braços de IP'!$D$10),'Braços de IP'!$E$10,IF(AND(AK2&gt;='Braços de IP'!$B$11,AK2&lt;='Braços de IP'!$D$11),'Braços de IP'!$E$11,IF(AND(AK2&gt;='Braços de IP'!$B$12,AK2&lt;='Braços de IP'!$D$12),'Braços de IP'!$E$12,IF(AND(AK2&gt;='Braços de IP'!$B$13,AK2&lt;='Braços de IP'!$D$13),'Braços de IP'!$E$13,IF(AND(AK2&gt;='Braços de IP'!$B$14,AK2&lt;='Braços de IP'!$D$14),'Braços de IP'!$E$14,"ERRO")))))))</f>
        <v>Longo I</v>
      </c>
      <c r="CY2" s="25"/>
      <c r="CZ2" s="24" t="str">
        <f>IF($CY2="","",VLOOKUP($CY2,'Braços de IP'!$E$9:$I$15,2,0))</f>
        <v/>
      </c>
      <c r="DA2" s="27" t="str">
        <f>IF($CY2="","",VLOOKUP($CY2,'Braços de IP'!$E$9:$I$15,5,0))</f>
        <v/>
      </c>
      <c r="DB2" s="24"/>
      <c r="DC2" s="24"/>
      <c r="DD2" s="24"/>
      <c r="DE2" s="24"/>
      <c r="DF2" s="24"/>
      <c r="DG2" s="24"/>
      <c r="DH2" s="28">
        <f t="shared" ref="DH2:DH25" si="23">CR2</f>
        <v>100</v>
      </c>
      <c r="DI2" s="29">
        <f t="shared" ref="DI2:DI25" si="24">O2</f>
        <v>80</v>
      </c>
      <c r="DJ2" s="28">
        <f t="shared" ref="DJ2:DJ25" si="25">SUM(DH2:DI2)*CQ2</f>
        <v>180</v>
      </c>
      <c r="DK2" s="30">
        <f t="shared" ref="DK2:DK25" si="26">1-DH2/DI2</f>
        <v>-0.25</v>
      </c>
      <c r="DL2" s="31"/>
      <c r="DM2" s="32"/>
      <c r="DN2" s="15" t="s">
        <v>134</v>
      </c>
      <c r="DO2" s="15"/>
      <c r="DQ2" s="33">
        <f t="shared" ref="DQ2:DQ25" si="27">((O2+P2)-CR2)/(O2+P2)</f>
        <v>-0.25</v>
      </c>
      <c r="DS2" s="1"/>
      <c r="DT2" s="1"/>
      <c r="DU2" s="33"/>
      <c r="DV2" s="33"/>
    </row>
    <row r="3" spans="1:126" ht="14.4" x14ac:dyDescent="0.3">
      <c r="A3" s="163" t="s">
        <v>676</v>
      </c>
      <c r="B3" s="154"/>
      <c r="C3" s="154"/>
      <c r="D3" s="156"/>
      <c r="E3" s="157"/>
      <c r="F3" s="185">
        <v>219474977</v>
      </c>
      <c r="G3" s="161" t="s">
        <v>657</v>
      </c>
      <c r="H3" s="162" t="s">
        <v>672</v>
      </c>
      <c r="I3" s="161">
        <v>-19.565708000000001</v>
      </c>
      <c r="J3" s="161">
        <v>-44.078040999999999</v>
      </c>
      <c r="K3" s="161" t="s">
        <v>144</v>
      </c>
      <c r="L3" s="160"/>
      <c r="M3" s="161" t="s">
        <v>146</v>
      </c>
      <c r="N3" s="161" t="s">
        <v>132</v>
      </c>
      <c r="O3" s="161">
        <v>80</v>
      </c>
      <c r="P3" s="160"/>
      <c r="Q3" s="161">
        <v>60</v>
      </c>
      <c r="R3" s="161">
        <v>4</v>
      </c>
      <c r="S3" s="161">
        <v>2</v>
      </c>
      <c r="T3" s="162">
        <v>1.7</v>
      </c>
      <c r="U3" s="161">
        <v>7</v>
      </c>
      <c r="V3" s="165"/>
      <c r="W3" s="165"/>
      <c r="X3" s="148"/>
      <c r="Y3" s="162">
        <v>1.7</v>
      </c>
      <c r="Z3" s="184" t="s">
        <v>677</v>
      </c>
      <c r="AA3" s="165"/>
      <c r="AB3" s="165"/>
      <c r="AC3" s="161">
        <v>4.5</v>
      </c>
      <c r="AD3" s="161" t="s">
        <v>651</v>
      </c>
      <c r="AE3" s="161" t="s">
        <v>662</v>
      </c>
      <c r="AF3" s="161" t="s">
        <v>663</v>
      </c>
      <c r="AG3" s="161">
        <v>37.799999999999997</v>
      </c>
      <c r="AH3" s="161">
        <v>7.8</v>
      </c>
      <c r="AI3" s="161">
        <v>1</v>
      </c>
      <c r="AJ3" s="161">
        <v>0.4</v>
      </c>
      <c r="AK3" s="161">
        <v>2.7</v>
      </c>
      <c r="AL3" s="166">
        <f t="shared" ref="AL3:AL4" si="28">AK3-AJ3</f>
        <v>2.3000000000000003</v>
      </c>
      <c r="AM3" s="16" t="s">
        <v>664</v>
      </c>
      <c r="AN3" s="16" t="s">
        <v>664</v>
      </c>
      <c r="AO3" s="15" t="s">
        <v>133</v>
      </c>
      <c r="AP3" s="16">
        <f t="shared" si="1"/>
        <v>2</v>
      </c>
      <c r="AQ3" s="16">
        <v>0</v>
      </c>
      <c r="AR3" s="16">
        <v>0</v>
      </c>
      <c r="AS3" s="16">
        <v>0</v>
      </c>
      <c r="AT3" s="16">
        <v>0</v>
      </c>
      <c r="AU3" s="16">
        <v>0</v>
      </c>
      <c r="AV3" s="16">
        <v>0</v>
      </c>
      <c r="AW3" s="17">
        <f t="shared" si="2"/>
        <v>0</v>
      </c>
      <c r="AX3" s="17"/>
      <c r="AY3" s="17">
        <f>VLOOKUP(K3,ABNT5101!$I$3:$J$9,2)</f>
        <v>30</v>
      </c>
      <c r="AZ3" s="17">
        <f>VLOOKUP(K3,ABNT5101!$I$3:$M$9,5)</f>
        <v>0.38</v>
      </c>
      <c r="BA3" s="128" t="str">
        <f>_xlfn.XLOOKUP(K3,ABNT5101!$I:$I,ABNT5101!$L:$L)</f>
        <v>-</v>
      </c>
      <c r="BB3" s="128">
        <f>_xlfn.XLOOKUP(K3,ABNT5101!$I:$I,ABNT5101!M:M)</f>
        <v>0.38</v>
      </c>
      <c r="BC3" s="128" t="str">
        <f>_xlfn.XLOOKUP(K3,ABNT5101!$I:$I,ABNT5101!N:N)</f>
        <v>-</v>
      </c>
      <c r="BD3" s="128">
        <f>_xlfn.XLOOKUP(K3,ABNT5101!$I:$I,ABNT5101!O:O)</f>
        <v>14</v>
      </c>
      <c r="BE3" s="18" t="str">
        <f t="shared" si="3"/>
        <v>ATENDE</v>
      </c>
      <c r="BF3" s="19">
        <f t="shared" si="4"/>
        <v>6.4000000000000057E-2</v>
      </c>
      <c r="BG3" s="19">
        <f t="shared" si="5"/>
        <v>0.28947368421052633</v>
      </c>
      <c r="BH3" s="19" t="str">
        <f t="shared" si="6"/>
        <v>-</v>
      </c>
      <c r="BI3" s="20">
        <v>31.92</v>
      </c>
      <c r="BJ3" s="20">
        <v>0.49</v>
      </c>
      <c r="BK3" s="20"/>
      <c r="BL3" s="20"/>
      <c r="BM3" s="21"/>
      <c r="BN3" s="20"/>
      <c r="BO3" s="142" t="str">
        <f t="shared" si="7"/>
        <v>ATENDE</v>
      </c>
      <c r="BP3" s="142" t="str">
        <f t="shared" si="8"/>
        <v>ATENDE</v>
      </c>
      <c r="BQ3" s="142" t="str">
        <f t="shared" si="9"/>
        <v>ATENDE</v>
      </c>
      <c r="BR3" s="142" t="str">
        <f t="shared" si="10"/>
        <v>ATENDE</v>
      </c>
      <c r="BS3" s="22" t="str">
        <f t="shared" si="11"/>
        <v>C1</v>
      </c>
      <c r="BT3" s="22" t="str">
        <f t="shared" si="12"/>
        <v>P4</v>
      </c>
      <c r="BU3" s="23">
        <f t="shared" si="13"/>
        <v>1.2400000000000002</v>
      </c>
      <c r="BV3" s="20">
        <v>16.8</v>
      </c>
      <c r="BW3" s="20">
        <v>9.0500000000000007</v>
      </c>
      <c r="BX3" s="129">
        <f>IF(BT3="-","-",_xlfn.XLOOKUP(BT3,ABNT5101!$B$4:$B$9,ABNT5101!$C$4:$C$9))</f>
        <v>7.5</v>
      </c>
      <c r="BY3" s="129">
        <f>IF(BT3="-","-",_xlfn.XLOOKUP(BT3,ABNT5101!$B$4:$B$9,ABNT5101!$D$4:$D$9))</f>
        <v>1.5</v>
      </c>
      <c r="BZ3" s="18" t="str">
        <f t="shared" si="14"/>
        <v>ATENDE</v>
      </c>
      <c r="CA3" s="18" t="str">
        <f t="shared" si="15"/>
        <v>ATENDE</v>
      </c>
      <c r="CB3" s="18" t="str">
        <f t="shared" si="16"/>
        <v>ATENDE</v>
      </c>
      <c r="CC3" s="22" t="str">
        <f t="shared" si="17"/>
        <v>P4</v>
      </c>
      <c r="CD3" s="143" t="e">
        <f t="shared" si="18"/>
        <v>#DIV/0!</v>
      </c>
      <c r="CE3" s="22">
        <v>16.71</v>
      </c>
      <c r="CF3" s="22">
        <v>8.77</v>
      </c>
      <c r="CG3" s="127"/>
      <c r="CH3" s="127"/>
      <c r="CI3" s="18" t="str">
        <f t="shared" si="19"/>
        <v>ATENDE</v>
      </c>
      <c r="CJ3" s="18" t="str">
        <f t="shared" si="20"/>
        <v>ATENDE</v>
      </c>
      <c r="CK3" s="18" t="str">
        <f t="shared" si="21"/>
        <v>ATENDE</v>
      </c>
      <c r="CL3" s="130" t="str">
        <f>_xlfn.XLOOKUP(CM3,'Banco de dados'!$B:$B,'Banco de dados'!$D:$D)</f>
        <v>SX LIGHTING</v>
      </c>
      <c r="CM3" s="25" t="str">
        <f>'Banco de dados'!B62</f>
        <v>SX-INLPP090HF</v>
      </c>
      <c r="CN3" s="24" t="str">
        <f>_xlfn.XLOOKUP(CM3,'Banco de dados'!$B:$B,'Banco de dados'!$E:$E)</f>
        <v>SXINLPP090K40L12CZF7PHF</v>
      </c>
      <c r="CO3" s="24"/>
      <c r="CP3" s="24">
        <f>IF(CO3="-","-",_xlfn.XLOOKUP(CO3,'Banco de dados'!$B:$B,'Banco de dados'!$E:$E))</f>
        <v>0</v>
      </c>
      <c r="CQ3" s="26">
        <f t="shared" si="22"/>
        <v>1</v>
      </c>
      <c r="CR3" s="24">
        <f>_xlfn.XLOOKUP(CM3,'Banco de dados'!$B:$B,'Banco de dados'!$H:$H)</f>
        <v>90</v>
      </c>
      <c r="CS3" s="24">
        <f>_xlfn.XLOOKUP(CO3,'Banco de dados'!$B:$B,'Banco de dados'!$H:$H)</f>
        <v>0</v>
      </c>
      <c r="CT3" s="24">
        <f>_xlfn.XLOOKUP(CM3,'Banco de dados'!$B:$B,'Banco de dados'!$F:$F)</f>
        <v>15476</v>
      </c>
      <c r="CU3" s="24">
        <f>_xlfn.XLOOKUP(CO3,'Banco de dados'!$B:$B,'Banco de dados'!$F:$F)</f>
        <v>0</v>
      </c>
      <c r="CV3" s="25"/>
      <c r="CW3" s="25">
        <v>5</v>
      </c>
      <c r="CX3" s="24" t="str">
        <f>IF(AK3&lt;=0.5,"Curto I",IF(AND(AK3&gt;='Braços de IP'!$B$9,AK3&lt;='Braços de IP'!$D$9),'Braços de IP'!$E$9,IF(AND(AK3&gt;='Braços de IP'!$B$10,AK3&lt;='Braços de IP'!$D$10),'Braços de IP'!$E$10,IF(AND(AK3&gt;='Braços de IP'!$B$11,AK3&lt;='Braços de IP'!$D$11),'Braços de IP'!$E$11,IF(AND(AK3&gt;='Braços de IP'!$B$12,AK3&lt;='Braços de IP'!$D$12),'Braços de IP'!$E$12,IF(AND(AK3&gt;='Braços de IP'!$B$13,AK3&lt;='Braços de IP'!$D$13),'Braços de IP'!$E$13,IF(AND(AK3&gt;='Braços de IP'!$B$14,AK3&lt;='Braços de IP'!$D$14),'Braços de IP'!$E$14,"ERRO")))))))</f>
        <v>Longo I</v>
      </c>
      <c r="CY3" s="25"/>
      <c r="CZ3" s="24" t="str">
        <f>IF($CY3="","",VLOOKUP($CY3,'Braços de IP'!$E$9:$I$15,2,0))</f>
        <v/>
      </c>
      <c r="DA3" s="27" t="str">
        <f>IF($CY3="","",VLOOKUP($CY3,'Braços de IP'!$E$9:$I$15,5,0))</f>
        <v/>
      </c>
      <c r="DB3" s="24"/>
      <c r="DC3" s="24"/>
      <c r="DD3" s="24"/>
      <c r="DE3" s="24"/>
      <c r="DF3" s="24"/>
      <c r="DG3" s="24"/>
      <c r="DH3" s="28">
        <f t="shared" si="23"/>
        <v>90</v>
      </c>
      <c r="DI3" s="29">
        <f t="shared" si="24"/>
        <v>80</v>
      </c>
      <c r="DJ3" s="28">
        <f t="shared" si="25"/>
        <v>170</v>
      </c>
      <c r="DK3" s="30">
        <f t="shared" si="26"/>
        <v>-0.125</v>
      </c>
      <c r="DL3" s="31"/>
      <c r="DM3" s="32"/>
      <c r="DN3" s="15" t="s">
        <v>134</v>
      </c>
      <c r="DO3" s="15"/>
      <c r="DQ3" s="33">
        <f t="shared" si="27"/>
        <v>-0.125</v>
      </c>
      <c r="DS3" s="1"/>
      <c r="DT3" s="1"/>
      <c r="DU3" s="33"/>
      <c r="DV3" s="33"/>
    </row>
    <row r="4" spans="1:126" ht="14.4" x14ac:dyDescent="0.3">
      <c r="A4" s="163" t="s">
        <v>676</v>
      </c>
      <c r="B4" s="154"/>
      <c r="C4" s="154"/>
      <c r="D4" s="156"/>
      <c r="E4" s="157"/>
      <c r="F4" s="185">
        <v>219474977</v>
      </c>
      <c r="G4" s="161" t="s">
        <v>657</v>
      </c>
      <c r="H4" s="162" t="s">
        <v>672</v>
      </c>
      <c r="I4" s="161">
        <v>-19.565708000000001</v>
      </c>
      <c r="J4" s="161">
        <v>-44.078040999999999</v>
      </c>
      <c r="K4" s="161" t="s">
        <v>144</v>
      </c>
      <c r="L4" s="160"/>
      <c r="M4" s="161" t="s">
        <v>146</v>
      </c>
      <c r="N4" s="161" t="s">
        <v>132</v>
      </c>
      <c r="O4" s="161">
        <v>80</v>
      </c>
      <c r="P4" s="160"/>
      <c r="Q4" s="161">
        <v>60</v>
      </c>
      <c r="R4" s="161">
        <v>4</v>
      </c>
      <c r="S4" s="161">
        <v>2</v>
      </c>
      <c r="T4" s="162">
        <v>1.7</v>
      </c>
      <c r="U4" s="161">
        <v>7</v>
      </c>
      <c r="V4" s="165"/>
      <c r="W4" s="165"/>
      <c r="X4" s="148"/>
      <c r="Y4" s="162">
        <v>1.7</v>
      </c>
      <c r="Z4" s="184" t="s">
        <v>677</v>
      </c>
      <c r="AA4" s="165"/>
      <c r="AB4" s="165"/>
      <c r="AC4" s="161">
        <v>4.5</v>
      </c>
      <c r="AD4" s="161" t="s">
        <v>651</v>
      </c>
      <c r="AE4" s="161" t="s">
        <v>662</v>
      </c>
      <c r="AF4" s="161" t="s">
        <v>663</v>
      </c>
      <c r="AG4" s="161">
        <v>37.799999999999997</v>
      </c>
      <c r="AH4" s="161">
        <v>7.8</v>
      </c>
      <c r="AI4" s="161">
        <v>1</v>
      </c>
      <c r="AJ4" s="161">
        <v>0.4</v>
      </c>
      <c r="AK4" s="161">
        <v>2.7</v>
      </c>
      <c r="AL4" s="166">
        <f t="shared" si="28"/>
        <v>2.3000000000000003</v>
      </c>
      <c r="AM4" s="16" t="s">
        <v>664</v>
      </c>
      <c r="AN4" s="16" t="s">
        <v>664</v>
      </c>
      <c r="AO4" s="15" t="s">
        <v>133</v>
      </c>
      <c r="AP4" s="16">
        <f t="shared" si="1"/>
        <v>2</v>
      </c>
      <c r="AQ4" s="16">
        <v>0</v>
      </c>
      <c r="AR4" s="16">
        <v>0</v>
      </c>
      <c r="AS4" s="16">
        <v>0</v>
      </c>
      <c r="AT4" s="16">
        <v>0</v>
      </c>
      <c r="AU4" s="16">
        <v>0</v>
      </c>
      <c r="AV4" s="16">
        <v>0</v>
      </c>
      <c r="AW4" s="17">
        <f t="shared" si="2"/>
        <v>0</v>
      </c>
      <c r="AX4" s="17"/>
      <c r="AY4" s="17">
        <f>VLOOKUP(K4,ABNT5101!$I$3:$J$9,2)</f>
        <v>30</v>
      </c>
      <c r="AZ4" s="17">
        <f>VLOOKUP(K4,ABNT5101!$I$3:$M$9,5)</f>
        <v>0.38</v>
      </c>
      <c r="BA4" s="128" t="str">
        <f>_xlfn.XLOOKUP(K4,ABNT5101!$I:$I,ABNT5101!$L:$L)</f>
        <v>-</v>
      </c>
      <c r="BB4" s="128">
        <f>_xlfn.XLOOKUP(K4,ABNT5101!$I:$I,ABNT5101!M:M)</f>
        <v>0.38</v>
      </c>
      <c r="BC4" s="128" t="str">
        <f>_xlfn.XLOOKUP(K4,ABNT5101!$I:$I,ABNT5101!N:N)</f>
        <v>-</v>
      </c>
      <c r="BD4" s="128">
        <f>_xlfn.XLOOKUP(K4,ABNT5101!$I:$I,ABNT5101!O:O)</f>
        <v>14</v>
      </c>
      <c r="BE4" s="18" t="str">
        <f t="shared" si="3"/>
        <v>ATENDE</v>
      </c>
      <c r="BF4" s="19">
        <f t="shared" si="4"/>
        <v>0.17633333333333323</v>
      </c>
      <c r="BG4" s="19">
        <f t="shared" si="5"/>
        <v>0.13157894736842102</v>
      </c>
      <c r="BH4" s="19" t="str">
        <f t="shared" si="6"/>
        <v>-</v>
      </c>
      <c r="BI4" s="20">
        <v>35.29</v>
      </c>
      <c r="BJ4" s="20">
        <v>0.43</v>
      </c>
      <c r="BK4" s="20"/>
      <c r="BL4" s="20"/>
      <c r="BM4" s="21"/>
      <c r="BN4" s="20"/>
      <c r="BO4" s="142" t="str">
        <f t="shared" si="7"/>
        <v>ATENDE</v>
      </c>
      <c r="BP4" s="142" t="str">
        <f t="shared" si="8"/>
        <v>ATENDE</v>
      </c>
      <c r="BQ4" s="142" t="str">
        <f t="shared" si="9"/>
        <v>ATENDE</v>
      </c>
      <c r="BR4" s="142" t="str">
        <f t="shared" si="10"/>
        <v>ATENDE</v>
      </c>
      <c r="BS4" s="22" t="str">
        <f t="shared" si="11"/>
        <v>C1</v>
      </c>
      <c r="BT4" s="22" t="str">
        <f t="shared" si="12"/>
        <v>P4</v>
      </c>
      <c r="BU4" s="23">
        <f t="shared" si="13"/>
        <v>1.6386666666666665</v>
      </c>
      <c r="BV4" s="20">
        <v>19.79</v>
      </c>
      <c r="BW4" s="20">
        <v>11.24</v>
      </c>
      <c r="BX4" s="129">
        <f>IF(BT4="-","-",_xlfn.XLOOKUP(BT4,ABNT5101!$B$4:$B$9,ABNT5101!$C$4:$C$9))</f>
        <v>7.5</v>
      </c>
      <c r="BY4" s="129">
        <f>IF(BT4="-","-",_xlfn.XLOOKUP(BT4,ABNT5101!$B$4:$B$9,ABNT5101!$D$4:$D$9))</f>
        <v>1.5</v>
      </c>
      <c r="BZ4" s="18" t="str">
        <f t="shared" si="14"/>
        <v>ATENDE</v>
      </c>
      <c r="CA4" s="18" t="str">
        <f t="shared" si="15"/>
        <v>ATENDE</v>
      </c>
      <c r="CB4" s="18" t="str">
        <f t="shared" si="16"/>
        <v>ATENDE</v>
      </c>
      <c r="CC4" s="22" t="str">
        <f t="shared" si="17"/>
        <v>P4</v>
      </c>
      <c r="CD4" s="143" t="e">
        <f t="shared" si="18"/>
        <v>#DIV/0!</v>
      </c>
      <c r="CE4" s="22">
        <v>19.82</v>
      </c>
      <c r="CF4" s="22">
        <v>11.16</v>
      </c>
      <c r="CG4" s="127"/>
      <c r="CH4" s="127"/>
      <c r="CI4" s="18" t="str">
        <f t="shared" si="19"/>
        <v>ATENDE</v>
      </c>
      <c r="CJ4" s="18" t="str">
        <f t="shared" si="20"/>
        <v>ATENDE</v>
      </c>
      <c r="CK4" s="18" t="str">
        <f t="shared" si="21"/>
        <v>ATENDE</v>
      </c>
      <c r="CL4" s="130" t="str">
        <f>_xlfn.XLOOKUP(CM4,'Banco de dados'!$B:$B,'Banco de dados'!$D:$D)</f>
        <v>TECNOWATT</v>
      </c>
      <c r="CM4" s="25" t="str">
        <f>'Banco de dados'!B76</f>
        <v xml:space="preserve">SIGMAGPTLRRSMNDL120W_82IBBR
</v>
      </c>
      <c r="CN4" s="24" t="str">
        <f>_xlfn.XLOOKUP(CM4,'Banco de dados'!$B:$B,'Banco de dados'!$E:$E)</f>
        <v>SIGMAGPTLRRSMNDL120W_82IBBR
S1-10C1MUN6.5</v>
      </c>
      <c r="CO4" s="24"/>
      <c r="CP4" s="24">
        <f>IF(CO4="-","-",_xlfn.XLOOKUP(CO4,'Banco de dados'!$B:$B,'Banco de dados'!$E:$E))</f>
        <v>0</v>
      </c>
      <c r="CQ4" s="26">
        <f t="shared" si="22"/>
        <v>1</v>
      </c>
      <c r="CR4" s="24">
        <f>_xlfn.XLOOKUP(CM4,'Banco de dados'!$B:$B,'Banco de dados'!$H:$H)</f>
        <v>120</v>
      </c>
      <c r="CS4" s="24">
        <f>_xlfn.XLOOKUP(CO4,'Banco de dados'!$B:$B,'Banco de dados'!$H:$H)</f>
        <v>0</v>
      </c>
      <c r="CT4" s="24">
        <f>_xlfn.XLOOKUP(CM4,'Banco de dados'!$B:$B,'Banco de dados'!$F:$F)</f>
        <v>19640</v>
      </c>
      <c r="CU4" s="24">
        <f>_xlfn.XLOOKUP(CO4,'Banco de dados'!$B:$B,'Banco de dados'!$F:$F)</f>
        <v>0</v>
      </c>
      <c r="CV4" s="25"/>
      <c r="CW4" s="25"/>
      <c r="CX4" s="24" t="str">
        <f>IF(AK4&lt;=0.5,"Curto I",IF(AND(AK4&gt;='Braços de IP'!$B$9,AK4&lt;='Braços de IP'!$D$9),'Braços de IP'!$E$9,IF(AND(AK4&gt;='Braços de IP'!$B$10,AK4&lt;='Braços de IP'!$D$10),'Braços de IP'!$E$10,IF(AND(AK4&gt;='Braços de IP'!$B$11,AK4&lt;='Braços de IP'!$D$11),'Braços de IP'!$E$11,IF(AND(AK4&gt;='Braços de IP'!$B$12,AK4&lt;='Braços de IP'!$D$12),'Braços de IP'!$E$12,IF(AND(AK4&gt;='Braços de IP'!$B$13,AK4&lt;='Braços de IP'!$D$13),'Braços de IP'!$E$13,IF(AND(AK4&gt;='Braços de IP'!$B$14,AK4&lt;='Braços de IP'!$D$14),'Braços de IP'!$E$14,"ERRO")))))))</f>
        <v>Longo I</v>
      </c>
      <c r="CY4" s="25"/>
      <c r="CZ4" s="24" t="str">
        <f>IF($CY4="","",VLOOKUP($CY4,'Braços de IP'!$E$9:$I$15,2,0))</f>
        <v/>
      </c>
      <c r="DA4" s="27" t="str">
        <f>IF($CY4="","",VLOOKUP($CY4,'Braços de IP'!$E$9:$I$15,5,0))</f>
        <v/>
      </c>
      <c r="DB4" s="24"/>
      <c r="DC4" s="24"/>
      <c r="DD4" s="24"/>
      <c r="DE4" s="24"/>
      <c r="DF4" s="24"/>
      <c r="DG4" s="24"/>
      <c r="DH4" s="28">
        <f t="shared" si="23"/>
        <v>120</v>
      </c>
      <c r="DI4" s="29">
        <f t="shared" si="24"/>
        <v>80</v>
      </c>
      <c r="DJ4" s="28">
        <f t="shared" si="25"/>
        <v>200</v>
      </c>
      <c r="DK4" s="30">
        <f t="shared" si="26"/>
        <v>-0.5</v>
      </c>
      <c r="DL4" s="31"/>
      <c r="DM4" s="32"/>
      <c r="DN4" s="15" t="s">
        <v>134</v>
      </c>
      <c r="DO4" s="15"/>
      <c r="DQ4" s="33">
        <f t="shared" si="27"/>
        <v>-0.5</v>
      </c>
      <c r="DS4" s="1"/>
      <c r="DT4" s="1"/>
      <c r="DU4" s="33"/>
      <c r="DV4" s="33"/>
    </row>
    <row r="5" spans="1:126" ht="14.4" x14ac:dyDescent="0.3">
      <c r="A5" s="158" t="s">
        <v>651</v>
      </c>
      <c r="B5" s="154" t="s">
        <v>668</v>
      </c>
      <c r="C5" s="154"/>
      <c r="D5" s="156" t="s">
        <v>665</v>
      </c>
      <c r="E5" s="155"/>
      <c r="F5" s="185">
        <v>221009264</v>
      </c>
      <c r="G5" s="161" t="s">
        <v>128</v>
      </c>
      <c r="H5" s="161" t="s">
        <v>673</v>
      </c>
      <c r="I5" s="161">
        <v>-19.562524</v>
      </c>
      <c r="J5" s="161">
        <v>-44.079276</v>
      </c>
      <c r="K5" s="161" t="s">
        <v>144</v>
      </c>
      <c r="L5" s="160"/>
      <c r="M5" s="161" t="s">
        <v>146</v>
      </c>
      <c r="N5" s="161" t="s">
        <v>132</v>
      </c>
      <c r="O5" s="161">
        <v>200</v>
      </c>
      <c r="P5" s="160"/>
      <c r="Q5" s="161" t="s">
        <v>651</v>
      </c>
      <c r="R5" s="161" t="s">
        <v>651</v>
      </c>
      <c r="S5" s="161">
        <v>2</v>
      </c>
      <c r="T5" s="161">
        <v>1.8</v>
      </c>
      <c r="U5" s="161">
        <v>8.5</v>
      </c>
      <c r="V5" s="165"/>
      <c r="W5" s="165"/>
      <c r="X5" s="148"/>
      <c r="Y5" s="161">
        <v>1.8</v>
      </c>
      <c r="Z5" s="161" t="s">
        <v>651</v>
      </c>
      <c r="AA5" s="165"/>
      <c r="AB5" s="165"/>
      <c r="AC5" s="161" t="s">
        <v>651</v>
      </c>
      <c r="AD5" s="161" t="s">
        <v>651</v>
      </c>
      <c r="AE5" s="161" t="s">
        <v>661</v>
      </c>
      <c r="AF5" s="161" t="s">
        <v>663</v>
      </c>
      <c r="AG5" s="161">
        <v>35.299999999999997</v>
      </c>
      <c r="AH5" s="161">
        <v>8</v>
      </c>
      <c r="AI5" s="161">
        <v>1</v>
      </c>
      <c r="AJ5" s="161">
        <v>1</v>
      </c>
      <c r="AK5" s="161">
        <v>3.3</v>
      </c>
      <c r="AL5" s="167">
        <f t="shared" si="0"/>
        <v>2.2999999999999998</v>
      </c>
      <c r="AM5" s="16" t="s">
        <v>664</v>
      </c>
      <c r="AN5" s="16" t="s">
        <v>664</v>
      </c>
      <c r="AO5" s="15" t="s">
        <v>133</v>
      </c>
      <c r="AP5" s="16">
        <f t="shared" si="1"/>
        <v>2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7">
        <f t="shared" si="2"/>
        <v>0</v>
      </c>
      <c r="AX5" s="17"/>
      <c r="AY5" s="17">
        <f>VLOOKUP(K5,ABNT5101!$I$3:$J$9,2)</f>
        <v>30</v>
      </c>
      <c r="AZ5" s="17">
        <f>VLOOKUP(K5,ABNT5101!$I$3:$M$9,5)</f>
        <v>0.38</v>
      </c>
      <c r="BA5" s="128" t="str">
        <f>_xlfn.XLOOKUP(K5,ABNT5101!$I:$I,ABNT5101!$L:$L)</f>
        <v>-</v>
      </c>
      <c r="BB5" s="128">
        <f>_xlfn.XLOOKUP(K5,ABNT5101!$I:$I,ABNT5101!M:M)</f>
        <v>0.38</v>
      </c>
      <c r="BC5" s="128" t="str">
        <f>_xlfn.XLOOKUP(K5,ABNT5101!$I:$I,ABNT5101!N:N)</f>
        <v>-</v>
      </c>
      <c r="BD5" s="128">
        <f>_xlfn.XLOOKUP(K5,ABNT5101!$I:$I,ABNT5101!O:O)</f>
        <v>14</v>
      </c>
      <c r="BE5" s="18" t="str">
        <f t="shared" si="3"/>
        <v>ATENDE</v>
      </c>
      <c r="BF5" s="19">
        <f t="shared" si="4"/>
        <v>6.0666666666666647E-2</v>
      </c>
      <c r="BG5" s="19">
        <f t="shared" si="5"/>
        <v>7.8947368421052655E-2</v>
      </c>
      <c r="BH5" s="19" t="str">
        <f t="shared" si="6"/>
        <v>-</v>
      </c>
      <c r="BI5" s="20">
        <v>31.82</v>
      </c>
      <c r="BJ5" s="20">
        <v>0.41</v>
      </c>
      <c r="BK5" s="20"/>
      <c r="BL5" s="20"/>
      <c r="BM5" s="21"/>
      <c r="BN5" s="20"/>
      <c r="BO5" s="142" t="str">
        <f t="shared" si="7"/>
        <v>ATENDE</v>
      </c>
      <c r="BP5" s="142" t="str">
        <f t="shared" si="8"/>
        <v>ATENDE</v>
      </c>
      <c r="BQ5" s="142" t="str">
        <f t="shared" si="9"/>
        <v>ATENDE</v>
      </c>
      <c r="BR5" s="142" t="str">
        <f t="shared" si="10"/>
        <v>ATENDE</v>
      </c>
      <c r="BS5" s="22" t="str">
        <f t="shared" si="11"/>
        <v>C1</v>
      </c>
      <c r="BT5" s="22" t="str">
        <f t="shared" si="12"/>
        <v>P4</v>
      </c>
      <c r="BU5" s="23">
        <f t="shared" si="13"/>
        <v>2.0720000000000001</v>
      </c>
      <c r="BV5" s="20">
        <v>23.04</v>
      </c>
      <c r="BW5" s="20">
        <v>13.55</v>
      </c>
      <c r="BX5" s="129">
        <f>IF(BT5="-","-",_xlfn.XLOOKUP(BT5,ABNT5101!$B$4:$B$9,ABNT5101!$C$4:$C$9))</f>
        <v>7.5</v>
      </c>
      <c r="BY5" s="129">
        <f>IF(BT5="-","-",_xlfn.XLOOKUP(BT5,ABNT5101!$B$4:$B$9,ABNT5101!$D$4:$D$9))</f>
        <v>1.5</v>
      </c>
      <c r="BZ5" s="18" t="str">
        <f t="shared" si="14"/>
        <v>ATENDE</v>
      </c>
      <c r="CA5" s="18" t="str">
        <f t="shared" si="15"/>
        <v>ATENDE</v>
      </c>
      <c r="CB5" s="18" t="str">
        <f t="shared" si="16"/>
        <v>ATENDE</v>
      </c>
      <c r="CC5" s="22" t="str">
        <f t="shared" si="17"/>
        <v>P4</v>
      </c>
      <c r="CD5" s="143" t="e">
        <f t="shared" si="18"/>
        <v>#DIV/0!</v>
      </c>
      <c r="CE5" s="22">
        <v>23.06</v>
      </c>
      <c r="CF5" s="22">
        <v>9.26</v>
      </c>
      <c r="CG5" s="127"/>
      <c r="CH5" s="127"/>
      <c r="CI5" s="18" t="str">
        <f t="shared" si="19"/>
        <v>ATENDE</v>
      </c>
      <c r="CJ5" s="18" t="str">
        <f t="shared" si="20"/>
        <v>ATENDE</v>
      </c>
      <c r="CK5" s="18" t="str">
        <f t="shared" si="21"/>
        <v>ATENDE</v>
      </c>
      <c r="CL5" s="130" t="str">
        <f>_xlfn.XLOOKUP(CM5,'Banco de dados'!$B:$B,'Banco de dados'!$D:$D)</f>
        <v>LEDSTAR</v>
      </c>
      <c r="CM5" s="25" t="str">
        <f>'Banco de dados'!B35</f>
        <v xml:space="preserve"> SL VT 9.1 140W</v>
      </c>
      <c r="CN5" s="24" t="str">
        <f>_xlfn.XLOOKUP(CM5,'Banco de dados'!$B:$B,'Banco de dados'!$E:$E)</f>
        <v>LUM LED SL VT 9.1 140W</v>
      </c>
      <c r="CO5" s="24"/>
      <c r="CP5" s="24">
        <f>IF(CO5="-","-",_xlfn.XLOOKUP(CO5,'Banco de dados'!$B:$B,'Banco de dados'!$E:$E))</f>
        <v>0</v>
      </c>
      <c r="CQ5" s="26">
        <f t="shared" si="22"/>
        <v>1</v>
      </c>
      <c r="CR5" s="24">
        <f>_xlfn.XLOOKUP(CM5,'Banco de dados'!$B:$B,'Banco de dados'!$H:$H)</f>
        <v>140</v>
      </c>
      <c r="CS5" s="24">
        <f>_xlfn.XLOOKUP(CO5,'Banco de dados'!$B:$B,'Banco de dados'!$H:$H)</f>
        <v>0</v>
      </c>
      <c r="CT5" s="24">
        <f>_xlfn.XLOOKUP(CM5,'Banco de dados'!$B:$B,'Banco de dados'!$F:$F)</f>
        <v>22440</v>
      </c>
      <c r="CU5" s="24">
        <f>_xlfn.XLOOKUP(CO5,'Banco de dados'!$B:$B,'Banco de dados'!$F:$F)</f>
        <v>0</v>
      </c>
      <c r="CV5" s="25"/>
      <c r="CW5" s="25"/>
      <c r="CX5" s="24" t="str">
        <f>IF(AK5&lt;=0.5,"Curto I",IF(AND(AK5&gt;='Braços de IP'!$B$9,AK5&lt;='Braços de IP'!$D$9),'Braços de IP'!$E$9,IF(AND(AK5&gt;='Braços de IP'!$B$10,AK5&lt;='Braços de IP'!$D$10),'Braços de IP'!$E$10,IF(AND(AK5&gt;='Braços de IP'!$B$11,AK5&lt;='Braços de IP'!$D$11),'Braços de IP'!$E$11,IF(AND(AK5&gt;='Braços de IP'!$B$12,AK5&lt;='Braços de IP'!$D$12),'Braços de IP'!$E$12,IF(AND(AK5&gt;='Braços de IP'!$B$13,AK5&lt;='Braços de IP'!$D$13),'Braços de IP'!$E$13,IF(AND(AK5&gt;='Braços de IP'!$B$14,AK5&lt;='Braços de IP'!$D$14),'Braços de IP'!$E$14,"ERRO")))))))</f>
        <v>Longo II</v>
      </c>
      <c r="CY5" s="25"/>
      <c r="CZ5" s="24" t="str">
        <f>IF($CY5="","",VLOOKUP($CY5,'Braços de IP'!$E$9:$I$15,2,0))</f>
        <v/>
      </c>
      <c r="DA5" s="27" t="str">
        <f>IF($CY5="","",VLOOKUP($CY5,'Braços de IP'!$E$9:$I$15,5,0))</f>
        <v/>
      </c>
      <c r="DB5" s="24"/>
      <c r="DC5" s="24"/>
      <c r="DD5" s="24"/>
      <c r="DE5" s="24"/>
      <c r="DF5" s="24"/>
      <c r="DG5" s="24"/>
      <c r="DH5" s="28">
        <f t="shared" si="23"/>
        <v>140</v>
      </c>
      <c r="DI5" s="29">
        <f t="shared" si="24"/>
        <v>200</v>
      </c>
      <c r="DJ5" s="28">
        <f t="shared" si="25"/>
        <v>340</v>
      </c>
      <c r="DK5" s="30">
        <f t="shared" si="26"/>
        <v>0.30000000000000004</v>
      </c>
      <c r="DL5" s="31"/>
      <c r="DM5" s="32"/>
      <c r="DN5" s="15" t="s">
        <v>134</v>
      </c>
      <c r="DO5" s="15"/>
      <c r="DQ5" s="33">
        <f t="shared" si="27"/>
        <v>0.3</v>
      </c>
    </row>
    <row r="6" spans="1:126" ht="14.4" x14ac:dyDescent="0.3">
      <c r="B6" s="154"/>
      <c r="C6" s="154"/>
      <c r="D6" s="156"/>
      <c r="E6" s="157"/>
      <c r="F6" s="185">
        <v>221009264</v>
      </c>
      <c r="G6" s="161" t="s">
        <v>128</v>
      </c>
      <c r="H6" s="161" t="s">
        <v>673</v>
      </c>
      <c r="I6" s="161">
        <v>-19.562524</v>
      </c>
      <c r="J6" s="161">
        <v>-44.079276</v>
      </c>
      <c r="K6" s="161" t="s">
        <v>144</v>
      </c>
      <c r="L6" s="160"/>
      <c r="M6" s="161" t="s">
        <v>146</v>
      </c>
      <c r="N6" s="161" t="s">
        <v>132</v>
      </c>
      <c r="O6" s="161">
        <v>200</v>
      </c>
      <c r="P6" s="160"/>
      <c r="Q6" s="161" t="s">
        <v>651</v>
      </c>
      <c r="R6" s="161" t="s">
        <v>651</v>
      </c>
      <c r="S6" s="161">
        <v>2</v>
      </c>
      <c r="T6" s="161">
        <v>1.8</v>
      </c>
      <c r="U6" s="161">
        <v>8.5</v>
      </c>
      <c r="V6" s="165"/>
      <c r="W6" s="165"/>
      <c r="X6" s="148"/>
      <c r="Y6" s="161">
        <v>1.8</v>
      </c>
      <c r="Z6" s="161" t="s">
        <v>651</v>
      </c>
      <c r="AA6" s="165"/>
      <c r="AB6" s="165"/>
      <c r="AC6" s="161" t="s">
        <v>651</v>
      </c>
      <c r="AD6" s="161" t="s">
        <v>651</v>
      </c>
      <c r="AE6" s="161" t="s">
        <v>661</v>
      </c>
      <c r="AF6" s="161" t="s">
        <v>663</v>
      </c>
      <c r="AG6" s="161">
        <v>35.299999999999997</v>
      </c>
      <c r="AH6" s="161">
        <v>8</v>
      </c>
      <c r="AI6" s="161">
        <v>1</v>
      </c>
      <c r="AJ6" s="161">
        <v>1</v>
      </c>
      <c r="AK6" s="161">
        <v>3.3</v>
      </c>
      <c r="AL6" s="167">
        <f t="shared" ref="AL6:AL7" si="29">AK6-AJ6</f>
        <v>2.2999999999999998</v>
      </c>
      <c r="AM6" s="16" t="s">
        <v>664</v>
      </c>
      <c r="AN6" s="16" t="s">
        <v>664</v>
      </c>
      <c r="AO6" s="15" t="s">
        <v>133</v>
      </c>
      <c r="AP6" s="16">
        <f t="shared" si="1"/>
        <v>2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7">
        <f t="shared" si="2"/>
        <v>0</v>
      </c>
      <c r="AX6" s="17"/>
      <c r="AY6" s="17">
        <f>VLOOKUP(K6,ABNT5101!$I$3:$J$9,2)</f>
        <v>30</v>
      </c>
      <c r="AZ6" s="17">
        <f>VLOOKUP(K6,ABNT5101!$I$3:$M$9,5)</f>
        <v>0.38</v>
      </c>
      <c r="BA6" s="128" t="str">
        <f>_xlfn.XLOOKUP(K6,ABNT5101!$I:$I,ABNT5101!$L:$L)</f>
        <v>-</v>
      </c>
      <c r="BB6" s="128">
        <f>_xlfn.XLOOKUP(K6,ABNT5101!$I:$I,ABNT5101!M:M)</f>
        <v>0.38</v>
      </c>
      <c r="BC6" s="128" t="str">
        <f>_xlfn.XLOOKUP(K6,ABNT5101!$I:$I,ABNT5101!N:N)</f>
        <v>-</v>
      </c>
      <c r="BD6" s="128">
        <f>_xlfn.XLOOKUP(K6,ABNT5101!$I:$I,ABNT5101!O:O)</f>
        <v>14</v>
      </c>
      <c r="BE6" s="18" t="str">
        <f t="shared" si="3"/>
        <v>ATENDE</v>
      </c>
      <c r="BF6" s="19">
        <f t="shared" si="4"/>
        <v>8.7333333333333263E-2</v>
      </c>
      <c r="BG6" s="19">
        <f t="shared" si="5"/>
        <v>0.28947368421052633</v>
      </c>
      <c r="BH6" s="19" t="str">
        <f t="shared" si="6"/>
        <v>-</v>
      </c>
      <c r="BI6" s="20">
        <v>32.619999999999997</v>
      </c>
      <c r="BJ6" s="20">
        <v>0.49</v>
      </c>
      <c r="BK6" s="20"/>
      <c r="BL6" s="20"/>
      <c r="BM6" s="21"/>
      <c r="BN6" s="20"/>
      <c r="BO6" s="142" t="str">
        <f t="shared" si="7"/>
        <v>ATENDE</v>
      </c>
      <c r="BP6" s="142" t="str">
        <f t="shared" si="8"/>
        <v>ATENDE</v>
      </c>
      <c r="BQ6" s="142" t="str">
        <f t="shared" si="9"/>
        <v>ATENDE</v>
      </c>
      <c r="BR6" s="142" t="str">
        <f t="shared" si="10"/>
        <v>ATENDE</v>
      </c>
      <c r="BS6" s="22" t="str">
        <f t="shared" si="11"/>
        <v>C1</v>
      </c>
      <c r="BT6" s="22" t="str">
        <f t="shared" si="12"/>
        <v>P4</v>
      </c>
      <c r="BU6" s="23">
        <f t="shared" si="13"/>
        <v>1.6093333333333333</v>
      </c>
      <c r="BV6" s="20">
        <v>19.57</v>
      </c>
      <c r="BW6" s="20">
        <v>11.33</v>
      </c>
      <c r="BX6" s="129">
        <f>IF(BT6="-","-",_xlfn.XLOOKUP(BT6,ABNT5101!$B$4:$B$9,ABNT5101!$C$4:$C$9))</f>
        <v>7.5</v>
      </c>
      <c r="BY6" s="129">
        <f>IF(BT6="-","-",_xlfn.XLOOKUP(BT6,ABNT5101!$B$4:$B$9,ABNT5101!$D$4:$D$9))</f>
        <v>1.5</v>
      </c>
      <c r="BZ6" s="18" t="str">
        <f t="shared" si="14"/>
        <v>ATENDE</v>
      </c>
      <c r="CA6" s="18" t="str">
        <f t="shared" si="15"/>
        <v>ATENDE</v>
      </c>
      <c r="CB6" s="18" t="str">
        <f t="shared" si="16"/>
        <v>ATENDE</v>
      </c>
      <c r="CC6" s="22" t="str">
        <f t="shared" si="17"/>
        <v>P4</v>
      </c>
      <c r="CD6" s="143" t="e">
        <f t="shared" si="18"/>
        <v>#DIV/0!</v>
      </c>
      <c r="CE6" s="22">
        <v>25.52</v>
      </c>
      <c r="CF6" s="22">
        <v>15.62</v>
      </c>
      <c r="CG6" s="127"/>
      <c r="CH6" s="127"/>
      <c r="CI6" s="18" t="str">
        <f t="shared" si="19"/>
        <v>ATENDE</v>
      </c>
      <c r="CJ6" s="18" t="str">
        <f t="shared" si="20"/>
        <v>ATENDE</v>
      </c>
      <c r="CK6" s="18" t="str">
        <f t="shared" si="21"/>
        <v>ATENDE</v>
      </c>
      <c r="CL6" s="130" t="str">
        <f>_xlfn.XLOOKUP(CM6,'Banco de dados'!$B:$B,'Banco de dados'!$D:$D)</f>
        <v>SX LIGHTING</v>
      </c>
      <c r="CM6" s="25" t="str">
        <f>'Banco de dados'!B65</f>
        <v>SX-INLPP150HF</v>
      </c>
      <c r="CN6" s="24" t="str">
        <f>_xlfn.XLOOKUP(CM6,'Banco de dados'!$B:$B,'Banco de dados'!$E:$E)</f>
        <v>SXINLPP150K40L12CZF7PHF</v>
      </c>
      <c r="CO6" s="24"/>
      <c r="CP6" s="24">
        <f>IF(CO6="-","-",_xlfn.XLOOKUP(CO6,'Banco de dados'!$B:$B,'Banco de dados'!$E:$E))</f>
        <v>0</v>
      </c>
      <c r="CQ6" s="26">
        <f t="shared" si="22"/>
        <v>1</v>
      </c>
      <c r="CR6" s="24">
        <f>_xlfn.XLOOKUP(CM6,'Banco de dados'!$B:$B,'Banco de dados'!$H:$H)</f>
        <v>137</v>
      </c>
      <c r="CS6" s="24">
        <f>_xlfn.XLOOKUP(CO6,'Banco de dados'!$B:$B,'Banco de dados'!$H:$H)</f>
        <v>0</v>
      </c>
      <c r="CT6" s="24">
        <f>_xlfn.XLOOKUP(CM6,'Banco de dados'!$B:$B,'Banco de dados'!$F:$F)</f>
        <v>23817</v>
      </c>
      <c r="CU6" s="24">
        <f>_xlfn.XLOOKUP(CO6,'Banco de dados'!$B:$B,'Banco de dados'!$F:$F)</f>
        <v>0</v>
      </c>
      <c r="CV6" s="25"/>
      <c r="CW6" s="25"/>
      <c r="CX6" s="24" t="str">
        <f>IF(AK6&lt;=0.5,"Curto I",IF(AND(AK6&gt;='Braços de IP'!$B$9,AK6&lt;='Braços de IP'!$D$9),'Braços de IP'!$E$9,IF(AND(AK6&gt;='Braços de IP'!$B$10,AK6&lt;='Braços de IP'!$D$10),'Braços de IP'!$E$10,IF(AND(AK6&gt;='Braços de IP'!$B$11,AK6&lt;='Braços de IP'!$D$11),'Braços de IP'!$E$11,IF(AND(AK6&gt;='Braços de IP'!$B$12,AK6&lt;='Braços de IP'!$D$12),'Braços de IP'!$E$12,IF(AND(AK6&gt;='Braços de IP'!$B$13,AK6&lt;='Braços de IP'!$D$13),'Braços de IP'!$E$13,IF(AND(AK6&gt;='Braços de IP'!$B$14,AK6&lt;='Braços de IP'!$D$14),'Braços de IP'!$E$14,"ERRO")))))))</f>
        <v>Longo II</v>
      </c>
      <c r="CY6" s="25"/>
      <c r="CZ6" s="24" t="str">
        <f>IF($CY6="","",VLOOKUP($CY6,'Braços de IP'!$E$9:$I$15,2,0))</f>
        <v/>
      </c>
      <c r="DA6" s="27" t="str">
        <f>IF($CY6="","",VLOOKUP($CY6,'Braços de IP'!$E$9:$I$15,5,0))</f>
        <v/>
      </c>
      <c r="DB6" s="24"/>
      <c r="DC6" s="24"/>
      <c r="DD6" s="24"/>
      <c r="DE6" s="24"/>
      <c r="DF6" s="24"/>
      <c r="DG6" s="24"/>
      <c r="DH6" s="28">
        <f t="shared" si="23"/>
        <v>137</v>
      </c>
      <c r="DI6" s="29">
        <f t="shared" si="24"/>
        <v>200</v>
      </c>
      <c r="DJ6" s="28">
        <f t="shared" si="25"/>
        <v>337</v>
      </c>
      <c r="DK6" s="30">
        <f t="shared" si="26"/>
        <v>0.31499999999999995</v>
      </c>
      <c r="DL6" s="31"/>
      <c r="DM6" s="32"/>
      <c r="DN6" s="15" t="s">
        <v>134</v>
      </c>
      <c r="DO6" s="15"/>
      <c r="DQ6" s="33">
        <f t="shared" si="27"/>
        <v>0.315</v>
      </c>
      <c r="DS6" s="1"/>
      <c r="DT6" s="1"/>
      <c r="DU6" s="33"/>
      <c r="DV6" s="33"/>
    </row>
    <row r="7" spans="1:126" ht="14.4" x14ac:dyDescent="0.3">
      <c r="B7" s="154"/>
      <c r="C7" s="154"/>
      <c r="D7" s="156"/>
      <c r="E7" s="157"/>
      <c r="F7" s="185">
        <v>221009264</v>
      </c>
      <c r="G7" s="161" t="s">
        <v>128</v>
      </c>
      <c r="H7" s="161" t="s">
        <v>673</v>
      </c>
      <c r="I7" s="161">
        <v>-19.562524</v>
      </c>
      <c r="J7" s="161">
        <v>-44.079276</v>
      </c>
      <c r="K7" s="161" t="s">
        <v>144</v>
      </c>
      <c r="L7" s="160"/>
      <c r="M7" s="161" t="s">
        <v>146</v>
      </c>
      <c r="N7" s="161" t="s">
        <v>132</v>
      </c>
      <c r="O7" s="161">
        <v>200</v>
      </c>
      <c r="P7" s="160"/>
      <c r="Q7" s="161" t="s">
        <v>651</v>
      </c>
      <c r="R7" s="161" t="s">
        <v>651</v>
      </c>
      <c r="S7" s="161">
        <v>2</v>
      </c>
      <c r="T7" s="161">
        <v>1.8</v>
      </c>
      <c r="U7" s="161">
        <v>8.5</v>
      </c>
      <c r="V7" s="165"/>
      <c r="W7" s="165"/>
      <c r="X7" s="148"/>
      <c r="Y7" s="161">
        <v>1.8</v>
      </c>
      <c r="Z7" s="161" t="s">
        <v>651</v>
      </c>
      <c r="AA7" s="165"/>
      <c r="AB7" s="165"/>
      <c r="AC7" s="161" t="s">
        <v>651</v>
      </c>
      <c r="AD7" s="161" t="s">
        <v>651</v>
      </c>
      <c r="AE7" s="161" t="s">
        <v>661</v>
      </c>
      <c r="AF7" s="161" t="s">
        <v>663</v>
      </c>
      <c r="AG7" s="161">
        <v>35.299999999999997</v>
      </c>
      <c r="AH7" s="161">
        <v>8</v>
      </c>
      <c r="AI7" s="161">
        <v>1</v>
      </c>
      <c r="AJ7" s="161">
        <v>1</v>
      </c>
      <c r="AK7" s="161">
        <v>3.3</v>
      </c>
      <c r="AL7" s="167">
        <f t="shared" si="29"/>
        <v>2.2999999999999998</v>
      </c>
      <c r="AM7" s="16" t="s">
        <v>664</v>
      </c>
      <c r="AN7" s="16" t="s">
        <v>664</v>
      </c>
      <c r="AO7" s="15" t="s">
        <v>133</v>
      </c>
      <c r="AP7" s="16">
        <f t="shared" si="1"/>
        <v>2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7">
        <f t="shared" si="2"/>
        <v>0</v>
      </c>
      <c r="AX7" s="17"/>
      <c r="AY7" s="17">
        <f>VLOOKUP(K7,ABNT5101!$I$3:$J$9,2)</f>
        <v>30</v>
      </c>
      <c r="AZ7" s="17">
        <f>VLOOKUP(K7,ABNT5101!$I$3:$M$9,5)</f>
        <v>0.38</v>
      </c>
      <c r="BA7" s="128" t="str">
        <f>_xlfn.XLOOKUP(K7,ABNT5101!$I:$I,ABNT5101!$L:$L)</f>
        <v>-</v>
      </c>
      <c r="BB7" s="128">
        <f>_xlfn.XLOOKUP(K7,ABNT5101!$I:$I,ABNT5101!M:M)</f>
        <v>0.38</v>
      </c>
      <c r="BC7" s="128" t="str">
        <f>_xlfn.XLOOKUP(K7,ABNT5101!$I:$I,ABNT5101!N:N)</f>
        <v>-</v>
      </c>
      <c r="BD7" s="128">
        <f>_xlfn.XLOOKUP(K7,ABNT5101!$I:$I,ABNT5101!O:O)</f>
        <v>14</v>
      </c>
      <c r="BE7" s="18" t="str">
        <f t="shared" si="3"/>
        <v>ATENDE</v>
      </c>
      <c r="BF7" s="19">
        <f t="shared" si="4"/>
        <v>8.3666666666666556E-2</v>
      </c>
      <c r="BG7" s="19">
        <f t="shared" si="5"/>
        <v>0.39473684210526327</v>
      </c>
      <c r="BH7" s="19" t="str">
        <f t="shared" si="6"/>
        <v>-</v>
      </c>
      <c r="BI7" s="20">
        <v>32.51</v>
      </c>
      <c r="BJ7" s="20">
        <v>0.53</v>
      </c>
      <c r="BK7" s="20"/>
      <c r="BL7" s="20"/>
      <c r="BM7" s="21"/>
      <c r="BN7" s="20"/>
      <c r="BO7" s="142" t="str">
        <f t="shared" si="7"/>
        <v>ATENDE</v>
      </c>
      <c r="BP7" s="142" t="str">
        <f t="shared" si="8"/>
        <v>ATENDE</v>
      </c>
      <c r="BQ7" s="142" t="str">
        <f t="shared" si="9"/>
        <v>ATENDE</v>
      </c>
      <c r="BR7" s="142" t="str">
        <f t="shared" si="10"/>
        <v>ATENDE</v>
      </c>
      <c r="BS7" s="22" t="str">
        <f t="shared" si="11"/>
        <v>C1</v>
      </c>
      <c r="BT7" s="22" t="str">
        <f t="shared" si="12"/>
        <v>P4</v>
      </c>
      <c r="BU7" s="23">
        <f t="shared" si="13"/>
        <v>1.6106666666666665</v>
      </c>
      <c r="BV7" s="20">
        <v>19.579999999999998</v>
      </c>
      <c r="BW7" s="20">
        <v>15.75</v>
      </c>
      <c r="BX7" s="129">
        <f>IF(BT7="-","-",_xlfn.XLOOKUP(BT7,ABNT5101!$B$4:$B$9,ABNT5101!$C$4:$C$9))</f>
        <v>7.5</v>
      </c>
      <c r="BY7" s="129">
        <f>IF(BT7="-","-",_xlfn.XLOOKUP(BT7,ABNT5101!$B$4:$B$9,ABNT5101!$D$4:$D$9))</f>
        <v>1.5</v>
      </c>
      <c r="BZ7" s="18" t="str">
        <f t="shared" si="14"/>
        <v>ATENDE</v>
      </c>
      <c r="CA7" s="18" t="str">
        <f t="shared" si="15"/>
        <v>ATENDE</v>
      </c>
      <c r="CB7" s="18" t="str">
        <f t="shared" si="16"/>
        <v>ATENDE</v>
      </c>
      <c r="CC7" s="22" t="str">
        <f t="shared" si="17"/>
        <v>P4</v>
      </c>
      <c r="CD7" s="143" t="e">
        <f t="shared" si="18"/>
        <v>#DIV/0!</v>
      </c>
      <c r="CE7" s="22">
        <v>22.39</v>
      </c>
      <c r="CF7" s="22">
        <v>13.06</v>
      </c>
      <c r="CG7" s="127"/>
      <c r="CH7" s="127"/>
      <c r="CI7" s="18" t="str">
        <f t="shared" si="19"/>
        <v>ATENDE</v>
      </c>
      <c r="CJ7" s="18" t="str">
        <f t="shared" si="20"/>
        <v>ATENDE</v>
      </c>
      <c r="CK7" s="18" t="str">
        <f t="shared" si="21"/>
        <v>ATENDE</v>
      </c>
      <c r="CL7" s="130" t="str">
        <f>_xlfn.XLOOKUP(CM7,'Banco de dados'!$B:$B,'Banco de dados'!$D:$D)</f>
        <v>TECNOWATT</v>
      </c>
      <c r="CM7" s="25" t="str">
        <f>'Banco de dados'!B77</f>
        <v xml:space="preserve">SIGMAGPTLRRSMNDL150W102IBBR
</v>
      </c>
      <c r="CN7" s="24" t="str">
        <f>_xlfn.XLOOKUP(CM7,'Banco de dados'!$B:$B,'Banco de dados'!$E:$E)</f>
        <v>SIGMAGPTLRRSMNDL150W102IBBR
S1-10C1MUN6.5</v>
      </c>
      <c r="CO7" s="24"/>
      <c r="CP7" s="24">
        <f>IF(CO7="-","-",_xlfn.XLOOKUP(CO7,'Banco de dados'!$B:$B,'Banco de dados'!$E:$E))</f>
        <v>0</v>
      </c>
      <c r="CQ7" s="26">
        <f t="shared" si="22"/>
        <v>1</v>
      </c>
      <c r="CR7" s="24">
        <f>_xlfn.XLOOKUP(CM7,'Banco de dados'!$B:$B,'Banco de dados'!$H:$H)</f>
        <v>150</v>
      </c>
      <c r="CS7" s="24">
        <f>_xlfn.XLOOKUP(CO7,'Banco de dados'!$B:$B,'Banco de dados'!$H:$H)</f>
        <v>0</v>
      </c>
      <c r="CT7" s="24">
        <f>_xlfn.XLOOKUP(CM7,'Banco de dados'!$B:$B,'Banco de dados'!$F:$F)</f>
        <v>23000</v>
      </c>
      <c r="CU7" s="24">
        <f>_xlfn.XLOOKUP(CO7,'Banco de dados'!$B:$B,'Banco de dados'!$F:$F)</f>
        <v>0</v>
      </c>
      <c r="CV7" s="25"/>
      <c r="CW7" s="25"/>
      <c r="CX7" s="24" t="str">
        <f>IF(AK7&lt;=0.5,"Curto I",IF(AND(AK7&gt;='Braços de IP'!$B$9,AK7&lt;='Braços de IP'!$D$9),'Braços de IP'!$E$9,IF(AND(AK7&gt;='Braços de IP'!$B$10,AK7&lt;='Braços de IP'!$D$10),'Braços de IP'!$E$10,IF(AND(AK7&gt;='Braços de IP'!$B$11,AK7&lt;='Braços de IP'!$D$11),'Braços de IP'!$E$11,IF(AND(AK7&gt;='Braços de IP'!$B$12,AK7&lt;='Braços de IP'!$D$12),'Braços de IP'!$E$12,IF(AND(AK7&gt;='Braços de IP'!$B$13,AK7&lt;='Braços de IP'!$D$13),'Braços de IP'!$E$13,IF(AND(AK7&gt;='Braços de IP'!$B$14,AK7&lt;='Braços de IP'!$D$14),'Braços de IP'!$E$14,"ERRO")))))))</f>
        <v>Longo II</v>
      </c>
      <c r="CY7" s="25"/>
      <c r="CZ7" s="24" t="str">
        <f>IF($CY7="","",VLOOKUP($CY7,'Braços de IP'!$E$9:$I$15,2,0))</f>
        <v/>
      </c>
      <c r="DA7" s="27" t="str">
        <f>IF($CY7="","",VLOOKUP($CY7,'Braços de IP'!$E$9:$I$15,5,0))</f>
        <v/>
      </c>
      <c r="DB7" s="24"/>
      <c r="DC7" s="24"/>
      <c r="DD7" s="24"/>
      <c r="DE7" s="24"/>
      <c r="DF7" s="24"/>
      <c r="DG7" s="24"/>
      <c r="DH7" s="28">
        <f t="shared" si="23"/>
        <v>150</v>
      </c>
      <c r="DI7" s="29">
        <f t="shared" si="24"/>
        <v>200</v>
      </c>
      <c r="DJ7" s="28">
        <f t="shared" si="25"/>
        <v>350</v>
      </c>
      <c r="DK7" s="30">
        <f t="shared" si="26"/>
        <v>0.25</v>
      </c>
      <c r="DL7" s="31"/>
      <c r="DM7" s="32"/>
      <c r="DN7" s="15" t="s">
        <v>134</v>
      </c>
      <c r="DO7" s="15"/>
      <c r="DQ7" s="33">
        <f t="shared" si="27"/>
        <v>0.25</v>
      </c>
      <c r="DS7" s="1"/>
      <c r="DT7" s="1"/>
      <c r="DU7" s="33"/>
      <c r="DV7" s="33"/>
    </row>
    <row r="8" spans="1:126" ht="14.4" x14ac:dyDescent="0.3">
      <c r="A8" s="187" t="s">
        <v>679</v>
      </c>
      <c r="B8" s="154" t="s">
        <v>668</v>
      </c>
      <c r="C8" s="154" t="s">
        <v>669</v>
      </c>
      <c r="D8" s="156" t="s">
        <v>665</v>
      </c>
      <c r="E8" s="157" t="s">
        <v>669</v>
      </c>
      <c r="F8" s="185">
        <v>221272180</v>
      </c>
      <c r="G8" s="184" t="s">
        <v>678</v>
      </c>
      <c r="H8" s="161" t="s">
        <v>674</v>
      </c>
      <c r="I8" s="161">
        <v>-19.557925000000001</v>
      </c>
      <c r="J8" s="161">
        <v>-44.085391000000001</v>
      </c>
      <c r="K8" s="161" t="s">
        <v>149</v>
      </c>
      <c r="L8" s="160"/>
      <c r="M8" s="148" t="s">
        <v>146</v>
      </c>
      <c r="N8" s="161" t="s">
        <v>132</v>
      </c>
      <c r="O8" s="161">
        <v>200</v>
      </c>
      <c r="P8" s="160"/>
      <c r="Q8" s="161" t="s">
        <v>651</v>
      </c>
      <c r="R8" s="161" t="s">
        <v>651</v>
      </c>
      <c r="S8" s="161">
        <v>2</v>
      </c>
      <c r="T8" s="148">
        <v>1.5</v>
      </c>
      <c r="U8" s="161">
        <v>6.5</v>
      </c>
      <c r="V8" s="165"/>
      <c r="W8" s="165"/>
      <c r="X8" s="148"/>
      <c r="Y8" s="148">
        <v>1.5</v>
      </c>
      <c r="Z8" s="161" t="s">
        <v>651</v>
      </c>
      <c r="AA8" s="165"/>
      <c r="AB8" s="165"/>
      <c r="AC8" s="161">
        <v>2.2999999999999998</v>
      </c>
      <c r="AD8" s="161">
        <v>2.2999999999999998</v>
      </c>
      <c r="AE8" s="161" t="s">
        <v>661</v>
      </c>
      <c r="AF8" s="161" t="s">
        <v>663</v>
      </c>
      <c r="AG8" s="161">
        <v>37.299999999999997</v>
      </c>
      <c r="AH8" s="161">
        <v>7.6</v>
      </c>
      <c r="AI8" s="161">
        <v>1</v>
      </c>
      <c r="AJ8" s="148">
        <v>3</v>
      </c>
      <c r="AK8" s="161">
        <v>3.2</v>
      </c>
      <c r="AL8" s="188">
        <f t="shared" si="0"/>
        <v>0.20000000000000018</v>
      </c>
      <c r="AM8" s="16" t="s">
        <v>664</v>
      </c>
      <c r="AN8" s="16" t="s">
        <v>664</v>
      </c>
      <c r="AO8" s="15" t="s">
        <v>133</v>
      </c>
      <c r="AP8" s="16">
        <f t="shared" si="1"/>
        <v>2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7">
        <f t="shared" si="2"/>
        <v>0</v>
      </c>
      <c r="AX8" s="17"/>
      <c r="AY8" s="17">
        <f>VLOOKUP(K8,ABNT5101!$I$3:$J$9,2)</f>
        <v>20</v>
      </c>
      <c r="AZ8" s="17">
        <f>VLOOKUP(K8,ABNT5101!$I$3:$M$9,5)</f>
        <v>0.28000000000000003</v>
      </c>
      <c r="BA8" s="128" t="str">
        <f>_xlfn.XLOOKUP(K8,ABNT5101!$I:$I,ABNT5101!$L:$L)</f>
        <v>-</v>
      </c>
      <c r="BB8" s="128">
        <f>_xlfn.XLOOKUP(K8,ABNT5101!$I:$I,ABNT5101!M:M)</f>
        <v>0.28000000000000003</v>
      </c>
      <c r="BC8" s="128" t="str">
        <f>_xlfn.XLOOKUP(K8,ABNT5101!$I:$I,ABNT5101!N:N)</f>
        <v>-</v>
      </c>
      <c r="BD8" s="128">
        <f>_xlfn.XLOOKUP(K8,ABNT5101!$I:$I,ABNT5101!O:O)</f>
        <v>14</v>
      </c>
      <c r="BE8" s="18" t="str">
        <f t="shared" si="3"/>
        <v>ATENDE</v>
      </c>
      <c r="BF8" s="19">
        <f t="shared" si="4"/>
        <v>0.17300000000000004</v>
      </c>
      <c r="BG8" s="19">
        <f t="shared" si="5"/>
        <v>0</v>
      </c>
      <c r="BH8" s="19" t="str">
        <f t="shared" si="6"/>
        <v>-</v>
      </c>
      <c r="BI8" s="20">
        <v>23.46</v>
      </c>
      <c r="BJ8" s="20">
        <v>0.28000000000000003</v>
      </c>
      <c r="BK8" s="20"/>
      <c r="BL8" s="20"/>
      <c r="BM8" s="21"/>
      <c r="BN8" s="20"/>
      <c r="BO8" s="142" t="str">
        <f t="shared" si="7"/>
        <v>ATENDE</v>
      </c>
      <c r="BP8" s="142" t="str">
        <f t="shared" si="8"/>
        <v>ATENDE</v>
      </c>
      <c r="BQ8" s="142" t="str">
        <f t="shared" si="9"/>
        <v>ATENDE</v>
      </c>
      <c r="BR8" s="142" t="str">
        <f t="shared" si="10"/>
        <v>ATENDE</v>
      </c>
      <c r="BS8" s="22" t="str">
        <f t="shared" si="11"/>
        <v>C2</v>
      </c>
      <c r="BT8" s="22" t="str">
        <f t="shared" si="12"/>
        <v>P4</v>
      </c>
      <c r="BU8" s="23">
        <f t="shared" si="13"/>
        <v>4.1333333333333222E-2</v>
      </c>
      <c r="BV8" s="20">
        <v>7.81</v>
      </c>
      <c r="BW8" s="20">
        <v>2.29</v>
      </c>
      <c r="BX8" s="129">
        <f>IF(BT8="-","-",_xlfn.XLOOKUP(BT8,ABNT5101!$B$4:$B$9,ABNT5101!$C$4:$C$9))</f>
        <v>7.5</v>
      </c>
      <c r="BY8" s="129">
        <f>IF(BT8="-","-",_xlfn.XLOOKUP(BT8,ABNT5101!$B$4:$B$9,ABNT5101!$D$4:$D$9))</f>
        <v>1.5</v>
      </c>
      <c r="BZ8" s="18" t="str">
        <f t="shared" si="14"/>
        <v>ATENDE</v>
      </c>
      <c r="CA8" s="18" t="str">
        <f t="shared" si="15"/>
        <v>ATENDE</v>
      </c>
      <c r="CB8" s="18" t="str">
        <f t="shared" si="16"/>
        <v>ATENDE</v>
      </c>
      <c r="CC8" s="22" t="str">
        <f t="shared" si="17"/>
        <v>P4</v>
      </c>
      <c r="CD8" s="143" t="e">
        <f t="shared" si="18"/>
        <v>#DIV/0!</v>
      </c>
      <c r="CE8" s="22">
        <v>15.28</v>
      </c>
      <c r="CF8" s="22">
        <v>8.51</v>
      </c>
      <c r="CG8" s="127"/>
      <c r="CH8" s="127"/>
      <c r="CI8" s="18" t="str">
        <f t="shared" si="19"/>
        <v>ATENDE</v>
      </c>
      <c r="CJ8" s="18" t="str">
        <f t="shared" si="20"/>
        <v>ATENDE</v>
      </c>
      <c r="CK8" s="18" t="str">
        <f t="shared" si="21"/>
        <v>ATENDE</v>
      </c>
      <c r="CL8" s="130" t="str">
        <f>_xlfn.XLOOKUP(CM8,'Banco de dados'!$B:$B,'Banco de dados'!$D:$D)</f>
        <v>LEDSTAR</v>
      </c>
      <c r="CM8" s="25" t="str">
        <f>'Banco de dados'!B28</f>
        <v xml:space="preserve"> SL VT 9.1 100W</v>
      </c>
      <c r="CN8" s="24" t="str">
        <f>_xlfn.XLOOKUP(CM8,'Banco de dados'!$B:$B,'Banco de dados'!$E:$E)</f>
        <v>LUM LED SL VT 9.1 100W</v>
      </c>
      <c r="CO8" s="24"/>
      <c r="CP8" s="24">
        <f>IF(CO8="-","-",_xlfn.XLOOKUP(CO8,'Banco de dados'!$B:$B,'Banco de dados'!$E:$E))</f>
        <v>0</v>
      </c>
      <c r="CQ8" s="26">
        <f t="shared" si="22"/>
        <v>1</v>
      </c>
      <c r="CR8" s="24">
        <f>_xlfn.XLOOKUP(CM8,'Banco de dados'!$B:$B,'Banco de dados'!$H:$H)</f>
        <v>100</v>
      </c>
      <c r="CS8" s="24">
        <f>_xlfn.XLOOKUP(CO8,'Banco de dados'!$B:$B,'Banco de dados'!$H:$H)</f>
        <v>0</v>
      </c>
      <c r="CT8" s="24">
        <f>_xlfn.XLOOKUP(CM8,'Banco de dados'!$B:$B,'Banco de dados'!$F:$F)</f>
        <v>15900</v>
      </c>
      <c r="CU8" s="24">
        <f>_xlfn.XLOOKUP(CO8,'Banco de dados'!$B:$B,'Banco de dados'!$F:$F)</f>
        <v>0</v>
      </c>
      <c r="CV8" s="25"/>
      <c r="CW8" s="25"/>
      <c r="CX8" s="24" t="str">
        <f>IF(AK8&lt;=0.5,"Curto I",IF(AND(AK8&gt;='Braços de IP'!$B$9,AK8&lt;='Braços de IP'!$D$9),'Braços de IP'!$E$9,IF(AND(AK8&gt;='Braços de IP'!$B$10,AK8&lt;='Braços de IP'!$D$10),'Braços de IP'!$E$10,IF(AND(AK8&gt;='Braços de IP'!$B$11,AK8&lt;='Braços de IP'!$D$11),'Braços de IP'!$E$11,IF(AND(AK8&gt;='Braços de IP'!$B$12,AK8&lt;='Braços de IP'!$D$12),'Braços de IP'!$E$12,IF(AND(AK8&gt;='Braços de IP'!$B$13,AK8&lt;='Braços de IP'!$D$13),'Braços de IP'!$E$13,IF(AND(AK8&gt;='Braços de IP'!$B$14,AK8&lt;='Braços de IP'!$D$14),'Braços de IP'!$E$14,"ERRO")))))))</f>
        <v>Longo I</v>
      </c>
      <c r="CY8" s="25"/>
      <c r="CZ8" s="24" t="str">
        <f>IF($CY8="","",VLOOKUP($CY8,'Braços de IP'!$E$9:$I$15,2,0))</f>
        <v/>
      </c>
      <c r="DA8" s="27" t="str">
        <f>IF($CY8="","",VLOOKUP($CY8,'Braços de IP'!$E$9:$I$15,5,0))</f>
        <v/>
      </c>
      <c r="DB8" s="24"/>
      <c r="DC8" s="24"/>
      <c r="DD8" s="24"/>
      <c r="DE8" s="24"/>
      <c r="DF8" s="24"/>
      <c r="DG8" s="24"/>
      <c r="DH8" s="28">
        <f t="shared" si="23"/>
        <v>100</v>
      </c>
      <c r="DI8" s="29">
        <f t="shared" si="24"/>
        <v>200</v>
      </c>
      <c r="DJ8" s="28">
        <f t="shared" si="25"/>
        <v>300</v>
      </c>
      <c r="DK8" s="30">
        <f t="shared" si="26"/>
        <v>0.5</v>
      </c>
      <c r="DL8" s="31"/>
      <c r="DM8" s="32"/>
      <c r="DN8" s="15" t="s">
        <v>134</v>
      </c>
      <c r="DO8" s="15"/>
      <c r="DQ8" s="33">
        <f t="shared" si="27"/>
        <v>0.5</v>
      </c>
      <c r="DS8" s="1"/>
      <c r="DT8" s="1"/>
      <c r="DU8" s="1"/>
    </row>
    <row r="9" spans="1:126" ht="14.4" x14ac:dyDescent="0.3">
      <c r="A9" s="187" t="s">
        <v>679</v>
      </c>
      <c r="B9" s="154"/>
      <c r="C9" s="154"/>
      <c r="D9" s="156"/>
      <c r="E9" s="157"/>
      <c r="F9" s="185">
        <v>221272180</v>
      </c>
      <c r="G9" s="184" t="s">
        <v>678</v>
      </c>
      <c r="H9" s="161" t="s">
        <v>674</v>
      </c>
      <c r="I9" s="161">
        <v>-19.557925000000001</v>
      </c>
      <c r="J9" s="161">
        <v>-44.085391000000001</v>
      </c>
      <c r="K9" s="161" t="s">
        <v>149</v>
      </c>
      <c r="L9" s="160"/>
      <c r="M9" s="148" t="s">
        <v>146</v>
      </c>
      <c r="N9" s="161" t="s">
        <v>132</v>
      </c>
      <c r="O9" s="161">
        <v>200</v>
      </c>
      <c r="P9" s="160"/>
      <c r="Q9" s="161" t="s">
        <v>651</v>
      </c>
      <c r="R9" s="161" t="s">
        <v>651</v>
      </c>
      <c r="S9" s="161">
        <v>2</v>
      </c>
      <c r="T9" s="148">
        <v>1.5</v>
      </c>
      <c r="U9" s="161">
        <v>6.5</v>
      </c>
      <c r="V9" s="165"/>
      <c r="W9" s="165"/>
      <c r="X9" s="148"/>
      <c r="Y9" s="148">
        <v>1.5</v>
      </c>
      <c r="Z9" s="161" t="s">
        <v>651</v>
      </c>
      <c r="AA9" s="165"/>
      <c r="AB9" s="165"/>
      <c r="AC9" s="161">
        <v>2.2999999999999998</v>
      </c>
      <c r="AD9" s="161">
        <v>2.2999999999999998</v>
      </c>
      <c r="AE9" s="161" t="s">
        <v>661</v>
      </c>
      <c r="AF9" s="161" t="s">
        <v>663</v>
      </c>
      <c r="AG9" s="161">
        <v>37.299999999999997</v>
      </c>
      <c r="AH9" s="161">
        <v>7.6</v>
      </c>
      <c r="AI9" s="161">
        <v>1</v>
      </c>
      <c r="AJ9" s="148">
        <v>3</v>
      </c>
      <c r="AK9" s="161">
        <v>3.2</v>
      </c>
      <c r="AL9" s="188">
        <f t="shared" ref="AL9:AL10" si="30">AK9-AJ9</f>
        <v>0.20000000000000018</v>
      </c>
      <c r="AM9" s="16" t="s">
        <v>664</v>
      </c>
      <c r="AN9" s="16" t="s">
        <v>664</v>
      </c>
      <c r="AO9" s="15" t="s">
        <v>133</v>
      </c>
      <c r="AP9" s="16">
        <f t="shared" si="1"/>
        <v>2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7">
        <f t="shared" si="2"/>
        <v>0</v>
      </c>
      <c r="AX9" s="17"/>
      <c r="AY9" s="17">
        <f>VLOOKUP(K9,ABNT5101!$I$3:$J$9,2)</f>
        <v>20</v>
      </c>
      <c r="AZ9" s="17">
        <f>VLOOKUP(K9,ABNT5101!$I$3:$M$9,5)</f>
        <v>0.28000000000000003</v>
      </c>
      <c r="BA9" s="128" t="str">
        <f>_xlfn.XLOOKUP(K9,ABNT5101!$I:$I,ABNT5101!$L:$L)</f>
        <v>-</v>
      </c>
      <c r="BB9" s="128">
        <f>_xlfn.XLOOKUP(K9,ABNT5101!$I:$I,ABNT5101!M:M)</f>
        <v>0.28000000000000003</v>
      </c>
      <c r="BC9" s="128" t="str">
        <f>_xlfn.XLOOKUP(K9,ABNT5101!$I:$I,ABNT5101!N:N)</f>
        <v>-</v>
      </c>
      <c r="BD9" s="128">
        <f>_xlfn.XLOOKUP(K9,ABNT5101!$I:$I,ABNT5101!O:O)</f>
        <v>14</v>
      </c>
      <c r="BE9" s="18" t="str">
        <f t="shared" si="3"/>
        <v>ATENDE</v>
      </c>
      <c r="BF9" s="19">
        <f t="shared" si="4"/>
        <v>0.14549999999999996</v>
      </c>
      <c r="BG9" s="19">
        <f t="shared" si="5"/>
        <v>0.53571428571428559</v>
      </c>
      <c r="BH9" s="19" t="str">
        <f t="shared" si="6"/>
        <v>-</v>
      </c>
      <c r="BI9" s="20">
        <v>22.91</v>
      </c>
      <c r="BJ9" s="20">
        <v>0.43</v>
      </c>
      <c r="BK9" s="20"/>
      <c r="BL9" s="20"/>
      <c r="BM9" s="21"/>
      <c r="BN9" s="20"/>
      <c r="BO9" s="142" t="str">
        <f t="shared" si="7"/>
        <v>ATENDE</v>
      </c>
      <c r="BP9" s="142" t="str">
        <f t="shared" si="8"/>
        <v>ATENDE</v>
      </c>
      <c r="BQ9" s="142" t="str">
        <f t="shared" si="9"/>
        <v>ATENDE</v>
      </c>
      <c r="BR9" s="142" t="str">
        <f t="shared" si="10"/>
        <v>ATENDE</v>
      </c>
      <c r="BS9" s="22" t="str">
        <f t="shared" si="11"/>
        <v>C2</v>
      </c>
      <c r="BT9" s="22" t="str">
        <f t="shared" si="12"/>
        <v>P4</v>
      </c>
      <c r="BU9" s="23">
        <f t="shared" si="13"/>
        <v>0.16133333333333355</v>
      </c>
      <c r="BV9" s="20">
        <v>8.7100000000000009</v>
      </c>
      <c r="BW9" s="20">
        <v>3.95</v>
      </c>
      <c r="BX9" s="129">
        <f>IF(BT9="-","-",_xlfn.XLOOKUP(BT9,ABNT5101!$B$4:$B$9,ABNT5101!$C$4:$C$9))</f>
        <v>7.5</v>
      </c>
      <c r="BY9" s="129">
        <f>IF(BT9="-","-",_xlfn.XLOOKUP(BT9,ABNT5101!$B$4:$B$9,ABNT5101!$D$4:$D$9))</f>
        <v>1.5</v>
      </c>
      <c r="BZ9" s="18" t="str">
        <f t="shared" si="14"/>
        <v>ATENDE</v>
      </c>
      <c r="CA9" s="18" t="str">
        <f t="shared" si="15"/>
        <v>ATENDE</v>
      </c>
      <c r="CB9" s="18" t="str">
        <f t="shared" si="16"/>
        <v>ATENDE</v>
      </c>
      <c r="CC9" s="22" t="str">
        <f t="shared" si="17"/>
        <v>P4</v>
      </c>
      <c r="CD9" s="143" t="e">
        <f t="shared" si="18"/>
        <v>#DIV/0!</v>
      </c>
      <c r="CE9" s="22">
        <v>16.32</v>
      </c>
      <c r="CF9" s="22">
        <v>7.07</v>
      </c>
      <c r="CG9" s="127"/>
      <c r="CH9" s="127"/>
      <c r="CI9" s="18" t="str">
        <f t="shared" si="19"/>
        <v>ATENDE</v>
      </c>
      <c r="CJ9" s="18" t="str">
        <f t="shared" si="20"/>
        <v>ATENDE</v>
      </c>
      <c r="CK9" s="18" t="str">
        <f t="shared" si="21"/>
        <v>ATENDE</v>
      </c>
      <c r="CL9" s="130" t="str">
        <f>_xlfn.XLOOKUP(CM9,'Banco de dados'!$B:$B,'Banco de dados'!$D:$D)</f>
        <v>SX LIGHTING</v>
      </c>
      <c r="CM9" s="25" t="str">
        <f>'Banco de dados'!B62</f>
        <v>SX-INLPP090HF</v>
      </c>
      <c r="CN9" s="24" t="str">
        <f>_xlfn.XLOOKUP(CM9,'Banco de dados'!$B:$B,'Banco de dados'!$E:$E)</f>
        <v>SXINLPP090K40L12CZF7PHF</v>
      </c>
      <c r="CO9" s="24"/>
      <c r="CP9" s="24">
        <f>IF(CO9="-","-",_xlfn.XLOOKUP(CO9,'Banco de dados'!$B:$B,'Banco de dados'!$E:$E))</f>
        <v>0</v>
      </c>
      <c r="CQ9" s="26">
        <f t="shared" si="22"/>
        <v>1</v>
      </c>
      <c r="CR9" s="24">
        <f>_xlfn.XLOOKUP(CM9,'Banco de dados'!$B:$B,'Banco de dados'!$H:$H)</f>
        <v>90</v>
      </c>
      <c r="CS9" s="24">
        <f>_xlfn.XLOOKUP(CO9,'Banco de dados'!$B:$B,'Banco de dados'!$H:$H)</f>
        <v>0</v>
      </c>
      <c r="CT9" s="24">
        <f>_xlfn.XLOOKUP(CM9,'Banco de dados'!$B:$B,'Banco de dados'!$F:$F)</f>
        <v>15476</v>
      </c>
      <c r="CU9" s="24">
        <f>_xlfn.XLOOKUP(CO9,'Banco de dados'!$B:$B,'Banco de dados'!$F:$F)</f>
        <v>0</v>
      </c>
      <c r="CV9" s="25"/>
      <c r="CW9" s="25"/>
      <c r="CX9" s="24" t="str">
        <f>IF(AK9&lt;=0.5,"Curto I",IF(AND(AK9&gt;='Braços de IP'!$B$9,AK9&lt;='Braços de IP'!$D$9),'Braços de IP'!$E$9,IF(AND(AK9&gt;='Braços de IP'!$B$10,AK9&lt;='Braços de IP'!$D$10),'Braços de IP'!$E$10,IF(AND(AK9&gt;='Braços de IP'!$B$11,AK9&lt;='Braços de IP'!$D$11),'Braços de IP'!$E$11,IF(AND(AK9&gt;='Braços de IP'!$B$12,AK9&lt;='Braços de IP'!$D$12),'Braços de IP'!$E$12,IF(AND(AK9&gt;='Braços de IP'!$B$13,AK9&lt;='Braços de IP'!$D$13),'Braços de IP'!$E$13,IF(AND(AK9&gt;='Braços de IP'!$B$14,AK9&lt;='Braços de IP'!$D$14),'Braços de IP'!$E$14,"ERRO")))))))</f>
        <v>Longo I</v>
      </c>
      <c r="CY9" s="25"/>
      <c r="CZ9" s="24" t="str">
        <f>IF($CY9="","",VLOOKUP($CY9,'Braços de IP'!$E$9:$I$15,2,0))</f>
        <v/>
      </c>
      <c r="DA9" s="27" t="str">
        <f>IF($CY9="","",VLOOKUP($CY9,'Braços de IP'!$E$9:$I$15,5,0))</f>
        <v/>
      </c>
      <c r="DB9" s="24"/>
      <c r="DC9" s="24"/>
      <c r="DD9" s="24"/>
      <c r="DE9" s="24"/>
      <c r="DF9" s="24"/>
      <c r="DG9" s="24"/>
      <c r="DH9" s="28">
        <f t="shared" si="23"/>
        <v>90</v>
      </c>
      <c r="DI9" s="29">
        <f t="shared" si="24"/>
        <v>200</v>
      </c>
      <c r="DJ9" s="28">
        <f t="shared" si="25"/>
        <v>290</v>
      </c>
      <c r="DK9" s="30">
        <f t="shared" si="26"/>
        <v>0.55000000000000004</v>
      </c>
      <c r="DL9" s="31"/>
      <c r="DM9" s="32"/>
      <c r="DN9" s="15" t="s">
        <v>134</v>
      </c>
      <c r="DO9" s="15"/>
      <c r="DQ9" s="33">
        <f t="shared" si="27"/>
        <v>0.55000000000000004</v>
      </c>
      <c r="DS9" s="1"/>
      <c r="DT9" s="1"/>
      <c r="DU9" s="33"/>
      <c r="DV9" s="33"/>
    </row>
    <row r="10" spans="1:126" ht="14.4" x14ac:dyDescent="0.3">
      <c r="A10" s="187" t="s">
        <v>679</v>
      </c>
      <c r="B10" s="154"/>
      <c r="C10" s="154"/>
      <c r="D10" s="156"/>
      <c r="E10" s="157"/>
      <c r="F10" s="185">
        <v>221272180</v>
      </c>
      <c r="G10" s="184" t="s">
        <v>678</v>
      </c>
      <c r="H10" s="161" t="s">
        <v>674</v>
      </c>
      <c r="I10" s="161">
        <v>-19.557925000000001</v>
      </c>
      <c r="J10" s="161">
        <v>-44.085391000000001</v>
      </c>
      <c r="K10" s="161" t="s">
        <v>149</v>
      </c>
      <c r="L10" s="160"/>
      <c r="M10" s="148" t="s">
        <v>146</v>
      </c>
      <c r="N10" s="161" t="s">
        <v>132</v>
      </c>
      <c r="O10" s="161">
        <v>200</v>
      </c>
      <c r="P10" s="160"/>
      <c r="Q10" s="161" t="s">
        <v>651</v>
      </c>
      <c r="R10" s="161" t="s">
        <v>651</v>
      </c>
      <c r="S10" s="161">
        <v>2</v>
      </c>
      <c r="T10" s="148">
        <v>1.5</v>
      </c>
      <c r="U10" s="161">
        <v>6.5</v>
      </c>
      <c r="V10" s="165"/>
      <c r="W10" s="165"/>
      <c r="X10" s="148"/>
      <c r="Y10" s="148">
        <v>1.5</v>
      </c>
      <c r="Z10" s="161" t="s">
        <v>651</v>
      </c>
      <c r="AA10" s="165"/>
      <c r="AB10" s="165"/>
      <c r="AC10" s="161">
        <v>2.2999999999999998</v>
      </c>
      <c r="AD10" s="161">
        <v>2.2999999999999998</v>
      </c>
      <c r="AE10" s="161" t="s">
        <v>661</v>
      </c>
      <c r="AF10" s="161" t="s">
        <v>663</v>
      </c>
      <c r="AG10" s="161">
        <v>37.299999999999997</v>
      </c>
      <c r="AH10" s="161">
        <v>7.6</v>
      </c>
      <c r="AI10" s="161">
        <v>1</v>
      </c>
      <c r="AJ10" s="148">
        <v>3</v>
      </c>
      <c r="AK10" s="161">
        <v>3.2</v>
      </c>
      <c r="AL10" s="188">
        <f t="shared" si="30"/>
        <v>0.20000000000000018</v>
      </c>
      <c r="AM10" s="16" t="s">
        <v>664</v>
      </c>
      <c r="AN10" s="16" t="s">
        <v>664</v>
      </c>
      <c r="AO10" s="15" t="s">
        <v>133</v>
      </c>
      <c r="AP10" s="16">
        <f t="shared" si="1"/>
        <v>2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7">
        <f t="shared" si="2"/>
        <v>0</v>
      </c>
      <c r="AX10" s="17"/>
      <c r="AY10" s="17">
        <f>VLOOKUP(K10,ABNT5101!$I$3:$J$9,2)</f>
        <v>20</v>
      </c>
      <c r="AZ10" s="17">
        <f>VLOOKUP(K10,ABNT5101!$I$3:$M$9,5)</f>
        <v>0.28000000000000003</v>
      </c>
      <c r="BA10" s="128" t="str">
        <f>_xlfn.XLOOKUP(K10,ABNT5101!$I:$I,ABNT5101!$L:$L)</f>
        <v>-</v>
      </c>
      <c r="BB10" s="128">
        <f>_xlfn.XLOOKUP(K10,ABNT5101!$I:$I,ABNT5101!M:M)</f>
        <v>0.28000000000000003</v>
      </c>
      <c r="BC10" s="128" t="str">
        <f>_xlfn.XLOOKUP(K10,ABNT5101!$I:$I,ABNT5101!N:N)</f>
        <v>-</v>
      </c>
      <c r="BD10" s="128">
        <f>_xlfn.XLOOKUP(K10,ABNT5101!$I:$I,ABNT5101!O:O)</f>
        <v>14</v>
      </c>
      <c r="BE10" s="18" t="str">
        <f t="shared" si="3"/>
        <v>ATENDE</v>
      </c>
      <c r="BF10" s="19">
        <f t="shared" si="4"/>
        <v>6.5499999999999892E-2</v>
      </c>
      <c r="BG10" s="19">
        <f t="shared" si="5"/>
        <v>0.39285714285714279</v>
      </c>
      <c r="BH10" s="19" t="str">
        <f t="shared" si="6"/>
        <v>-</v>
      </c>
      <c r="BI10" s="20">
        <v>21.31</v>
      </c>
      <c r="BJ10" s="20">
        <v>0.39</v>
      </c>
      <c r="BK10" s="20"/>
      <c r="BL10" s="20"/>
      <c r="BM10" s="21"/>
      <c r="BN10" s="20"/>
      <c r="BO10" s="142" t="str">
        <f t="shared" si="7"/>
        <v>ATENDE</v>
      </c>
      <c r="BP10" s="142" t="str">
        <f t="shared" si="8"/>
        <v>ATENDE</v>
      </c>
      <c r="BQ10" s="142" t="str">
        <f t="shared" si="9"/>
        <v>ATENDE</v>
      </c>
      <c r="BR10" s="142" t="str">
        <f t="shared" si="10"/>
        <v>ATENDE</v>
      </c>
      <c r="BS10" s="22" t="str">
        <f t="shared" si="11"/>
        <v>C2</v>
      </c>
      <c r="BT10" s="22" t="str">
        <f t="shared" si="12"/>
        <v>P4</v>
      </c>
      <c r="BU10" s="23">
        <f t="shared" si="13"/>
        <v>0.13200000000000012</v>
      </c>
      <c r="BV10" s="20">
        <v>8.49</v>
      </c>
      <c r="BW10" s="20">
        <v>6.58</v>
      </c>
      <c r="BX10" s="129">
        <f>IF(BT10="-","-",_xlfn.XLOOKUP(BT10,ABNT5101!$B$4:$B$9,ABNT5101!$C$4:$C$9))</f>
        <v>7.5</v>
      </c>
      <c r="BY10" s="129">
        <f>IF(BT10="-","-",_xlfn.XLOOKUP(BT10,ABNT5101!$B$4:$B$9,ABNT5101!$D$4:$D$9))</f>
        <v>1.5</v>
      </c>
      <c r="BZ10" s="18" t="str">
        <f t="shared" si="14"/>
        <v>ATENDE</v>
      </c>
      <c r="CA10" s="18" t="str">
        <f t="shared" si="15"/>
        <v>ATENDE</v>
      </c>
      <c r="CB10" s="18" t="str">
        <f t="shared" si="16"/>
        <v>ATENDE</v>
      </c>
      <c r="CC10" s="22" t="str">
        <f t="shared" si="17"/>
        <v>P4</v>
      </c>
      <c r="CD10" s="143" t="e">
        <f t="shared" si="18"/>
        <v>#DIV/0!</v>
      </c>
      <c r="CE10" s="22">
        <v>10.63</v>
      </c>
      <c r="CF10" s="22">
        <v>2.5499999999999998</v>
      </c>
      <c r="CG10" s="127"/>
      <c r="CH10" s="127"/>
      <c r="CI10" s="18" t="str">
        <f t="shared" si="19"/>
        <v>ATENDE</v>
      </c>
      <c r="CJ10" s="18" t="str">
        <f t="shared" si="20"/>
        <v>ATENDE</v>
      </c>
      <c r="CK10" s="18" t="str">
        <f t="shared" si="21"/>
        <v>ATENDE</v>
      </c>
      <c r="CL10" s="130" t="str">
        <f>_xlfn.XLOOKUP(CM10,'Banco de dados'!$B:$B,'Banco de dados'!$D:$D)</f>
        <v>TECNOWATT</v>
      </c>
      <c r="CM10" s="25" t="str">
        <f>'Banco de dados'!B75</f>
        <v xml:space="preserve">SIGSAGPTLRRSSNDL100W125IBBRS
</v>
      </c>
      <c r="CN10" s="24" t="str">
        <f>_xlfn.XLOOKUP(CM10,'Banco de dados'!$B:$B,'Banco de dados'!$E:$E)</f>
        <v>SIGSAGPTLRRSSNDL100W125IBBRS
1-10C1MUN6.5</v>
      </c>
      <c r="CO10" s="24"/>
      <c r="CP10" s="24">
        <f>IF(CO10="-","-",_xlfn.XLOOKUP(CO10,'Banco de dados'!$B:$B,'Banco de dados'!$E:$E))</f>
        <v>0</v>
      </c>
      <c r="CQ10" s="26">
        <f t="shared" si="22"/>
        <v>1</v>
      </c>
      <c r="CR10" s="24">
        <f>_xlfn.XLOOKUP(CM10,'Banco de dados'!$B:$B,'Banco de dados'!$H:$H)</f>
        <v>100</v>
      </c>
      <c r="CS10" s="24">
        <f>_xlfn.XLOOKUP(CO10,'Banco de dados'!$B:$B,'Banco de dados'!$H:$H)</f>
        <v>0</v>
      </c>
      <c r="CT10" s="24">
        <f>_xlfn.XLOOKUP(CM10,'Banco de dados'!$B:$B,'Banco de dados'!$F:$F)</f>
        <v>15162</v>
      </c>
      <c r="CU10" s="24">
        <f>_xlfn.XLOOKUP(CO10,'Banco de dados'!$B:$B,'Banco de dados'!$F:$F)</f>
        <v>0</v>
      </c>
      <c r="CV10" s="25"/>
      <c r="CW10" s="25">
        <v>10</v>
      </c>
      <c r="CX10" s="24" t="str">
        <f>IF(AK10&lt;=0.5,"Curto I",IF(AND(AK10&gt;='Braços de IP'!$B$9,AK10&lt;='Braços de IP'!$D$9),'Braços de IP'!$E$9,IF(AND(AK10&gt;='Braços de IP'!$B$10,AK10&lt;='Braços de IP'!$D$10),'Braços de IP'!$E$10,IF(AND(AK10&gt;='Braços de IP'!$B$11,AK10&lt;='Braços de IP'!$D$11),'Braços de IP'!$E$11,IF(AND(AK10&gt;='Braços de IP'!$B$12,AK10&lt;='Braços de IP'!$D$12),'Braços de IP'!$E$12,IF(AND(AK10&gt;='Braços de IP'!$B$13,AK10&lt;='Braços de IP'!$D$13),'Braços de IP'!$E$13,IF(AND(AK10&gt;='Braços de IP'!$B$14,AK10&lt;='Braços de IP'!$D$14),'Braços de IP'!$E$14,"ERRO")))))))</f>
        <v>Longo I</v>
      </c>
      <c r="CY10" s="25"/>
      <c r="CZ10" s="24" t="str">
        <f>IF($CY10="","",VLOOKUP($CY10,'Braços de IP'!$E$9:$I$15,2,0))</f>
        <v/>
      </c>
      <c r="DA10" s="27" t="str">
        <f>IF($CY10="","",VLOOKUP($CY10,'Braços de IP'!$E$9:$I$15,5,0))</f>
        <v/>
      </c>
      <c r="DB10" s="24"/>
      <c r="DC10" s="24"/>
      <c r="DD10" s="24"/>
      <c r="DE10" s="24"/>
      <c r="DF10" s="24"/>
      <c r="DG10" s="24"/>
      <c r="DH10" s="28">
        <f t="shared" si="23"/>
        <v>100</v>
      </c>
      <c r="DI10" s="29">
        <f t="shared" si="24"/>
        <v>200</v>
      </c>
      <c r="DJ10" s="28">
        <f t="shared" si="25"/>
        <v>300</v>
      </c>
      <c r="DK10" s="30">
        <f t="shared" si="26"/>
        <v>0.5</v>
      </c>
      <c r="DL10" s="31"/>
      <c r="DM10" s="32"/>
      <c r="DN10" s="15" t="s">
        <v>134</v>
      </c>
      <c r="DO10" s="15"/>
      <c r="DQ10" s="33">
        <f t="shared" si="27"/>
        <v>0.5</v>
      </c>
      <c r="DS10" s="1"/>
      <c r="DT10" s="1"/>
      <c r="DU10" s="33"/>
      <c r="DV10" s="33"/>
    </row>
    <row r="11" spans="1:126" ht="14.4" x14ac:dyDescent="0.3">
      <c r="A11" s="158" t="s">
        <v>651</v>
      </c>
      <c r="B11" s="154" t="s">
        <v>668</v>
      </c>
      <c r="C11" s="154" t="s">
        <v>669</v>
      </c>
      <c r="D11" s="156" t="s">
        <v>665</v>
      </c>
      <c r="E11" s="157" t="s">
        <v>669</v>
      </c>
      <c r="F11" s="181">
        <v>223927679</v>
      </c>
      <c r="G11" s="161" t="s">
        <v>128</v>
      </c>
      <c r="H11" s="162" t="s">
        <v>675</v>
      </c>
      <c r="I11" s="161">
        <v>-19.555050999999999</v>
      </c>
      <c r="J11" s="161">
        <v>-44.096336000000001</v>
      </c>
      <c r="K11" s="161" t="s">
        <v>149</v>
      </c>
      <c r="L11" s="160"/>
      <c r="M11" s="161" t="s">
        <v>131</v>
      </c>
      <c r="N11" s="161" t="s">
        <v>132</v>
      </c>
      <c r="O11" s="161">
        <v>100</v>
      </c>
      <c r="P11" s="160"/>
      <c r="Q11" s="161" t="s">
        <v>651</v>
      </c>
      <c r="R11" s="161" t="s">
        <v>651</v>
      </c>
      <c r="S11" s="161">
        <v>1</v>
      </c>
      <c r="T11" s="161">
        <v>1.6</v>
      </c>
      <c r="U11" s="161">
        <v>9.1999999999999993</v>
      </c>
      <c r="V11" s="165"/>
      <c r="W11" s="165"/>
      <c r="X11" s="148"/>
      <c r="Y11" s="161">
        <v>1.6</v>
      </c>
      <c r="Z11" s="161" t="s">
        <v>651</v>
      </c>
      <c r="AA11" s="165"/>
      <c r="AB11" s="165"/>
      <c r="AC11" s="161" t="s">
        <v>651</v>
      </c>
      <c r="AD11" s="161" t="s">
        <v>651</v>
      </c>
      <c r="AE11" s="161" t="s">
        <v>661</v>
      </c>
      <c r="AF11" s="161" t="s">
        <v>663</v>
      </c>
      <c r="AG11" s="161">
        <v>25.3</v>
      </c>
      <c r="AH11" s="161">
        <v>8.5</v>
      </c>
      <c r="AI11" s="161">
        <v>1</v>
      </c>
      <c r="AJ11" s="161">
        <v>0.15</v>
      </c>
      <c r="AK11" s="161">
        <v>2.9</v>
      </c>
      <c r="AL11" s="167">
        <f t="shared" si="0"/>
        <v>2.75</v>
      </c>
      <c r="AM11" s="16" t="s">
        <v>664</v>
      </c>
      <c r="AN11" s="16" t="s">
        <v>664</v>
      </c>
      <c r="AO11" s="15" t="s">
        <v>133</v>
      </c>
      <c r="AP11" s="16">
        <f t="shared" si="1"/>
        <v>2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7">
        <f t="shared" si="2"/>
        <v>0</v>
      </c>
      <c r="AX11" s="17"/>
      <c r="AY11" s="17">
        <f>VLOOKUP(K11,ABNT5101!$I$3:$J$9,2)</f>
        <v>20</v>
      </c>
      <c r="AZ11" s="17">
        <f>VLOOKUP(K11,ABNT5101!$I$3:$M$9,5)</f>
        <v>0.28000000000000003</v>
      </c>
      <c r="BA11" s="128" t="str">
        <f>_xlfn.XLOOKUP(K11,ABNT5101!$I:$I,ABNT5101!$L:$L)</f>
        <v>-</v>
      </c>
      <c r="BB11" s="128">
        <f>_xlfn.XLOOKUP(K11,ABNT5101!$I:$I,ABNT5101!M:M)</f>
        <v>0.28000000000000003</v>
      </c>
      <c r="BC11" s="128" t="str">
        <f>_xlfn.XLOOKUP(K11,ABNT5101!$I:$I,ABNT5101!N:N)</f>
        <v>-</v>
      </c>
      <c r="BD11" s="128">
        <f>_xlfn.XLOOKUP(K11,ABNT5101!$I:$I,ABNT5101!O:O)</f>
        <v>14</v>
      </c>
      <c r="BE11" s="18" t="str">
        <f t="shared" si="3"/>
        <v>ATENDE</v>
      </c>
      <c r="BF11" s="19">
        <f t="shared" si="4"/>
        <v>5.0499999999999989E-2</v>
      </c>
      <c r="BG11" s="19">
        <f t="shared" si="5"/>
        <v>1.2857142857142856</v>
      </c>
      <c r="BH11" s="19" t="str">
        <f t="shared" si="6"/>
        <v>-</v>
      </c>
      <c r="BI11" s="20">
        <v>21.01</v>
      </c>
      <c r="BJ11" s="20">
        <v>0.64</v>
      </c>
      <c r="BK11" s="20"/>
      <c r="BL11" s="20"/>
      <c r="BM11" s="21"/>
      <c r="BN11" s="20"/>
      <c r="BO11" s="142" t="str">
        <f t="shared" si="7"/>
        <v>ATENDE</v>
      </c>
      <c r="BP11" s="142" t="str">
        <f t="shared" si="8"/>
        <v>ATENDE</v>
      </c>
      <c r="BQ11" s="142" t="str">
        <f t="shared" si="9"/>
        <v>ATENDE</v>
      </c>
      <c r="BR11" s="142" t="str">
        <f t="shared" si="10"/>
        <v>ATENDE</v>
      </c>
      <c r="BS11" s="22" t="str">
        <f t="shared" si="11"/>
        <v>C2</v>
      </c>
      <c r="BT11" s="22" t="str">
        <f t="shared" si="12"/>
        <v>P6</v>
      </c>
      <c r="BU11" s="23">
        <f t="shared" si="13"/>
        <v>4.03</v>
      </c>
      <c r="BV11" s="20">
        <v>15.09</v>
      </c>
      <c r="BW11" s="20">
        <v>9.75</v>
      </c>
      <c r="BX11" s="129">
        <f>IF(BT11="-","-",_xlfn.XLOOKUP(BT11,ABNT5101!$B$4:$B$9,ABNT5101!$C$4:$C$9))</f>
        <v>3</v>
      </c>
      <c r="BY11" s="129">
        <f>IF(BT11="-","-",_xlfn.XLOOKUP(BT11,ABNT5101!$B$4:$B$9,ABNT5101!$D$4:$D$9))</f>
        <v>0.6</v>
      </c>
      <c r="BZ11" s="18" t="str">
        <f t="shared" si="14"/>
        <v>ATENDE</v>
      </c>
      <c r="CA11" s="18" t="str">
        <f t="shared" si="15"/>
        <v>ATENDE</v>
      </c>
      <c r="CB11" s="18" t="str">
        <f t="shared" si="16"/>
        <v>ATENDE</v>
      </c>
      <c r="CC11" s="22" t="str">
        <f t="shared" si="17"/>
        <v>P6</v>
      </c>
      <c r="CD11" s="143" t="e">
        <f t="shared" si="18"/>
        <v>#DIV/0!</v>
      </c>
      <c r="CE11" s="22">
        <v>14.24</v>
      </c>
      <c r="CF11" s="22">
        <v>10.83</v>
      </c>
      <c r="CG11" s="127"/>
      <c r="CH11" s="127"/>
      <c r="CI11" s="18" t="str">
        <f t="shared" si="19"/>
        <v>ATENDE</v>
      </c>
      <c r="CJ11" s="18" t="str">
        <f t="shared" si="20"/>
        <v>ATENDE</v>
      </c>
      <c r="CK11" s="18" t="str">
        <f t="shared" si="21"/>
        <v>ATENDE</v>
      </c>
      <c r="CL11" s="130" t="str">
        <f>_xlfn.XLOOKUP(CM11,'Banco de dados'!$B:$B,'Banco de dados'!$D:$D)</f>
        <v>LEDSTAR</v>
      </c>
      <c r="CM11" s="25" t="str">
        <f>'Banco de dados'!B22</f>
        <v xml:space="preserve"> SL VT 9.1 72W</v>
      </c>
      <c r="CN11" s="24" t="str">
        <f>_xlfn.XLOOKUP(CM11,'Banco de dados'!$B:$B,'Banco de dados'!$E:$E)</f>
        <v>LUM LED SL VT 9.1 72W</v>
      </c>
      <c r="CO11" s="24"/>
      <c r="CP11" s="24">
        <f>IF(CO11="-","-",_xlfn.XLOOKUP(CO11,'Banco de dados'!$B:$B,'Banco de dados'!$E:$E))</f>
        <v>0</v>
      </c>
      <c r="CQ11" s="26">
        <f t="shared" si="22"/>
        <v>1</v>
      </c>
      <c r="CR11" s="24">
        <f>_xlfn.XLOOKUP(CM11,'Banco de dados'!$B:$B,'Banco de dados'!$H:$H)</f>
        <v>72</v>
      </c>
      <c r="CS11" s="24">
        <f>_xlfn.XLOOKUP(CO11,'Banco de dados'!$B:$B,'Banco de dados'!$H:$H)</f>
        <v>0</v>
      </c>
      <c r="CT11" s="24">
        <f>_xlfn.XLOOKUP(CM11,'Banco de dados'!$B:$B,'Banco de dados'!$F:$F)</f>
        <v>12107</v>
      </c>
      <c r="CU11" s="24">
        <f>_xlfn.XLOOKUP(CO11,'Banco de dados'!$B:$B,'Banco de dados'!$F:$F)</f>
        <v>0</v>
      </c>
      <c r="CV11" s="25"/>
      <c r="CW11" s="25"/>
      <c r="CX11" s="24" t="str">
        <f>IF(AK11&lt;=0.5,"Curto I",IF(AND(AK11&gt;='Braços de IP'!$B$9,AK11&lt;='Braços de IP'!$D$9),'Braços de IP'!$E$9,IF(AND(AK11&gt;='Braços de IP'!$B$10,AK11&lt;='Braços de IP'!$D$10),'Braços de IP'!$E$10,IF(AND(AK11&gt;='Braços de IP'!$B$11,AK11&lt;='Braços de IP'!$D$11),'Braços de IP'!$E$11,IF(AND(AK11&gt;='Braços de IP'!$B$12,AK11&lt;='Braços de IP'!$D$12),'Braços de IP'!$E$12,IF(AND(AK11&gt;='Braços de IP'!$B$13,AK11&lt;='Braços de IP'!$D$13),'Braços de IP'!$E$13,IF(AND(AK11&gt;='Braços de IP'!$B$14,AK11&lt;='Braços de IP'!$D$14),'Braços de IP'!$E$14,"ERRO")))))))</f>
        <v>Longo I</v>
      </c>
      <c r="CY11" s="25"/>
      <c r="CZ11" s="24" t="str">
        <f>IF($CY11="","",VLOOKUP($CY11,'Braços de IP'!$E$9:$I$15,2,0))</f>
        <v/>
      </c>
      <c r="DA11" s="27" t="str">
        <f>IF($CY11="","",VLOOKUP($CY11,'Braços de IP'!$E$9:$I$15,5,0))</f>
        <v/>
      </c>
      <c r="DB11" s="24"/>
      <c r="DC11" s="24"/>
      <c r="DD11" s="24"/>
      <c r="DE11" s="24"/>
      <c r="DF11" s="24"/>
      <c r="DG11" s="24"/>
      <c r="DH11" s="28">
        <f t="shared" si="23"/>
        <v>72</v>
      </c>
      <c r="DI11" s="29">
        <f t="shared" si="24"/>
        <v>100</v>
      </c>
      <c r="DJ11" s="28">
        <f t="shared" si="25"/>
        <v>172</v>
      </c>
      <c r="DK11" s="30">
        <f t="shared" si="26"/>
        <v>0.28000000000000003</v>
      </c>
      <c r="DL11" s="31"/>
      <c r="DM11" s="32"/>
      <c r="DN11" s="15" t="s">
        <v>134</v>
      </c>
      <c r="DO11" s="15"/>
      <c r="DQ11" s="33">
        <f t="shared" si="27"/>
        <v>0.28000000000000003</v>
      </c>
      <c r="DS11" s="1"/>
      <c r="DT11" s="1"/>
      <c r="DU11" s="1"/>
    </row>
    <row r="12" spans="1:126" ht="14.4" x14ac:dyDescent="0.3">
      <c r="B12" s="154"/>
      <c r="C12" s="154"/>
      <c r="D12" s="156"/>
      <c r="E12" s="157"/>
      <c r="F12" s="181">
        <v>223927679</v>
      </c>
      <c r="G12" s="161" t="s">
        <v>128</v>
      </c>
      <c r="H12" s="162" t="s">
        <v>675</v>
      </c>
      <c r="I12" s="161">
        <v>-19.555050999999999</v>
      </c>
      <c r="J12" s="161">
        <v>-44.096336000000001</v>
      </c>
      <c r="K12" s="161" t="s">
        <v>149</v>
      </c>
      <c r="L12" s="160"/>
      <c r="M12" s="161" t="s">
        <v>131</v>
      </c>
      <c r="N12" s="161" t="s">
        <v>132</v>
      </c>
      <c r="O12" s="161">
        <v>100</v>
      </c>
      <c r="P12" s="160"/>
      <c r="Q12" s="161" t="s">
        <v>651</v>
      </c>
      <c r="R12" s="161" t="s">
        <v>651</v>
      </c>
      <c r="S12" s="161">
        <v>1</v>
      </c>
      <c r="T12" s="161">
        <v>1.6</v>
      </c>
      <c r="U12" s="161">
        <v>9.1999999999999993</v>
      </c>
      <c r="V12" s="165"/>
      <c r="W12" s="165"/>
      <c r="X12" s="148"/>
      <c r="Y12" s="161">
        <v>1.6</v>
      </c>
      <c r="Z12" s="161" t="s">
        <v>651</v>
      </c>
      <c r="AA12" s="165"/>
      <c r="AB12" s="165"/>
      <c r="AC12" s="161" t="s">
        <v>651</v>
      </c>
      <c r="AD12" s="161" t="s">
        <v>651</v>
      </c>
      <c r="AE12" s="161" t="s">
        <v>661</v>
      </c>
      <c r="AF12" s="161" t="s">
        <v>663</v>
      </c>
      <c r="AG12" s="161">
        <v>25.3</v>
      </c>
      <c r="AH12" s="161">
        <v>8.5</v>
      </c>
      <c r="AI12" s="161">
        <v>1</v>
      </c>
      <c r="AJ12" s="161">
        <v>0.15</v>
      </c>
      <c r="AK12" s="161">
        <v>2.9</v>
      </c>
      <c r="AL12" s="167">
        <f t="shared" ref="AL12:AL13" si="31">AK12-AJ12</f>
        <v>2.75</v>
      </c>
      <c r="AM12" s="16" t="s">
        <v>664</v>
      </c>
      <c r="AN12" s="16" t="s">
        <v>664</v>
      </c>
      <c r="AO12" s="15" t="s">
        <v>133</v>
      </c>
      <c r="AP12" s="16">
        <f t="shared" si="1"/>
        <v>2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7">
        <f t="shared" si="2"/>
        <v>0</v>
      </c>
      <c r="AX12" s="17"/>
      <c r="AY12" s="17">
        <f>VLOOKUP(K12,ABNT5101!$I$3:$J$9,2)</f>
        <v>20</v>
      </c>
      <c r="AZ12" s="17">
        <f>VLOOKUP(K12,ABNT5101!$I$3:$M$9,5)</f>
        <v>0.28000000000000003</v>
      </c>
      <c r="BA12" s="128" t="str">
        <f>_xlfn.XLOOKUP(K12,ABNT5101!$I:$I,ABNT5101!$L:$L)</f>
        <v>-</v>
      </c>
      <c r="BB12" s="128">
        <f>_xlfn.XLOOKUP(K12,ABNT5101!$I:$I,ABNT5101!M:M)</f>
        <v>0.28000000000000003</v>
      </c>
      <c r="BC12" s="128" t="str">
        <f>_xlfn.XLOOKUP(K12,ABNT5101!$I:$I,ABNT5101!N:N)</f>
        <v>-</v>
      </c>
      <c r="BD12" s="128">
        <f>_xlfn.XLOOKUP(K12,ABNT5101!$I:$I,ABNT5101!O:O)</f>
        <v>14</v>
      </c>
      <c r="BE12" s="18" t="str">
        <f t="shared" si="3"/>
        <v>ATENDE</v>
      </c>
      <c r="BF12" s="19">
        <f t="shared" si="4"/>
        <v>0.21899999999999986</v>
      </c>
      <c r="BG12" s="19">
        <f t="shared" si="5"/>
        <v>1.3928571428571428</v>
      </c>
      <c r="BH12" s="19" t="str">
        <f t="shared" si="6"/>
        <v>-</v>
      </c>
      <c r="BI12" s="20">
        <v>24.38</v>
      </c>
      <c r="BJ12" s="20">
        <v>0.67</v>
      </c>
      <c r="BK12" s="20"/>
      <c r="BL12" s="20"/>
      <c r="BM12" s="21"/>
      <c r="BN12" s="20"/>
      <c r="BO12" s="142" t="str">
        <f t="shared" si="7"/>
        <v>ATENDE</v>
      </c>
      <c r="BP12" s="142" t="str">
        <f t="shared" si="8"/>
        <v>ATENDE</v>
      </c>
      <c r="BQ12" s="142" t="str">
        <f t="shared" si="9"/>
        <v>ATENDE</v>
      </c>
      <c r="BR12" s="142" t="str">
        <f t="shared" si="10"/>
        <v>ATENDE</v>
      </c>
      <c r="BS12" s="22" t="str">
        <f t="shared" si="11"/>
        <v>C2</v>
      </c>
      <c r="BT12" s="22" t="str">
        <f t="shared" si="12"/>
        <v>P6</v>
      </c>
      <c r="BU12" s="23">
        <f t="shared" si="13"/>
        <v>5</v>
      </c>
      <c r="BV12" s="20">
        <v>18</v>
      </c>
      <c r="BW12" s="20">
        <v>13.4</v>
      </c>
      <c r="BX12" s="129">
        <f>IF(BT12="-","-",_xlfn.XLOOKUP(BT12,ABNT5101!$B$4:$B$9,ABNT5101!$C$4:$C$9))</f>
        <v>3</v>
      </c>
      <c r="BY12" s="129">
        <f>IF(BT12="-","-",_xlfn.XLOOKUP(BT12,ABNT5101!$B$4:$B$9,ABNT5101!$D$4:$D$9))</f>
        <v>0.6</v>
      </c>
      <c r="BZ12" s="18" t="str">
        <f t="shared" si="14"/>
        <v>ATENDE</v>
      </c>
      <c r="CA12" s="18" t="str">
        <f t="shared" si="15"/>
        <v>ATENDE</v>
      </c>
      <c r="CB12" s="18" t="str">
        <f t="shared" si="16"/>
        <v>ATENDE</v>
      </c>
      <c r="CC12" s="22" t="str">
        <f t="shared" si="17"/>
        <v>P6</v>
      </c>
      <c r="CD12" s="143" t="e">
        <f t="shared" si="18"/>
        <v>#DIV/0!</v>
      </c>
      <c r="CE12" s="22">
        <v>18.059999999999999</v>
      </c>
      <c r="CF12" s="22">
        <v>13.17</v>
      </c>
      <c r="CG12" s="127"/>
      <c r="CH12" s="127"/>
      <c r="CI12" s="18" t="str">
        <f t="shared" si="19"/>
        <v>ATENDE</v>
      </c>
      <c r="CJ12" s="18" t="str">
        <f t="shared" si="20"/>
        <v>ATENDE</v>
      </c>
      <c r="CK12" s="18" t="str">
        <f t="shared" si="21"/>
        <v>ATENDE</v>
      </c>
      <c r="CL12" s="130" t="str">
        <f>_xlfn.XLOOKUP(CM12,'Banco de dados'!$B:$B,'Banco de dados'!$D:$D)</f>
        <v>SX LIGHTING</v>
      </c>
      <c r="CM12" s="25" t="str">
        <f>'Banco de dados'!B60</f>
        <v>SX-INLPP070HF</v>
      </c>
      <c r="CN12" s="24" t="str">
        <f>_xlfn.XLOOKUP(CM12,'Banco de dados'!$B:$B,'Banco de dados'!$E:$E)</f>
        <v>SXINLPP070K40L12CZF7PHF</v>
      </c>
      <c r="CO12" s="24"/>
      <c r="CP12" s="24">
        <f>IF(CO12="-","-",_xlfn.XLOOKUP(CO12,'Banco de dados'!$B:$B,'Banco de dados'!$E:$E))</f>
        <v>0</v>
      </c>
      <c r="CQ12" s="26">
        <f t="shared" si="22"/>
        <v>1</v>
      </c>
      <c r="CR12" s="24">
        <f>_xlfn.XLOOKUP(CM12,'Banco de dados'!$B:$B,'Banco de dados'!$H:$H)</f>
        <v>70</v>
      </c>
      <c r="CS12" s="24">
        <f>_xlfn.XLOOKUP(CO12,'Banco de dados'!$B:$B,'Banco de dados'!$H:$H)</f>
        <v>0</v>
      </c>
      <c r="CT12" s="24">
        <f>_xlfn.XLOOKUP(CM12,'Banco de dados'!$B:$B,'Banco de dados'!$F:$F)</f>
        <v>11970</v>
      </c>
      <c r="CU12" s="24">
        <f>_xlfn.XLOOKUP(CO12,'Banco de dados'!$B:$B,'Banco de dados'!$F:$F)</f>
        <v>0</v>
      </c>
      <c r="CV12" s="25"/>
      <c r="CW12" s="25"/>
      <c r="CX12" s="24" t="str">
        <f>IF(AK12&lt;=0.5,"Curto I",IF(AND(AK12&gt;='Braços de IP'!$B$9,AK12&lt;='Braços de IP'!$D$9),'Braços de IP'!$E$9,IF(AND(AK12&gt;='Braços de IP'!$B$10,AK12&lt;='Braços de IP'!$D$10),'Braços de IP'!$E$10,IF(AND(AK12&gt;='Braços de IP'!$B$11,AK12&lt;='Braços de IP'!$D$11),'Braços de IP'!$E$11,IF(AND(AK12&gt;='Braços de IP'!$B$12,AK12&lt;='Braços de IP'!$D$12),'Braços de IP'!$E$12,IF(AND(AK12&gt;='Braços de IP'!$B$13,AK12&lt;='Braços de IP'!$D$13),'Braços de IP'!$E$13,IF(AND(AK12&gt;='Braços de IP'!$B$14,AK12&lt;='Braços de IP'!$D$14),'Braços de IP'!$E$14,"ERRO")))))))</f>
        <v>Longo I</v>
      </c>
      <c r="CY12" s="25"/>
      <c r="CZ12" s="24" t="str">
        <f>IF($CY12="","",VLOOKUP($CY12,'Braços de IP'!$E$9:$I$15,2,0))</f>
        <v/>
      </c>
      <c r="DA12" s="27" t="str">
        <f>IF($CY12="","",VLOOKUP($CY12,'Braços de IP'!$E$9:$I$15,5,0))</f>
        <v/>
      </c>
      <c r="DB12" s="24"/>
      <c r="DC12" s="24"/>
      <c r="DD12" s="24"/>
      <c r="DE12" s="24"/>
      <c r="DF12" s="24"/>
      <c r="DG12" s="24"/>
      <c r="DH12" s="28">
        <f t="shared" si="23"/>
        <v>70</v>
      </c>
      <c r="DI12" s="29">
        <f t="shared" si="24"/>
        <v>100</v>
      </c>
      <c r="DJ12" s="28">
        <f t="shared" si="25"/>
        <v>170</v>
      </c>
      <c r="DK12" s="30">
        <f t="shared" si="26"/>
        <v>0.30000000000000004</v>
      </c>
      <c r="DL12" s="31"/>
      <c r="DM12" s="32"/>
      <c r="DN12" s="15" t="s">
        <v>134</v>
      </c>
      <c r="DO12" s="15"/>
      <c r="DQ12" s="33">
        <f t="shared" si="27"/>
        <v>0.3</v>
      </c>
      <c r="DS12" s="1"/>
      <c r="DT12" s="1"/>
      <c r="DU12" s="33"/>
      <c r="DV12" s="33"/>
    </row>
    <row r="13" spans="1:126" ht="14.4" x14ac:dyDescent="0.3">
      <c r="B13" s="154"/>
      <c r="C13" s="154"/>
      <c r="D13" s="156"/>
      <c r="E13" s="157"/>
      <c r="F13" s="181">
        <v>223927679</v>
      </c>
      <c r="G13" s="161" t="s">
        <v>128</v>
      </c>
      <c r="H13" s="162" t="s">
        <v>675</v>
      </c>
      <c r="I13" s="182">
        <v>-19.555050999999999</v>
      </c>
      <c r="J13" s="182">
        <v>-44.096336000000001</v>
      </c>
      <c r="K13" s="161" t="s">
        <v>149</v>
      </c>
      <c r="L13" s="183"/>
      <c r="M13" s="161" t="s">
        <v>131</v>
      </c>
      <c r="N13" s="182" t="s">
        <v>132</v>
      </c>
      <c r="O13" s="182">
        <v>100</v>
      </c>
      <c r="P13" s="160"/>
      <c r="Q13" s="161" t="s">
        <v>651</v>
      </c>
      <c r="R13" s="161" t="s">
        <v>651</v>
      </c>
      <c r="S13" s="161">
        <v>1</v>
      </c>
      <c r="T13" s="161">
        <v>1.6</v>
      </c>
      <c r="U13" s="161">
        <v>9.1999999999999993</v>
      </c>
      <c r="V13" s="165"/>
      <c r="W13" s="165"/>
      <c r="X13" s="148"/>
      <c r="Y13" s="161">
        <v>1.6</v>
      </c>
      <c r="Z13" s="161" t="s">
        <v>651</v>
      </c>
      <c r="AA13" s="165"/>
      <c r="AB13" s="165"/>
      <c r="AC13" s="161" t="s">
        <v>651</v>
      </c>
      <c r="AD13" s="161" t="s">
        <v>651</v>
      </c>
      <c r="AE13" s="161" t="s">
        <v>661</v>
      </c>
      <c r="AF13" s="161" t="s">
        <v>663</v>
      </c>
      <c r="AG13" s="161">
        <v>25.3</v>
      </c>
      <c r="AH13" s="161">
        <v>8.5</v>
      </c>
      <c r="AI13" s="161">
        <v>1</v>
      </c>
      <c r="AJ13" s="161">
        <v>0.15</v>
      </c>
      <c r="AK13" s="161">
        <v>2.9</v>
      </c>
      <c r="AL13" s="167">
        <f t="shared" si="31"/>
        <v>2.75</v>
      </c>
      <c r="AM13" s="16" t="s">
        <v>664</v>
      </c>
      <c r="AN13" s="16" t="s">
        <v>664</v>
      </c>
      <c r="AO13" s="15" t="s">
        <v>133</v>
      </c>
      <c r="AP13" s="16">
        <f t="shared" si="1"/>
        <v>2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7">
        <f t="shared" si="2"/>
        <v>0</v>
      </c>
      <c r="AX13" s="17"/>
      <c r="AY13" s="17">
        <f>VLOOKUP(K13,ABNT5101!$I$3:$J$9,2)</f>
        <v>20</v>
      </c>
      <c r="AZ13" s="17">
        <f>VLOOKUP(K13,ABNT5101!$I$3:$M$9,5)</f>
        <v>0.28000000000000003</v>
      </c>
      <c r="BA13" s="128" t="str">
        <f>_xlfn.XLOOKUP(K13,ABNT5101!$I:$I,ABNT5101!$L:$L)</f>
        <v>-</v>
      </c>
      <c r="BB13" s="128">
        <f>_xlfn.XLOOKUP(K13,ABNT5101!$I:$I,ABNT5101!M:M)</f>
        <v>0.28000000000000003</v>
      </c>
      <c r="BC13" s="128" t="str">
        <f>_xlfn.XLOOKUP(K13,ABNT5101!$I:$I,ABNT5101!N:N)</f>
        <v>-</v>
      </c>
      <c r="BD13" s="128">
        <f>_xlfn.XLOOKUP(K13,ABNT5101!$I:$I,ABNT5101!O:O)</f>
        <v>14</v>
      </c>
      <c r="BE13" s="18" t="str">
        <f t="shared" si="3"/>
        <v>ATENDE</v>
      </c>
      <c r="BF13" s="19">
        <f t="shared" si="4"/>
        <v>5.7499999999999885E-2</v>
      </c>
      <c r="BG13" s="19">
        <f t="shared" si="5"/>
        <v>1.964285714285714</v>
      </c>
      <c r="BH13" s="19" t="str">
        <f t="shared" si="6"/>
        <v>-</v>
      </c>
      <c r="BI13" s="20">
        <v>21.15</v>
      </c>
      <c r="BJ13" s="20">
        <v>0.83</v>
      </c>
      <c r="BK13" s="20"/>
      <c r="BL13" s="20"/>
      <c r="BM13" s="21"/>
      <c r="BN13" s="20"/>
      <c r="BO13" s="142" t="str">
        <f t="shared" si="7"/>
        <v>ATENDE</v>
      </c>
      <c r="BP13" s="142" t="str">
        <f t="shared" si="8"/>
        <v>ATENDE</v>
      </c>
      <c r="BQ13" s="142" t="str">
        <f t="shared" si="9"/>
        <v>ATENDE</v>
      </c>
      <c r="BR13" s="142" t="str">
        <f t="shared" si="10"/>
        <v>ATENDE</v>
      </c>
      <c r="BS13" s="22" t="str">
        <f t="shared" si="11"/>
        <v>C2</v>
      </c>
      <c r="BT13" s="22" t="str">
        <f t="shared" si="12"/>
        <v>P6</v>
      </c>
      <c r="BU13" s="23">
        <f t="shared" si="13"/>
        <v>3.2033333333333331</v>
      </c>
      <c r="BV13" s="20">
        <v>12.61</v>
      </c>
      <c r="BW13" s="20">
        <v>10.01</v>
      </c>
      <c r="BX13" s="129">
        <f>IF(BT13="-","-",_xlfn.XLOOKUP(BT13,ABNT5101!$B$4:$B$9,ABNT5101!$C$4:$C$9))</f>
        <v>3</v>
      </c>
      <c r="BY13" s="129">
        <f>IF(BT13="-","-",_xlfn.XLOOKUP(BT13,ABNT5101!$B$4:$B$9,ABNT5101!$D$4:$D$9))</f>
        <v>0.6</v>
      </c>
      <c r="BZ13" s="18" t="str">
        <f t="shared" si="14"/>
        <v>ATENDE</v>
      </c>
      <c r="CA13" s="18" t="str">
        <f t="shared" si="15"/>
        <v>ATENDE</v>
      </c>
      <c r="CB13" s="18" t="str">
        <f t="shared" si="16"/>
        <v>ATENDE</v>
      </c>
      <c r="CC13" s="22" t="str">
        <f t="shared" si="17"/>
        <v>P6</v>
      </c>
      <c r="CD13" s="143" t="e">
        <f t="shared" si="18"/>
        <v>#DIV/0!</v>
      </c>
      <c r="CE13" s="22">
        <v>13.48</v>
      </c>
      <c r="CF13" s="22">
        <v>11.34</v>
      </c>
      <c r="CG13" s="127"/>
      <c r="CH13" s="127"/>
      <c r="CI13" s="18" t="str">
        <f t="shared" si="19"/>
        <v>ATENDE</v>
      </c>
      <c r="CJ13" s="18" t="str">
        <f t="shared" si="20"/>
        <v>ATENDE</v>
      </c>
      <c r="CK13" s="18" t="str">
        <f t="shared" si="21"/>
        <v>ATENDE</v>
      </c>
      <c r="CL13" s="130" t="str">
        <f>_xlfn.XLOOKUP(CM13,'Banco de dados'!$B:$B,'Banco de dados'!$D:$D)</f>
        <v>TECNOWATT</v>
      </c>
      <c r="CM13" s="25" t="str">
        <f>'Banco de dados'!B72</f>
        <v xml:space="preserve">SIGSAGPTLRRSSNDL_68W_83IBBRS
</v>
      </c>
      <c r="CN13" s="24" t="str">
        <f>_xlfn.XLOOKUP(CM13,'Banco de dados'!$B:$B,'Banco de dados'!$E:$E)</f>
        <v>SIGSAGPTLRRSSNDL_68W_83IBBRS
1-10C1MUN6.5</v>
      </c>
      <c r="CO13" s="24"/>
      <c r="CP13" s="24">
        <f>IF(CO13="-","-",_xlfn.XLOOKUP(CO13,'Banco de dados'!$B:$B,'Banco de dados'!$E:$E))</f>
        <v>0</v>
      </c>
      <c r="CQ13" s="26">
        <f t="shared" si="22"/>
        <v>1</v>
      </c>
      <c r="CR13" s="24">
        <f>_xlfn.XLOOKUP(CM13,'Banco de dados'!$B:$B,'Banco de dados'!$H:$H)</f>
        <v>68</v>
      </c>
      <c r="CS13" s="24">
        <f>_xlfn.XLOOKUP(CO13,'Banco de dados'!$B:$B,'Banco de dados'!$H:$H)</f>
        <v>0</v>
      </c>
      <c r="CT13" s="24">
        <f>_xlfn.XLOOKUP(CM13,'Banco de dados'!$B:$B,'Banco de dados'!$F:$F)</f>
        <v>10884</v>
      </c>
      <c r="CU13" s="24">
        <f>_xlfn.XLOOKUP(CO13,'Banco de dados'!$B:$B,'Banco de dados'!$F:$F)</f>
        <v>0</v>
      </c>
      <c r="CV13" s="25"/>
      <c r="CW13" s="25"/>
      <c r="CX13" s="24" t="str">
        <f>IF(AK13&lt;=0.5,"Curto I",IF(AND(AK13&gt;='Braços de IP'!$B$9,AK13&lt;='Braços de IP'!$D$9),'Braços de IP'!$E$9,IF(AND(AK13&gt;='Braços de IP'!$B$10,AK13&lt;='Braços de IP'!$D$10),'Braços de IP'!$E$10,IF(AND(AK13&gt;='Braços de IP'!$B$11,AK13&lt;='Braços de IP'!$D$11),'Braços de IP'!$E$11,IF(AND(AK13&gt;='Braços de IP'!$B$12,AK13&lt;='Braços de IP'!$D$12),'Braços de IP'!$E$12,IF(AND(AK13&gt;='Braços de IP'!$B$13,AK13&lt;='Braços de IP'!$D$13),'Braços de IP'!$E$13,IF(AND(AK13&gt;='Braços de IP'!$B$14,AK13&lt;='Braços de IP'!$D$14),'Braços de IP'!$E$14,"ERRO")))))))</f>
        <v>Longo I</v>
      </c>
      <c r="CY13" s="25"/>
      <c r="CZ13" s="24" t="str">
        <f>IF($CY13="","",VLOOKUP($CY13,'Braços de IP'!$E$9:$I$15,2,0))</f>
        <v/>
      </c>
      <c r="DA13" s="27" t="str">
        <f>IF($CY13="","",VLOOKUP($CY13,'Braços de IP'!$E$9:$I$15,5,0))</f>
        <v/>
      </c>
      <c r="DB13" s="24"/>
      <c r="DC13" s="24"/>
      <c r="DD13" s="24"/>
      <c r="DE13" s="24"/>
      <c r="DF13" s="24"/>
      <c r="DG13" s="24"/>
      <c r="DH13" s="28">
        <f t="shared" si="23"/>
        <v>68</v>
      </c>
      <c r="DI13" s="29">
        <f t="shared" si="24"/>
        <v>100</v>
      </c>
      <c r="DJ13" s="28">
        <f t="shared" si="25"/>
        <v>168</v>
      </c>
      <c r="DK13" s="30">
        <f t="shared" si="26"/>
        <v>0.31999999999999995</v>
      </c>
      <c r="DL13" s="31"/>
      <c r="DM13" s="32"/>
      <c r="DN13" s="15" t="s">
        <v>134</v>
      </c>
      <c r="DO13" s="15"/>
      <c r="DQ13" s="33">
        <f t="shared" si="27"/>
        <v>0.32</v>
      </c>
      <c r="DS13" s="1"/>
      <c r="DT13" s="1"/>
      <c r="DU13" s="33"/>
      <c r="DV13" s="33"/>
    </row>
    <row r="14" spans="1:126" ht="14.4" x14ac:dyDescent="0.3">
      <c r="A14" s="163" t="s">
        <v>676</v>
      </c>
      <c r="B14" s="154" t="s">
        <v>668</v>
      </c>
      <c r="C14" s="154" t="s">
        <v>669</v>
      </c>
      <c r="D14" s="156" t="s">
        <v>665</v>
      </c>
      <c r="E14" s="157" t="s">
        <v>669</v>
      </c>
      <c r="F14" s="186">
        <v>223373074</v>
      </c>
      <c r="G14" s="161" t="s">
        <v>657</v>
      </c>
      <c r="H14" s="162" t="s">
        <v>672</v>
      </c>
      <c r="I14" s="182">
        <v>-19.565821806399999</v>
      </c>
      <c r="J14" s="182">
        <v>-44.077866</v>
      </c>
      <c r="K14" s="182" t="s">
        <v>144</v>
      </c>
      <c r="L14" s="183"/>
      <c r="M14" s="182" t="s">
        <v>146</v>
      </c>
      <c r="N14" s="182" t="s">
        <v>132</v>
      </c>
      <c r="O14" s="182">
        <v>200</v>
      </c>
      <c r="P14" s="160"/>
      <c r="Q14" s="161">
        <v>60</v>
      </c>
      <c r="R14" s="161">
        <v>4</v>
      </c>
      <c r="S14" s="161">
        <v>2</v>
      </c>
      <c r="T14" s="162">
        <v>1.7</v>
      </c>
      <c r="U14" s="161">
        <v>7</v>
      </c>
      <c r="V14" s="165"/>
      <c r="W14" s="165"/>
      <c r="X14" s="148"/>
      <c r="Y14" s="162">
        <v>1.7</v>
      </c>
      <c r="Z14" s="184" t="s">
        <v>677</v>
      </c>
      <c r="AA14" s="165"/>
      <c r="AB14" s="165"/>
      <c r="AC14" s="161">
        <v>4.5</v>
      </c>
      <c r="AD14" s="161" t="s">
        <v>651</v>
      </c>
      <c r="AE14" s="161" t="s">
        <v>661</v>
      </c>
      <c r="AF14" s="161" t="s">
        <v>663</v>
      </c>
      <c r="AG14" s="161">
        <v>37.799999999999997</v>
      </c>
      <c r="AH14" s="161">
        <v>7.8</v>
      </c>
      <c r="AI14" s="161">
        <v>1</v>
      </c>
      <c r="AJ14" s="161">
        <v>0.4</v>
      </c>
      <c r="AK14" s="161">
        <v>2.7</v>
      </c>
      <c r="AL14" s="167">
        <f t="shared" si="0"/>
        <v>2.3000000000000003</v>
      </c>
      <c r="AM14" s="16" t="s">
        <v>664</v>
      </c>
      <c r="AN14" s="16" t="s">
        <v>664</v>
      </c>
      <c r="AO14" s="15" t="s">
        <v>133</v>
      </c>
      <c r="AP14" s="16">
        <f t="shared" si="1"/>
        <v>2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7">
        <f t="shared" si="2"/>
        <v>0</v>
      </c>
      <c r="AX14" s="17"/>
      <c r="AY14" s="17">
        <f>VLOOKUP(K14,ABNT5101!$I$3:$J$9,2)</f>
        <v>30</v>
      </c>
      <c r="AZ14" s="17">
        <f>VLOOKUP(K14,ABNT5101!$I$3:$M$9,5)</f>
        <v>0.38</v>
      </c>
      <c r="BA14" s="128" t="str">
        <f>_xlfn.XLOOKUP(K14,ABNT5101!$I:$I,ABNT5101!$L:$L)</f>
        <v>-</v>
      </c>
      <c r="BB14" s="128">
        <f>_xlfn.XLOOKUP(K14,ABNT5101!$I:$I,ABNT5101!M:M)</f>
        <v>0.38</v>
      </c>
      <c r="BC14" s="128" t="str">
        <f>_xlfn.XLOOKUP(K14,ABNT5101!$I:$I,ABNT5101!N:N)</f>
        <v>-</v>
      </c>
      <c r="BD14" s="128">
        <f>_xlfn.XLOOKUP(K14,ABNT5101!$I:$I,ABNT5101!O:O)</f>
        <v>14</v>
      </c>
      <c r="BE14" s="18" t="str">
        <f t="shared" si="3"/>
        <v>ATENDE</v>
      </c>
      <c r="BF14" s="19">
        <f t="shared" si="4"/>
        <v>2.4999999999999911E-2</v>
      </c>
      <c r="BG14" s="19">
        <f t="shared" si="5"/>
        <v>0.42105263157894735</v>
      </c>
      <c r="BH14" s="19" t="str">
        <f t="shared" si="6"/>
        <v>-</v>
      </c>
      <c r="BI14" s="20">
        <v>30.75</v>
      </c>
      <c r="BJ14" s="20">
        <v>0.54</v>
      </c>
      <c r="BK14" s="20"/>
      <c r="BL14" s="20"/>
      <c r="BM14" s="21"/>
      <c r="BN14" s="20"/>
      <c r="BO14" s="142" t="str">
        <f t="shared" si="7"/>
        <v>ATENDE</v>
      </c>
      <c r="BP14" s="142" t="str">
        <f t="shared" si="8"/>
        <v>ATENDE</v>
      </c>
      <c r="BQ14" s="142" t="str">
        <f t="shared" si="9"/>
        <v>ATENDE</v>
      </c>
      <c r="BR14" s="142" t="str">
        <f t="shared" si="10"/>
        <v>ATENDE</v>
      </c>
      <c r="BS14" s="22" t="str">
        <f t="shared" si="11"/>
        <v>C1</v>
      </c>
      <c r="BT14" s="22" t="str">
        <f t="shared" si="12"/>
        <v>P4</v>
      </c>
      <c r="BU14" s="23">
        <f t="shared" si="13"/>
        <v>1.1653333333333333</v>
      </c>
      <c r="BV14" s="20">
        <v>16.239999999999998</v>
      </c>
      <c r="BW14" s="20">
        <v>10.26</v>
      </c>
      <c r="BX14" s="129">
        <f>IF(BT14="-","-",_xlfn.XLOOKUP(BT14,ABNT5101!$B$4:$B$9,ABNT5101!$C$4:$C$9))</f>
        <v>7.5</v>
      </c>
      <c r="BY14" s="129">
        <f>IF(BT14="-","-",_xlfn.XLOOKUP(BT14,ABNT5101!$B$4:$B$9,ABNT5101!$D$4:$D$9))</f>
        <v>1.5</v>
      </c>
      <c r="BZ14" s="18" t="str">
        <f t="shared" si="14"/>
        <v>ATENDE</v>
      </c>
      <c r="CA14" s="18" t="str">
        <f t="shared" si="15"/>
        <v>ATENDE</v>
      </c>
      <c r="CB14" s="18" t="str">
        <f t="shared" si="16"/>
        <v>ATENDE</v>
      </c>
      <c r="CC14" s="22" t="str">
        <f t="shared" si="17"/>
        <v>P4</v>
      </c>
      <c r="CD14" s="143" t="e">
        <f t="shared" si="18"/>
        <v>#DIV/0!</v>
      </c>
      <c r="CE14" s="22">
        <v>16.239999999999998</v>
      </c>
      <c r="CF14" s="22">
        <v>10.28</v>
      </c>
      <c r="CG14" s="127"/>
      <c r="CH14" s="127"/>
      <c r="CI14" s="18" t="str">
        <f t="shared" si="19"/>
        <v>ATENDE</v>
      </c>
      <c r="CJ14" s="18" t="str">
        <f t="shared" si="20"/>
        <v>ATENDE</v>
      </c>
      <c r="CK14" s="18" t="str">
        <f t="shared" si="21"/>
        <v>ATENDE</v>
      </c>
      <c r="CL14" s="130" t="str">
        <f>_xlfn.XLOOKUP(CM14,'Banco de dados'!$B:$B,'Banco de dados'!$D:$D)</f>
        <v>LEDSTAR</v>
      </c>
      <c r="CM14" s="25" t="str">
        <f>'Banco de dados'!B28</f>
        <v xml:space="preserve"> SL VT 9.1 100W</v>
      </c>
      <c r="CN14" s="24" t="str">
        <f>_xlfn.XLOOKUP(CM14,'Banco de dados'!$B:$B,'Banco de dados'!$E:$E)</f>
        <v>LUM LED SL VT 9.1 100W</v>
      </c>
      <c r="CO14" s="24"/>
      <c r="CP14" s="24">
        <f>IF(CO14="-","-",_xlfn.XLOOKUP(CO14,'Banco de dados'!$B:$B,'Banco de dados'!$E:$E))</f>
        <v>0</v>
      </c>
      <c r="CQ14" s="26">
        <f t="shared" si="22"/>
        <v>1</v>
      </c>
      <c r="CR14" s="24">
        <f>_xlfn.XLOOKUP(CM14,'Banco de dados'!$B:$B,'Banco de dados'!$H:$H)</f>
        <v>100</v>
      </c>
      <c r="CS14" s="24">
        <f>_xlfn.XLOOKUP(CO14,'Banco de dados'!$B:$B,'Banco de dados'!$H:$H)</f>
        <v>0</v>
      </c>
      <c r="CT14" s="24">
        <f>_xlfn.XLOOKUP(CM14,'Banco de dados'!$B:$B,'Banco de dados'!$F:$F)</f>
        <v>15900</v>
      </c>
      <c r="CU14" s="24">
        <f>_xlfn.XLOOKUP(CO14,'Banco de dados'!$B:$B,'Banco de dados'!$F:$F)</f>
        <v>0</v>
      </c>
      <c r="CV14" s="25"/>
      <c r="CW14" s="25">
        <v>5</v>
      </c>
      <c r="CX14" s="24" t="str">
        <f>IF(AK14&lt;=0.5,"Curto I",IF(AND(AK14&gt;='Braços de IP'!$B$9,AK14&lt;='Braços de IP'!$D$9),'Braços de IP'!$E$9,IF(AND(AK14&gt;='Braços de IP'!$B$10,AK14&lt;='Braços de IP'!$D$10),'Braços de IP'!$E$10,IF(AND(AK14&gt;='Braços de IP'!$B$11,AK14&lt;='Braços de IP'!$D$11),'Braços de IP'!$E$11,IF(AND(AK14&gt;='Braços de IP'!$B$12,AK14&lt;='Braços de IP'!$D$12),'Braços de IP'!$E$12,IF(AND(AK14&gt;='Braços de IP'!$B$13,AK14&lt;='Braços de IP'!$D$13),'Braços de IP'!$E$13,IF(AND(AK14&gt;='Braços de IP'!$B$14,AK14&lt;='Braços de IP'!$D$14),'Braços de IP'!$E$14,"ERRO")))))))</f>
        <v>Longo I</v>
      </c>
      <c r="CY14" s="25"/>
      <c r="CZ14" s="24" t="str">
        <f>IF($CY14="","",VLOOKUP($CY14,'Braços de IP'!$E$9:$I$15,2,0))</f>
        <v/>
      </c>
      <c r="DA14" s="27" t="str">
        <f>IF($CY14="","",VLOOKUP($CY14,'Braços de IP'!$E$9:$I$15,5,0))</f>
        <v/>
      </c>
      <c r="DB14" s="24"/>
      <c r="DC14" s="24"/>
      <c r="DD14" s="24"/>
      <c r="DE14" s="24"/>
      <c r="DF14" s="24"/>
      <c r="DG14" s="24"/>
      <c r="DH14" s="28">
        <f t="shared" si="23"/>
        <v>100</v>
      </c>
      <c r="DI14" s="29">
        <f t="shared" si="24"/>
        <v>200</v>
      </c>
      <c r="DJ14" s="28">
        <f t="shared" si="25"/>
        <v>300</v>
      </c>
      <c r="DK14" s="30">
        <f t="shared" si="26"/>
        <v>0.5</v>
      </c>
      <c r="DL14" s="31"/>
      <c r="DM14" s="32"/>
      <c r="DN14" s="15" t="s">
        <v>134</v>
      </c>
      <c r="DO14" s="15"/>
      <c r="DQ14" s="33">
        <f t="shared" si="27"/>
        <v>0.5</v>
      </c>
      <c r="DS14" s="1"/>
      <c r="DT14" s="1"/>
      <c r="DU14" s="1"/>
    </row>
    <row r="15" spans="1:126" ht="14.4" x14ac:dyDescent="0.3">
      <c r="A15" s="163" t="s">
        <v>676</v>
      </c>
      <c r="B15" s="154"/>
      <c r="C15" s="154"/>
      <c r="D15" s="156"/>
      <c r="E15" s="157"/>
      <c r="F15" s="186">
        <v>223373074</v>
      </c>
      <c r="G15" s="161" t="s">
        <v>657</v>
      </c>
      <c r="H15" s="162" t="s">
        <v>672</v>
      </c>
      <c r="I15" s="182">
        <v>-19.565821806399999</v>
      </c>
      <c r="J15" s="182">
        <v>-44.077866</v>
      </c>
      <c r="K15" s="182" t="s">
        <v>144</v>
      </c>
      <c r="L15" s="183"/>
      <c r="M15" s="182" t="s">
        <v>146</v>
      </c>
      <c r="N15" s="182" t="s">
        <v>132</v>
      </c>
      <c r="O15" s="182">
        <v>200</v>
      </c>
      <c r="P15" s="160"/>
      <c r="Q15" s="161">
        <v>60</v>
      </c>
      <c r="R15" s="161">
        <v>4</v>
      </c>
      <c r="S15" s="161">
        <v>2</v>
      </c>
      <c r="T15" s="162">
        <v>1.7</v>
      </c>
      <c r="U15" s="161">
        <v>7</v>
      </c>
      <c r="V15" s="165"/>
      <c r="W15" s="165"/>
      <c r="X15" s="148"/>
      <c r="Y15" s="162">
        <v>1.7</v>
      </c>
      <c r="Z15" s="184" t="s">
        <v>677</v>
      </c>
      <c r="AA15" s="165"/>
      <c r="AB15" s="165"/>
      <c r="AC15" s="161">
        <v>4.5</v>
      </c>
      <c r="AD15" s="161" t="s">
        <v>651</v>
      </c>
      <c r="AE15" s="161" t="s">
        <v>661</v>
      </c>
      <c r="AF15" s="161" t="s">
        <v>663</v>
      </c>
      <c r="AG15" s="161">
        <v>37.799999999999997</v>
      </c>
      <c r="AH15" s="161">
        <v>7.8</v>
      </c>
      <c r="AI15" s="161">
        <v>1</v>
      </c>
      <c r="AJ15" s="161">
        <v>0.4</v>
      </c>
      <c r="AK15" s="161">
        <v>2.7</v>
      </c>
      <c r="AL15" s="167">
        <f t="shared" ref="AL15:AL16" si="32">AK15-AJ15</f>
        <v>2.3000000000000003</v>
      </c>
      <c r="AM15" s="16" t="s">
        <v>664</v>
      </c>
      <c r="AN15" s="16" t="s">
        <v>664</v>
      </c>
      <c r="AO15" s="15" t="s">
        <v>133</v>
      </c>
      <c r="AP15" s="16">
        <f t="shared" si="1"/>
        <v>2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7">
        <f t="shared" si="2"/>
        <v>0</v>
      </c>
      <c r="AX15" s="17"/>
      <c r="AY15" s="17">
        <f>VLOOKUP(K15,ABNT5101!$I$3:$J$9,2)</f>
        <v>30</v>
      </c>
      <c r="AZ15" s="17">
        <f>VLOOKUP(K15,ABNT5101!$I$3:$M$9,5)</f>
        <v>0.38</v>
      </c>
      <c r="BA15" s="128" t="str">
        <f>_xlfn.XLOOKUP(K15,ABNT5101!$I:$I,ABNT5101!$L:$L)</f>
        <v>-</v>
      </c>
      <c r="BB15" s="128">
        <f>_xlfn.XLOOKUP(K15,ABNT5101!$I:$I,ABNT5101!M:M)</f>
        <v>0.38</v>
      </c>
      <c r="BC15" s="128" t="str">
        <f>_xlfn.XLOOKUP(K15,ABNT5101!$I:$I,ABNT5101!N:N)</f>
        <v>-</v>
      </c>
      <c r="BD15" s="128">
        <f>_xlfn.XLOOKUP(K15,ABNT5101!$I:$I,ABNT5101!O:O)</f>
        <v>14</v>
      </c>
      <c r="BE15" s="18" t="str">
        <f t="shared" si="3"/>
        <v>ATENDE</v>
      </c>
      <c r="BF15" s="19">
        <f t="shared" si="4"/>
        <v>6.4000000000000057E-2</v>
      </c>
      <c r="BG15" s="19">
        <f t="shared" si="5"/>
        <v>0.28947368421052633</v>
      </c>
      <c r="BH15" s="19" t="str">
        <f t="shared" si="6"/>
        <v>-</v>
      </c>
      <c r="BI15" s="20">
        <v>31.92</v>
      </c>
      <c r="BJ15" s="20">
        <v>0.49</v>
      </c>
      <c r="BK15" s="20"/>
      <c r="BL15" s="20"/>
      <c r="BM15" s="21"/>
      <c r="BN15" s="20"/>
      <c r="BO15" s="142" t="str">
        <f t="shared" si="7"/>
        <v>ATENDE</v>
      </c>
      <c r="BP15" s="142" t="str">
        <f t="shared" si="8"/>
        <v>ATENDE</v>
      </c>
      <c r="BQ15" s="142" t="str">
        <f t="shared" si="9"/>
        <v>ATENDE</v>
      </c>
      <c r="BR15" s="142" t="str">
        <f t="shared" si="10"/>
        <v>ATENDE</v>
      </c>
      <c r="BS15" s="22" t="str">
        <f t="shared" si="11"/>
        <v>C1</v>
      </c>
      <c r="BT15" s="22" t="str">
        <f t="shared" si="12"/>
        <v>P4</v>
      </c>
      <c r="BU15" s="23">
        <f t="shared" si="13"/>
        <v>1.2400000000000002</v>
      </c>
      <c r="BV15" s="20">
        <v>16.8</v>
      </c>
      <c r="BW15" s="20">
        <v>9.0500000000000007</v>
      </c>
      <c r="BX15" s="129">
        <f>IF(BT15="-","-",_xlfn.XLOOKUP(BT15,ABNT5101!$B$4:$B$9,ABNT5101!$C$4:$C$9))</f>
        <v>7.5</v>
      </c>
      <c r="BY15" s="129">
        <f>IF(BT15="-","-",_xlfn.XLOOKUP(BT15,ABNT5101!$B$4:$B$9,ABNT5101!$D$4:$D$9))</f>
        <v>1.5</v>
      </c>
      <c r="BZ15" s="18" t="str">
        <f t="shared" si="14"/>
        <v>ATENDE</v>
      </c>
      <c r="CA15" s="18" t="str">
        <f t="shared" si="15"/>
        <v>ATENDE</v>
      </c>
      <c r="CB15" s="18" t="str">
        <f t="shared" si="16"/>
        <v>ATENDE</v>
      </c>
      <c r="CC15" s="22" t="str">
        <f t="shared" si="17"/>
        <v>P4</v>
      </c>
      <c r="CD15" s="143" t="e">
        <f t="shared" si="18"/>
        <v>#DIV/0!</v>
      </c>
      <c r="CE15" s="22">
        <v>16.71</v>
      </c>
      <c r="CF15" s="22">
        <v>8.77</v>
      </c>
      <c r="CG15" s="127"/>
      <c r="CH15" s="127"/>
      <c r="CI15" s="18" t="str">
        <f t="shared" si="19"/>
        <v>ATENDE</v>
      </c>
      <c r="CJ15" s="18" t="str">
        <f t="shared" si="20"/>
        <v>ATENDE</v>
      </c>
      <c r="CK15" s="18" t="str">
        <f t="shared" si="21"/>
        <v>ATENDE</v>
      </c>
      <c r="CL15" s="130" t="str">
        <f>_xlfn.XLOOKUP(CM15,'Banco de dados'!$B:$B,'Banco de dados'!$D:$D)</f>
        <v>SX LIGHTING</v>
      </c>
      <c r="CM15" s="25" t="str">
        <f>'Banco de dados'!B62</f>
        <v>SX-INLPP090HF</v>
      </c>
      <c r="CN15" s="24" t="str">
        <f>_xlfn.XLOOKUP(CM15,'Banco de dados'!$B:$B,'Banco de dados'!$E:$E)</f>
        <v>SXINLPP090K40L12CZF7PHF</v>
      </c>
      <c r="CO15" s="24"/>
      <c r="CP15" s="24">
        <f>IF(CO15="-","-",_xlfn.XLOOKUP(CO15,'Banco de dados'!$B:$B,'Banco de dados'!$E:$E))</f>
        <v>0</v>
      </c>
      <c r="CQ15" s="26">
        <f t="shared" si="22"/>
        <v>1</v>
      </c>
      <c r="CR15" s="24">
        <f>_xlfn.XLOOKUP(CM15,'Banco de dados'!$B:$B,'Banco de dados'!$H:$H)</f>
        <v>90</v>
      </c>
      <c r="CS15" s="24">
        <f>_xlfn.XLOOKUP(CO15,'Banco de dados'!$B:$B,'Banco de dados'!$H:$H)</f>
        <v>0</v>
      </c>
      <c r="CT15" s="24">
        <f>_xlfn.XLOOKUP(CM15,'Banco de dados'!$B:$B,'Banco de dados'!$F:$F)</f>
        <v>15476</v>
      </c>
      <c r="CU15" s="24">
        <f>_xlfn.XLOOKUP(CO15,'Banco de dados'!$B:$B,'Banco de dados'!$F:$F)</f>
        <v>0</v>
      </c>
      <c r="CV15" s="25"/>
      <c r="CW15" s="25">
        <v>5</v>
      </c>
      <c r="CX15" s="24" t="str">
        <f>IF(AK15&lt;=0.5,"Curto I",IF(AND(AK15&gt;='Braços de IP'!$B$9,AK15&lt;='Braços de IP'!$D$9),'Braços de IP'!$E$9,IF(AND(AK15&gt;='Braços de IP'!$B$10,AK15&lt;='Braços de IP'!$D$10),'Braços de IP'!$E$10,IF(AND(AK15&gt;='Braços de IP'!$B$11,AK15&lt;='Braços de IP'!$D$11),'Braços de IP'!$E$11,IF(AND(AK15&gt;='Braços de IP'!$B$12,AK15&lt;='Braços de IP'!$D$12),'Braços de IP'!$E$12,IF(AND(AK15&gt;='Braços de IP'!$B$13,AK15&lt;='Braços de IP'!$D$13),'Braços de IP'!$E$13,IF(AND(AK15&gt;='Braços de IP'!$B$14,AK15&lt;='Braços de IP'!$D$14),'Braços de IP'!$E$14,"ERRO")))))))</f>
        <v>Longo I</v>
      </c>
      <c r="CY15" s="25"/>
      <c r="CZ15" s="24" t="str">
        <f>IF($CY15="","",VLOOKUP($CY15,'Braços de IP'!$E$9:$I$15,2,0))</f>
        <v/>
      </c>
      <c r="DA15" s="27" t="str">
        <f>IF($CY15="","",VLOOKUP($CY15,'Braços de IP'!$E$9:$I$15,5,0))</f>
        <v/>
      </c>
      <c r="DB15" s="24"/>
      <c r="DC15" s="24"/>
      <c r="DD15" s="24"/>
      <c r="DE15" s="24"/>
      <c r="DF15" s="24"/>
      <c r="DG15" s="24"/>
      <c r="DH15" s="28">
        <f t="shared" si="23"/>
        <v>90</v>
      </c>
      <c r="DI15" s="29">
        <f t="shared" si="24"/>
        <v>200</v>
      </c>
      <c r="DJ15" s="28">
        <f t="shared" si="25"/>
        <v>290</v>
      </c>
      <c r="DK15" s="30">
        <f t="shared" si="26"/>
        <v>0.55000000000000004</v>
      </c>
      <c r="DL15" s="31"/>
      <c r="DM15" s="32"/>
      <c r="DN15" s="15" t="s">
        <v>134</v>
      </c>
      <c r="DO15" s="15"/>
      <c r="DQ15" s="33">
        <f t="shared" si="27"/>
        <v>0.55000000000000004</v>
      </c>
      <c r="DS15" s="1"/>
      <c r="DT15" s="1"/>
      <c r="DU15" s="33"/>
      <c r="DV15" s="33"/>
    </row>
    <row r="16" spans="1:126" ht="14.4" x14ac:dyDescent="0.3">
      <c r="A16" s="163" t="s">
        <v>676</v>
      </c>
      <c r="B16" s="154"/>
      <c r="C16" s="154"/>
      <c r="D16" s="156"/>
      <c r="E16" s="157"/>
      <c r="F16" s="186">
        <v>223373074</v>
      </c>
      <c r="G16" s="161" t="s">
        <v>657</v>
      </c>
      <c r="H16" s="162" t="s">
        <v>672</v>
      </c>
      <c r="I16" s="182">
        <v>-19.565821806399999</v>
      </c>
      <c r="J16" s="182">
        <v>-44.077866</v>
      </c>
      <c r="K16" s="182" t="s">
        <v>144</v>
      </c>
      <c r="L16" s="183"/>
      <c r="M16" s="182" t="s">
        <v>146</v>
      </c>
      <c r="N16" s="182" t="s">
        <v>132</v>
      </c>
      <c r="O16" s="182">
        <v>200</v>
      </c>
      <c r="P16" s="160"/>
      <c r="Q16" s="161">
        <v>60</v>
      </c>
      <c r="R16" s="161">
        <v>4</v>
      </c>
      <c r="S16" s="161">
        <v>2</v>
      </c>
      <c r="T16" s="162">
        <v>1.7</v>
      </c>
      <c r="U16" s="161">
        <v>7</v>
      </c>
      <c r="V16" s="165"/>
      <c r="W16" s="165"/>
      <c r="X16" s="148"/>
      <c r="Y16" s="162">
        <v>1.7</v>
      </c>
      <c r="Z16" s="184" t="s">
        <v>677</v>
      </c>
      <c r="AA16" s="165"/>
      <c r="AB16" s="165"/>
      <c r="AC16" s="161">
        <v>4.5</v>
      </c>
      <c r="AD16" s="161" t="s">
        <v>651</v>
      </c>
      <c r="AE16" s="161" t="s">
        <v>661</v>
      </c>
      <c r="AF16" s="161" t="s">
        <v>663</v>
      </c>
      <c r="AG16" s="161">
        <v>37.799999999999997</v>
      </c>
      <c r="AH16" s="161">
        <v>7.8</v>
      </c>
      <c r="AI16" s="161">
        <v>1</v>
      </c>
      <c r="AJ16" s="161">
        <v>0.4</v>
      </c>
      <c r="AK16" s="161">
        <v>2.7</v>
      </c>
      <c r="AL16" s="167">
        <f t="shared" si="32"/>
        <v>2.3000000000000003</v>
      </c>
      <c r="AM16" s="16" t="s">
        <v>664</v>
      </c>
      <c r="AN16" s="16" t="s">
        <v>664</v>
      </c>
      <c r="AO16" s="15" t="s">
        <v>133</v>
      </c>
      <c r="AP16" s="16">
        <f t="shared" si="1"/>
        <v>2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7">
        <f t="shared" si="2"/>
        <v>0</v>
      </c>
      <c r="AX16" s="17"/>
      <c r="AY16" s="17">
        <f>VLOOKUP(K16,ABNT5101!$I$3:$J$9,2)</f>
        <v>30</v>
      </c>
      <c r="AZ16" s="17">
        <f>VLOOKUP(K16,ABNT5101!$I$3:$M$9,5)</f>
        <v>0.38</v>
      </c>
      <c r="BA16" s="128" t="str">
        <f>_xlfn.XLOOKUP(K16,ABNT5101!$I:$I,ABNT5101!$L:$L)</f>
        <v>-</v>
      </c>
      <c r="BB16" s="128">
        <f>_xlfn.XLOOKUP(K16,ABNT5101!$I:$I,ABNT5101!M:M)</f>
        <v>0.38</v>
      </c>
      <c r="BC16" s="128" t="str">
        <f>_xlfn.XLOOKUP(K16,ABNT5101!$I:$I,ABNT5101!N:N)</f>
        <v>-</v>
      </c>
      <c r="BD16" s="128">
        <f>_xlfn.XLOOKUP(K16,ABNT5101!$I:$I,ABNT5101!O:O)</f>
        <v>14</v>
      </c>
      <c r="BE16" s="18" t="str">
        <f t="shared" si="3"/>
        <v>ATENDE</v>
      </c>
      <c r="BF16" s="19">
        <f t="shared" si="4"/>
        <v>0.17633333333333323</v>
      </c>
      <c r="BG16" s="19">
        <f t="shared" si="5"/>
        <v>0.13157894736842102</v>
      </c>
      <c r="BH16" s="19" t="str">
        <f t="shared" si="6"/>
        <v>-</v>
      </c>
      <c r="BI16" s="20">
        <v>35.29</v>
      </c>
      <c r="BJ16" s="20">
        <v>0.43</v>
      </c>
      <c r="BK16" s="20"/>
      <c r="BL16" s="20"/>
      <c r="BM16" s="21"/>
      <c r="BN16" s="20"/>
      <c r="BO16" s="142" t="str">
        <f t="shared" si="7"/>
        <v>ATENDE</v>
      </c>
      <c r="BP16" s="142" t="str">
        <f t="shared" si="8"/>
        <v>ATENDE</v>
      </c>
      <c r="BQ16" s="142" t="str">
        <f t="shared" si="9"/>
        <v>ATENDE</v>
      </c>
      <c r="BR16" s="142" t="str">
        <f t="shared" si="10"/>
        <v>ATENDE</v>
      </c>
      <c r="BS16" s="22" t="str">
        <f t="shared" si="11"/>
        <v>C1</v>
      </c>
      <c r="BT16" s="22" t="str">
        <f t="shared" si="12"/>
        <v>P4</v>
      </c>
      <c r="BU16" s="23">
        <f t="shared" si="13"/>
        <v>1.6386666666666665</v>
      </c>
      <c r="BV16" s="20">
        <v>19.79</v>
      </c>
      <c r="BW16" s="20">
        <v>11.24</v>
      </c>
      <c r="BX16" s="129">
        <f>IF(BT16="-","-",_xlfn.XLOOKUP(BT16,ABNT5101!$B$4:$B$9,ABNT5101!$C$4:$C$9))</f>
        <v>7.5</v>
      </c>
      <c r="BY16" s="129">
        <f>IF(BT16="-","-",_xlfn.XLOOKUP(BT16,ABNT5101!$B$4:$B$9,ABNT5101!$D$4:$D$9))</f>
        <v>1.5</v>
      </c>
      <c r="BZ16" s="18" t="str">
        <f t="shared" si="14"/>
        <v>ATENDE</v>
      </c>
      <c r="CA16" s="18" t="str">
        <f t="shared" si="15"/>
        <v>ATENDE</v>
      </c>
      <c r="CB16" s="18" t="str">
        <f t="shared" si="16"/>
        <v>ATENDE</v>
      </c>
      <c r="CC16" s="22" t="str">
        <f t="shared" si="17"/>
        <v>P4</v>
      </c>
      <c r="CD16" s="143" t="e">
        <f t="shared" si="18"/>
        <v>#DIV/0!</v>
      </c>
      <c r="CE16" s="22">
        <v>19.82</v>
      </c>
      <c r="CF16" s="22">
        <v>11.16</v>
      </c>
      <c r="CG16" s="127"/>
      <c r="CH16" s="127"/>
      <c r="CI16" s="18" t="str">
        <f t="shared" si="19"/>
        <v>ATENDE</v>
      </c>
      <c r="CJ16" s="18" t="str">
        <f t="shared" si="20"/>
        <v>ATENDE</v>
      </c>
      <c r="CK16" s="18" t="str">
        <f t="shared" si="21"/>
        <v>ATENDE</v>
      </c>
      <c r="CL16" s="130" t="str">
        <f>_xlfn.XLOOKUP(CM16,'Banco de dados'!$B:$B,'Banco de dados'!$D:$D)</f>
        <v>TECNOWATT</v>
      </c>
      <c r="CM16" s="25" t="str">
        <f>'Banco de dados'!B76</f>
        <v xml:space="preserve">SIGMAGPTLRRSMNDL120W_82IBBR
</v>
      </c>
      <c r="CN16" s="24" t="str">
        <f>_xlfn.XLOOKUP(CM16,'Banco de dados'!$B:$B,'Banco de dados'!$E:$E)</f>
        <v>SIGMAGPTLRRSMNDL120W_82IBBR
S1-10C1MUN6.5</v>
      </c>
      <c r="CO16" s="24"/>
      <c r="CP16" s="24">
        <f>IF(CO16="-","-",_xlfn.XLOOKUP(CO16,'Banco de dados'!$B:$B,'Banco de dados'!$E:$E))</f>
        <v>0</v>
      </c>
      <c r="CQ16" s="26">
        <f t="shared" si="22"/>
        <v>1</v>
      </c>
      <c r="CR16" s="24">
        <f>_xlfn.XLOOKUP(CM16,'Banco de dados'!$B:$B,'Banco de dados'!$H:$H)</f>
        <v>120</v>
      </c>
      <c r="CS16" s="24">
        <f>_xlfn.XLOOKUP(CO16,'Banco de dados'!$B:$B,'Banco de dados'!$H:$H)</f>
        <v>0</v>
      </c>
      <c r="CT16" s="24">
        <f>_xlfn.XLOOKUP(CM16,'Banco de dados'!$B:$B,'Banco de dados'!$F:$F)</f>
        <v>19640</v>
      </c>
      <c r="CU16" s="24">
        <f>_xlfn.XLOOKUP(CO16,'Banco de dados'!$B:$B,'Banco de dados'!$F:$F)</f>
        <v>0</v>
      </c>
      <c r="CV16" s="25"/>
      <c r="CW16" s="25"/>
      <c r="CX16" s="24" t="str">
        <f>IF(AK16&lt;=0.5,"Curto I",IF(AND(AK16&gt;='Braços de IP'!$B$9,AK16&lt;='Braços de IP'!$D$9),'Braços de IP'!$E$9,IF(AND(AK16&gt;='Braços de IP'!$B$10,AK16&lt;='Braços de IP'!$D$10),'Braços de IP'!$E$10,IF(AND(AK16&gt;='Braços de IP'!$B$11,AK16&lt;='Braços de IP'!$D$11),'Braços de IP'!$E$11,IF(AND(AK16&gt;='Braços de IP'!$B$12,AK16&lt;='Braços de IP'!$D$12),'Braços de IP'!$E$12,IF(AND(AK16&gt;='Braços de IP'!$B$13,AK16&lt;='Braços de IP'!$D$13),'Braços de IP'!$E$13,IF(AND(AK16&gt;='Braços de IP'!$B$14,AK16&lt;='Braços de IP'!$D$14),'Braços de IP'!$E$14,"ERRO")))))))</f>
        <v>Longo I</v>
      </c>
      <c r="CY16" s="25"/>
      <c r="CZ16" s="24" t="str">
        <f>IF($CY16="","",VLOOKUP($CY16,'Braços de IP'!$E$9:$I$15,2,0))</f>
        <v/>
      </c>
      <c r="DA16" s="27" t="str">
        <f>IF($CY16="","",VLOOKUP($CY16,'Braços de IP'!$E$9:$I$15,5,0))</f>
        <v/>
      </c>
      <c r="DB16" s="24"/>
      <c r="DC16" s="24"/>
      <c r="DD16" s="24"/>
      <c r="DE16" s="24"/>
      <c r="DF16" s="24"/>
      <c r="DG16" s="24"/>
      <c r="DH16" s="28">
        <f t="shared" si="23"/>
        <v>120</v>
      </c>
      <c r="DI16" s="29">
        <f t="shared" si="24"/>
        <v>200</v>
      </c>
      <c r="DJ16" s="28">
        <f t="shared" si="25"/>
        <v>320</v>
      </c>
      <c r="DK16" s="30">
        <f t="shared" si="26"/>
        <v>0.4</v>
      </c>
      <c r="DL16" s="31"/>
      <c r="DM16" s="32"/>
      <c r="DN16" s="15" t="s">
        <v>134</v>
      </c>
      <c r="DO16" s="15"/>
      <c r="DQ16" s="33">
        <f t="shared" si="27"/>
        <v>0.4</v>
      </c>
      <c r="DS16" s="1"/>
      <c r="DT16" s="1"/>
      <c r="DU16" s="33"/>
      <c r="DV16" s="33"/>
    </row>
    <row r="17" spans="1:126" ht="14.4" x14ac:dyDescent="0.3">
      <c r="B17" s="154" t="s">
        <v>668</v>
      </c>
      <c r="C17" s="154" t="s">
        <v>669</v>
      </c>
      <c r="D17" s="156" t="s">
        <v>665</v>
      </c>
      <c r="E17" s="157" t="s">
        <v>669</v>
      </c>
      <c r="F17" s="185">
        <v>1209143166</v>
      </c>
      <c r="G17" s="161" t="s">
        <v>128</v>
      </c>
      <c r="H17" s="161" t="s">
        <v>673</v>
      </c>
      <c r="I17" s="182">
        <v>-19.5630995874</v>
      </c>
      <c r="J17" s="182">
        <v>-44.079177999999999</v>
      </c>
      <c r="K17" s="182" t="s">
        <v>144</v>
      </c>
      <c r="L17" s="183"/>
      <c r="M17" s="182" t="s">
        <v>146</v>
      </c>
      <c r="N17" s="182" t="s">
        <v>132</v>
      </c>
      <c r="O17" s="182">
        <v>200</v>
      </c>
      <c r="P17" s="160"/>
      <c r="Q17" s="161" t="s">
        <v>651</v>
      </c>
      <c r="R17" s="161" t="s">
        <v>651</v>
      </c>
      <c r="S17" s="161">
        <v>2</v>
      </c>
      <c r="T17" s="161">
        <v>1.8</v>
      </c>
      <c r="U17" s="161">
        <v>8.5</v>
      </c>
      <c r="V17" s="165"/>
      <c r="W17" s="165"/>
      <c r="X17" s="148"/>
      <c r="Y17" s="161">
        <v>1.8</v>
      </c>
      <c r="Z17" s="161" t="s">
        <v>651</v>
      </c>
      <c r="AA17" s="165"/>
      <c r="AB17" s="165"/>
      <c r="AC17" s="161" t="s">
        <v>651</v>
      </c>
      <c r="AD17" s="161" t="s">
        <v>651</v>
      </c>
      <c r="AE17" s="161" t="s">
        <v>661</v>
      </c>
      <c r="AF17" s="161" t="s">
        <v>663</v>
      </c>
      <c r="AG17" s="161">
        <v>35.299999999999997</v>
      </c>
      <c r="AH17" s="161">
        <v>8</v>
      </c>
      <c r="AI17" s="161">
        <v>1</v>
      </c>
      <c r="AJ17" s="161">
        <v>1</v>
      </c>
      <c r="AK17" s="161">
        <v>3.3</v>
      </c>
      <c r="AL17" s="167">
        <f t="shared" si="0"/>
        <v>2.2999999999999998</v>
      </c>
      <c r="AM17" s="16" t="s">
        <v>664</v>
      </c>
      <c r="AN17" s="16" t="s">
        <v>664</v>
      </c>
      <c r="AO17" s="15" t="s">
        <v>133</v>
      </c>
      <c r="AP17" s="16">
        <f t="shared" si="1"/>
        <v>2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7">
        <f t="shared" si="2"/>
        <v>0</v>
      </c>
      <c r="AX17" s="17"/>
      <c r="AY17" s="17">
        <f>VLOOKUP(K17,ABNT5101!$I$3:$J$9,2)</f>
        <v>30</v>
      </c>
      <c r="AZ17" s="17">
        <f>VLOOKUP(K17,ABNT5101!$I$3:$M$9,5)</f>
        <v>0.38</v>
      </c>
      <c r="BA17" s="128" t="str">
        <f>_xlfn.XLOOKUP(K17,ABNT5101!$I:$I,ABNT5101!$L:$L)</f>
        <v>-</v>
      </c>
      <c r="BB17" s="128">
        <f>_xlfn.XLOOKUP(K17,ABNT5101!$I:$I,ABNT5101!M:M)</f>
        <v>0.38</v>
      </c>
      <c r="BC17" s="128" t="str">
        <f>_xlfn.XLOOKUP(K17,ABNT5101!$I:$I,ABNT5101!N:N)</f>
        <v>-</v>
      </c>
      <c r="BD17" s="128">
        <f>_xlfn.XLOOKUP(K17,ABNT5101!$I:$I,ABNT5101!O:O)</f>
        <v>14</v>
      </c>
      <c r="BE17" s="18" t="str">
        <f t="shared" si="3"/>
        <v>ATENDE</v>
      </c>
      <c r="BF17" s="19">
        <f t="shared" si="4"/>
        <v>6.0666666666666647E-2</v>
      </c>
      <c r="BG17" s="19">
        <f t="shared" si="5"/>
        <v>7.8947368421052655E-2</v>
      </c>
      <c r="BH17" s="19" t="str">
        <f t="shared" si="6"/>
        <v>-</v>
      </c>
      <c r="BI17" s="20">
        <v>31.82</v>
      </c>
      <c r="BJ17" s="20">
        <v>0.41</v>
      </c>
      <c r="BK17" s="20"/>
      <c r="BL17" s="20"/>
      <c r="BM17" s="21"/>
      <c r="BN17" s="20"/>
      <c r="BO17" s="142" t="str">
        <f t="shared" si="7"/>
        <v>ATENDE</v>
      </c>
      <c r="BP17" s="142" t="str">
        <f t="shared" si="8"/>
        <v>ATENDE</v>
      </c>
      <c r="BQ17" s="142" t="str">
        <f t="shared" si="9"/>
        <v>ATENDE</v>
      </c>
      <c r="BR17" s="142" t="str">
        <f t="shared" si="10"/>
        <v>ATENDE</v>
      </c>
      <c r="BS17" s="22" t="str">
        <f t="shared" si="11"/>
        <v>C1</v>
      </c>
      <c r="BT17" s="22" t="str">
        <f t="shared" si="12"/>
        <v>P4</v>
      </c>
      <c r="BU17" s="23">
        <f t="shared" si="13"/>
        <v>2.0720000000000001</v>
      </c>
      <c r="BV17" s="20">
        <v>23.04</v>
      </c>
      <c r="BW17" s="20">
        <v>13.55</v>
      </c>
      <c r="BX17" s="129">
        <f>IF(BT17="-","-",_xlfn.XLOOKUP(BT17,ABNT5101!$B$4:$B$9,ABNT5101!$C$4:$C$9))</f>
        <v>7.5</v>
      </c>
      <c r="BY17" s="129">
        <f>IF(BT17="-","-",_xlfn.XLOOKUP(BT17,ABNT5101!$B$4:$B$9,ABNT5101!$D$4:$D$9))</f>
        <v>1.5</v>
      </c>
      <c r="BZ17" s="18" t="str">
        <f t="shared" si="14"/>
        <v>ATENDE</v>
      </c>
      <c r="CA17" s="18" t="str">
        <f t="shared" si="15"/>
        <v>ATENDE</v>
      </c>
      <c r="CB17" s="18" t="str">
        <f t="shared" si="16"/>
        <v>ATENDE</v>
      </c>
      <c r="CC17" s="22" t="str">
        <f t="shared" si="17"/>
        <v>P4</v>
      </c>
      <c r="CD17" s="143" t="e">
        <f t="shared" si="18"/>
        <v>#DIV/0!</v>
      </c>
      <c r="CE17" s="22">
        <v>23.06</v>
      </c>
      <c r="CF17" s="22">
        <v>9.26</v>
      </c>
      <c r="CG17" s="127"/>
      <c r="CH17" s="127"/>
      <c r="CI17" s="18" t="str">
        <f t="shared" si="19"/>
        <v>ATENDE</v>
      </c>
      <c r="CJ17" s="18" t="str">
        <f t="shared" si="20"/>
        <v>ATENDE</v>
      </c>
      <c r="CK17" s="18" t="str">
        <f t="shared" si="21"/>
        <v>ATENDE</v>
      </c>
      <c r="CL17" s="130" t="str">
        <f>_xlfn.XLOOKUP(CM17,'Banco de dados'!$B:$B,'Banco de dados'!$D:$D)</f>
        <v>LEDSTAR</v>
      </c>
      <c r="CM17" s="25" t="str">
        <f>'Banco de dados'!B35</f>
        <v xml:space="preserve"> SL VT 9.1 140W</v>
      </c>
      <c r="CN17" s="24" t="str">
        <f>_xlfn.XLOOKUP(CM17,'Banco de dados'!$B:$B,'Banco de dados'!$E:$E)</f>
        <v>LUM LED SL VT 9.1 140W</v>
      </c>
      <c r="CO17" s="24"/>
      <c r="CP17" s="24">
        <f>IF(CO17="-","-",_xlfn.XLOOKUP(CO17,'Banco de dados'!$B:$B,'Banco de dados'!$E:$E))</f>
        <v>0</v>
      </c>
      <c r="CQ17" s="26">
        <f t="shared" si="22"/>
        <v>1</v>
      </c>
      <c r="CR17" s="24">
        <f>_xlfn.XLOOKUP(CM17,'Banco de dados'!$B:$B,'Banco de dados'!$H:$H)</f>
        <v>140</v>
      </c>
      <c r="CS17" s="24">
        <f>_xlfn.XLOOKUP(CO17,'Banco de dados'!$B:$B,'Banco de dados'!$H:$H)</f>
        <v>0</v>
      </c>
      <c r="CT17" s="24">
        <f>_xlfn.XLOOKUP(CM17,'Banco de dados'!$B:$B,'Banco de dados'!$F:$F)</f>
        <v>22440</v>
      </c>
      <c r="CU17" s="24">
        <f>_xlfn.XLOOKUP(CO17,'Banco de dados'!$B:$B,'Banco de dados'!$F:$F)</f>
        <v>0</v>
      </c>
      <c r="CV17" s="25"/>
      <c r="CW17" s="25"/>
      <c r="CX17" s="24" t="str">
        <f>IF(AK17&lt;=0.5,"Curto I",IF(AND(AK17&gt;='Braços de IP'!$B$9,AK17&lt;='Braços de IP'!$D$9),'Braços de IP'!$E$9,IF(AND(AK17&gt;='Braços de IP'!$B$10,AK17&lt;='Braços de IP'!$D$10),'Braços de IP'!$E$10,IF(AND(AK17&gt;='Braços de IP'!$B$11,AK17&lt;='Braços de IP'!$D$11),'Braços de IP'!$E$11,IF(AND(AK17&gt;='Braços de IP'!$B$12,AK17&lt;='Braços de IP'!$D$12),'Braços de IP'!$E$12,IF(AND(AK17&gt;='Braços de IP'!$B$13,AK17&lt;='Braços de IP'!$D$13),'Braços de IP'!$E$13,IF(AND(AK17&gt;='Braços de IP'!$B$14,AK17&lt;='Braços de IP'!$D$14),'Braços de IP'!$E$14,"ERRO")))))))</f>
        <v>Longo II</v>
      </c>
      <c r="CY17" s="25"/>
      <c r="CZ17" s="24" t="str">
        <f>IF($CY17="","",VLOOKUP($CY17,'Braços de IP'!$E$9:$I$15,2,0))</f>
        <v/>
      </c>
      <c r="DA17" s="27" t="str">
        <f>IF($CY17="","",VLOOKUP($CY17,'Braços de IP'!$E$9:$I$15,5,0))</f>
        <v/>
      </c>
      <c r="DB17" s="24"/>
      <c r="DC17" s="24"/>
      <c r="DD17" s="24"/>
      <c r="DE17" s="24"/>
      <c r="DF17" s="24"/>
      <c r="DG17" s="24"/>
      <c r="DH17" s="28">
        <f t="shared" si="23"/>
        <v>140</v>
      </c>
      <c r="DI17" s="29">
        <f t="shared" si="24"/>
        <v>200</v>
      </c>
      <c r="DJ17" s="28">
        <f t="shared" si="25"/>
        <v>340</v>
      </c>
      <c r="DK17" s="30">
        <f t="shared" si="26"/>
        <v>0.30000000000000004</v>
      </c>
      <c r="DL17" s="31"/>
      <c r="DM17" s="32"/>
      <c r="DN17" s="15" t="s">
        <v>134</v>
      </c>
      <c r="DO17" s="15"/>
      <c r="DQ17" s="33">
        <f t="shared" si="27"/>
        <v>0.3</v>
      </c>
      <c r="DS17" s="1"/>
      <c r="DT17" s="1"/>
      <c r="DU17" s="1"/>
    </row>
    <row r="18" spans="1:126" ht="14.4" x14ac:dyDescent="0.3">
      <c r="B18" s="154"/>
      <c r="C18" s="154"/>
      <c r="D18" s="156"/>
      <c r="E18" s="157"/>
      <c r="F18" s="185">
        <v>1209143166</v>
      </c>
      <c r="G18" s="161" t="s">
        <v>128</v>
      </c>
      <c r="H18" s="161" t="s">
        <v>673</v>
      </c>
      <c r="I18" s="182">
        <v>-19.5630995874</v>
      </c>
      <c r="J18" s="182">
        <v>-44.079177999999999</v>
      </c>
      <c r="K18" s="182" t="s">
        <v>144</v>
      </c>
      <c r="L18" s="183"/>
      <c r="M18" s="182" t="s">
        <v>146</v>
      </c>
      <c r="N18" s="182" t="s">
        <v>132</v>
      </c>
      <c r="O18" s="182">
        <v>200</v>
      </c>
      <c r="P18" s="160"/>
      <c r="Q18" s="161" t="s">
        <v>651</v>
      </c>
      <c r="R18" s="161" t="s">
        <v>651</v>
      </c>
      <c r="S18" s="161">
        <v>2</v>
      </c>
      <c r="T18" s="161">
        <v>1.8</v>
      </c>
      <c r="U18" s="161">
        <v>8.5</v>
      </c>
      <c r="V18" s="165"/>
      <c r="W18" s="165"/>
      <c r="X18" s="148"/>
      <c r="Y18" s="161">
        <v>1.8</v>
      </c>
      <c r="Z18" s="161" t="s">
        <v>651</v>
      </c>
      <c r="AA18" s="165"/>
      <c r="AB18" s="165"/>
      <c r="AC18" s="161" t="s">
        <v>651</v>
      </c>
      <c r="AD18" s="161" t="s">
        <v>651</v>
      </c>
      <c r="AE18" s="161" t="s">
        <v>661</v>
      </c>
      <c r="AF18" s="161" t="s">
        <v>663</v>
      </c>
      <c r="AG18" s="161">
        <v>35.299999999999997</v>
      </c>
      <c r="AH18" s="161">
        <v>8</v>
      </c>
      <c r="AI18" s="161">
        <v>1</v>
      </c>
      <c r="AJ18" s="161">
        <v>1</v>
      </c>
      <c r="AK18" s="161">
        <v>3.3</v>
      </c>
      <c r="AL18" s="167">
        <f t="shared" ref="AL18:AL19" si="33">AK18-AJ18</f>
        <v>2.2999999999999998</v>
      </c>
      <c r="AM18" s="16" t="s">
        <v>664</v>
      </c>
      <c r="AN18" s="16" t="s">
        <v>664</v>
      </c>
      <c r="AO18" s="15" t="s">
        <v>133</v>
      </c>
      <c r="AP18" s="16">
        <f t="shared" si="1"/>
        <v>2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7">
        <f t="shared" si="2"/>
        <v>0</v>
      </c>
      <c r="AX18" s="17"/>
      <c r="AY18" s="17">
        <f>VLOOKUP(K18,ABNT5101!$I$3:$J$9,2)</f>
        <v>30</v>
      </c>
      <c r="AZ18" s="17">
        <f>VLOOKUP(K18,ABNT5101!$I$3:$M$9,5)</f>
        <v>0.38</v>
      </c>
      <c r="BA18" s="128" t="str">
        <f>_xlfn.XLOOKUP(K18,ABNT5101!$I:$I,ABNT5101!$L:$L)</f>
        <v>-</v>
      </c>
      <c r="BB18" s="128">
        <f>_xlfn.XLOOKUP(K18,ABNT5101!$I:$I,ABNT5101!M:M)</f>
        <v>0.38</v>
      </c>
      <c r="BC18" s="128" t="str">
        <f>_xlfn.XLOOKUP(K18,ABNT5101!$I:$I,ABNT5101!N:N)</f>
        <v>-</v>
      </c>
      <c r="BD18" s="128">
        <f>_xlfn.XLOOKUP(K18,ABNT5101!$I:$I,ABNT5101!O:O)</f>
        <v>14</v>
      </c>
      <c r="BE18" s="18" t="str">
        <f t="shared" si="3"/>
        <v>ATENDE</v>
      </c>
      <c r="BF18" s="19">
        <f t="shared" si="4"/>
        <v>8.7333333333333263E-2</v>
      </c>
      <c r="BG18" s="19">
        <f t="shared" si="5"/>
        <v>0.28947368421052633</v>
      </c>
      <c r="BH18" s="19" t="str">
        <f t="shared" si="6"/>
        <v>-</v>
      </c>
      <c r="BI18" s="20">
        <v>32.619999999999997</v>
      </c>
      <c r="BJ18" s="20">
        <v>0.49</v>
      </c>
      <c r="BK18" s="20"/>
      <c r="BL18" s="20"/>
      <c r="BM18" s="21"/>
      <c r="BN18" s="20"/>
      <c r="BO18" s="142" t="str">
        <f t="shared" si="7"/>
        <v>ATENDE</v>
      </c>
      <c r="BP18" s="142" t="str">
        <f t="shared" si="8"/>
        <v>ATENDE</v>
      </c>
      <c r="BQ18" s="142" t="str">
        <f t="shared" si="9"/>
        <v>ATENDE</v>
      </c>
      <c r="BR18" s="142" t="str">
        <f t="shared" si="10"/>
        <v>ATENDE</v>
      </c>
      <c r="BS18" s="22" t="str">
        <f t="shared" si="11"/>
        <v>C1</v>
      </c>
      <c r="BT18" s="22" t="str">
        <f t="shared" si="12"/>
        <v>P4</v>
      </c>
      <c r="BU18" s="23">
        <f t="shared" si="13"/>
        <v>1.6093333333333333</v>
      </c>
      <c r="BV18" s="20">
        <v>19.57</v>
      </c>
      <c r="BW18" s="20">
        <v>11.33</v>
      </c>
      <c r="BX18" s="129">
        <f>IF(BT18="-","-",_xlfn.XLOOKUP(BT18,ABNT5101!$B$4:$B$9,ABNT5101!$C$4:$C$9))</f>
        <v>7.5</v>
      </c>
      <c r="BY18" s="129">
        <f>IF(BT18="-","-",_xlfn.XLOOKUP(BT18,ABNT5101!$B$4:$B$9,ABNT5101!$D$4:$D$9))</f>
        <v>1.5</v>
      </c>
      <c r="BZ18" s="18" t="str">
        <f t="shared" si="14"/>
        <v>ATENDE</v>
      </c>
      <c r="CA18" s="18" t="str">
        <f t="shared" si="15"/>
        <v>ATENDE</v>
      </c>
      <c r="CB18" s="18" t="str">
        <f t="shared" si="16"/>
        <v>ATENDE</v>
      </c>
      <c r="CC18" s="22" t="str">
        <f t="shared" si="17"/>
        <v>P4</v>
      </c>
      <c r="CD18" s="143" t="e">
        <f t="shared" si="18"/>
        <v>#DIV/0!</v>
      </c>
      <c r="CE18" s="22">
        <v>25.52</v>
      </c>
      <c r="CF18" s="22">
        <v>15.62</v>
      </c>
      <c r="CG18" s="127"/>
      <c r="CH18" s="127"/>
      <c r="CI18" s="18" t="str">
        <f t="shared" si="19"/>
        <v>ATENDE</v>
      </c>
      <c r="CJ18" s="18" t="str">
        <f t="shared" si="20"/>
        <v>ATENDE</v>
      </c>
      <c r="CK18" s="18" t="str">
        <f t="shared" si="21"/>
        <v>ATENDE</v>
      </c>
      <c r="CL18" s="130" t="str">
        <f>_xlfn.XLOOKUP(CM18,'Banco de dados'!$B:$B,'Banco de dados'!$D:$D)</f>
        <v>SX LIGHTING</v>
      </c>
      <c r="CM18" s="25" t="str">
        <f>'Banco de dados'!B65</f>
        <v>SX-INLPP150HF</v>
      </c>
      <c r="CN18" s="24" t="str">
        <f>_xlfn.XLOOKUP(CM18,'Banco de dados'!$B:$B,'Banco de dados'!$E:$E)</f>
        <v>SXINLPP150K40L12CZF7PHF</v>
      </c>
      <c r="CO18" s="24"/>
      <c r="CP18" s="24">
        <f>IF(CO18="-","-",_xlfn.XLOOKUP(CO18,'Banco de dados'!$B:$B,'Banco de dados'!$E:$E))</f>
        <v>0</v>
      </c>
      <c r="CQ18" s="26">
        <f t="shared" si="22"/>
        <v>1</v>
      </c>
      <c r="CR18" s="24">
        <f>_xlfn.XLOOKUP(CM18,'Banco de dados'!$B:$B,'Banco de dados'!$H:$H)</f>
        <v>137</v>
      </c>
      <c r="CS18" s="24">
        <f>_xlfn.XLOOKUP(CO18,'Banco de dados'!$B:$B,'Banco de dados'!$H:$H)</f>
        <v>0</v>
      </c>
      <c r="CT18" s="24">
        <f>_xlfn.XLOOKUP(CM18,'Banco de dados'!$B:$B,'Banco de dados'!$F:$F)</f>
        <v>23817</v>
      </c>
      <c r="CU18" s="24">
        <f>_xlfn.XLOOKUP(CO18,'Banco de dados'!$B:$B,'Banco de dados'!$F:$F)</f>
        <v>0</v>
      </c>
      <c r="CV18" s="25"/>
      <c r="CW18" s="25"/>
      <c r="CX18" s="24" t="str">
        <f>IF(AK18&lt;=0.5,"Curto I",IF(AND(AK18&gt;='Braços de IP'!$B$9,AK18&lt;='Braços de IP'!$D$9),'Braços de IP'!$E$9,IF(AND(AK18&gt;='Braços de IP'!$B$10,AK18&lt;='Braços de IP'!$D$10),'Braços de IP'!$E$10,IF(AND(AK18&gt;='Braços de IP'!$B$11,AK18&lt;='Braços de IP'!$D$11),'Braços de IP'!$E$11,IF(AND(AK18&gt;='Braços de IP'!$B$12,AK18&lt;='Braços de IP'!$D$12),'Braços de IP'!$E$12,IF(AND(AK18&gt;='Braços de IP'!$B$13,AK18&lt;='Braços de IP'!$D$13),'Braços de IP'!$E$13,IF(AND(AK18&gt;='Braços de IP'!$B$14,AK18&lt;='Braços de IP'!$D$14),'Braços de IP'!$E$14,"ERRO")))))))</f>
        <v>Longo II</v>
      </c>
      <c r="CY18" s="25"/>
      <c r="CZ18" s="24" t="str">
        <f>IF($CY18="","",VLOOKUP($CY18,'Braços de IP'!$E$9:$I$15,2,0))</f>
        <v/>
      </c>
      <c r="DA18" s="27" t="str">
        <f>IF($CY18="","",VLOOKUP($CY18,'Braços de IP'!$E$9:$I$15,5,0))</f>
        <v/>
      </c>
      <c r="DB18" s="24"/>
      <c r="DC18" s="24"/>
      <c r="DD18" s="24"/>
      <c r="DE18" s="24"/>
      <c r="DF18" s="24"/>
      <c r="DG18" s="24"/>
      <c r="DH18" s="28">
        <f t="shared" si="23"/>
        <v>137</v>
      </c>
      <c r="DI18" s="29">
        <f t="shared" si="24"/>
        <v>200</v>
      </c>
      <c r="DJ18" s="28">
        <f t="shared" si="25"/>
        <v>337</v>
      </c>
      <c r="DK18" s="30">
        <f t="shared" si="26"/>
        <v>0.31499999999999995</v>
      </c>
      <c r="DL18" s="31"/>
      <c r="DM18" s="32"/>
      <c r="DN18" s="15" t="s">
        <v>134</v>
      </c>
      <c r="DO18" s="15"/>
      <c r="DQ18" s="33">
        <f t="shared" si="27"/>
        <v>0.315</v>
      </c>
      <c r="DS18" s="1"/>
      <c r="DT18" s="1"/>
      <c r="DU18" s="33"/>
      <c r="DV18" s="33"/>
    </row>
    <row r="19" spans="1:126" ht="14.4" x14ac:dyDescent="0.3">
      <c r="B19" s="154"/>
      <c r="C19" s="154"/>
      <c r="D19" s="156"/>
      <c r="E19" s="157"/>
      <c r="F19" s="185">
        <v>1209143166</v>
      </c>
      <c r="G19" s="161" t="s">
        <v>128</v>
      </c>
      <c r="H19" s="161" t="s">
        <v>673</v>
      </c>
      <c r="I19" s="182">
        <v>-19.5630995874</v>
      </c>
      <c r="J19" s="182">
        <v>-44.079177999999999</v>
      </c>
      <c r="K19" s="182" t="s">
        <v>144</v>
      </c>
      <c r="L19" s="183"/>
      <c r="M19" s="182" t="s">
        <v>146</v>
      </c>
      <c r="N19" s="182" t="s">
        <v>132</v>
      </c>
      <c r="O19" s="182">
        <v>200</v>
      </c>
      <c r="P19" s="160"/>
      <c r="Q19" s="161" t="s">
        <v>651</v>
      </c>
      <c r="R19" s="161" t="s">
        <v>651</v>
      </c>
      <c r="S19" s="161">
        <v>2</v>
      </c>
      <c r="T19" s="161">
        <v>1.8</v>
      </c>
      <c r="U19" s="161">
        <v>8.5</v>
      </c>
      <c r="V19" s="165"/>
      <c r="W19" s="165"/>
      <c r="X19" s="148"/>
      <c r="Y19" s="161">
        <v>1.8</v>
      </c>
      <c r="Z19" s="161" t="s">
        <v>651</v>
      </c>
      <c r="AA19" s="165"/>
      <c r="AB19" s="165"/>
      <c r="AC19" s="161" t="s">
        <v>651</v>
      </c>
      <c r="AD19" s="161" t="s">
        <v>651</v>
      </c>
      <c r="AE19" s="161" t="s">
        <v>661</v>
      </c>
      <c r="AF19" s="161" t="s">
        <v>663</v>
      </c>
      <c r="AG19" s="161">
        <v>35.299999999999997</v>
      </c>
      <c r="AH19" s="161">
        <v>8</v>
      </c>
      <c r="AI19" s="161">
        <v>1</v>
      </c>
      <c r="AJ19" s="161">
        <v>1</v>
      </c>
      <c r="AK19" s="161">
        <v>3.3</v>
      </c>
      <c r="AL19" s="167">
        <f t="shared" si="33"/>
        <v>2.2999999999999998</v>
      </c>
      <c r="AM19" s="16" t="s">
        <v>664</v>
      </c>
      <c r="AN19" s="16" t="s">
        <v>664</v>
      </c>
      <c r="AO19" s="15" t="s">
        <v>133</v>
      </c>
      <c r="AP19" s="16">
        <f t="shared" si="1"/>
        <v>2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7">
        <f t="shared" si="2"/>
        <v>0</v>
      </c>
      <c r="AX19" s="17"/>
      <c r="AY19" s="17">
        <f>VLOOKUP(K19,ABNT5101!$I$3:$J$9,2)</f>
        <v>30</v>
      </c>
      <c r="AZ19" s="17">
        <f>VLOOKUP(K19,ABNT5101!$I$3:$M$9,5)</f>
        <v>0.38</v>
      </c>
      <c r="BA19" s="128" t="str">
        <f>_xlfn.XLOOKUP(K19,ABNT5101!$I:$I,ABNT5101!$L:$L)</f>
        <v>-</v>
      </c>
      <c r="BB19" s="128">
        <f>_xlfn.XLOOKUP(K19,ABNT5101!$I:$I,ABNT5101!M:M)</f>
        <v>0.38</v>
      </c>
      <c r="BC19" s="128" t="str">
        <f>_xlfn.XLOOKUP(K19,ABNT5101!$I:$I,ABNT5101!N:N)</f>
        <v>-</v>
      </c>
      <c r="BD19" s="128">
        <f>_xlfn.XLOOKUP(K19,ABNT5101!$I:$I,ABNT5101!O:O)</f>
        <v>14</v>
      </c>
      <c r="BE19" s="18" t="str">
        <f t="shared" si="3"/>
        <v>ATENDE</v>
      </c>
      <c r="BF19" s="19">
        <f t="shared" si="4"/>
        <v>8.3666666666666556E-2</v>
      </c>
      <c r="BG19" s="19">
        <f t="shared" si="5"/>
        <v>0.39473684210526327</v>
      </c>
      <c r="BH19" s="19" t="str">
        <f t="shared" si="6"/>
        <v>-</v>
      </c>
      <c r="BI19" s="20">
        <v>32.51</v>
      </c>
      <c r="BJ19" s="20">
        <v>0.53</v>
      </c>
      <c r="BK19" s="20"/>
      <c r="BL19" s="20"/>
      <c r="BM19" s="21"/>
      <c r="BN19" s="20"/>
      <c r="BO19" s="142" t="str">
        <f t="shared" si="7"/>
        <v>ATENDE</v>
      </c>
      <c r="BP19" s="142" t="str">
        <f t="shared" si="8"/>
        <v>ATENDE</v>
      </c>
      <c r="BQ19" s="142" t="str">
        <f t="shared" si="9"/>
        <v>ATENDE</v>
      </c>
      <c r="BR19" s="142" t="str">
        <f t="shared" si="10"/>
        <v>ATENDE</v>
      </c>
      <c r="BS19" s="22" t="str">
        <f t="shared" si="11"/>
        <v>C1</v>
      </c>
      <c r="BT19" s="22" t="str">
        <f t="shared" si="12"/>
        <v>P4</v>
      </c>
      <c r="BU19" s="23">
        <f t="shared" si="13"/>
        <v>1.6106666666666665</v>
      </c>
      <c r="BV19" s="20">
        <v>19.579999999999998</v>
      </c>
      <c r="BW19" s="20">
        <v>15.75</v>
      </c>
      <c r="BX19" s="129">
        <f>IF(BT19="-","-",_xlfn.XLOOKUP(BT19,ABNT5101!$B$4:$B$9,ABNT5101!$C$4:$C$9))</f>
        <v>7.5</v>
      </c>
      <c r="BY19" s="129">
        <f>IF(BT19="-","-",_xlfn.XLOOKUP(BT19,ABNT5101!$B$4:$B$9,ABNT5101!$D$4:$D$9))</f>
        <v>1.5</v>
      </c>
      <c r="BZ19" s="18" t="str">
        <f t="shared" si="14"/>
        <v>ATENDE</v>
      </c>
      <c r="CA19" s="18" t="str">
        <f t="shared" si="15"/>
        <v>ATENDE</v>
      </c>
      <c r="CB19" s="18" t="str">
        <f t="shared" si="16"/>
        <v>ATENDE</v>
      </c>
      <c r="CC19" s="22" t="str">
        <f t="shared" si="17"/>
        <v>P4</v>
      </c>
      <c r="CD19" s="143" t="e">
        <f t="shared" si="18"/>
        <v>#DIV/0!</v>
      </c>
      <c r="CE19" s="22">
        <v>22.39</v>
      </c>
      <c r="CF19" s="22">
        <v>13.06</v>
      </c>
      <c r="CG19" s="127"/>
      <c r="CH19" s="127"/>
      <c r="CI19" s="18" t="str">
        <f t="shared" si="19"/>
        <v>ATENDE</v>
      </c>
      <c r="CJ19" s="18" t="str">
        <f t="shared" si="20"/>
        <v>ATENDE</v>
      </c>
      <c r="CK19" s="18" t="str">
        <f t="shared" si="21"/>
        <v>ATENDE</v>
      </c>
      <c r="CL19" s="130" t="str">
        <f>_xlfn.XLOOKUP(CM19,'Banco de dados'!$B:$B,'Banco de dados'!$D:$D)</f>
        <v>TECNOWATT</v>
      </c>
      <c r="CM19" s="25" t="str">
        <f>'Banco de dados'!B77</f>
        <v xml:space="preserve">SIGMAGPTLRRSMNDL150W102IBBR
</v>
      </c>
      <c r="CN19" s="24" t="str">
        <f>_xlfn.XLOOKUP(CM19,'Banco de dados'!$B:$B,'Banco de dados'!$E:$E)</f>
        <v>SIGMAGPTLRRSMNDL150W102IBBR
S1-10C1MUN6.5</v>
      </c>
      <c r="CO19" s="24"/>
      <c r="CP19" s="24">
        <f>IF(CO19="-","-",_xlfn.XLOOKUP(CO19,'Banco de dados'!$B:$B,'Banco de dados'!$E:$E))</f>
        <v>0</v>
      </c>
      <c r="CQ19" s="26">
        <f t="shared" si="22"/>
        <v>1</v>
      </c>
      <c r="CR19" s="24">
        <f>_xlfn.XLOOKUP(CM19,'Banco de dados'!$B:$B,'Banco de dados'!$H:$H)</f>
        <v>150</v>
      </c>
      <c r="CS19" s="24">
        <f>_xlfn.XLOOKUP(CO19,'Banco de dados'!$B:$B,'Banco de dados'!$H:$H)</f>
        <v>0</v>
      </c>
      <c r="CT19" s="24">
        <f>_xlfn.XLOOKUP(CM19,'Banco de dados'!$B:$B,'Banco de dados'!$F:$F)</f>
        <v>23000</v>
      </c>
      <c r="CU19" s="24">
        <f>_xlfn.XLOOKUP(CO19,'Banco de dados'!$B:$B,'Banco de dados'!$F:$F)</f>
        <v>0</v>
      </c>
      <c r="CV19" s="25"/>
      <c r="CW19" s="25"/>
      <c r="CX19" s="24" t="str">
        <f>IF(AK19&lt;=0.5,"Curto I",IF(AND(AK19&gt;='Braços de IP'!$B$9,AK19&lt;='Braços de IP'!$D$9),'Braços de IP'!$E$9,IF(AND(AK19&gt;='Braços de IP'!$B$10,AK19&lt;='Braços de IP'!$D$10),'Braços de IP'!$E$10,IF(AND(AK19&gt;='Braços de IP'!$B$11,AK19&lt;='Braços de IP'!$D$11),'Braços de IP'!$E$11,IF(AND(AK19&gt;='Braços de IP'!$B$12,AK19&lt;='Braços de IP'!$D$12),'Braços de IP'!$E$12,IF(AND(AK19&gt;='Braços de IP'!$B$13,AK19&lt;='Braços de IP'!$D$13),'Braços de IP'!$E$13,IF(AND(AK19&gt;='Braços de IP'!$B$14,AK19&lt;='Braços de IP'!$D$14),'Braços de IP'!$E$14,"ERRO")))))))</f>
        <v>Longo II</v>
      </c>
      <c r="CY19" s="25"/>
      <c r="CZ19" s="24" t="str">
        <f>IF($CY19="","",VLOOKUP($CY19,'Braços de IP'!$E$9:$I$15,2,0))</f>
        <v/>
      </c>
      <c r="DA19" s="27" t="str">
        <f>IF($CY19="","",VLOOKUP($CY19,'Braços de IP'!$E$9:$I$15,5,0))</f>
        <v/>
      </c>
      <c r="DB19" s="24"/>
      <c r="DC19" s="24"/>
      <c r="DD19" s="24"/>
      <c r="DE19" s="24"/>
      <c r="DF19" s="24"/>
      <c r="DG19" s="24"/>
      <c r="DH19" s="28">
        <f t="shared" si="23"/>
        <v>150</v>
      </c>
      <c r="DI19" s="29">
        <f t="shared" si="24"/>
        <v>200</v>
      </c>
      <c r="DJ19" s="28">
        <f t="shared" si="25"/>
        <v>350</v>
      </c>
      <c r="DK19" s="30">
        <f t="shared" si="26"/>
        <v>0.25</v>
      </c>
      <c r="DL19" s="31"/>
      <c r="DM19" s="32"/>
      <c r="DN19" s="15" t="s">
        <v>134</v>
      </c>
      <c r="DO19" s="15"/>
      <c r="DQ19" s="33">
        <f t="shared" si="27"/>
        <v>0.25</v>
      </c>
      <c r="DS19" s="1"/>
      <c r="DT19" s="1"/>
      <c r="DU19" s="33"/>
      <c r="DV19" s="33"/>
    </row>
    <row r="20" spans="1:126" ht="15.75" customHeight="1" x14ac:dyDescent="0.3">
      <c r="A20" s="187" t="s">
        <v>679</v>
      </c>
      <c r="B20" s="154" t="s">
        <v>668</v>
      </c>
      <c r="C20" s="154" t="s">
        <v>669</v>
      </c>
      <c r="D20" s="156" t="s">
        <v>665</v>
      </c>
      <c r="E20" s="157" t="s">
        <v>669</v>
      </c>
      <c r="F20" s="186">
        <v>223674809</v>
      </c>
      <c r="G20" s="184" t="s">
        <v>678</v>
      </c>
      <c r="H20" s="161" t="s">
        <v>674</v>
      </c>
      <c r="I20" s="182">
        <v>-19.557716527099998</v>
      </c>
      <c r="J20" s="182">
        <v>-44.084994999999999</v>
      </c>
      <c r="K20" s="182" t="s">
        <v>149</v>
      </c>
      <c r="L20" s="183"/>
      <c r="M20" s="148" t="s">
        <v>146</v>
      </c>
      <c r="N20" s="182" t="s">
        <v>132</v>
      </c>
      <c r="O20" s="182">
        <v>200</v>
      </c>
      <c r="P20" s="160"/>
      <c r="Q20" s="161" t="s">
        <v>651</v>
      </c>
      <c r="R20" s="161" t="s">
        <v>651</v>
      </c>
      <c r="S20" s="161">
        <v>2</v>
      </c>
      <c r="T20" s="148">
        <v>1.5</v>
      </c>
      <c r="U20" s="161">
        <v>6.5</v>
      </c>
      <c r="V20" s="165"/>
      <c r="W20" s="165"/>
      <c r="X20" s="148"/>
      <c r="Y20" s="148">
        <v>1.5</v>
      </c>
      <c r="Z20" s="161" t="s">
        <v>651</v>
      </c>
      <c r="AA20" s="165"/>
      <c r="AB20" s="165"/>
      <c r="AC20" s="161">
        <v>2.2999999999999998</v>
      </c>
      <c r="AD20" s="161">
        <v>2.2999999999999998</v>
      </c>
      <c r="AE20" s="161" t="s">
        <v>661</v>
      </c>
      <c r="AF20" s="161" t="s">
        <v>663</v>
      </c>
      <c r="AG20" s="161">
        <v>37.299999999999997</v>
      </c>
      <c r="AH20" s="161">
        <v>7.6</v>
      </c>
      <c r="AI20" s="161">
        <v>1</v>
      </c>
      <c r="AJ20" s="148">
        <v>3</v>
      </c>
      <c r="AK20" s="161">
        <v>3.2</v>
      </c>
      <c r="AL20" s="188">
        <f t="shared" si="0"/>
        <v>0.20000000000000018</v>
      </c>
      <c r="AM20" s="16" t="s">
        <v>664</v>
      </c>
      <c r="AN20" s="16" t="s">
        <v>664</v>
      </c>
      <c r="AO20" s="15" t="s">
        <v>133</v>
      </c>
      <c r="AP20" s="16">
        <f t="shared" si="1"/>
        <v>2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7">
        <f t="shared" si="2"/>
        <v>0</v>
      </c>
      <c r="AX20" s="17"/>
      <c r="AY20" s="17">
        <f>VLOOKUP(K20,ABNT5101!$I$3:$J$9,2)</f>
        <v>20</v>
      </c>
      <c r="AZ20" s="17">
        <f>VLOOKUP(K20,ABNT5101!$I$3:$M$9,5)</f>
        <v>0.28000000000000003</v>
      </c>
      <c r="BA20" s="128" t="str">
        <f>_xlfn.XLOOKUP(K20,ABNT5101!$I:$I,ABNT5101!$L:$L)</f>
        <v>-</v>
      </c>
      <c r="BB20" s="128">
        <f>_xlfn.XLOOKUP(K20,ABNT5101!$I:$I,ABNT5101!M:M)</f>
        <v>0.28000000000000003</v>
      </c>
      <c r="BC20" s="128" t="str">
        <f>_xlfn.XLOOKUP(K20,ABNT5101!$I:$I,ABNT5101!N:N)</f>
        <v>-</v>
      </c>
      <c r="BD20" s="128">
        <f>_xlfn.XLOOKUP(K20,ABNT5101!$I:$I,ABNT5101!O:O)</f>
        <v>14</v>
      </c>
      <c r="BE20" s="18" t="str">
        <f t="shared" si="3"/>
        <v>ATENDE</v>
      </c>
      <c r="BF20" s="19">
        <f t="shared" si="4"/>
        <v>0.17300000000000004</v>
      </c>
      <c r="BG20" s="19">
        <f t="shared" si="5"/>
        <v>0</v>
      </c>
      <c r="BH20" s="19" t="str">
        <f t="shared" si="6"/>
        <v>-</v>
      </c>
      <c r="BI20" s="20">
        <v>23.46</v>
      </c>
      <c r="BJ20" s="20">
        <v>0.28000000000000003</v>
      </c>
      <c r="BK20" s="20"/>
      <c r="BL20" s="20"/>
      <c r="BM20" s="21"/>
      <c r="BN20" s="20"/>
      <c r="BO20" s="142" t="str">
        <f t="shared" si="7"/>
        <v>ATENDE</v>
      </c>
      <c r="BP20" s="142" t="str">
        <f t="shared" si="8"/>
        <v>ATENDE</v>
      </c>
      <c r="BQ20" s="142" t="str">
        <f t="shared" si="9"/>
        <v>ATENDE</v>
      </c>
      <c r="BR20" s="142" t="str">
        <f t="shared" si="10"/>
        <v>ATENDE</v>
      </c>
      <c r="BS20" s="22" t="str">
        <f t="shared" si="11"/>
        <v>C2</v>
      </c>
      <c r="BT20" s="22" t="str">
        <f t="shared" si="12"/>
        <v>P4</v>
      </c>
      <c r="BU20" s="23">
        <f t="shared" si="13"/>
        <v>4.1333333333333222E-2</v>
      </c>
      <c r="BV20" s="20">
        <v>7.81</v>
      </c>
      <c r="BW20" s="20">
        <v>2.29</v>
      </c>
      <c r="BX20" s="129">
        <f>IF(BT20="-","-",_xlfn.XLOOKUP(BT20,ABNT5101!$B$4:$B$9,ABNT5101!$C$4:$C$9))</f>
        <v>7.5</v>
      </c>
      <c r="BY20" s="129">
        <f>IF(BT20="-","-",_xlfn.XLOOKUP(BT20,ABNT5101!$B$4:$B$9,ABNT5101!$D$4:$D$9))</f>
        <v>1.5</v>
      </c>
      <c r="BZ20" s="18" t="str">
        <f t="shared" si="14"/>
        <v>ATENDE</v>
      </c>
      <c r="CA20" s="18" t="str">
        <f t="shared" si="15"/>
        <v>ATENDE</v>
      </c>
      <c r="CB20" s="18" t="str">
        <f t="shared" si="16"/>
        <v>ATENDE</v>
      </c>
      <c r="CC20" s="22" t="str">
        <f t="shared" si="17"/>
        <v>P4</v>
      </c>
      <c r="CD20" s="143" t="e">
        <f t="shared" si="18"/>
        <v>#DIV/0!</v>
      </c>
      <c r="CE20" s="22">
        <v>15.28</v>
      </c>
      <c r="CF20" s="22">
        <v>8.51</v>
      </c>
      <c r="CG20" s="127"/>
      <c r="CH20" s="127"/>
      <c r="CI20" s="18" t="str">
        <f t="shared" si="19"/>
        <v>ATENDE</v>
      </c>
      <c r="CJ20" s="18" t="str">
        <f t="shared" si="20"/>
        <v>ATENDE</v>
      </c>
      <c r="CK20" s="18" t="str">
        <f t="shared" si="21"/>
        <v>ATENDE</v>
      </c>
      <c r="CL20" s="130" t="str">
        <f>_xlfn.XLOOKUP(CM20,'Banco de dados'!$B:$B,'Banco de dados'!$D:$D)</f>
        <v>LEDSTAR</v>
      </c>
      <c r="CM20" s="25" t="str">
        <f>'Banco de dados'!B28</f>
        <v xml:space="preserve"> SL VT 9.1 100W</v>
      </c>
      <c r="CN20" s="24" t="str">
        <f>_xlfn.XLOOKUP(CM20,'Banco de dados'!$B:$B,'Banco de dados'!$E:$E)</f>
        <v>LUM LED SL VT 9.1 100W</v>
      </c>
      <c r="CO20" s="24"/>
      <c r="CP20" s="24">
        <f>IF(CO20="-","-",_xlfn.XLOOKUP(CO20,'Banco de dados'!$B:$B,'Banco de dados'!$E:$E))</f>
        <v>0</v>
      </c>
      <c r="CQ20" s="26">
        <f t="shared" si="22"/>
        <v>1</v>
      </c>
      <c r="CR20" s="24">
        <f>_xlfn.XLOOKUP(CM20,'Banco de dados'!$B:$B,'Banco de dados'!$H:$H)</f>
        <v>100</v>
      </c>
      <c r="CS20" s="24">
        <f>_xlfn.XLOOKUP(CO20,'Banco de dados'!$B:$B,'Banco de dados'!$H:$H)</f>
        <v>0</v>
      </c>
      <c r="CT20" s="24">
        <f>_xlfn.XLOOKUP(CM20,'Banco de dados'!$B:$B,'Banco de dados'!$F:$F)</f>
        <v>15900</v>
      </c>
      <c r="CU20" s="24">
        <f>_xlfn.XLOOKUP(CO20,'Banco de dados'!$B:$B,'Banco de dados'!$F:$F)</f>
        <v>0</v>
      </c>
      <c r="CV20" s="25"/>
      <c r="CW20" s="25"/>
      <c r="CX20" s="24" t="str">
        <f>IF(AK20&lt;=0.5,"Curto I",IF(AND(AK20&gt;='Braços de IP'!$B$9,AK20&lt;='Braços de IP'!$D$9),'Braços de IP'!$E$9,IF(AND(AK20&gt;='Braços de IP'!$B$10,AK20&lt;='Braços de IP'!$D$10),'Braços de IP'!$E$10,IF(AND(AK20&gt;='Braços de IP'!$B$11,AK20&lt;='Braços de IP'!$D$11),'Braços de IP'!$E$11,IF(AND(AK20&gt;='Braços de IP'!$B$12,AK20&lt;='Braços de IP'!$D$12),'Braços de IP'!$E$12,IF(AND(AK20&gt;='Braços de IP'!$B$13,AK20&lt;='Braços de IP'!$D$13),'Braços de IP'!$E$13,IF(AND(AK20&gt;='Braços de IP'!$B$14,AK20&lt;='Braços de IP'!$D$14),'Braços de IP'!$E$14,"ERRO")))))))</f>
        <v>Longo I</v>
      </c>
      <c r="CY20" s="25"/>
      <c r="CZ20" s="24" t="str">
        <f>IF($CY20="","",VLOOKUP($CY20,'Braços de IP'!$E$9:$I$15,2,0))</f>
        <v/>
      </c>
      <c r="DA20" s="27" t="str">
        <f>IF($CY20="","",VLOOKUP($CY20,'Braços de IP'!$E$9:$I$15,5,0))</f>
        <v/>
      </c>
      <c r="DB20" s="24"/>
      <c r="DC20" s="24"/>
      <c r="DD20" s="24"/>
      <c r="DE20" s="24"/>
      <c r="DF20" s="24"/>
      <c r="DG20" s="24"/>
      <c r="DH20" s="28">
        <f t="shared" si="23"/>
        <v>100</v>
      </c>
      <c r="DI20" s="29">
        <f t="shared" si="24"/>
        <v>200</v>
      </c>
      <c r="DJ20" s="28">
        <f t="shared" si="25"/>
        <v>300</v>
      </c>
      <c r="DK20" s="30">
        <f t="shared" si="26"/>
        <v>0.5</v>
      </c>
      <c r="DL20" s="31"/>
      <c r="DM20" s="32"/>
      <c r="DN20" s="15" t="s">
        <v>134</v>
      </c>
      <c r="DO20" s="15"/>
      <c r="DQ20" s="33">
        <f t="shared" si="27"/>
        <v>0.5</v>
      </c>
      <c r="DS20" s="1"/>
      <c r="DT20" s="1"/>
      <c r="DU20" s="1"/>
    </row>
    <row r="21" spans="1:126" ht="14.4" x14ac:dyDescent="0.3">
      <c r="A21" s="187" t="s">
        <v>679</v>
      </c>
      <c r="B21" s="154"/>
      <c r="C21" s="154"/>
      <c r="D21" s="156"/>
      <c r="E21" s="157"/>
      <c r="F21" s="186">
        <v>223674809</v>
      </c>
      <c r="G21" s="184" t="s">
        <v>678</v>
      </c>
      <c r="H21" s="161" t="s">
        <v>674</v>
      </c>
      <c r="I21" s="182">
        <v>-19.557716527099998</v>
      </c>
      <c r="J21" s="182">
        <v>-44.084994999999999</v>
      </c>
      <c r="K21" s="182" t="s">
        <v>149</v>
      </c>
      <c r="L21" s="183"/>
      <c r="M21" s="148" t="s">
        <v>146</v>
      </c>
      <c r="N21" s="182" t="s">
        <v>132</v>
      </c>
      <c r="O21" s="182">
        <v>200</v>
      </c>
      <c r="P21" s="160"/>
      <c r="Q21" s="161" t="s">
        <v>651</v>
      </c>
      <c r="R21" s="161" t="s">
        <v>651</v>
      </c>
      <c r="S21" s="161">
        <v>2</v>
      </c>
      <c r="T21" s="148">
        <v>1.5</v>
      </c>
      <c r="U21" s="161">
        <v>6.5</v>
      </c>
      <c r="V21" s="165"/>
      <c r="W21" s="165"/>
      <c r="X21" s="148"/>
      <c r="Y21" s="148">
        <v>1.5</v>
      </c>
      <c r="Z21" s="161" t="s">
        <v>651</v>
      </c>
      <c r="AA21" s="165"/>
      <c r="AB21" s="165"/>
      <c r="AC21" s="161">
        <v>2.2999999999999998</v>
      </c>
      <c r="AD21" s="161">
        <v>2.2999999999999998</v>
      </c>
      <c r="AE21" s="161" t="s">
        <v>661</v>
      </c>
      <c r="AF21" s="161" t="s">
        <v>663</v>
      </c>
      <c r="AG21" s="161">
        <v>37.299999999999997</v>
      </c>
      <c r="AH21" s="161">
        <v>7.6</v>
      </c>
      <c r="AI21" s="161">
        <v>1</v>
      </c>
      <c r="AJ21" s="148">
        <v>3</v>
      </c>
      <c r="AK21" s="161">
        <v>3.2</v>
      </c>
      <c r="AL21" s="188">
        <f t="shared" si="0"/>
        <v>0.20000000000000018</v>
      </c>
      <c r="AM21" s="16" t="s">
        <v>664</v>
      </c>
      <c r="AN21" s="16" t="s">
        <v>664</v>
      </c>
      <c r="AO21" s="15" t="s">
        <v>133</v>
      </c>
      <c r="AP21" s="16">
        <f t="shared" si="1"/>
        <v>2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7">
        <f t="shared" si="2"/>
        <v>0</v>
      </c>
      <c r="AX21" s="17"/>
      <c r="AY21" s="17">
        <f>VLOOKUP(K21,ABNT5101!$I$3:$J$9,2)</f>
        <v>20</v>
      </c>
      <c r="AZ21" s="17">
        <f>VLOOKUP(K21,ABNT5101!$I$3:$M$9,5)</f>
        <v>0.28000000000000003</v>
      </c>
      <c r="BA21" s="128" t="str">
        <f>_xlfn.XLOOKUP(K21,ABNT5101!$I:$I,ABNT5101!$L:$L)</f>
        <v>-</v>
      </c>
      <c r="BB21" s="128">
        <f>_xlfn.XLOOKUP(K21,ABNT5101!$I:$I,ABNT5101!M:M)</f>
        <v>0.28000000000000003</v>
      </c>
      <c r="BC21" s="128" t="str">
        <f>_xlfn.XLOOKUP(K21,ABNT5101!$I:$I,ABNT5101!N:N)</f>
        <v>-</v>
      </c>
      <c r="BD21" s="128">
        <f>_xlfn.XLOOKUP(K21,ABNT5101!$I:$I,ABNT5101!O:O)</f>
        <v>14</v>
      </c>
      <c r="BE21" s="18" t="str">
        <f t="shared" si="3"/>
        <v>ATENDE</v>
      </c>
      <c r="BF21" s="19">
        <f t="shared" si="4"/>
        <v>0.14549999999999996</v>
      </c>
      <c r="BG21" s="19">
        <f t="shared" si="5"/>
        <v>0.53571428571428559</v>
      </c>
      <c r="BH21" s="19" t="str">
        <f t="shared" si="6"/>
        <v>-</v>
      </c>
      <c r="BI21" s="20">
        <v>22.91</v>
      </c>
      <c r="BJ21" s="20">
        <v>0.43</v>
      </c>
      <c r="BK21" s="20"/>
      <c r="BL21" s="20"/>
      <c r="BM21" s="21"/>
      <c r="BN21" s="20"/>
      <c r="BO21" s="142" t="str">
        <f t="shared" si="7"/>
        <v>ATENDE</v>
      </c>
      <c r="BP21" s="142" t="str">
        <f t="shared" si="8"/>
        <v>ATENDE</v>
      </c>
      <c r="BQ21" s="142" t="str">
        <f t="shared" si="9"/>
        <v>ATENDE</v>
      </c>
      <c r="BR21" s="142" t="str">
        <f t="shared" si="10"/>
        <v>ATENDE</v>
      </c>
      <c r="BS21" s="22" t="str">
        <f t="shared" si="11"/>
        <v>C2</v>
      </c>
      <c r="BT21" s="22" t="str">
        <f t="shared" si="12"/>
        <v>P4</v>
      </c>
      <c r="BU21" s="23">
        <f t="shared" si="13"/>
        <v>0.16133333333333355</v>
      </c>
      <c r="BV21" s="20">
        <v>8.7100000000000009</v>
      </c>
      <c r="BW21" s="20">
        <v>3.95</v>
      </c>
      <c r="BX21" s="129">
        <f>IF(BT21="-","-",_xlfn.XLOOKUP(BT21,ABNT5101!$B$4:$B$9,ABNT5101!$C$4:$C$9))</f>
        <v>7.5</v>
      </c>
      <c r="BY21" s="129">
        <f>IF(BT21="-","-",_xlfn.XLOOKUP(BT21,ABNT5101!$B$4:$B$9,ABNT5101!$D$4:$D$9))</f>
        <v>1.5</v>
      </c>
      <c r="BZ21" s="18" t="str">
        <f t="shared" si="14"/>
        <v>ATENDE</v>
      </c>
      <c r="CA21" s="18" t="str">
        <f t="shared" si="15"/>
        <v>ATENDE</v>
      </c>
      <c r="CB21" s="18" t="str">
        <f t="shared" si="16"/>
        <v>ATENDE</v>
      </c>
      <c r="CC21" s="22" t="str">
        <f t="shared" si="17"/>
        <v>P4</v>
      </c>
      <c r="CD21" s="143" t="e">
        <f t="shared" si="18"/>
        <v>#DIV/0!</v>
      </c>
      <c r="CE21" s="22">
        <v>16.32</v>
      </c>
      <c r="CF21" s="22">
        <v>7.07</v>
      </c>
      <c r="CG21" s="127"/>
      <c r="CH21" s="127"/>
      <c r="CI21" s="18" t="str">
        <f t="shared" si="19"/>
        <v>ATENDE</v>
      </c>
      <c r="CJ21" s="18" t="str">
        <f t="shared" si="20"/>
        <v>ATENDE</v>
      </c>
      <c r="CK21" s="18" t="str">
        <f t="shared" si="21"/>
        <v>ATENDE</v>
      </c>
      <c r="CL21" s="130" t="str">
        <f>_xlfn.XLOOKUP(CM21,'Banco de dados'!$B:$B,'Banco de dados'!$D:$D)</f>
        <v>SX LIGHTING</v>
      </c>
      <c r="CM21" s="25" t="str">
        <f>'Banco de dados'!B62</f>
        <v>SX-INLPP090HF</v>
      </c>
      <c r="CN21" s="24" t="str">
        <f>_xlfn.XLOOKUP(CM21,'Banco de dados'!$B:$B,'Banco de dados'!$E:$E)</f>
        <v>SXINLPP090K40L12CZF7PHF</v>
      </c>
      <c r="CO21" s="24"/>
      <c r="CP21" s="24">
        <f>IF(CO21="-","-",_xlfn.XLOOKUP(CO21,'Banco de dados'!$B:$B,'Banco de dados'!$E:$E))</f>
        <v>0</v>
      </c>
      <c r="CQ21" s="26">
        <f t="shared" si="22"/>
        <v>1</v>
      </c>
      <c r="CR21" s="24">
        <f>_xlfn.XLOOKUP(CM21,'Banco de dados'!$B:$B,'Banco de dados'!$H:$H)</f>
        <v>90</v>
      </c>
      <c r="CS21" s="24">
        <f>_xlfn.XLOOKUP(CO21,'Banco de dados'!$B:$B,'Banco de dados'!$H:$H)</f>
        <v>0</v>
      </c>
      <c r="CT21" s="24">
        <f>_xlfn.XLOOKUP(CM21,'Banco de dados'!$B:$B,'Banco de dados'!$F:$F)</f>
        <v>15476</v>
      </c>
      <c r="CU21" s="24">
        <f>_xlfn.XLOOKUP(CO21,'Banco de dados'!$B:$B,'Banco de dados'!$F:$F)</f>
        <v>0</v>
      </c>
      <c r="CV21" s="25"/>
      <c r="CW21" s="25"/>
      <c r="CX21" s="24" t="str">
        <f>IF(AK21&lt;=0.5,"Curto I",IF(AND(AK21&gt;='Braços de IP'!$B$9,AK21&lt;='Braços de IP'!$D$9),'Braços de IP'!$E$9,IF(AND(AK21&gt;='Braços de IP'!$B$10,AK21&lt;='Braços de IP'!$D$10),'Braços de IP'!$E$10,IF(AND(AK21&gt;='Braços de IP'!$B$11,AK21&lt;='Braços de IP'!$D$11),'Braços de IP'!$E$11,IF(AND(AK21&gt;='Braços de IP'!$B$12,AK21&lt;='Braços de IP'!$D$12),'Braços de IP'!$E$12,IF(AND(AK21&gt;='Braços de IP'!$B$13,AK21&lt;='Braços de IP'!$D$13),'Braços de IP'!$E$13,IF(AND(AK21&gt;='Braços de IP'!$B$14,AK21&lt;='Braços de IP'!$D$14),'Braços de IP'!$E$14,"ERRO")))))))</f>
        <v>Longo I</v>
      </c>
      <c r="CY21" s="25"/>
      <c r="CZ21" s="24" t="str">
        <f>IF($CY21="","",VLOOKUP($CY21,'Braços de IP'!$E$9:$I$15,2,0))</f>
        <v/>
      </c>
      <c r="DA21" s="27" t="str">
        <f>IF($CY21="","",VLOOKUP($CY21,'Braços de IP'!$E$9:$I$15,5,0))</f>
        <v/>
      </c>
      <c r="DB21" s="24"/>
      <c r="DC21" s="24"/>
      <c r="DD21" s="24"/>
      <c r="DE21" s="24"/>
      <c r="DF21" s="24"/>
      <c r="DG21" s="24"/>
      <c r="DH21" s="28">
        <f t="shared" si="23"/>
        <v>90</v>
      </c>
      <c r="DI21" s="29">
        <f t="shared" si="24"/>
        <v>200</v>
      </c>
      <c r="DJ21" s="28">
        <f t="shared" si="25"/>
        <v>290</v>
      </c>
      <c r="DK21" s="30">
        <f t="shared" si="26"/>
        <v>0.55000000000000004</v>
      </c>
      <c r="DL21" s="31"/>
      <c r="DM21" s="32"/>
      <c r="DN21" s="15" t="s">
        <v>134</v>
      </c>
      <c r="DO21" s="15"/>
      <c r="DQ21" s="33">
        <f t="shared" si="27"/>
        <v>0.55000000000000004</v>
      </c>
      <c r="DS21" s="1"/>
      <c r="DT21" s="1"/>
      <c r="DU21" s="33"/>
      <c r="DV21" s="33"/>
    </row>
    <row r="22" spans="1:126" ht="14.4" x14ac:dyDescent="0.3">
      <c r="A22" s="187" t="s">
        <v>679</v>
      </c>
      <c r="B22" s="154"/>
      <c r="C22" s="154"/>
      <c r="D22" s="156"/>
      <c r="E22" s="157"/>
      <c r="F22" s="186">
        <v>223674809</v>
      </c>
      <c r="G22" s="184" t="s">
        <v>678</v>
      </c>
      <c r="H22" s="161" t="s">
        <v>674</v>
      </c>
      <c r="I22" s="182">
        <v>-19.557716527099998</v>
      </c>
      <c r="J22" s="182">
        <v>-44.084994999999999</v>
      </c>
      <c r="K22" s="182" t="s">
        <v>149</v>
      </c>
      <c r="L22" s="183"/>
      <c r="M22" s="148" t="s">
        <v>146</v>
      </c>
      <c r="N22" s="182" t="s">
        <v>132</v>
      </c>
      <c r="O22" s="182">
        <v>200</v>
      </c>
      <c r="P22" s="160"/>
      <c r="Q22" s="161" t="s">
        <v>651</v>
      </c>
      <c r="R22" s="161" t="s">
        <v>651</v>
      </c>
      <c r="S22" s="161">
        <v>2</v>
      </c>
      <c r="T22" s="148">
        <v>1.5</v>
      </c>
      <c r="U22" s="161">
        <v>6.5</v>
      </c>
      <c r="V22" s="165"/>
      <c r="W22" s="165"/>
      <c r="X22" s="148"/>
      <c r="Y22" s="148">
        <v>1.5</v>
      </c>
      <c r="Z22" s="161" t="s">
        <v>651</v>
      </c>
      <c r="AA22" s="165"/>
      <c r="AB22" s="165"/>
      <c r="AC22" s="161">
        <v>2.2999999999999998</v>
      </c>
      <c r="AD22" s="161">
        <v>2.2999999999999998</v>
      </c>
      <c r="AE22" s="161" t="s">
        <v>661</v>
      </c>
      <c r="AF22" s="161" t="s">
        <v>663</v>
      </c>
      <c r="AG22" s="161">
        <v>37.299999999999997</v>
      </c>
      <c r="AH22" s="161">
        <v>7.6</v>
      </c>
      <c r="AI22" s="161">
        <v>1</v>
      </c>
      <c r="AJ22" s="148">
        <v>3</v>
      </c>
      <c r="AK22" s="161">
        <v>3.2</v>
      </c>
      <c r="AL22" s="188">
        <f t="shared" si="0"/>
        <v>0.20000000000000018</v>
      </c>
      <c r="AM22" s="16" t="s">
        <v>664</v>
      </c>
      <c r="AN22" s="16" t="s">
        <v>664</v>
      </c>
      <c r="AO22" s="15" t="s">
        <v>133</v>
      </c>
      <c r="AP22" s="16">
        <f t="shared" si="1"/>
        <v>2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7">
        <f t="shared" si="2"/>
        <v>0</v>
      </c>
      <c r="AX22" s="17"/>
      <c r="AY22" s="17">
        <f>VLOOKUP(K22,ABNT5101!$I$3:$J$9,2)</f>
        <v>20</v>
      </c>
      <c r="AZ22" s="17">
        <f>VLOOKUP(K22,ABNT5101!$I$3:$M$9,5)</f>
        <v>0.28000000000000003</v>
      </c>
      <c r="BA22" s="128" t="str">
        <f>_xlfn.XLOOKUP(K22,ABNT5101!$I:$I,ABNT5101!$L:$L)</f>
        <v>-</v>
      </c>
      <c r="BB22" s="128">
        <f>_xlfn.XLOOKUP(K22,ABNT5101!$I:$I,ABNT5101!M:M)</f>
        <v>0.28000000000000003</v>
      </c>
      <c r="BC22" s="128" t="str">
        <f>_xlfn.XLOOKUP(K22,ABNT5101!$I:$I,ABNT5101!N:N)</f>
        <v>-</v>
      </c>
      <c r="BD22" s="128">
        <f>_xlfn.XLOOKUP(K22,ABNT5101!$I:$I,ABNT5101!O:O)</f>
        <v>14</v>
      </c>
      <c r="BE22" s="18" t="str">
        <f t="shared" si="3"/>
        <v>ATENDE</v>
      </c>
      <c r="BF22" s="19">
        <f t="shared" si="4"/>
        <v>6.5499999999999892E-2</v>
      </c>
      <c r="BG22" s="19">
        <f t="shared" si="5"/>
        <v>0.39285714285714279</v>
      </c>
      <c r="BH22" s="19" t="str">
        <f t="shared" si="6"/>
        <v>-</v>
      </c>
      <c r="BI22" s="20">
        <v>21.31</v>
      </c>
      <c r="BJ22" s="20">
        <v>0.39</v>
      </c>
      <c r="BK22" s="20"/>
      <c r="BL22" s="20"/>
      <c r="BM22" s="21"/>
      <c r="BN22" s="20"/>
      <c r="BO22" s="142" t="str">
        <f t="shared" si="7"/>
        <v>ATENDE</v>
      </c>
      <c r="BP22" s="142" t="str">
        <f t="shared" si="8"/>
        <v>ATENDE</v>
      </c>
      <c r="BQ22" s="142" t="str">
        <f t="shared" si="9"/>
        <v>ATENDE</v>
      </c>
      <c r="BR22" s="142" t="str">
        <f t="shared" si="10"/>
        <v>ATENDE</v>
      </c>
      <c r="BS22" s="22" t="str">
        <f t="shared" si="11"/>
        <v>C2</v>
      </c>
      <c r="BT22" s="22" t="str">
        <f t="shared" si="12"/>
        <v>P4</v>
      </c>
      <c r="BU22" s="23">
        <f t="shared" si="13"/>
        <v>0.13200000000000012</v>
      </c>
      <c r="BV22" s="20">
        <v>8.49</v>
      </c>
      <c r="BW22" s="20">
        <v>6.58</v>
      </c>
      <c r="BX22" s="129">
        <f>IF(BT22="-","-",_xlfn.XLOOKUP(BT22,ABNT5101!$B$4:$B$9,ABNT5101!$C$4:$C$9))</f>
        <v>7.5</v>
      </c>
      <c r="BY22" s="129">
        <f>IF(BT22="-","-",_xlfn.XLOOKUP(BT22,ABNT5101!$B$4:$B$9,ABNT5101!$D$4:$D$9))</f>
        <v>1.5</v>
      </c>
      <c r="BZ22" s="18" t="str">
        <f t="shared" si="14"/>
        <v>ATENDE</v>
      </c>
      <c r="CA22" s="18" t="str">
        <f t="shared" si="15"/>
        <v>ATENDE</v>
      </c>
      <c r="CB22" s="18" t="str">
        <f t="shared" si="16"/>
        <v>ATENDE</v>
      </c>
      <c r="CC22" s="22" t="str">
        <f t="shared" si="17"/>
        <v>P4</v>
      </c>
      <c r="CD22" s="143" t="e">
        <f t="shared" si="18"/>
        <v>#DIV/0!</v>
      </c>
      <c r="CE22" s="22">
        <v>10.63</v>
      </c>
      <c r="CF22" s="22">
        <v>2.5499999999999998</v>
      </c>
      <c r="CG22" s="127"/>
      <c r="CH22" s="127"/>
      <c r="CI22" s="18" t="str">
        <f t="shared" si="19"/>
        <v>ATENDE</v>
      </c>
      <c r="CJ22" s="18" t="str">
        <f t="shared" si="20"/>
        <v>ATENDE</v>
      </c>
      <c r="CK22" s="18" t="str">
        <f t="shared" si="21"/>
        <v>ATENDE</v>
      </c>
      <c r="CL22" s="130" t="str">
        <f>_xlfn.XLOOKUP(CM22,'Banco de dados'!$B:$B,'Banco de dados'!$D:$D)</f>
        <v>TECNOWATT</v>
      </c>
      <c r="CM22" s="25" t="str">
        <f>'Banco de dados'!B75</f>
        <v xml:space="preserve">SIGSAGPTLRRSSNDL100W125IBBRS
</v>
      </c>
      <c r="CN22" s="24" t="str">
        <f>_xlfn.XLOOKUP(CM22,'Banco de dados'!$B:$B,'Banco de dados'!$E:$E)</f>
        <v>SIGSAGPTLRRSSNDL100W125IBBRS
1-10C1MUN6.5</v>
      </c>
      <c r="CO22" s="24"/>
      <c r="CP22" s="24">
        <f>IF(CO22="-","-",_xlfn.XLOOKUP(CO22,'Banco de dados'!$B:$B,'Banco de dados'!$E:$E))</f>
        <v>0</v>
      </c>
      <c r="CQ22" s="26">
        <f t="shared" si="22"/>
        <v>1</v>
      </c>
      <c r="CR22" s="24">
        <f>_xlfn.XLOOKUP(CM22,'Banco de dados'!$B:$B,'Banco de dados'!$H:$H)</f>
        <v>100</v>
      </c>
      <c r="CS22" s="24">
        <f>_xlfn.XLOOKUP(CO22,'Banco de dados'!$B:$B,'Banco de dados'!$H:$H)</f>
        <v>0</v>
      </c>
      <c r="CT22" s="24">
        <f>_xlfn.XLOOKUP(CM22,'Banco de dados'!$B:$B,'Banco de dados'!$F:$F)</f>
        <v>15162</v>
      </c>
      <c r="CU22" s="24">
        <f>_xlfn.XLOOKUP(CO22,'Banco de dados'!$B:$B,'Banco de dados'!$F:$F)</f>
        <v>0</v>
      </c>
      <c r="CV22" s="25"/>
      <c r="CW22" s="25">
        <v>10</v>
      </c>
      <c r="CX22" s="24" t="str">
        <f>IF(AK22&lt;=0.5,"Curto I",IF(AND(AK22&gt;='Braços de IP'!$B$9,AK22&lt;='Braços de IP'!$D$9),'Braços de IP'!$E$9,IF(AND(AK22&gt;='Braços de IP'!$B$10,AK22&lt;='Braços de IP'!$D$10),'Braços de IP'!$E$10,IF(AND(AK22&gt;='Braços de IP'!$B$11,AK22&lt;='Braços de IP'!$D$11),'Braços de IP'!$E$11,IF(AND(AK22&gt;='Braços de IP'!$B$12,AK22&lt;='Braços de IP'!$D$12),'Braços de IP'!$E$12,IF(AND(AK22&gt;='Braços de IP'!$B$13,AK22&lt;='Braços de IP'!$D$13),'Braços de IP'!$E$13,IF(AND(AK22&gt;='Braços de IP'!$B$14,AK22&lt;='Braços de IP'!$D$14),'Braços de IP'!$E$14,"ERRO")))))))</f>
        <v>Longo I</v>
      </c>
      <c r="CY22" s="25"/>
      <c r="CZ22" s="24" t="str">
        <f>IF($CY22="","",VLOOKUP($CY22,'Braços de IP'!$E$9:$I$15,2,0))</f>
        <v/>
      </c>
      <c r="DA22" s="27" t="str">
        <f>IF($CY22="","",VLOOKUP($CY22,'Braços de IP'!$E$9:$I$15,5,0))</f>
        <v/>
      </c>
      <c r="DB22" s="24"/>
      <c r="DC22" s="24"/>
      <c r="DD22" s="24"/>
      <c r="DE22" s="24"/>
      <c r="DF22" s="24"/>
      <c r="DG22" s="24"/>
      <c r="DH22" s="28">
        <f t="shared" si="23"/>
        <v>100</v>
      </c>
      <c r="DI22" s="29">
        <f t="shared" si="24"/>
        <v>200</v>
      </c>
      <c r="DJ22" s="28">
        <f t="shared" si="25"/>
        <v>300</v>
      </c>
      <c r="DK22" s="30">
        <f t="shared" si="26"/>
        <v>0.5</v>
      </c>
      <c r="DL22" s="31"/>
      <c r="DM22" s="32"/>
      <c r="DN22" s="15" t="s">
        <v>134</v>
      </c>
      <c r="DO22" s="15"/>
      <c r="DQ22" s="33">
        <f t="shared" si="27"/>
        <v>0.5</v>
      </c>
      <c r="DS22" s="1"/>
      <c r="DT22" s="1"/>
      <c r="DU22" s="33"/>
      <c r="DV22" s="33"/>
    </row>
    <row r="23" spans="1:126" ht="15.75" customHeight="1" x14ac:dyDescent="0.3">
      <c r="B23" s="154" t="s">
        <v>668</v>
      </c>
      <c r="C23" s="154" t="s">
        <v>669</v>
      </c>
      <c r="D23" s="156" t="s">
        <v>665</v>
      </c>
      <c r="E23" s="157" t="s">
        <v>669</v>
      </c>
      <c r="F23" s="147">
        <v>221272056</v>
      </c>
      <c r="G23" s="161" t="s">
        <v>128</v>
      </c>
      <c r="H23" s="162" t="s">
        <v>675</v>
      </c>
      <c r="I23" s="182">
        <v>-19.5553497318</v>
      </c>
      <c r="J23" s="182">
        <v>-44.095903999999997</v>
      </c>
      <c r="K23" s="182" t="s">
        <v>149</v>
      </c>
      <c r="L23" s="183"/>
      <c r="M23" s="182" t="s">
        <v>131</v>
      </c>
      <c r="N23" s="182" t="s">
        <v>132</v>
      </c>
      <c r="O23" s="182">
        <v>200</v>
      </c>
      <c r="P23" s="160"/>
      <c r="Q23" s="161" t="s">
        <v>651</v>
      </c>
      <c r="R23" s="161" t="s">
        <v>651</v>
      </c>
      <c r="S23" s="161">
        <v>1</v>
      </c>
      <c r="T23" s="161">
        <v>1.6</v>
      </c>
      <c r="U23" s="161">
        <v>9.1999999999999993</v>
      </c>
      <c r="V23" s="165"/>
      <c r="W23" s="165"/>
      <c r="X23" s="148"/>
      <c r="Y23" s="161">
        <v>1.6</v>
      </c>
      <c r="Z23" s="161" t="s">
        <v>651</v>
      </c>
      <c r="AA23" s="165"/>
      <c r="AB23" s="165"/>
      <c r="AC23" s="161" t="s">
        <v>651</v>
      </c>
      <c r="AD23" s="161" t="s">
        <v>651</v>
      </c>
      <c r="AE23" s="161" t="s">
        <v>661</v>
      </c>
      <c r="AF23" s="161" t="s">
        <v>663</v>
      </c>
      <c r="AG23" s="161">
        <v>25.3</v>
      </c>
      <c r="AH23" s="161">
        <v>8.5</v>
      </c>
      <c r="AI23" s="161">
        <v>1</v>
      </c>
      <c r="AJ23" s="161">
        <v>0.15</v>
      </c>
      <c r="AK23" s="161">
        <v>2.9</v>
      </c>
      <c r="AL23" s="167">
        <f t="shared" si="0"/>
        <v>2.75</v>
      </c>
      <c r="AM23" s="16" t="s">
        <v>664</v>
      </c>
      <c r="AN23" s="16" t="s">
        <v>664</v>
      </c>
      <c r="AO23" s="15" t="s">
        <v>133</v>
      </c>
      <c r="AP23" s="16">
        <f t="shared" si="1"/>
        <v>2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7">
        <f t="shared" si="2"/>
        <v>0</v>
      </c>
      <c r="AX23" s="17"/>
      <c r="AY23" s="17">
        <f>VLOOKUP(K23,ABNT5101!$I$3:$J$9,2)</f>
        <v>20</v>
      </c>
      <c r="AZ23" s="17">
        <f>VLOOKUP(K23,ABNT5101!$I$3:$M$9,5)</f>
        <v>0.28000000000000003</v>
      </c>
      <c r="BA23" s="128" t="str">
        <f>_xlfn.XLOOKUP(K23,ABNT5101!$I:$I,ABNT5101!$L:$L)</f>
        <v>-</v>
      </c>
      <c r="BB23" s="128">
        <f>_xlfn.XLOOKUP(K23,ABNT5101!$I:$I,ABNT5101!M:M)</f>
        <v>0.28000000000000003</v>
      </c>
      <c r="BC23" s="128" t="str">
        <f>_xlfn.XLOOKUP(K23,ABNT5101!$I:$I,ABNT5101!N:N)</f>
        <v>-</v>
      </c>
      <c r="BD23" s="128">
        <f>_xlfn.XLOOKUP(K23,ABNT5101!$I:$I,ABNT5101!O:O)</f>
        <v>14</v>
      </c>
      <c r="BE23" s="18" t="str">
        <f t="shared" si="3"/>
        <v>ATENDE</v>
      </c>
      <c r="BF23" s="19">
        <f t="shared" si="4"/>
        <v>5.0499999999999989E-2</v>
      </c>
      <c r="BG23" s="19">
        <f t="shared" si="5"/>
        <v>1.2857142857142856</v>
      </c>
      <c r="BH23" s="19" t="str">
        <f t="shared" si="6"/>
        <v>-</v>
      </c>
      <c r="BI23" s="20">
        <v>21.01</v>
      </c>
      <c r="BJ23" s="20">
        <v>0.64</v>
      </c>
      <c r="BK23" s="20"/>
      <c r="BL23" s="20"/>
      <c r="BM23" s="21"/>
      <c r="BN23" s="20"/>
      <c r="BO23" s="142" t="str">
        <f t="shared" si="7"/>
        <v>ATENDE</v>
      </c>
      <c r="BP23" s="142" t="str">
        <f t="shared" si="8"/>
        <v>ATENDE</v>
      </c>
      <c r="BQ23" s="142" t="str">
        <f t="shared" si="9"/>
        <v>ATENDE</v>
      </c>
      <c r="BR23" s="142" t="str">
        <f t="shared" si="10"/>
        <v>ATENDE</v>
      </c>
      <c r="BS23" s="22" t="str">
        <f t="shared" si="11"/>
        <v>C2</v>
      </c>
      <c r="BT23" s="22" t="str">
        <f t="shared" si="12"/>
        <v>P6</v>
      </c>
      <c r="BU23" s="23">
        <f t="shared" si="13"/>
        <v>4.03</v>
      </c>
      <c r="BV23" s="20">
        <v>15.09</v>
      </c>
      <c r="BW23" s="20">
        <v>9.75</v>
      </c>
      <c r="BX23" s="129">
        <f>IF(BT23="-","-",_xlfn.XLOOKUP(BT23,ABNT5101!$B$4:$B$9,ABNT5101!$C$4:$C$9))</f>
        <v>3</v>
      </c>
      <c r="BY23" s="129">
        <f>IF(BT23="-","-",_xlfn.XLOOKUP(BT23,ABNT5101!$B$4:$B$9,ABNT5101!$D$4:$D$9))</f>
        <v>0.6</v>
      </c>
      <c r="BZ23" s="18" t="str">
        <f t="shared" si="14"/>
        <v>ATENDE</v>
      </c>
      <c r="CA23" s="18" t="str">
        <f t="shared" si="15"/>
        <v>ATENDE</v>
      </c>
      <c r="CB23" s="18" t="str">
        <f t="shared" si="16"/>
        <v>ATENDE</v>
      </c>
      <c r="CC23" s="22" t="str">
        <f t="shared" si="17"/>
        <v>P6</v>
      </c>
      <c r="CD23" s="143" t="e">
        <f t="shared" si="18"/>
        <v>#DIV/0!</v>
      </c>
      <c r="CE23" s="22">
        <v>14.24</v>
      </c>
      <c r="CF23" s="22">
        <v>10.83</v>
      </c>
      <c r="CG23" s="127"/>
      <c r="CH23" s="127"/>
      <c r="CI23" s="18" t="str">
        <f t="shared" si="19"/>
        <v>ATENDE</v>
      </c>
      <c r="CJ23" s="18" t="str">
        <f t="shared" si="20"/>
        <v>ATENDE</v>
      </c>
      <c r="CK23" s="18" t="str">
        <f t="shared" si="21"/>
        <v>ATENDE</v>
      </c>
      <c r="CL23" s="130" t="str">
        <f>_xlfn.XLOOKUP(CM23,'Banco de dados'!$B:$B,'Banco de dados'!$D:$D)</f>
        <v>LEDSTAR</v>
      </c>
      <c r="CM23" s="25" t="str">
        <f>'Banco de dados'!B22</f>
        <v xml:space="preserve"> SL VT 9.1 72W</v>
      </c>
      <c r="CN23" s="24" t="str">
        <f>_xlfn.XLOOKUP(CM23,'Banco de dados'!$B:$B,'Banco de dados'!$E:$E)</f>
        <v>LUM LED SL VT 9.1 72W</v>
      </c>
      <c r="CO23" s="24"/>
      <c r="CP23" s="24">
        <f>IF(CO23="-","-",_xlfn.XLOOKUP(CO23,'Banco de dados'!$B:$B,'Banco de dados'!$E:$E))</f>
        <v>0</v>
      </c>
      <c r="CQ23" s="26">
        <f t="shared" si="22"/>
        <v>1</v>
      </c>
      <c r="CR23" s="24">
        <f>_xlfn.XLOOKUP(CM23,'Banco de dados'!$B:$B,'Banco de dados'!$H:$H)</f>
        <v>72</v>
      </c>
      <c r="CS23" s="24">
        <f>_xlfn.XLOOKUP(CO23,'Banco de dados'!$B:$B,'Banco de dados'!$H:$H)</f>
        <v>0</v>
      </c>
      <c r="CT23" s="24">
        <f>_xlfn.XLOOKUP(CM23,'Banco de dados'!$B:$B,'Banco de dados'!$F:$F)</f>
        <v>12107</v>
      </c>
      <c r="CU23" s="24">
        <f>_xlfn.XLOOKUP(CO23,'Banco de dados'!$B:$B,'Banco de dados'!$F:$F)</f>
        <v>0</v>
      </c>
      <c r="CV23" s="25"/>
      <c r="CW23" s="25"/>
      <c r="CX23" s="24" t="str">
        <f>IF(AK23&lt;=0.5,"Curto I",IF(AND(AK23&gt;='Braços de IP'!$B$9,AK23&lt;='Braços de IP'!$D$9),'Braços de IP'!$E$9,IF(AND(AK23&gt;='Braços de IP'!$B$10,AK23&lt;='Braços de IP'!$D$10),'Braços de IP'!$E$10,IF(AND(AK23&gt;='Braços de IP'!$B$11,AK23&lt;='Braços de IP'!$D$11),'Braços de IP'!$E$11,IF(AND(AK23&gt;='Braços de IP'!$B$12,AK23&lt;='Braços de IP'!$D$12),'Braços de IP'!$E$12,IF(AND(AK23&gt;='Braços de IP'!$B$13,AK23&lt;='Braços de IP'!$D$13),'Braços de IP'!$E$13,IF(AND(AK23&gt;='Braços de IP'!$B$14,AK23&lt;='Braços de IP'!$D$14),'Braços de IP'!$E$14,"ERRO")))))))</f>
        <v>Longo I</v>
      </c>
      <c r="CY23" s="25"/>
      <c r="CZ23" s="24" t="str">
        <f>IF($CY23="","",VLOOKUP($CY23,'Braços de IP'!$E$9:$I$15,2,0))</f>
        <v/>
      </c>
      <c r="DA23" s="27" t="str">
        <f>IF($CY23="","",VLOOKUP($CY23,'Braços de IP'!$E$9:$I$15,5,0))</f>
        <v/>
      </c>
      <c r="DB23" s="24"/>
      <c r="DC23" s="24"/>
      <c r="DD23" s="24"/>
      <c r="DE23" s="24"/>
      <c r="DF23" s="24"/>
      <c r="DG23" s="24"/>
      <c r="DH23" s="28">
        <f t="shared" si="23"/>
        <v>72</v>
      </c>
      <c r="DI23" s="29">
        <f t="shared" si="24"/>
        <v>200</v>
      </c>
      <c r="DJ23" s="28">
        <f t="shared" si="25"/>
        <v>272</v>
      </c>
      <c r="DK23" s="30">
        <f t="shared" si="26"/>
        <v>0.64</v>
      </c>
      <c r="DL23" s="31"/>
      <c r="DM23" s="32"/>
      <c r="DN23" s="15" t="s">
        <v>134</v>
      </c>
      <c r="DO23" s="15"/>
      <c r="DQ23" s="33">
        <f t="shared" si="27"/>
        <v>0.64</v>
      </c>
      <c r="DS23" s="1"/>
      <c r="DT23" s="1"/>
      <c r="DU23" s="1"/>
    </row>
    <row r="24" spans="1:126" ht="15.75" customHeight="1" x14ac:dyDescent="0.3">
      <c r="B24" s="154" t="s">
        <v>668</v>
      </c>
      <c r="C24" s="154" t="s">
        <v>669</v>
      </c>
      <c r="D24" s="156" t="s">
        <v>665</v>
      </c>
      <c r="E24" s="157" t="s">
        <v>669</v>
      </c>
      <c r="F24" s="147">
        <v>221272056</v>
      </c>
      <c r="G24" s="161" t="s">
        <v>128</v>
      </c>
      <c r="H24" s="162" t="s">
        <v>675</v>
      </c>
      <c r="I24" s="182">
        <v>-19.5553497318</v>
      </c>
      <c r="J24" s="182">
        <v>-44.095903999999997</v>
      </c>
      <c r="K24" s="182" t="s">
        <v>149</v>
      </c>
      <c r="L24" s="183"/>
      <c r="M24" s="182" t="s">
        <v>131</v>
      </c>
      <c r="N24" s="182" t="s">
        <v>132</v>
      </c>
      <c r="O24" s="182">
        <v>200</v>
      </c>
      <c r="P24" s="160"/>
      <c r="Q24" s="161" t="s">
        <v>651</v>
      </c>
      <c r="R24" s="161" t="s">
        <v>651</v>
      </c>
      <c r="S24" s="161">
        <v>1</v>
      </c>
      <c r="T24" s="161">
        <v>1.6</v>
      </c>
      <c r="U24" s="161">
        <v>9.1999999999999993</v>
      </c>
      <c r="V24" s="165"/>
      <c r="W24" s="165"/>
      <c r="X24" s="148"/>
      <c r="Y24" s="161">
        <v>1.6</v>
      </c>
      <c r="Z24" s="161" t="s">
        <v>651</v>
      </c>
      <c r="AA24" s="165"/>
      <c r="AB24" s="165"/>
      <c r="AC24" s="161" t="s">
        <v>651</v>
      </c>
      <c r="AD24" s="161" t="s">
        <v>651</v>
      </c>
      <c r="AE24" s="161" t="s">
        <v>661</v>
      </c>
      <c r="AF24" s="161" t="s">
        <v>663</v>
      </c>
      <c r="AG24" s="161">
        <v>25.3</v>
      </c>
      <c r="AH24" s="161">
        <v>8.5</v>
      </c>
      <c r="AI24" s="161">
        <v>1</v>
      </c>
      <c r="AJ24" s="161">
        <v>0.15</v>
      </c>
      <c r="AK24" s="161">
        <v>2.9</v>
      </c>
      <c r="AL24" s="149">
        <f t="shared" si="0"/>
        <v>2.75</v>
      </c>
      <c r="AM24" s="16" t="s">
        <v>664</v>
      </c>
      <c r="AN24" s="16" t="s">
        <v>664</v>
      </c>
      <c r="AO24" s="15" t="s">
        <v>133</v>
      </c>
      <c r="AP24" s="16">
        <f t="shared" si="1"/>
        <v>2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7">
        <f t="shared" si="2"/>
        <v>0</v>
      </c>
      <c r="AX24" s="17"/>
      <c r="AY24" s="17">
        <f>VLOOKUP(K24,ABNT5101!$I$3:$J$9,2)</f>
        <v>20</v>
      </c>
      <c r="AZ24" s="17">
        <f>VLOOKUP(K24,ABNT5101!$I$3:$M$9,5)</f>
        <v>0.28000000000000003</v>
      </c>
      <c r="BA24" s="128" t="str">
        <f>_xlfn.XLOOKUP(K24,ABNT5101!$I:$I,ABNT5101!$L:$L)</f>
        <v>-</v>
      </c>
      <c r="BB24" s="128">
        <f>_xlfn.XLOOKUP(K24,ABNT5101!$I:$I,ABNT5101!M:M)</f>
        <v>0.28000000000000003</v>
      </c>
      <c r="BC24" s="128" t="str">
        <f>_xlfn.XLOOKUP(K24,ABNT5101!$I:$I,ABNT5101!N:N)</f>
        <v>-</v>
      </c>
      <c r="BD24" s="128">
        <f>_xlfn.XLOOKUP(K24,ABNT5101!$I:$I,ABNT5101!O:O)</f>
        <v>14</v>
      </c>
      <c r="BE24" s="18" t="str">
        <f t="shared" si="3"/>
        <v>ATENDE</v>
      </c>
      <c r="BF24" s="19">
        <f t="shared" si="4"/>
        <v>0.21899999999999986</v>
      </c>
      <c r="BG24" s="19">
        <f t="shared" si="5"/>
        <v>1.3928571428571428</v>
      </c>
      <c r="BH24" s="19" t="str">
        <f t="shared" si="6"/>
        <v>-</v>
      </c>
      <c r="BI24" s="20">
        <v>24.38</v>
      </c>
      <c r="BJ24" s="20">
        <v>0.67</v>
      </c>
      <c r="BK24" s="20"/>
      <c r="BL24" s="20"/>
      <c r="BM24" s="21"/>
      <c r="BN24" s="20"/>
      <c r="BO24" s="142" t="str">
        <f t="shared" si="7"/>
        <v>ATENDE</v>
      </c>
      <c r="BP24" s="142" t="str">
        <f t="shared" si="8"/>
        <v>ATENDE</v>
      </c>
      <c r="BQ24" s="142" t="str">
        <f t="shared" si="9"/>
        <v>ATENDE</v>
      </c>
      <c r="BR24" s="142" t="str">
        <f t="shared" si="10"/>
        <v>ATENDE</v>
      </c>
      <c r="BS24" s="22" t="str">
        <f t="shared" si="11"/>
        <v>C2</v>
      </c>
      <c r="BT24" s="22" t="str">
        <f t="shared" si="12"/>
        <v>P6</v>
      </c>
      <c r="BU24" s="23">
        <f t="shared" si="13"/>
        <v>5</v>
      </c>
      <c r="BV24" s="20">
        <v>18</v>
      </c>
      <c r="BW24" s="20">
        <v>13.4</v>
      </c>
      <c r="BX24" s="129">
        <f>IF(BT24="-","-",_xlfn.XLOOKUP(BT24,ABNT5101!$B$4:$B$9,ABNT5101!$C$4:$C$9))</f>
        <v>3</v>
      </c>
      <c r="BY24" s="129">
        <f>IF(BT24="-","-",_xlfn.XLOOKUP(BT24,ABNT5101!$B$4:$B$9,ABNT5101!$D$4:$D$9))</f>
        <v>0.6</v>
      </c>
      <c r="BZ24" s="18" t="str">
        <f t="shared" si="14"/>
        <v>ATENDE</v>
      </c>
      <c r="CA24" s="18" t="str">
        <f t="shared" si="15"/>
        <v>ATENDE</v>
      </c>
      <c r="CB24" s="18" t="str">
        <f t="shared" si="16"/>
        <v>ATENDE</v>
      </c>
      <c r="CC24" s="22" t="str">
        <f t="shared" si="17"/>
        <v>P6</v>
      </c>
      <c r="CD24" s="143" t="e">
        <f t="shared" si="18"/>
        <v>#DIV/0!</v>
      </c>
      <c r="CE24" s="22">
        <v>18.059999999999999</v>
      </c>
      <c r="CF24" s="22">
        <v>13.17</v>
      </c>
      <c r="CG24" s="127"/>
      <c r="CH24" s="127"/>
      <c r="CI24" s="18" t="str">
        <f t="shared" si="19"/>
        <v>ATENDE</v>
      </c>
      <c r="CJ24" s="18" t="str">
        <f t="shared" si="20"/>
        <v>ATENDE</v>
      </c>
      <c r="CK24" s="18" t="str">
        <f t="shared" si="21"/>
        <v>ATENDE</v>
      </c>
      <c r="CL24" s="130" t="str">
        <f>_xlfn.XLOOKUP(CM24,'Banco de dados'!$B:$B,'Banco de dados'!$D:$D)</f>
        <v>SX LIGHTING</v>
      </c>
      <c r="CM24" s="25" t="str">
        <f>'Banco de dados'!B59</f>
        <v>SX-INLPP070HF</v>
      </c>
      <c r="CN24" s="24" t="str">
        <f>_xlfn.XLOOKUP(CM24,'Banco de dados'!$B:$B,'Banco de dados'!$E:$E)</f>
        <v>SXINLPP070K40L12CZF7PHF</v>
      </c>
      <c r="CO24" s="24"/>
      <c r="CP24" s="24">
        <f>IF(CO24="-","-",_xlfn.XLOOKUP(CO24,'Banco de dados'!$B:$B,'Banco de dados'!$E:$E))</f>
        <v>0</v>
      </c>
      <c r="CQ24" s="26">
        <f t="shared" si="22"/>
        <v>1</v>
      </c>
      <c r="CR24" s="24">
        <f>_xlfn.XLOOKUP(CM24,'Banco de dados'!$B:$B,'Banco de dados'!$H:$H)</f>
        <v>70</v>
      </c>
      <c r="CS24" s="24">
        <f>_xlfn.XLOOKUP(CO24,'Banco de dados'!$B:$B,'Banco de dados'!$H:$H)</f>
        <v>0</v>
      </c>
      <c r="CT24" s="24">
        <f>_xlfn.XLOOKUP(CM24,'Banco de dados'!$B:$B,'Banco de dados'!$F:$F)</f>
        <v>11970</v>
      </c>
      <c r="CU24" s="24">
        <f>_xlfn.XLOOKUP(CO24,'Banco de dados'!$B:$B,'Banco de dados'!$F:$F)</f>
        <v>0</v>
      </c>
      <c r="CV24" s="25"/>
      <c r="CW24" s="25"/>
      <c r="CX24" s="24" t="str">
        <f>IF(AK24&lt;=0.5,"Curto I",IF(AND(AK24&gt;='Braços de IP'!$B$9,AK24&lt;='Braços de IP'!$D$9),'Braços de IP'!$E$9,IF(AND(AK24&gt;='Braços de IP'!$B$10,AK24&lt;='Braços de IP'!$D$10),'Braços de IP'!$E$10,IF(AND(AK24&gt;='Braços de IP'!$B$11,AK24&lt;='Braços de IP'!$D$11),'Braços de IP'!$E$11,IF(AND(AK24&gt;='Braços de IP'!$B$12,AK24&lt;='Braços de IP'!$D$12),'Braços de IP'!$E$12,IF(AND(AK24&gt;='Braços de IP'!$B$13,AK24&lt;='Braços de IP'!$D$13),'Braços de IP'!$E$13,IF(AND(AK24&gt;='Braços de IP'!$B$14,AK24&lt;='Braços de IP'!$D$14),'Braços de IP'!$E$14,"ERRO")))))))</f>
        <v>Longo I</v>
      </c>
      <c r="CY24" s="25"/>
      <c r="CZ24" s="24" t="str">
        <f>IF($CY24="","",VLOOKUP($CY24,'Braços de IP'!$E$9:$I$15,2,0))</f>
        <v/>
      </c>
      <c r="DA24" s="27" t="str">
        <f>IF($CY24="","",VLOOKUP($CY24,'Braços de IP'!$E$9:$I$15,5,0))</f>
        <v/>
      </c>
      <c r="DB24" s="24"/>
      <c r="DC24" s="24"/>
      <c r="DD24" s="24"/>
      <c r="DE24" s="24"/>
      <c r="DF24" s="24"/>
      <c r="DG24" s="24"/>
      <c r="DH24" s="28">
        <f t="shared" si="23"/>
        <v>70</v>
      </c>
      <c r="DI24" s="29">
        <f t="shared" si="24"/>
        <v>200</v>
      </c>
      <c r="DJ24" s="28">
        <f t="shared" si="25"/>
        <v>270</v>
      </c>
      <c r="DK24" s="30">
        <f t="shared" si="26"/>
        <v>0.65</v>
      </c>
      <c r="DL24" s="31"/>
      <c r="DM24" s="32"/>
      <c r="DN24" s="15" t="s">
        <v>134</v>
      </c>
      <c r="DO24" s="15"/>
      <c r="DQ24" s="33">
        <f t="shared" si="27"/>
        <v>0.65</v>
      </c>
      <c r="DS24" s="1"/>
      <c r="DT24" s="1"/>
      <c r="DU24" s="1"/>
    </row>
    <row r="25" spans="1:126" ht="15.75" customHeight="1" x14ac:dyDescent="0.3">
      <c r="B25" s="154" t="s">
        <v>668</v>
      </c>
      <c r="C25" s="154" t="s">
        <v>669</v>
      </c>
      <c r="D25" s="156" t="s">
        <v>665</v>
      </c>
      <c r="E25" s="157" t="s">
        <v>669</v>
      </c>
      <c r="F25" s="147">
        <v>221272056</v>
      </c>
      <c r="G25" s="161" t="s">
        <v>128</v>
      </c>
      <c r="H25" s="162" t="s">
        <v>675</v>
      </c>
      <c r="I25" s="182">
        <v>-19.5553497318</v>
      </c>
      <c r="J25" s="182">
        <v>-44.095903999999997</v>
      </c>
      <c r="K25" s="182" t="s">
        <v>149</v>
      </c>
      <c r="L25" s="183"/>
      <c r="M25" s="182" t="s">
        <v>131</v>
      </c>
      <c r="N25" s="182" t="s">
        <v>132</v>
      </c>
      <c r="O25" s="182">
        <v>200</v>
      </c>
      <c r="P25" s="160"/>
      <c r="Q25" s="161" t="s">
        <v>651</v>
      </c>
      <c r="R25" s="161" t="s">
        <v>651</v>
      </c>
      <c r="S25" s="161">
        <v>1</v>
      </c>
      <c r="T25" s="161">
        <v>1.6</v>
      </c>
      <c r="U25" s="161">
        <v>9.1999999999999993</v>
      </c>
      <c r="V25" s="165"/>
      <c r="W25" s="165"/>
      <c r="X25" s="148"/>
      <c r="Y25" s="161">
        <v>1.6</v>
      </c>
      <c r="Z25" s="161" t="s">
        <v>651</v>
      </c>
      <c r="AA25" s="165"/>
      <c r="AB25" s="165"/>
      <c r="AC25" s="161" t="s">
        <v>651</v>
      </c>
      <c r="AD25" s="161" t="s">
        <v>651</v>
      </c>
      <c r="AE25" s="161" t="s">
        <v>661</v>
      </c>
      <c r="AF25" s="161" t="s">
        <v>663</v>
      </c>
      <c r="AG25" s="161">
        <v>25.3</v>
      </c>
      <c r="AH25" s="161">
        <v>8.5</v>
      </c>
      <c r="AI25" s="161">
        <v>1</v>
      </c>
      <c r="AJ25" s="161">
        <v>0.15</v>
      </c>
      <c r="AK25" s="161">
        <v>2.9</v>
      </c>
      <c r="AL25" s="149">
        <f t="shared" si="0"/>
        <v>2.75</v>
      </c>
      <c r="AM25" s="16" t="s">
        <v>664</v>
      </c>
      <c r="AN25" s="16" t="s">
        <v>664</v>
      </c>
      <c r="AO25" s="15" t="s">
        <v>133</v>
      </c>
      <c r="AP25" s="16">
        <f t="shared" si="1"/>
        <v>2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7">
        <f t="shared" si="2"/>
        <v>0</v>
      </c>
      <c r="AX25" s="17"/>
      <c r="AY25" s="17">
        <f>VLOOKUP(K25,ABNT5101!$I$3:$J$9,2)</f>
        <v>20</v>
      </c>
      <c r="AZ25" s="17">
        <f>VLOOKUP(K25,ABNT5101!$I$3:$M$9,5)</f>
        <v>0.28000000000000003</v>
      </c>
      <c r="BA25" s="128" t="str">
        <f>_xlfn.XLOOKUP(K25,ABNT5101!$I:$I,ABNT5101!$L:$L)</f>
        <v>-</v>
      </c>
      <c r="BB25" s="128">
        <f>_xlfn.XLOOKUP(K25,ABNT5101!$I:$I,ABNT5101!M:M)</f>
        <v>0.28000000000000003</v>
      </c>
      <c r="BC25" s="128" t="str">
        <f>_xlfn.XLOOKUP(K25,ABNT5101!$I:$I,ABNT5101!N:N)</f>
        <v>-</v>
      </c>
      <c r="BD25" s="128">
        <f>_xlfn.XLOOKUP(K25,ABNT5101!$I:$I,ABNT5101!O:O)</f>
        <v>14</v>
      </c>
      <c r="BE25" s="18" t="str">
        <f t="shared" si="3"/>
        <v>ATENDE</v>
      </c>
      <c r="BF25" s="19">
        <f t="shared" si="4"/>
        <v>5.7499999999999885E-2</v>
      </c>
      <c r="BG25" s="19">
        <f t="shared" si="5"/>
        <v>1.964285714285714</v>
      </c>
      <c r="BH25" s="19" t="str">
        <f t="shared" si="6"/>
        <v>-</v>
      </c>
      <c r="BI25" s="20">
        <v>21.15</v>
      </c>
      <c r="BJ25" s="20">
        <v>0.83</v>
      </c>
      <c r="BK25" s="20"/>
      <c r="BL25" s="20"/>
      <c r="BM25" s="21"/>
      <c r="BN25" s="20"/>
      <c r="BO25" s="142" t="str">
        <f t="shared" si="7"/>
        <v>ATENDE</v>
      </c>
      <c r="BP25" s="142" t="str">
        <f t="shared" si="8"/>
        <v>ATENDE</v>
      </c>
      <c r="BQ25" s="142" t="str">
        <f t="shared" si="9"/>
        <v>ATENDE</v>
      </c>
      <c r="BR25" s="142" t="str">
        <f t="shared" si="10"/>
        <v>ATENDE</v>
      </c>
      <c r="BS25" s="22" t="str">
        <f t="shared" si="11"/>
        <v>C2</v>
      </c>
      <c r="BT25" s="22" t="str">
        <f t="shared" si="12"/>
        <v>P6</v>
      </c>
      <c r="BU25" s="23">
        <f t="shared" si="13"/>
        <v>3.2033333333333331</v>
      </c>
      <c r="BV25" s="20">
        <v>12.61</v>
      </c>
      <c r="BW25" s="20">
        <v>10.01</v>
      </c>
      <c r="BX25" s="129">
        <f>IF(BT25="-","-",_xlfn.XLOOKUP(BT25,ABNT5101!$B$4:$B$9,ABNT5101!$C$4:$C$9))</f>
        <v>3</v>
      </c>
      <c r="BY25" s="129">
        <f>IF(BT25="-","-",_xlfn.XLOOKUP(BT25,ABNT5101!$B$4:$B$9,ABNT5101!$D$4:$D$9))</f>
        <v>0.6</v>
      </c>
      <c r="BZ25" s="18" t="str">
        <f t="shared" si="14"/>
        <v>ATENDE</v>
      </c>
      <c r="CA25" s="18" t="str">
        <f t="shared" si="15"/>
        <v>ATENDE</v>
      </c>
      <c r="CB25" s="18" t="str">
        <f t="shared" si="16"/>
        <v>ATENDE</v>
      </c>
      <c r="CC25" s="22" t="str">
        <f t="shared" si="17"/>
        <v>P6</v>
      </c>
      <c r="CD25" s="143" t="e">
        <f t="shared" si="18"/>
        <v>#DIV/0!</v>
      </c>
      <c r="CE25" s="22">
        <v>13.48</v>
      </c>
      <c r="CF25" s="22">
        <v>11.34</v>
      </c>
      <c r="CG25" s="127"/>
      <c r="CH25" s="127"/>
      <c r="CI25" s="18" t="str">
        <f t="shared" si="19"/>
        <v>ATENDE</v>
      </c>
      <c r="CJ25" s="18" t="str">
        <f t="shared" si="20"/>
        <v>ATENDE</v>
      </c>
      <c r="CK25" s="18" t="str">
        <f t="shared" si="21"/>
        <v>ATENDE</v>
      </c>
      <c r="CL25" s="130" t="str">
        <f>_xlfn.XLOOKUP(CM25,'Banco de dados'!$B:$B,'Banco de dados'!$D:$D)</f>
        <v>TECNOWATT</v>
      </c>
      <c r="CM25" s="25" t="str">
        <f>'Banco de dados'!B72</f>
        <v xml:space="preserve">SIGSAGPTLRRSSNDL_68W_83IBBRS
</v>
      </c>
      <c r="CN25" s="24" t="str">
        <f>_xlfn.XLOOKUP(CM25,'Banco de dados'!$B:$B,'Banco de dados'!$E:$E)</f>
        <v>SIGSAGPTLRRSSNDL_68W_83IBBRS
1-10C1MUN6.5</v>
      </c>
      <c r="CO25" s="24"/>
      <c r="CP25" s="24">
        <f>IF(CO25="-","-",_xlfn.XLOOKUP(CO25,'Banco de dados'!$B:$B,'Banco de dados'!$E:$E))</f>
        <v>0</v>
      </c>
      <c r="CQ25" s="26">
        <f t="shared" si="22"/>
        <v>1</v>
      </c>
      <c r="CR25" s="24">
        <f>_xlfn.XLOOKUP(CM25,'Banco de dados'!$B:$B,'Banco de dados'!$H:$H)</f>
        <v>68</v>
      </c>
      <c r="CS25" s="24">
        <f>_xlfn.XLOOKUP(CO25,'Banco de dados'!$B:$B,'Banco de dados'!$H:$H)</f>
        <v>0</v>
      </c>
      <c r="CT25" s="24">
        <f>_xlfn.XLOOKUP(CM25,'Banco de dados'!$B:$B,'Banco de dados'!$F:$F)</f>
        <v>10884</v>
      </c>
      <c r="CU25" s="24">
        <f>_xlfn.XLOOKUP(CO25,'Banco de dados'!$B:$B,'Banco de dados'!$F:$F)</f>
        <v>0</v>
      </c>
      <c r="CV25" s="25"/>
      <c r="CW25" s="25"/>
      <c r="CX25" s="24" t="str">
        <f>IF(AK25&lt;=0.5,"Curto I",IF(AND(AK25&gt;='Braços de IP'!$B$9,AK25&lt;='Braços de IP'!$D$9),'Braços de IP'!$E$9,IF(AND(AK25&gt;='Braços de IP'!$B$10,AK25&lt;='Braços de IP'!$D$10),'Braços de IP'!$E$10,IF(AND(AK25&gt;='Braços de IP'!$B$11,AK25&lt;='Braços de IP'!$D$11),'Braços de IP'!$E$11,IF(AND(AK25&gt;='Braços de IP'!$B$12,AK25&lt;='Braços de IP'!$D$12),'Braços de IP'!$E$12,IF(AND(AK25&gt;='Braços de IP'!$B$13,AK25&lt;='Braços de IP'!$D$13),'Braços de IP'!$E$13,IF(AND(AK25&gt;='Braços de IP'!$B$14,AK25&lt;='Braços de IP'!$D$14),'Braços de IP'!$E$14,"ERRO")))))))</f>
        <v>Longo I</v>
      </c>
      <c r="CY25" s="25"/>
      <c r="CZ25" s="24" t="str">
        <f>IF($CY25="","",VLOOKUP($CY25,'Braços de IP'!$E$9:$I$15,2,0))</f>
        <v/>
      </c>
      <c r="DA25" s="27" t="str">
        <f>IF($CY25="","",VLOOKUP($CY25,'Braços de IP'!$E$9:$I$15,5,0))</f>
        <v/>
      </c>
      <c r="DB25" s="24"/>
      <c r="DC25" s="24"/>
      <c r="DD25" s="24"/>
      <c r="DE25" s="24"/>
      <c r="DF25" s="24"/>
      <c r="DG25" s="24"/>
      <c r="DH25" s="28">
        <f t="shared" si="23"/>
        <v>68</v>
      </c>
      <c r="DI25" s="29">
        <f t="shared" si="24"/>
        <v>200</v>
      </c>
      <c r="DJ25" s="28">
        <f t="shared" si="25"/>
        <v>268</v>
      </c>
      <c r="DK25" s="30">
        <f t="shared" si="26"/>
        <v>0.65999999999999992</v>
      </c>
      <c r="DL25" s="31"/>
      <c r="DM25" s="32"/>
      <c r="DN25" s="15" t="s">
        <v>134</v>
      </c>
      <c r="DO25" s="15"/>
      <c r="DQ25" s="33">
        <f t="shared" si="27"/>
        <v>0.66</v>
      </c>
      <c r="DS25" s="1"/>
      <c r="DT25" s="1"/>
      <c r="DU25" s="1"/>
    </row>
  </sheetData>
  <autoFilter ref="A1:DV25" xr:uid="{00000000-0001-0000-0100-000000000000}"/>
  <phoneticPr fontId="25" type="noConversion"/>
  <conditionalFormatting sqref="BE2:BS25">
    <cfRule type="notContainsText" dxfId="7" priority="59" operator="notContains" text="NÃO">
      <formula>ISERROR(SEARCH(("NÃO"),(BE2)))</formula>
    </cfRule>
    <cfRule type="containsText" dxfId="6" priority="60" operator="containsText" text="NÃO">
      <formula>NOT(ISERROR(SEARCH(("NÃO"),(BE2))))</formula>
    </cfRule>
    <cfRule type="notContainsText" dxfId="5" priority="61" operator="notContains" text="ATENDE">
      <formula>ISERROR(SEARCH(("ATENDE"),(BE2)))</formula>
    </cfRule>
  </conditionalFormatting>
  <conditionalFormatting sqref="BP2:BS25">
    <cfRule type="containsText" dxfId="4" priority="68" operator="containsText" text="ATENDIMENTO LIMIAR">
      <formula>NOT(ISERROR(SEARCH(("ATENDIMENTO LIMIAR"),(BP2))))</formula>
    </cfRule>
  </conditionalFormatting>
  <conditionalFormatting sqref="BZ2:CB25 CI2:CK25">
    <cfRule type="containsText" dxfId="3" priority="55" operator="containsText" text="ATENDIMENTO LIMIAR">
      <formula>NOT(ISERROR(SEARCH(("ATENDIMENTO LIMIAR"),(BZ2))))</formula>
    </cfRule>
    <cfRule type="notContainsText" dxfId="2" priority="56" operator="notContains" text="NÃO">
      <formula>ISERROR(SEARCH(("NÃO"),(BZ2)))</formula>
    </cfRule>
    <cfRule type="containsText" dxfId="1" priority="57" operator="containsText" text="NÃO">
      <formula>NOT(ISERROR(SEARCH(("NÃO"),(BZ2))))</formula>
    </cfRule>
    <cfRule type="notContainsText" dxfId="0" priority="58" operator="notContains" text="ATENDE">
      <formula>ISERROR(SEARCH(("ATENDE"),(BZ2)))</formula>
    </cfRule>
  </conditionalFormatting>
  <pageMargins left="0.511811024" right="0.511811024" top="0.78740157499999996" bottom="0.78740157499999996" header="0" footer="0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100-000001000000}">
          <x14:formula1>
            <xm:f>CPE!$B$4:$B$22</xm:f>
          </x14:formula1>
          <xm:sqref>DB2:DB25</xm:sqref>
        </x14:dataValidation>
        <x14:dataValidation type="list" allowBlank="1" showErrorMessage="1" xr:uid="{00000000-0002-0000-0100-000000000000}">
          <x14:formula1>
            <xm:f>'Braços de IP'!$E$9:$E$15</xm:f>
          </x14:formula1>
          <xm:sqref>CY2:CY25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00"/>
  <sheetViews>
    <sheetView workbookViewId="0"/>
  </sheetViews>
  <sheetFormatPr defaultColWidth="14.44140625" defaultRowHeight="15" customHeight="1" x14ac:dyDescent="0.3"/>
  <cols>
    <col min="1" max="1" width="8.6640625" customWidth="1"/>
    <col min="2" max="3" width="12.33203125" customWidth="1"/>
    <col min="4" max="6" width="8.6640625" customWidth="1"/>
    <col min="7" max="7" width="10.109375" customWidth="1"/>
    <col min="8" max="26" width="8.6640625" customWidth="1"/>
  </cols>
  <sheetData>
    <row r="1" spans="2:9" ht="28.8" x14ac:dyDescent="0.3">
      <c r="B1" s="34" t="s">
        <v>52</v>
      </c>
      <c r="C1" s="34" t="s">
        <v>55</v>
      </c>
      <c r="H1" s="1" t="s">
        <v>153</v>
      </c>
      <c r="I1" s="1" t="s">
        <v>136</v>
      </c>
    </row>
    <row r="2" spans="2:9" ht="14.4" x14ac:dyDescent="0.3">
      <c r="B2" s="17">
        <v>0.5</v>
      </c>
      <c r="C2" s="17">
        <v>2.8</v>
      </c>
      <c r="F2" s="1" t="s">
        <v>154</v>
      </c>
      <c r="G2" s="1" t="s">
        <v>155</v>
      </c>
      <c r="H2" s="1">
        <f>COS(15*PI()/180)*1</f>
        <v>0.96592582628906831</v>
      </c>
      <c r="I2" s="1">
        <f>SIN(15*PI()/180)*1</f>
        <v>0.25881904510252074</v>
      </c>
    </row>
    <row r="3" spans="2:9" ht="14.4" x14ac:dyDescent="0.3">
      <c r="B3" s="17">
        <v>0.5</v>
      </c>
      <c r="C3" s="17">
        <v>0</v>
      </c>
      <c r="F3" s="1" t="s">
        <v>154</v>
      </c>
      <c r="G3" s="1" t="s">
        <v>156</v>
      </c>
      <c r="H3" s="1">
        <v>2.56</v>
      </c>
      <c r="I3" s="1">
        <v>1.8049999999999999</v>
      </c>
    </row>
    <row r="4" spans="2:9" ht="14.4" x14ac:dyDescent="0.3">
      <c r="B4" s="17">
        <v>1</v>
      </c>
      <c r="C4" s="17">
        <v>0.79999999999999982</v>
      </c>
      <c r="F4" s="1" t="s">
        <v>157</v>
      </c>
      <c r="G4" s="1" t="s">
        <v>158</v>
      </c>
      <c r="H4" s="1">
        <v>1</v>
      </c>
      <c r="I4" s="1">
        <v>1.5</v>
      </c>
    </row>
    <row r="5" spans="2:9" ht="14.4" x14ac:dyDescent="0.3">
      <c r="B5" s="17">
        <v>1</v>
      </c>
      <c r="C5" s="17">
        <v>0.29999999999999982</v>
      </c>
      <c r="F5" s="1" t="s">
        <v>157</v>
      </c>
      <c r="G5" s="1" t="s">
        <v>159</v>
      </c>
      <c r="H5" s="1">
        <v>3</v>
      </c>
      <c r="I5" s="1">
        <v>2.5</v>
      </c>
    </row>
    <row r="6" spans="2:9" ht="14.4" x14ac:dyDescent="0.3">
      <c r="B6" s="17">
        <v>1</v>
      </c>
      <c r="C6" s="17">
        <v>0</v>
      </c>
      <c r="F6" s="1" t="s">
        <v>157</v>
      </c>
      <c r="G6" s="1" t="s">
        <v>160</v>
      </c>
      <c r="H6" s="1">
        <v>4</v>
      </c>
      <c r="I6" s="1">
        <v>3</v>
      </c>
    </row>
    <row r="7" spans="2:9" ht="14.4" x14ac:dyDescent="0.3">
      <c r="B7" s="17">
        <v>1.5</v>
      </c>
      <c r="C7" s="17">
        <v>1.2999999999999998</v>
      </c>
    </row>
    <row r="8" spans="2:9" ht="14.4" x14ac:dyDescent="0.3">
      <c r="B8" s="17">
        <v>1.5</v>
      </c>
      <c r="C8" s="17">
        <v>1.7999999999999998</v>
      </c>
    </row>
    <row r="9" spans="2:9" ht="14.4" x14ac:dyDescent="0.3">
      <c r="B9" s="17">
        <v>1.5</v>
      </c>
      <c r="C9" s="17">
        <v>0.79999999999999982</v>
      </c>
    </row>
    <row r="10" spans="2:9" ht="14.4" x14ac:dyDescent="0.3">
      <c r="B10" s="17">
        <v>1.5</v>
      </c>
      <c r="C10" s="17">
        <v>2.8</v>
      </c>
    </row>
    <row r="11" spans="2:9" ht="14.4" x14ac:dyDescent="0.3">
      <c r="B11" s="17">
        <v>2</v>
      </c>
      <c r="C11" s="17">
        <v>0.79999999999999982</v>
      </c>
    </row>
    <row r="12" spans="2:9" ht="14.4" x14ac:dyDescent="0.3">
      <c r="B12" s="17">
        <v>2</v>
      </c>
      <c r="C12" s="17">
        <v>0.29999999999999982</v>
      </c>
    </row>
    <row r="13" spans="2:9" ht="14.4" x14ac:dyDescent="0.3">
      <c r="B13" s="17">
        <v>2</v>
      </c>
      <c r="C13" s="17">
        <v>1.2999999999999998</v>
      </c>
    </row>
    <row r="14" spans="2:9" ht="14.4" x14ac:dyDescent="0.3">
      <c r="B14" s="17">
        <v>2</v>
      </c>
      <c r="C14" s="17">
        <v>1.7999999999999998</v>
      </c>
    </row>
    <row r="15" spans="2:9" ht="14.4" x14ac:dyDescent="0.3">
      <c r="B15" s="17">
        <v>2.5</v>
      </c>
      <c r="C15" s="17">
        <v>0.79999999999999982</v>
      </c>
    </row>
    <row r="16" spans="2:9" ht="14.4" x14ac:dyDescent="0.3">
      <c r="B16" s="17">
        <v>2.5</v>
      </c>
      <c r="C16" s="17">
        <v>1.2999999999999998</v>
      </c>
    </row>
    <row r="17" spans="2:3" ht="14.4" x14ac:dyDescent="0.3">
      <c r="B17" s="17">
        <v>2.5</v>
      </c>
      <c r="C17" s="17">
        <v>1.7999999999999998</v>
      </c>
    </row>
    <row r="18" spans="2:3" ht="14.4" x14ac:dyDescent="0.3">
      <c r="B18" s="17">
        <v>2.5</v>
      </c>
      <c r="C18" s="17">
        <v>2.2999999999999998</v>
      </c>
    </row>
    <row r="19" spans="2:3" ht="14.4" x14ac:dyDescent="0.3">
      <c r="B19" s="17">
        <v>2.5</v>
      </c>
      <c r="C19" s="17">
        <v>0.29999999999999982</v>
      </c>
    </row>
    <row r="20" spans="2:3" ht="14.4" x14ac:dyDescent="0.3">
      <c r="B20" s="17">
        <v>3</v>
      </c>
      <c r="C20" s="17">
        <v>1.2999999999999998</v>
      </c>
    </row>
    <row r="21" spans="2:3" ht="15.75" customHeight="1" x14ac:dyDescent="0.3">
      <c r="B21" s="17">
        <v>3</v>
      </c>
      <c r="C21" s="17">
        <v>1.7999999999999998</v>
      </c>
    </row>
    <row r="22" spans="2:3" ht="15.75" customHeight="1" x14ac:dyDescent="0.3">
      <c r="B22" s="17">
        <v>3</v>
      </c>
      <c r="C22" s="17">
        <v>2.2999999999999998</v>
      </c>
    </row>
    <row r="23" spans="2:3" ht="15.75" customHeight="1" x14ac:dyDescent="0.3">
      <c r="B23" s="17">
        <v>3</v>
      </c>
      <c r="C23" s="17">
        <v>0.79999999999999982</v>
      </c>
    </row>
    <row r="24" spans="2:3" ht="15.75" customHeight="1" x14ac:dyDescent="0.3">
      <c r="B24" s="17">
        <v>3</v>
      </c>
      <c r="C24" s="17">
        <v>2.8</v>
      </c>
    </row>
    <row r="25" spans="2:3" ht="15.75" customHeight="1" x14ac:dyDescent="0.3">
      <c r="B25" s="17">
        <v>3</v>
      </c>
      <c r="C25" s="17">
        <v>0.29999999999999982</v>
      </c>
    </row>
    <row r="26" spans="2:3" ht="15.75" customHeight="1" x14ac:dyDescent="0.3">
      <c r="B26" s="17">
        <v>3.5</v>
      </c>
      <c r="C26" s="17">
        <v>1.7999999999999998</v>
      </c>
    </row>
    <row r="27" spans="2:3" ht="15.75" customHeight="1" x14ac:dyDescent="0.3">
      <c r="B27" s="17">
        <v>3.5</v>
      </c>
      <c r="C27" s="17">
        <v>0.79999999999999982</v>
      </c>
    </row>
    <row r="28" spans="2:3" ht="15.75" customHeight="1" x14ac:dyDescent="0.3"/>
    <row r="29" spans="2:3" ht="15.75" customHeight="1" x14ac:dyDescent="0.3"/>
    <row r="30" spans="2:3" ht="15.75" customHeight="1" x14ac:dyDescent="0.3"/>
    <row r="31" spans="2:3" ht="15.75" customHeight="1" x14ac:dyDescent="0.3"/>
    <row r="32" spans="2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B1:C27" xr:uid="{00000000-0009-0000-0000-000002000000}"/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2" spans="2:16" ht="14.4" x14ac:dyDescent="0.3">
      <c r="B2" s="1" t="s">
        <v>142</v>
      </c>
      <c r="G2" s="1" t="s">
        <v>161</v>
      </c>
      <c r="H2" s="1">
        <v>31</v>
      </c>
      <c r="K2" s="1" t="s">
        <v>5</v>
      </c>
      <c r="O2" s="1" t="s">
        <v>162</v>
      </c>
      <c r="P2" s="1">
        <v>32</v>
      </c>
    </row>
    <row r="3" spans="2:16" ht="14.4" x14ac:dyDescent="0.3">
      <c r="B3" s="1" t="s">
        <v>163</v>
      </c>
      <c r="C3" s="1">
        <v>43</v>
      </c>
      <c r="D3" s="1">
        <v>5.25</v>
      </c>
      <c r="G3" s="1" t="s">
        <v>164</v>
      </c>
      <c r="H3" s="1">
        <v>36</v>
      </c>
      <c r="K3" s="1" t="s">
        <v>163</v>
      </c>
      <c r="L3" s="1">
        <v>63</v>
      </c>
      <c r="M3" s="1">
        <v>10.75</v>
      </c>
      <c r="O3" s="1">
        <v>20</v>
      </c>
      <c r="P3" s="1">
        <v>35</v>
      </c>
    </row>
    <row r="4" spans="2:16" ht="14.4" x14ac:dyDescent="0.3">
      <c r="B4" s="1" t="s">
        <v>165</v>
      </c>
      <c r="C4" s="1">
        <v>22</v>
      </c>
      <c r="G4" s="1" t="s">
        <v>166</v>
      </c>
      <c r="H4" s="1">
        <v>22</v>
      </c>
      <c r="K4" s="1" t="s">
        <v>165</v>
      </c>
      <c r="L4" s="1">
        <v>20</v>
      </c>
      <c r="O4" s="1" t="s">
        <v>167</v>
      </c>
      <c r="P4" s="1">
        <v>42</v>
      </c>
    </row>
    <row r="5" spans="2:16" ht="14.4" x14ac:dyDescent="0.3">
      <c r="G5" s="1" t="s">
        <v>168</v>
      </c>
      <c r="H5" s="1">
        <v>35</v>
      </c>
      <c r="O5" s="1" t="s">
        <v>169</v>
      </c>
      <c r="P5" s="1">
        <v>38</v>
      </c>
    </row>
    <row r="6" spans="2:16" ht="14.4" x14ac:dyDescent="0.3">
      <c r="G6" s="1" t="s">
        <v>170</v>
      </c>
      <c r="H6" s="1">
        <v>22</v>
      </c>
      <c r="O6" s="1" t="s">
        <v>171</v>
      </c>
      <c r="P6" s="1">
        <v>39</v>
      </c>
    </row>
    <row r="7" spans="2:16" ht="14.4" x14ac:dyDescent="0.3">
      <c r="B7" s="1" t="s">
        <v>172</v>
      </c>
      <c r="C7" s="1">
        <v>22</v>
      </c>
      <c r="D7" s="1">
        <v>27.25</v>
      </c>
      <c r="G7" s="1" t="s">
        <v>173</v>
      </c>
      <c r="H7" s="1">
        <v>24</v>
      </c>
      <c r="K7" s="1" t="s">
        <v>172</v>
      </c>
      <c r="L7" s="1">
        <v>20</v>
      </c>
      <c r="M7" s="1">
        <v>30.75</v>
      </c>
      <c r="O7" s="1" t="s">
        <v>174</v>
      </c>
      <c r="P7" s="1">
        <v>22</v>
      </c>
    </row>
    <row r="8" spans="2:16" ht="14.4" x14ac:dyDescent="0.3">
      <c r="B8" s="1" t="s">
        <v>175</v>
      </c>
      <c r="C8" s="1">
        <v>27.25</v>
      </c>
      <c r="D8" s="1">
        <v>32.5</v>
      </c>
      <c r="G8" s="1" t="s">
        <v>176</v>
      </c>
      <c r="H8" s="1">
        <v>31</v>
      </c>
      <c r="K8" s="1" t="s">
        <v>175</v>
      </c>
      <c r="L8" s="1">
        <v>30.75</v>
      </c>
      <c r="M8" s="1">
        <v>41.5</v>
      </c>
      <c r="O8" s="1" t="s">
        <v>177</v>
      </c>
      <c r="P8" s="1">
        <v>39</v>
      </c>
    </row>
    <row r="9" spans="2:16" ht="14.4" x14ac:dyDescent="0.3">
      <c r="B9" s="1" t="s">
        <v>178</v>
      </c>
      <c r="C9" s="1">
        <v>32.5</v>
      </c>
      <c r="D9" s="1">
        <v>37.75</v>
      </c>
      <c r="G9" s="1" t="s">
        <v>179</v>
      </c>
      <c r="H9" s="1">
        <v>32</v>
      </c>
      <c r="K9" s="1" t="s">
        <v>178</v>
      </c>
      <c r="L9" s="1">
        <v>41.5</v>
      </c>
      <c r="M9" s="1">
        <v>52.25</v>
      </c>
      <c r="O9" s="1" t="s">
        <v>180</v>
      </c>
      <c r="P9" s="1">
        <v>25</v>
      </c>
    </row>
    <row r="10" spans="2:16" ht="14.4" x14ac:dyDescent="0.3">
      <c r="B10" s="1" t="s">
        <v>181</v>
      </c>
      <c r="C10" s="1">
        <v>37.75</v>
      </c>
      <c r="D10" s="1">
        <v>43</v>
      </c>
      <c r="G10" s="1" t="s">
        <v>182</v>
      </c>
      <c r="H10" s="1">
        <v>29</v>
      </c>
      <c r="K10" s="1" t="s">
        <v>181</v>
      </c>
      <c r="L10" s="1">
        <v>52.25</v>
      </c>
      <c r="M10" s="1">
        <v>63</v>
      </c>
      <c r="O10" s="1" t="s">
        <v>183</v>
      </c>
      <c r="P10" s="1">
        <v>32</v>
      </c>
    </row>
    <row r="11" spans="2:16" ht="14.4" x14ac:dyDescent="0.3">
      <c r="G11" s="1" t="s">
        <v>184</v>
      </c>
      <c r="H11" s="1">
        <v>26</v>
      </c>
      <c r="O11" s="1" t="s">
        <v>185</v>
      </c>
      <c r="P11" s="1">
        <v>40</v>
      </c>
    </row>
    <row r="12" spans="2:16" ht="14.4" x14ac:dyDescent="0.3">
      <c r="G12" s="1" t="s">
        <v>186</v>
      </c>
      <c r="H12" s="1">
        <v>39</v>
      </c>
      <c r="O12" s="1" t="s">
        <v>187</v>
      </c>
      <c r="P12" s="1">
        <v>33</v>
      </c>
    </row>
    <row r="13" spans="2:16" ht="14.4" x14ac:dyDescent="0.3">
      <c r="G13" s="1" t="s">
        <v>188</v>
      </c>
      <c r="H13" s="1">
        <v>30</v>
      </c>
      <c r="O13" s="1" t="s">
        <v>189</v>
      </c>
      <c r="P13" s="1">
        <v>26</v>
      </c>
    </row>
    <row r="14" spans="2:16" ht="14.4" x14ac:dyDescent="0.3">
      <c r="G14" s="1" t="s">
        <v>190</v>
      </c>
      <c r="H14" s="1">
        <v>31</v>
      </c>
      <c r="O14" s="1" t="s">
        <v>191</v>
      </c>
      <c r="P14" s="1">
        <v>30</v>
      </c>
    </row>
    <row r="15" spans="2:16" ht="14.4" x14ac:dyDescent="0.3">
      <c r="G15" s="1" t="s">
        <v>192</v>
      </c>
      <c r="H15" s="1">
        <v>34</v>
      </c>
      <c r="O15" s="1" t="s">
        <v>193</v>
      </c>
      <c r="P15" s="1">
        <v>26</v>
      </c>
    </row>
    <row r="16" spans="2:16" ht="14.4" x14ac:dyDescent="0.3">
      <c r="G16" s="1" t="s">
        <v>194</v>
      </c>
      <c r="H16" s="1">
        <v>40</v>
      </c>
      <c r="O16" s="1" t="s">
        <v>195</v>
      </c>
      <c r="P16" s="1">
        <v>32</v>
      </c>
    </row>
    <row r="17" spans="7:16" ht="14.4" x14ac:dyDescent="0.3">
      <c r="G17" s="1" t="s">
        <v>196</v>
      </c>
      <c r="H17" s="1">
        <v>33</v>
      </c>
      <c r="O17" s="1" t="s">
        <v>197</v>
      </c>
      <c r="P17" s="1">
        <v>35</v>
      </c>
    </row>
    <row r="18" spans="7:16" ht="14.4" x14ac:dyDescent="0.3">
      <c r="G18" s="1" t="s">
        <v>198</v>
      </c>
      <c r="H18" s="1">
        <v>32</v>
      </c>
      <c r="O18" s="1" t="s">
        <v>199</v>
      </c>
      <c r="P18" s="1">
        <v>36</v>
      </c>
    </row>
    <row r="19" spans="7:16" ht="14.4" x14ac:dyDescent="0.3">
      <c r="G19" s="1" t="s">
        <v>200</v>
      </c>
      <c r="H19" s="1">
        <v>34</v>
      </c>
      <c r="O19" s="1" t="s">
        <v>201</v>
      </c>
      <c r="P19" s="1">
        <v>29</v>
      </c>
    </row>
    <row r="20" spans="7:16" ht="14.4" x14ac:dyDescent="0.3">
      <c r="G20" s="1" t="s">
        <v>202</v>
      </c>
      <c r="H20" s="1">
        <v>26</v>
      </c>
      <c r="O20" s="1" t="s">
        <v>203</v>
      </c>
      <c r="P20" s="1">
        <v>29</v>
      </c>
    </row>
    <row r="21" spans="7:16" ht="15.75" customHeight="1" x14ac:dyDescent="0.3">
      <c r="G21" s="1" t="s">
        <v>204</v>
      </c>
      <c r="H21" s="1">
        <v>38</v>
      </c>
      <c r="O21" s="1" t="s">
        <v>205</v>
      </c>
      <c r="P21" s="1">
        <v>26</v>
      </c>
    </row>
    <row r="22" spans="7:16" ht="15.75" customHeight="1" x14ac:dyDescent="0.3">
      <c r="G22" s="1" t="s">
        <v>206</v>
      </c>
      <c r="H22" s="1">
        <v>33</v>
      </c>
      <c r="O22" s="1" t="s">
        <v>207</v>
      </c>
      <c r="P22" s="1">
        <v>31</v>
      </c>
    </row>
    <row r="23" spans="7:16" ht="15.75" customHeight="1" x14ac:dyDescent="0.3">
      <c r="G23" s="1" t="s">
        <v>208</v>
      </c>
      <c r="H23" s="1">
        <v>34</v>
      </c>
      <c r="O23" s="1" t="s">
        <v>209</v>
      </c>
      <c r="P23" s="1">
        <v>25</v>
      </c>
    </row>
    <row r="24" spans="7:16" ht="15.75" customHeight="1" x14ac:dyDescent="0.3">
      <c r="G24" s="1" t="s">
        <v>210</v>
      </c>
      <c r="H24" s="1">
        <v>36</v>
      </c>
      <c r="O24" s="1" t="s">
        <v>211</v>
      </c>
      <c r="P24" s="1">
        <v>36</v>
      </c>
    </row>
    <row r="25" spans="7:16" ht="15.75" customHeight="1" x14ac:dyDescent="0.3">
      <c r="G25" s="1" t="s">
        <v>212</v>
      </c>
      <c r="H25" s="1">
        <v>43</v>
      </c>
      <c r="O25" s="1" t="s">
        <v>213</v>
      </c>
      <c r="P25" s="1">
        <v>31</v>
      </c>
    </row>
    <row r="26" spans="7:16" ht="15.75" customHeight="1" x14ac:dyDescent="0.3">
      <c r="G26" s="1" t="s">
        <v>214</v>
      </c>
      <c r="H26" s="1">
        <v>30</v>
      </c>
      <c r="O26" s="1" t="s">
        <v>215</v>
      </c>
      <c r="P26" s="1">
        <v>26</v>
      </c>
    </row>
    <row r="27" spans="7:16" ht="15.75" customHeight="1" x14ac:dyDescent="0.3">
      <c r="G27" s="1" t="s">
        <v>216</v>
      </c>
      <c r="H27" s="1">
        <v>31</v>
      </c>
      <c r="O27" s="1" t="s">
        <v>217</v>
      </c>
      <c r="P27" s="1">
        <v>39</v>
      </c>
    </row>
    <row r="28" spans="7:16" ht="15.75" customHeight="1" x14ac:dyDescent="0.3">
      <c r="G28" s="1" t="s">
        <v>218</v>
      </c>
      <c r="H28" s="1">
        <v>37</v>
      </c>
      <c r="O28" s="1" t="s">
        <v>219</v>
      </c>
      <c r="P28" s="1">
        <v>38</v>
      </c>
    </row>
    <row r="29" spans="7:16" ht="15.75" customHeight="1" x14ac:dyDescent="0.3">
      <c r="G29" s="1" t="s">
        <v>220</v>
      </c>
      <c r="H29" s="1">
        <v>40</v>
      </c>
      <c r="O29" s="1" t="s">
        <v>221</v>
      </c>
      <c r="P29" s="1">
        <v>26</v>
      </c>
    </row>
    <row r="30" spans="7:16" ht="15.75" customHeight="1" x14ac:dyDescent="0.3">
      <c r="G30" s="1" t="s">
        <v>222</v>
      </c>
      <c r="H30" s="1">
        <v>34</v>
      </c>
      <c r="O30" s="1" t="s">
        <v>223</v>
      </c>
      <c r="P30" s="1">
        <v>37</v>
      </c>
    </row>
    <row r="31" spans="7:16" ht="15.75" customHeight="1" x14ac:dyDescent="0.3">
      <c r="G31" s="1" t="s">
        <v>224</v>
      </c>
      <c r="H31" s="1">
        <v>34</v>
      </c>
      <c r="O31" s="1" t="s">
        <v>225</v>
      </c>
      <c r="P31" s="1">
        <v>29</v>
      </c>
    </row>
    <row r="32" spans="7:16" ht="15.75" customHeight="1" x14ac:dyDescent="0.3">
      <c r="G32" s="1" t="s">
        <v>226</v>
      </c>
      <c r="H32" s="1">
        <v>30</v>
      </c>
      <c r="O32" s="1" t="s">
        <v>227</v>
      </c>
      <c r="P32" s="1">
        <v>22</v>
      </c>
    </row>
    <row r="33" spans="7:16" ht="15.75" customHeight="1" x14ac:dyDescent="0.3">
      <c r="G33" s="1" t="s">
        <v>228</v>
      </c>
      <c r="H33" s="1">
        <v>33</v>
      </c>
      <c r="O33" s="1" t="s">
        <v>229</v>
      </c>
      <c r="P33" s="1">
        <v>25</v>
      </c>
    </row>
    <row r="34" spans="7:16" ht="15.75" customHeight="1" x14ac:dyDescent="0.3">
      <c r="G34" s="1" t="s">
        <v>230</v>
      </c>
      <c r="H34" s="1">
        <v>32</v>
      </c>
      <c r="O34" s="1" t="s">
        <v>231</v>
      </c>
      <c r="P34" s="1">
        <v>30</v>
      </c>
    </row>
    <row r="35" spans="7:16" ht="15.75" customHeight="1" x14ac:dyDescent="0.3">
      <c r="G35" s="1" t="s">
        <v>232</v>
      </c>
      <c r="H35" s="1">
        <v>35</v>
      </c>
      <c r="O35" s="1" t="s">
        <v>233</v>
      </c>
      <c r="P35" s="1">
        <v>39</v>
      </c>
    </row>
    <row r="36" spans="7:16" ht="15.75" customHeight="1" x14ac:dyDescent="0.3">
      <c r="G36" s="1" t="s">
        <v>234</v>
      </c>
      <c r="H36" s="1">
        <v>28</v>
      </c>
      <c r="O36" s="1" t="s">
        <v>235</v>
      </c>
      <c r="P36" s="1">
        <v>20</v>
      </c>
    </row>
    <row r="37" spans="7:16" ht="15.75" customHeight="1" x14ac:dyDescent="0.3">
      <c r="O37" s="1" t="s">
        <v>236</v>
      </c>
      <c r="P37" s="1">
        <v>63</v>
      </c>
    </row>
    <row r="38" spans="7:16" ht="15.75" customHeight="1" x14ac:dyDescent="0.3">
      <c r="O38" s="1" t="s">
        <v>237</v>
      </c>
      <c r="P38" s="1">
        <v>34</v>
      </c>
    </row>
    <row r="39" spans="7:16" ht="15.75" customHeight="1" x14ac:dyDescent="0.3">
      <c r="O39" s="1" t="s">
        <v>238</v>
      </c>
      <c r="P39" s="1">
        <v>33</v>
      </c>
    </row>
    <row r="40" spans="7:16" ht="15.75" customHeight="1" x14ac:dyDescent="0.3">
      <c r="O40" s="1" t="s">
        <v>239</v>
      </c>
      <c r="P40" s="1">
        <v>38</v>
      </c>
    </row>
    <row r="41" spans="7:16" ht="15.75" customHeight="1" x14ac:dyDescent="0.3">
      <c r="O41" s="1" t="s">
        <v>240</v>
      </c>
      <c r="P41" s="1">
        <v>36</v>
      </c>
    </row>
    <row r="42" spans="7:16" ht="15.75" customHeight="1" x14ac:dyDescent="0.3">
      <c r="O42" s="1" t="s">
        <v>241</v>
      </c>
      <c r="P42" s="1">
        <v>25</v>
      </c>
    </row>
    <row r="43" spans="7:16" ht="15.75" customHeight="1" x14ac:dyDescent="0.3">
      <c r="O43" s="1" t="s">
        <v>242</v>
      </c>
      <c r="P43" s="1">
        <v>29</v>
      </c>
    </row>
    <row r="44" spans="7:16" ht="15.75" customHeight="1" x14ac:dyDescent="0.3">
      <c r="O44" s="1" t="s">
        <v>243</v>
      </c>
      <c r="P44" s="1">
        <v>29</v>
      </c>
    </row>
    <row r="45" spans="7:16" ht="15.75" customHeight="1" x14ac:dyDescent="0.3">
      <c r="O45" s="1" t="s">
        <v>244</v>
      </c>
      <c r="P45" s="1">
        <v>31</v>
      </c>
    </row>
    <row r="46" spans="7:16" ht="15.75" customHeight="1" x14ac:dyDescent="0.3">
      <c r="O46" s="1" t="s">
        <v>245</v>
      </c>
      <c r="P46" s="1">
        <v>36</v>
      </c>
    </row>
    <row r="47" spans="7:16" ht="15.75" customHeight="1" x14ac:dyDescent="0.3">
      <c r="O47" s="1" t="s">
        <v>246</v>
      </c>
      <c r="P47" s="1">
        <v>20</v>
      </c>
    </row>
    <row r="48" spans="7:16" ht="15.75" customHeight="1" x14ac:dyDescent="0.3">
      <c r="O48" s="1" t="s">
        <v>247</v>
      </c>
      <c r="P48" s="1">
        <v>33</v>
      </c>
    </row>
    <row r="49" spans="15:16" ht="15.75" customHeight="1" x14ac:dyDescent="0.3">
      <c r="O49" s="1" t="s">
        <v>248</v>
      </c>
      <c r="P49" s="1">
        <v>28</v>
      </c>
    </row>
    <row r="50" spans="15:16" ht="15.75" customHeight="1" x14ac:dyDescent="0.3">
      <c r="O50" s="1" t="s">
        <v>249</v>
      </c>
      <c r="P50" s="1">
        <v>26</v>
      </c>
    </row>
    <row r="51" spans="15:16" ht="15.75" customHeight="1" x14ac:dyDescent="0.3">
      <c r="O51" s="1" t="s">
        <v>250</v>
      </c>
      <c r="P51" s="1">
        <v>31</v>
      </c>
    </row>
    <row r="52" spans="15:16" ht="15.75" customHeight="1" x14ac:dyDescent="0.3">
      <c r="O52" s="1" t="s">
        <v>251</v>
      </c>
      <c r="P52" s="1">
        <v>41</v>
      </c>
    </row>
    <row r="53" spans="15:16" ht="15.75" customHeight="1" x14ac:dyDescent="0.3">
      <c r="O53" s="1" t="s">
        <v>252</v>
      </c>
      <c r="P53" s="1">
        <v>31</v>
      </c>
    </row>
    <row r="54" spans="15:16" ht="15.75" customHeight="1" x14ac:dyDescent="0.3">
      <c r="O54" s="1" t="s">
        <v>253</v>
      </c>
      <c r="P54" s="1">
        <v>35</v>
      </c>
    </row>
    <row r="55" spans="15:16" ht="15.75" customHeight="1" x14ac:dyDescent="0.3">
      <c r="O55" s="1" t="s">
        <v>254</v>
      </c>
      <c r="P55" s="1">
        <v>33</v>
      </c>
    </row>
    <row r="56" spans="15:16" ht="15.75" customHeight="1" x14ac:dyDescent="0.3">
      <c r="O56" s="1" t="s">
        <v>255</v>
      </c>
      <c r="P56" s="1">
        <v>35</v>
      </c>
    </row>
    <row r="57" spans="15:16" ht="15.75" customHeight="1" x14ac:dyDescent="0.3">
      <c r="O57" s="1" t="s">
        <v>256</v>
      </c>
      <c r="P57" s="1">
        <v>29</v>
      </c>
    </row>
    <row r="58" spans="15:16" ht="15.75" customHeight="1" x14ac:dyDescent="0.3">
      <c r="O58" s="1" t="s">
        <v>257</v>
      </c>
      <c r="P58" s="1">
        <v>35</v>
      </c>
    </row>
    <row r="59" spans="15:16" ht="15.75" customHeight="1" x14ac:dyDescent="0.3">
      <c r="O59" s="1" t="s">
        <v>258</v>
      </c>
      <c r="P59" s="1">
        <v>27</v>
      </c>
    </row>
    <row r="60" spans="15:16" ht="15.75" customHeight="1" x14ac:dyDescent="0.3">
      <c r="O60" s="1" t="s">
        <v>259</v>
      </c>
      <c r="P60" s="1">
        <v>29</v>
      </c>
    </row>
    <row r="61" spans="15:16" ht="15.75" customHeight="1" x14ac:dyDescent="0.3">
      <c r="O61" s="1" t="s">
        <v>260</v>
      </c>
      <c r="P61" s="1">
        <v>20</v>
      </c>
    </row>
    <row r="62" spans="15:16" ht="15.75" customHeight="1" x14ac:dyDescent="0.3">
      <c r="O62" s="1" t="s">
        <v>261</v>
      </c>
      <c r="P62" s="1">
        <v>30</v>
      </c>
    </row>
    <row r="63" spans="15:16" ht="15.75" customHeight="1" x14ac:dyDescent="0.3">
      <c r="O63" s="1" t="s">
        <v>262</v>
      </c>
      <c r="P63" s="1">
        <v>24</v>
      </c>
    </row>
    <row r="64" spans="15:16" ht="15.75" customHeight="1" x14ac:dyDescent="0.3">
      <c r="O64" s="1" t="s">
        <v>263</v>
      </c>
      <c r="P64" s="1">
        <v>33</v>
      </c>
    </row>
    <row r="65" spans="15:16" ht="15.75" customHeight="1" x14ac:dyDescent="0.3">
      <c r="O65" s="1" t="s">
        <v>264</v>
      </c>
      <c r="P65" s="1">
        <v>38</v>
      </c>
    </row>
    <row r="66" spans="15:16" ht="15.75" customHeight="1" x14ac:dyDescent="0.3">
      <c r="O66" s="1" t="s">
        <v>265</v>
      </c>
      <c r="P66" s="1">
        <v>41</v>
      </c>
    </row>
    <row r="67" spans="15:16" ht="15.75" customHeight="1" x14ac:dyDescent="0.3"/>
    <row r="68" spans="15:16" ht="15.75" customHeight="1" x14ac:dyDescent="0.3"/>
    <row r="69" spans="15:16" ht="15.75" customHeight="1" x14ac:dyDescent="0.3"/>
    <row r="70" spans="15:16" ht="15.75" customHeight="1" x14ac:dyDescent="0.3"/>
    <row r="71" spans="15:16" ht="15.75" customHeight="1" x14ac:dyDescent="0.3"/>
    <row r="72" spans="15:16" ht="15.75" customHeight="1" x14ac:dyDescent="0.3"/>
    <row r="73" spans="15:16" ht="15.75" customHeight="1" x14ac:dyDescent="0.3"/>
    <row r="74" spans="15:16" ht="15.75" customHeight="1" x14ac:dyDescent="0.3"/>
    <row r="75" spans="15:16" ht="15.75" customHeight="1" x14ac:dyDescent="0.3"/>
    <row r="76" spans="15:16" ht="15.75" customHeight="1" x14ac:dyDescent="0.3"/>
    <row r="77" spans="15:16" ht="15.75" customHeight="1" x14ac:dyDescent="0.3"/>
    <row r="78" spans="15:16" ht="15.75" customHeight="1" x14ac:dyDescent="0.3"/>
    <row r="79" spans="15:16" ht="15.75" customHeight="1" x14ac:dyDescent="0.3"/>
    <row r="80" spans="15:1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3:F1000"/>
  <sheetViews>
    <sheetView showGridLines="0" workbookViewId="0">
      <selection activeCell="B7" sqref="B7:C7"/>
    </sheetView>
  </sheetViews>
  <sheetFormatPr defaultColWidth="14.44140625" defaultRowHeight="15" customHeight="1" x14ac:dyDescent="0.3"/>
  <cols>
    <col min="1" max="1" width="8.6640625" customWidth="1"/>
    <col min="2" max="2" width="12.33203125" customWidth="1"/>
    <col min="3" max="3" width="48" customWidth="1"/>
    <col min="4" max="4" width="31.6640625" customWidth="1"/>
    <col min="5" max="5" width="28.5546875" customWidth="1"/>
    <col min="6" max="6" width="28.33203125" customWidth="1"/>
    <col min="7" max="26" width="8.6640625" customWidth="1"/>
  </cols>
  <sheetData>
    <row r="3" spans="2:6" ht="14.4" x14ac:dyDescent="0.3">
      <c r="B3" s="2" t="s">
        <v>296</v>
      </c>
      <c r="C3" s="2" t="s">
        <v>297</v>
      </c>
      <c r="D3" s="2" t="s">
        <v>298</v>
      </c>
      <c r="E3" s="2" t="s">
        <v>299</v>
      </c>
      <c r="F3" s="2" t="s">
        <v>300</v>
      </c>
    </row>
    <row r="4" spans="2:6" ht="28.8" x14ac:dyDescent="0.3">
      <c r="B4" s="39" t="s">
        <v>145</v>
      </c>
      <c r="C4" s="42" t="s">
        <v>301</v>
      </c>
      <c r="D4" s="39" t="s">
        <v>302</v>
      </c>
      <c r="E4" s="39" t="s">
        <v>302</v>
      </c>
      <c r="F4" s="39" t="s">
        <v>303</v>
      </c>
    </row>
    <row r="5" spans="2:6" ht="28.8" x14ac:dyDescent="0.3">
      <c r="B5" s="43" t="s">
        <v>304</v>
      </c>
      <c r="C5" s="42" t="s">
        <v>305</v>
      </c>
      <c r="D5" s="39" t="s">
        <v>302</v>
      </c>
      <c r="E5" s="39" t="s">
        <v>302</v>
      </c>
      <c r="F5" s="39" t="s">
        <v>303</v>
      </c>
    </row>
    <row r="6" spans="2:6" ht="28.8" x14ac:dyDescent="0.3">
      <c r="B6" s="43" t="s">
        <v>306</v>
      </c>
      <c r="C6" s="42" t="s">
        <v>307</v>
      </c>
      <c r="D6" s="39" t="s">
        <v>302</v>
      </c>
      <c r="E6" s="39" t="s">
        <v>302</v>
      </c>
      <c r="F6" s="39" t="s">
        <v>303</v>
      </c>
    </row>
    <row r="7" spans="2:6" ht="28.8" x14ac:dyDescent="0.3">
      <c r="B7" s="43" t="s">
        <v>308</v>
      </c>
      <c r="C7" s="42" t="s">
        <v>309</v>
      </c>
      <c r="D7" s="39" t="s">
        <v>302</v>
      </c>
      <c r="E7" s="39" t="s">
        <v>302</v>
      </c>
      <c r="F7" s="39" t="s">
        <v>303</v>
      </c>
    </row>
    <row r="8" spans="2:6" ht="28.8" x14ac:dyDescent="0.3">
      <c r="B8" s="43" t="s">
        <v>310</v>
      </c>
      <c r="C8" s="42" t="s">
        <v>311</v>
      </c>
      <c r="D8" s="39" t="s">
        <v>302</v>
      </c>
      <c r="E8" s="39" t="s">
        <v>302</v>
      </c>
      <c r="F8" s="39" t="s">
        <v>303</v>
      </c>
    </row>
    <row r="9" spans="2:6" ht="28.8" x14ac:dyDescent="0.3">
      <c r="B9" s="43" t="s">
        <v>312</v>
      </c>
      <c r="C9" s="42" t="s">
        <v>313</v>
      </c>
      <c r="D9" s="39" t="s">
        <v>302</v>
      </c>
      <c r="E9" s="39" t="s">
        <v>302</v>
      </c>
      <c r="F9" s="39" t="s">
        <v>303</v>
      </c>
    </row>
    <row r="10" spans="2:6" ht="14.4" x14ac:dyDescent="0.3">
      <c r="B10" s="43" t="s">
        <v>314</v>
      </c>
      <c r="C10" s="42" t="s">
        <v>315</v>
      </c>
      <c r="D10" s="39">
        <v>3</v>
      </c>
      <c r="E10" s="37">
        <v>0.5</v>
      </c>
      <c r="F10" s="37" t="s">
        <v>316</v>
      </c>
    </row>
    <row r="11" spans="2:6" ht="14.4" x14ac:dyDescent="0.3">
      <c r="B11" s="43" t="s">
        <v>317</v>
      </c>
      <c r="C11" s="42" t="s">
        <v>318</v>
      </c>
      <c r="D11" s="39">
        <v>7</v>
      </c>
      <c r="E11" s="37">
        <v>0.9</v>
      </c>
      <c r="F11" s="37" t="s">
        <v>316</v>
      </c>
    </row>
    <row r="12" spans="2:6" ht="14.4" x14ac:dyDescent="0.3">
      <c r="B12" s="39" t="s">
        <v>319</v>
      </c>
      <c r="C12" s="42" t="s">
        <v>320</v>
      </c>
      <c r="D12" s="39">
        <v>4</v>
      </c>
      <c r="E12" s="37">
        <v>0</v>
      </c>
      <c r="F12" s="37" t="s">
        <v>316</v>
      </c>
    </row>
    <row r="13" spans="2:6" ht="14.4" x14ac:dyDescent="0.3">
      <c r="B13" s="43" t="s">
        <v>321</v>
      </c>
      <c r="C13" s="42" t="s">
        <v>322</v>
      </c>
      <c r="D13" s="39" t="s">
        <v>302</v>
      </c>
      <c r="E13" s="39" t="s">
        <v>302</v>
      </c>
      <c r="F13" s="39" t="s">
        <v>303</v>
      </c>
    </row>
    <row r="14" spans="2:6" ht="28.8" x14ac:dyDescent="0.3">
      <c r="B14" s="39" t="s">
        <v>323</v>
      </c>
      <c r="C14" s="42" t="s">
        <v>324</v>
      </c>
      <c r="D14" s="44" t="s">
        <v>325</v>
      </c>
      <c r="E14" s="44" t="s">
        <v>326</v>
      </c>
      <c r="F14" s="37" t="s">
        <v>327</v>
      </c>
    </row>
    <row r="15" spans="2:6" ht="28.8" x14ac:dyDescent="0.3">
      <c r="B15" s="39" t="s">
        <v>328</v>
      </c>
      <c r="C15" s="42" t="s">
        <v>329</v>
      </c>
      <c r="D15" s="44" t="s">
        <v>330</v>
      </c>
      <c r="E15" s="44" t="s">
        <v>331</v>
      </c>
      <c r="F15" s="37" t="s">
        <v>327</v>
      </c>
    </row>
    <row r="16" spans="2:6" ht="28.8" x14ac:dyDescent="0.3">
      <c r="B16" s="39" t="s">
        <v>332</v>
      </c>
      <c r="C16" s="42" t="s">
        <v>333</v>
      </c>
      <c r="D16" s="44" t="s">
        <v>334</v>
      </c>
      <c r="E16" s="44" t="s">
        <v>335</v>
      </c>
      <c r="F16" s="37" t="s">
        <v>327</v>
      </c>
    </row>
    <row r="17" spans="2:6" ht="28.8" x14ac:dyDescent="0.3">
      <c r="B17" s="39" t="s">
        <v>336</v>
      </c>
      <c r="C17" s="42" t="s">
        <v>337</v>
      </c>
      <c r="D17" s="44" t="s">
        <v>334</v>
      </c>
      <c r="E17" s="44" t="s">
        <v>335</v>
      </c>
      <c r="F17" s="37" t="s">
        <v>327</v>
      </c>
    </row>
    <row r="18" spans="2:6" ht="28.8" x14ac:dyDescent="0.3">
      <c r="B18" s="39" t="s">
        <v>338</v>
      </c>
      <c r="C18" s="42" t="s">
        <v>339</v>
      </c>
      <c r="D18" s="44" t="s">
        <v>334</v>
      </c>
      <c r="E18" s="44" t="s">
        <v>335</v>
      </c>
      <c r="F18" s="37" t="s">
        <v>327</v>
      </c>
    </row>
    <row r="19" spans="2:6" ht="28.8" x14ac:dyDescent="0.3">
      <c r="B19" s="39" t="s">
        <v>340</v>
      </c>
      <c r="C19" s="42" t="s">
        <v>341</v>
      </c>
      <c r="D19" s="44" t="s">
        <v>334</v>
      </c>
      <c r="E19" s="44" t="s">
        <v>335</v>
      </c>
      <c r="F19" s="37" t="s">
        <v>327</v>
      </c>
    </row>
    <row r="20" spans="2:6" ht="28.8" x14ac:dyDescent="0.3">
      <c r="B20" s="39" t="s">
        <v>342</v>
      </c>
      <c r="C20" s="42" t="s">
        <v>343</v>
      </c>
      <c r="D20" s="44" t="s">
        <v>334</v>
      </c>
      <c r="E20" s="44" t="s">
        <v>335</v>
      </c>
      <c r="F20" s="37" t="s">
        <v>327</v>
      </c>
    </row>
    <row r="21" spans="2:6" ht="28.8" x14ac:dyDescent="0.3">
      <c r="B21" s="39" t="s">
        <v>344</v>
      </c>
      <c r="C21" s="42" t="s">
        <v>345</v>
      </c>
      <c r="D21" s="44" t="s">
        <v>334</v>
      </c>
      <c r="E21" s="44" t="s">
        <v>335</v>
      </c>
      <c r="F21" s="37" t="s">
        <v>327</v>
      </c>
    </row>
    <row r="22" spans="2:6" ht="15.75" customHeight="1" x14ac:dyDescent="0.3">
      <c r="B22" s="39" t="s">
        <v>151</v>
      </c>
      <c r="C22" s="44" t="s">
        <v>346</v>
      </c>
      <c r="D22" s="39" t="s">
        <v>302</v>
      </c>
      <c r="E22" s="39" t="s">
        <v>302</v>
      </c>
      <c r="F22" s="39" t="s">
        <v>303</v>
      </c>
    </row>
    <row r="23" spans="2:6" ht="15.75" customHeight="1" x14ac:dyDescent="0.3"/>
    <row r="24" spans="2:6" ht="15.75" customHeight="1" x14ac:dyDescent="0.3"/>
    <row r="25" spans="2:6" ht="15.75" customHeight="1" x14ac:dyDescent="0.3"/>
    <row r="26" spans="2:6" ht="15.75" customHeight="1" x14ac:dyDescent="0.3"/>
    <row r="27" spans="2:6" ht="15.75" customHeight="1" x14ac:dyDescent="0.3"/>
    <row r="28" spans="2:6" ht="15.75" customHeight="1" x14ac:dyDescent="0.3"/>
    <row r="29" spans="2:6" ht="15.75" customHeight="1" x14ac:dyDescent="0.3"/>
    <row r="30" spans="2:6" ht="15.75" customHeight="1" x14ac:dyDescent="0.3"/>
    <row r="31" spans="2:6" ht="15.75" customHeight="1" x14ac:dyDescent="0.3"/>
    <row r="32" spans="2: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B2:K1000"/>
  <sheetViews>
    <sheetView workbookViewId="0">
      <selection activeCell="I11" sqref="I11"/>
    </sheetView>
  </sheetViews>
  <sheetFormatPr defaultColWidth="14.44140625" defaultRowHeight="15" customHeight="1" x14ac:dyDescent="0.3"/>
  <cols>
    <col min="1" max="1" width="3.6640625" customWidth="1"/>
    <col min="2" max="4" width="12.33203125" customWidth="1"/>
    <col min="5" max="5" width="11.109375" customWidth="1"/>
    <col min="6" max="6" width="12.33203125" customWidth="1"/>
    <col min="7" max="7" width="22.44140625" customWidth="1"/>
    <col min="8" max="8" width="18.33203125" customWidth="1"/>
    <col min="9" max="9" width="21.88671875" customWidth="1"/>
    <col min="10" max="10" width="21.5546875" customWidth="1"/>
    <col min="11" max="11" width="16.44140625" customWidth="1"/>
    <col min="12" max="26" width="8.6640625" customWidth="1"/>
  </cols>
  <sheetData>
    <row r="2" spans="2:10" ht="14.4" x14ac:dyDescent="0.3">
      <c r="B2" s="172" t="s">
        <v>269</v>
      </c>
      <c r="C2" s="173"/>
      <c r="D2" s="169"/>
      <c r="E2" s="172" t="s">
        <v>270</v>
      </c>
      <c r="F2" s="173"/>
      <c r="G2" s="173"/>
      <c r="H2" s="173"/>
      <c r="I2" s="173"/>
      <c r="J2" s="169"/>
    </row>
    <row r="3" spans="2:10" ht="14.4" x14ac:dyDescent="0.3">
      <c r="B3" s="2" t="s">
        <v>165</v>
      </c>
      <c r="C3" s="2" t="s">
        <v>271</v>
      </c>
      <c r="D3" s="2" t="s">
        <v>163</v>
      </c>
      <c r="E3" s="2" t="s">
        <v>1</v>
      </c>
      <c r="F3" s="2" t="s">
        <v>271</v>
      </c>
      <c r="G3" s="2" t="s">
        <v>272</v>
      </c>
      <c r="H3" s="2" t="s">
        <v>273</v>
      </c>
      <c r="I3" s="2" t="s">
        <v>274</v>
      </c>
      <c r="J3" s="2" t="s">
        <v>275</v>
      </c>
    </row>
    <row r="4" spans="2:10" ht="14.4" x14ac:dyDescent="0.3">
      <c r="B4" s="35" t="s">
        <v>130</v>
      </c>
      <c r="C4" s="35">
        <v>0.5</v>
      </c>
      <c r="D4" s="35" t="s">
        <v>130</v>
      </c>
      <c r="E4" s="4" t="s">
        <v>276</v>
      </c>
      <c r="F4" s="35">
        <v>0.5</v>
      </c>
      <c r="G4" s="4" t="s">
        <v>277</v>
      </c>
      <c r="H4" s="35">
        <v>0</v>
      </c>
      <c r="I4" s="4" t="s">
        <v>277</v>
      </c>
      <c r="J4" s="36"/>
    </row>
    <row r="5" spans="2:10" ht="14.4" x14ac:dyDescent="0.3">
      <c r="B5" s="35" t="s">
        <v>130</v>
      </c>
      <c r="C5" s="35">
        <v>0.5</v>
      </c>
      <c r="D5" s="35" t="s">
        <v>130</v>
      </c>
      <c r="E5" s="4" t="s">
        <v>278</v>
      </c>
      <c r="F5" s="35">
        <v>0.5</v>
      </c>
      <c r="G5" s="4" t="s">
        <v>277</v>
      </c>
      <c r="H5" s="35">
        <v>0</v>
      </c>
      <c r="I5" s="4" t="s">
        <v>277</v>
      </c>
      <c r="J5" s="36"/>
    </row>
    <row r="6" spans="2:10" ht="14.4" x14ac:dyDescent="0.3">
      <c r="B6" s="35" t="s">
        <v>130</v>
      </c>
      <c r="C6" s="35">
        <v>0.5</v>
      </c>
      <c r="D6" s="35" t="s">
        <v>130</v>
      </c>
      <c r="E6" s="4" t="s">
        <v>279</v>
      </c>
      <c r="F6" s="35">
        <v>0.5</v>
      </c>
      <c r="G6" s="4" t="s">
        <v>277</v>
      </c>
      <c r="H6" s="35">
        <v>0</v>
      </c>
      <c r="I6" s="4" t="s">
        <v>277</v>
      </c>
      <c r="J6" s="36"/>
    </row>
    <row r="7" spans="2:10" ht="14.4" x14ac:dyDescent="0.3">
      <c r="B7" s="35" t="s">
        <v>130</v>
      </c>
      <c r="C7" s="35">
        <v>0.5</v>
      </c>
      <c r="D7" s="35" t="s">
        <v>130</v>
      </c>
      <c r="E7" s="4" t="s">
        <v>280</v>
      </c>
      <c r="F7" s="35">
        <v>0.5</v>
      </c>
      <c r="G7" s="4" t="s">
        <v>277</v>
      </c>
      <c r="H7" s="35">
        <v>0.5</v>
      </c>
      <c r="I7" s="4" t="s">
        <v>277</v>
      </c>
      <c r="J7" s="36"/>
    </row>
    <row r="8" spans="2:10" ht="14.4" x14ac:dyDescent="0.3">
      <c r="B8" s="35" t="s">
        <v>130</v>
      </c>
      <c r="C8" s="35">
        <v>0.5</v>
      </c>
      <c r="D8" s="35" t="s">
        <v>130</v>
      </c>
      <c r="E8" s="4" t="s">
        <v>281</v>
      </c>
      <c r="F8" s="35"/>
      <c r="G8" s="4"/>
      <c r="H8" s="35"/>
      <c r="I8" s="35"/>
      <c r="J8" s="36" t="s">
        <v>282</v>
      </c>
    </row>
    <row r="9" spans="2:10" ht="14.4" x14ac:dyDescent="0.3">
      <c r="B9" s="35">
        <v>0.51</v>
      </c>
      <c r="C9" s="37">
        <v>1</v>
      </c>
      <c r="D9" s="35">
        <v>1.2</v>
      </c>
      <c r="E9" s="4" t="s">
        <v>150</v>
      </c>
      <c r="F9" s="37">
        <v>1.2</v>
      </c>
      <c r="G9" s="38"/>
      <c r="H9" s="39"/>
      <c r="I9" s="35">
        <v>6.5</v>
      </c>
      <c r="J9" s="36"/>
    </row>
    <row r="10" spans="2:10" ht="14.4" x14ac:dyDescent="0.3">
      <c r="B10" s="35">
        <v>1.21</v>
      </c>
      <c r="C10" s="37">
        <v>1.5</v>
      </c>
      <c r="D10" s="35">
        <v>1.5</v>
      </c>
      <c r="E10" s="4" t="s">
        <v>141</v>
      </c>
      <c r="F10" s="37">
        <v>1.4</v>
      </c>
      <c r="G10" s="38"/>
      <c r="H10" s="39"/>
      <c r="I10" s="35">
        <v>6.5</v>
      </c>
      <c r="J10" s="36"/>
    </row>
    <row r="11" spans="2:10" ht="14.4" x14ac:dyDescent="0.3">
      <c r="B11" s="35">
        <v>1.51</v>
      </c>
      <c r="C11" s="37">
        <v>2</v>
      </c>
      <c r="D11" s="35">
        <v>2.2000000000000002</v>
      </c>
      <c r="E11" s="4" t="s">
        <v>138</v>
      </c>
      <c r="F11" s="37">
        <v>1.8</v>
      </c>
      <c r="G11" s="38"/>
      <c r="H11" s="39"/>
      <c r="I11" s="35">
        <v>7</v>
      </c>
      <c r="J11" s="36"/>
    </row>
    <row r="12" spans="2:10" ht="14.4" x14ac:dyDescent="0.3">
      <c r="B12" s="35">
        <v>2.21</v>
      </c>
      <c r="C12" s="37">
        <v>2.5</v>
      </c>
      <c r="D12" s="35">
        <v>2.5</v>
      </c>
      <c r="E12" s="4" t="s">
        <v>135</v>
      </c>
      <c r="F12" s="37">
        <v>2.4</v>
      </c>
      <c r="G12" s="38"/>
      <c r="H12" s="39"/>
      <c r="I12" s="35">
        <v>7.5</v>
      </c>
      <c r="J12" s="36"/>
    </row>
    <row r="13" spans="2:10" ht="14.4" x14ac:dyDescent="0.3">
      <c r="B13" s="35">
        <v>2.5099999999999998</v>
      </c>
      <c r="C13" s="37">
        <v>3</v>
      </c>
      <c r="D13" s="35">
        <v>3.2</v>
      </c>
      <c r="E13" s="4" t="s">
        <v>147</v>
      </c>
      <c r="F13" s="37">
        <v>2.8</v>
      </c>
      <c r="G13" s="38"/>
      <c r="H13" s="39"/>
      <c r="I13" s="35">
        <v>8</v>
      </c>
      <c r="J13" s="36"/>
    </row>
    <row r="14" spans="2:10" ht="14.4" x14ac:dyDescent="0.3">
      <c r="B14" s="35">
        <v>3.21</v>
      </c>
      <c r="C14" s="37">
        <v>3.5</v>
      </c>
      <c r="D14" s="35">
        <v>5</v>
      </c>
      <c r="E14" s="4" t="s">
        <v>140</v>
      </c>
      <c r="F14" s="37">
        <v>3.5</v>
      </c>
      <c r="G14" s="38"/>
      <c r="H14" s="39"/>
      <c r="I14" s="35">
        <v>8.5</v>
      </c>
      <c r="J14" s="36"/>
    </row>
    <row r="17" spans="2:11" ht="14.4" x14ac:dyDescent="0.3">
      <c r="B17" s="170" t="s">
        <v>283</v>
      </c>
      <c r="C17" s="170" t="s">
        <v>284</v>
      </c>
      <c r="D17" s="174" t="s">
        <v>285</v>
      </c>
      <c r="E17" s="175" t="s">
        <v>286</v>
      </c>
      <c r="F17" s="173"/>
      <c r="G17" s="169"/>
      <c r="H17" s="175" t="s">
        <v>287</v>
      </c>
      <c r="I17" s="173"/>
      <c r="J17" s="169"/>
      <c r="K17" s="170" t="s">
        <v>288</v>
      </c>
    </row>
    <row r="18" spans="2:11" ht="14.4" x14ac:dyDescent="0.3">
      <c r="B18" s="171"/>
      <c r="C18" s="171"/>
      <c r="D18" s="171"/>
      <c r="E18" s="41" t="s">
        <v>289</v>
      </c>
      <c r="F18" s="41" t="s">
        <v>290</v>
      </c>
      <c r="G18" s="41" t="s">
        <v>291</v>
      </c>
      <c r="H18" s="41" t="s">
        <v>289</v>
      </c>
      <c r="I18" s="41" t="s">
        <v>290</v>
      </c>
      <c r="J18" s="41" t="s">
        <v>291</v>
      </c>
      <c r="K18" s="171"/>
    </row>
    <row r="19" spans="2:11" ht="14.4" x14ac:dyDescent="0.3">
      <c r="B19" s="37">
        <v>1</v>
      </c>
      <c r="C19" s="37">
        <v>0</v>
      </c>
      <c r="D19" s="37">
        <f>TAN(C19/B19)*180/PI()</f>
        <v>0</v>
      </c>
      <c r="E19" s="37">
        <v>6</v>
      </c>
      <c r="F19" s="37">
        <v>6</v>
      </c>
      <c r="G19" s="37">
        <v>6</v>
      </c>
      <c r="H19" s="37">
        <f t="shared" ref="H19:H26" si="0">C19+E19</f>
        <v>6</v>
      </c>
      <c r="I19" s="37">
        <f t="shared" ref="I19:I26" si="1">C19+F19</f>
        <v>6</v>
      </c>
      <c r="J19" s="37">
        <f t="shared" ref="J19:J26" si="2">C19+G19</f>
        <v>6</v>
      </c>
      <c r="K19" s="41" t="s">
        <v>292</v>
      </c>
    </row>
    <row r="20" spans="2:11" ht="14.4" x14ac:dyDescent="0.3">
      <c r="B20" s="37">
        <v>1</v>
      </c>
      <c r="C20" s="39">
        <v>0.25900000000000001</v>
      </c>
      <c r="D20" s="37">
        <v>0</v>
      </c>
      <c r="E20" s="37">
        <v>6</v>
      </c>
      <c r="F20" s="37">
        <v>6</v>
      </c>
      <c r="G20" s="37">
        <v>6</v>
      </c>
      <c r="H20" s="39">
        <f t="shared" si="0"/>
        <v>6.2590000000000003</v>
      </c>
      <c r="I20" s="39">
        <f t="shared" si="1"/>
        <v>6.2590000000000003</v>
      </c>
      <c r="J20" s="39">
        <f t="shared" si="2"/>
        <v>6.2590000000000003</v>
      </c>
      <c r="K20" s="41" t="s">
        <v>293</v>
      </c>
    </row>
    <row r="21" spans="2:11" ht="15.75" customHeight="1" x14ac:dyDescent="0.3">
      <c r="B21" s="37">
        <v>1.2</v>
      </c>
      <c r="C21" s="39">
        <v>0.9</v>
      </c>
      <c r="D21" s="37">
        <v>0</v>
      </c>
      <c r="E21" s="37">
        <v>6</v>
      </c>
      <c r="F21" s="37">
        <v>6</v>
      </c>
      <c r="G21" s="37">
        <v>6</v>
      </c>
      <c r="H21" s="39">
        <f t="shared" si="0"/>
        <v>6.9</v>
      </c>
      <c r="I21" s="39">
        <f t="shared" si="1"/>
        <v>6.9</v>
      </c>
      <c r="J21" s="39">
        <f t="shared" si="2"/>
        <v>6.9</v>
      </c>
      <c r="K21" s="41" t="s">
        <v>294</v>
      </c>
    </row>
    <row r="22" spans="2:11" ht="15.75" customHeight="1" x14ac:dyDescent="0.3">
      <c r="B22" s="37">
        <v>1.5</v>
      </c>
      <c r="C22" s="39">
        <v>1.21</v>
      </c>
      <c r="D22" s="37">
        <v>0</v>
      </c>
      <c r="E22" s="37">
        <v>6</v>
      </c>
      <c r="F22" s="37">
        <v>6</v>
      </c>
      <c r="G22" s="37">
        <v>6</v>
      </c>
      <c r="H22" s="39">
        <f t="shared" si="0"/>
        <v>7.21</v>
      </c>
      <c r="I22" s="39">
        <f t="shared" si="1"/>
        <v>7.21</v>
      </c>
      <c r="J22" s="39">
        <f t="shared" si="2"/>
        <v>7.21</v>
      </c>
      <c r="K22" s="41" t="s">
        <v>154</v>
      </c>
    </row>
    <row r="23" spans="2:11" ht="15.75" customHeight="1" x14ac:dyDescent="0.3">
      <c r="B23" s="37">
        <v>1.6</v>
      </c>
      <c r="C23" s="39">
        <v>1.21</v>
      </c>
      <c r="D23" s="37">
        <v>0</v>
      </c>
      <c r="E23" s="37">
        <v>6</v>
      </c>
      <c r="F23" s="37">
        <v>6</v>
      </c>
      <c r="G23" s="37">
        <v>6</v>
      </c>
      <c r="H23" s="39">
        <f t="shared" si="0"/>
        <v>7.21</v>
      </c>
      <c r="I23" s="39">
        <f t="shared" si="1"/>
        <v>7.21</v>
      </c>
      <c r="J23" s="39">
        <f t="shared" si="2"/>
        <v>7.21</v>
      </c>
      <c r="K23" s="41" t="s">
        <v>295</v>
      </c>
    </row>
    <row r="24" spans="2:11" ht="15.75" customHeight="1" x14ac:dyDescent="0.3">
      <c r="B24" s="37">
        <v>1.9</v>
      </c>
      <c r="C24" s="39">
        <v>1.762</v>
      </c>
      <c r="D24" s="37">
        <v>0</v>
      </c>
      <c r="E24" s="37">
        <v>6</v>
      </c>
      <c r="F24" s="37">
        <v>6</v>
      </c>
      <c r="G24" s="37">
        <v>6</v>
      </c>
      <c r="H24" s="39">
        <f t="shared" si="0"/>
        <v>7.7620000000000005</v>
      </c>
      <c r="I24" s="39">
        <f t="shared" si="1"/>
        <v>7.7620000000000005</v>
      </c>
      <c r="J24" s="39">
        <f t="shared" si="2"/>
        <v>7.7620000000000005</v>
      </c>
      <c r="K24" s="41" t="s">
        <v>295</v>
      </c>
    </row>
    <row r="25" spans="2:11" ht="15.75" customHeight="1" x14ac:dyDescent="0.3">
      <c r="B25" s="37">
        <v>2</v>
      </c>
      <c r="C25" s="39">
        <v>1.762</v>
      </c>
      <c r="D25" s="37">
        <v>0</v>
      </c>
      <c r="E25" s="37">
        <v>6</v>
      </c>
      <c r="F25" s="37">
        <v>6</v>
      </c>
      <c r="G25" s="37">
        <v>6</v>
      </c>
      <c r="H25" s="39">
        <f t="shared" si="0"/>
        <v>7.7620000000000005</v>
      </c>
      <c r="I25" s="39">
        <f t="shared" si="1"/>
        <v>7.7620000000000005</v>
      </c>
      <c r="J25" s="39">
        <f t="shared" si="2"/>
        <v>7.7620000000000005</v>
      </c>
      <c r="K25" s="41" t="s">
        <v>154</v>
      </c>
    </row>
    <row r="26" spans="2:11" ht="15.75" customHeight="1" x14ac:dyDescent="0.3">
      <c r="B26" s="37">
        <v>3</v>
      </c>
      <c r="C26" s="39">
        <v>2.2000000000000002</v>
      </c>
      <c r="D26" s="37">
        <v>0</v>
      </c>
      <c r="E26" s="37">
        <v>6</v>
      </c>
      <c r="F26" s="37">
        <v>6</v>
      </c>
      <c r="G26" s="37">
        <v>6</v>
      </c>
      <c r="H26" s="39">
        <f t="shared" si="0"/>
        <v>8.1999999999999993</v>
      </c>
      <c r="I26" s="39">
        <f t="shared" si="1"/>
        <v>8.1999999999999993</v>
      </c>
      <c r="J26" s="39">
        <f t="shared" si="2"/>
        <v>8.1999999999999993</v>
      </c>
      <c r="K26" s="41" t="s">
        <v>294</v>
      </c>
    </row>
    <row r="27" spans="2:11" ht="15.75" customHeight="1" x14ac:dyDescent="0.3"/>
    <row r="28" spans="2:11" ht="15.75" customHeight="1" x14ac:dyDescent="0.3"/>
    <row r="29" spans="2:11" ht="15.75" customHeight="1" x14ac:dyDescent="0.3"/>
    <row r="30" spans="2:11" ht="15.75" customHeight="1" x14ac:dyDescent="0.3"/>
    <row r="31" spans="2:11" ht="15.75" customHeight="1" x14ac:dyDescent="0.3"/>
    <row r="32" spans="2:1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8">
    <mergeCell ref="K17:K18"/>
    <mergeCell ref="B2:D2"/>
    <mergeCell ref="E2:J2"/>
    <mergeCell ref="B17:B18"/>
    <mergeCell ref="C17:C18"/>
    <mergeCell ref="D17:D18"/>
    <mergeCell ref="E17:G17"/>
    <mergeCell ref="H17:J17"/>
  </mergeCells>
  <pageMargins left="0.511811024" right="0.511811024" top="0.78740157499999996" bottom="0.78740157499999996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defaultColWidth="14.44140625" defaultRowHeight="15" customHeight="1" x14ac:dyDescent="0.3"/>
  <cols>
    <col min="1" max="1" width="26.88671875" customWidth="1"/>
    <col min="2" max="2" width="19.5546875" customWidth="1"/>
    <col min="3" max="3" width="5" customWidth="1"/>
    <col min="4" max="4" width="10.88671875" customWidth="1"/>
    <col min="5" max="5" width="10.6640625" customWidth="1"/>
    <col min="6" max="6" width="7" customWidth="1"/>
    <col min="7" max="26" width="8.6640625" customWidth="1"/>
  </cols>
  <sheetData>
    <row r="1" spans="1:7" ht="14.4" x14ac:dyDescent="0.3">
      <c r="A1" s="45"/>
      <c r="B1" s="45"/>
    </row>
    <row r="3" spans="1:7" ht="14.4" x14ac:dyDescent="0.3">
      <c r="A3" s="46"/>
      <c r="B3" s="46"/>
      <c r="C3" s="47"/>
      <c r="D3" s="47"/>
      <c r="E3" s="47"/>
      <c r="F3" s="47"/>
      <c r="G3" s="48"/>
    </row>
    <row r="4" spans="1:7" ht="14.4" x14ac:dyDescent="0.3">
      <c r="A4" s="46"/>
      <c r="B4" s="46">
        <v>2019</v>
      </c>
      <c r="C4" s="49">
        <v>2020</v>
      </c>
      <c r="D4" s="49">
        <v>2022</v>
      </c>
      <c r="E4" s="49">
        <v>2023</v>
      </c>
      <c r="F4" s="49" t="s">
        <v>347</v>
      </c>
      <c r="G4" s="50" t="s">
        <v>348</v>
      </c>
    </row>
    <row r="5" spans="1:7" ht="14.4" x14ac:dyDescent="0.3">
      <c r="A5" s="46">
        <v>22</v>
      </c>
      <c r="B5" s="46"/>
      <c r="C5" s="47"/>
      <c r="D5" s="47"/>
      <c r="E5" s="47"/>
      <c r="F5" s="47"/>
      <c r="G5" s="48"/>
    </row>
    <row r="6" spans="1:7" ht="14.4" x14ac:dyDescent="0.3">
      <c r="A6" s="51">
        <v>24</v>
      </c>
      <c r="B6" s="52"/>
      <c r="C6" s="53"/>
      <c r="D6" s="53"/>
      <c r="E6" s="53"/>
      <c r="F6" s="53"/>
      <c r="G6" s="54"/>
    </row>
    <row r="7" spans="1:7" ht="14.4" x14ac:dyDescent="0.3">
      <c r="A7" s="51">
        <v>27</v>
      </c>
      <c r="B7" s="52"/>
      <c r="C7" s="53"/>
      <c r="D7" s="53"/>
      <c r="E7" s="53"/>
      <c r="F7" s="53"/>
      <c r="G7" s="54"/>
    </row>
    <row r="8" spans="1:7" ht="14.4" x14ac:dyDescent="0.3">
      <c r="A8" s="51">
        <v>30</v>
      </c>
      <c r="B8" s="52"/>
      <c r="C8" s="53"/>
      <c r="D8" s="53"/>
      <c r="E8" s="53"/>
      <c r="F8" s="53"/>
      <c r="G8" s="54"/>
    </row>
    <row r="9" spans="1:7" ht="14.4" x14ac:dyDescent="0.3">
      <c r="A9" s="51">
        <v>33</v>
      </c>
      <c r="B9" s="52"/>
      <c r="C9" s="53"/>
      <c r="D9" s="53"/>
      <c r="E9" s="53"/>
      <c r="F9" s="53"/>
      <c r="G9" s="54"/>
    </row>
    <row r="10" spans="1:7" ht="14.4" x14ac:dyDescent="0.3">
      <c r="A10" s="51">
        <v>36</v>
      </c>
      <c r="B10" s="52"/>
      <c r="C10" s="53"/>
      <c r="D10" s="53"/>
      <c r="E10" s="53"/>
      <c r="F10" s="53"/>
      <c r="G10" s="54"/>
    </row>
    <row r="11" spans="1:7" ht="14.4" x14ac:dyDescent="0.3">
      <c r="A11" s="51">
        <v>40</v>
      </c>
      <c r="B11" s="52"/>
      <c r="C11" s="53"/>
      <c r="D11" s="53"/>
      <c r="E11" s="53"/>
      <c r="F11" s="53"/>
      <c r="G11" s="54"/>
    </row>
    <row r="12" spans="1:7" ht="14.4" x14ac:dyDescent="0.3">
      <c r="A12" s="51">
        <v>41</v>
      </c>
      <c r="B12" s="52"/>
      <c r="C12" s="53"/>
      <c r="D12" s="53"/>
      <c r="E12" s="53"/>
      <c r="F12" s="53"/>
      <c r="G12" s="54"/>
    </row>
    <row r="13" spans="1:7" ht="14.4" x14ac:dyDescent="0.3">
      <c r="A13" s="51">
        <v>42</v>
      </c>
      <c r="B13" s="52"/>
      <c r="C13" s="53"/>
      <c r="D13" s="53"/>
      <c r="E13" s="53"/>
      <c r="F13" s="53"/>
      <c r="G13" s="54"/>
    </row>
    <row r="14" spans="1:7" ht="14.4" x14ac:dyDescent="0.3">
      <c r="A14" s="51">
        <v>48</v>
      </c>
      <c r="B14" s="52"/>
      <c r="C14" s="53"/>
      <c r="D14" s="53"/>
      <c r="E14" s="53"/>
      <c r="F14" s="53"/>
      <c r="G14" s="54"/>
    </row>
    <row r="15" spans="1:7" ht="14.4" x14ac:dyDescent="0.3">
      <c r="A15" s="51">
        <v>50</v>
      </c>
      <c r="B15" s="52"/>
      <c r="C15" s="53"/>
      <c r="D15" s="53"/>
      <c r="E15" s="53"/>
      <c r="F15" s="53"/>
      <c r="G15" s="54"/>
    </row>
    <row r="16" spans="1:7" ht="14.4" x14ac:dyDescent="0.3">
      <c r="A16" s="51">
        <v>51</v>
      </c>
      <c r="B16" s="52"/>
      <c r="C16" s="53"/>
      <c r="D16" s="53"/>
      <c r="E16" s="53"/>
      <c r="F16" s="53"/>
      <c r="G16" s="54"/>
    </row>
    <row r="17" spans="1:7" ht="14.4" x14ac:dyDescent="0.3">
      <c r="A17" s="51">
        <v>54</v>
      </c>
      <c r="B17" s="52"/>
      <c r="C17" s="53"/>
      <c r="D17" s="53"/>
      <c r="E17" s="53"/>
      <c r="F17" s="53"/>
      <c r="G17" s="54"/>
    </row>
    <row r="18" spans="1:7" ht="14.4" x14ac:dyDescent="0.3">
      <c r="A18" s="51">
        <v>55</v>
      </c>
      <c r="B18" s="52"/>
      <c r="C18" s="53"/>
      <c r="D18" s="53"/>
      <c r="E18" s="53"/>
      <c r="F18" s="53"/>
      <c r="G18" s="54"/>
    </row>
    <row r="19" spans="1:7" ht="14.4" x14ac:dyDescent="0.3">
      <c r="A19" s="51">
        <v>60</v>
      </c>
      <c r="B19" s="52"/>
      <c r="C19" s="53"/>
      <c r="D19" s="53"/>
      <c r="E19" s="53"/>
      <c r="F19" s="53"/>
      <c r="G19" s="54"/>
    </row>
    <row r="20" spans="1:7" ht="14.4" x14ac:dyDescent="0.3">
      <c r="A20" s="51">
        <v>61</v>
      </c>
      <c r="B20" s="52"/>
      <c r="C20" s="53"/>
      <c r="D20" s="53"/>
      <c r="E20" s="53"/>
      <c r="F20" s="53"/>
      <c r="G20" s="54"/>
    </row>
    <row r="21" spans="1:7" ht="15.75" customHeight="1" x14ac:dyDescent="0.3">
      <c r="A21" s="55">
        <v>68</v>
      </c>
      <c r="B21" s="52"/>
      <c r="C21" s="53"/>
      <c r="D21" s="53"/>
      <c r="E21" s="53"/>
      <c r="F21" s="53"/>
      <c r="G21" s="54"/>
    </row>
    <row r="22" spans="1:7" ht="15.75" customHeight="1" x14ac:dyDescent="0.3">
      <c r="A22" s="51">
        <v>70</v>
      </c>
      <c r="B22" s="52"/>
      <c r="C22" s="53"/>
      <c r="D22" s="53"/>
      <c r="E22" s="53"/>
      <c r="F22" s="53"/>
      <c r="G22" s="54"/>
    </row>
    <row r="23" spans="1:7" ht="15.75" customHeight="1" x14ac:dyDescent="0.3">
      <c r="A23" s="51">
        <v>72</v>
      </c>
      <c r="B23" s="52"/>
      <c r="C23" s="53"/>
      <c r="D23" s="53"/>
      <c r="E23" s="53"/>
      <c r="F23" s="53"/>
      <c r="G23" s="54"/>
    </row>
    <row r="24" spans="1:7" ht="15.75" customHeight="1" x14ac:dyDescent="0.3">
      <c r="A24" s="51">
        <v>76</v>
      </c>
      <c r="B24" s="52"/>
      <c r="C24" s="53"/>
      <c r="D24" s="53"/>
      <c r="E24" s="53"/>
      <c r="F24" s="53"/>
      <c r="G24" s="54"/>
    </row>
    <row r="25" spans="1:7" ht="15.75" customHeight="1" x14ac:dyDescent="0.3">
      <c r="A25" s="51">
        <v>80</v>
      </c>
      <c r="B25" s="52"/>
      <c r="C25" s="53"/>
      <c r="D25" s="53"/>
      <c r="E25" s="53"/>
      <c r="F25" s="53"/>
      <c r="G25" s="54"/>
    </row>
    <row r="26" spans="1:7" ht="15.75" customHeight="1" x14ac:dyDescent="0.3">
      <c r="A26" s="51">
        <v>82</v>
      </c>
      <c r="B26" s="52"/>
      <c r="C26" s="53"/>
      <c r="D26" s="53"/>
      <c r="E26" s="53"/>
      <c r="F26" s="53"/>
      <c r="G26" s="54"/>
    </row>
    <row r="27" spans="1:7" ht="15.75" customHeight="1" x14ac:dyDescent="0.3">
      <c r="A27" s="51">
        <v>83</v>
      </c>
      <c r="B27" s="52"/>
      <c r="C27" s="53"/>
      <c r="D27" s="53"/>
      <c r="E27" s="53"/>
      <c r="F27" s="53"/>
      <c r="G27" s="54"/>
    </row>
    <row r="28" spans="1:7" ht="15.75" customHeight="1" x14ac:dyDescent="0.3">
      <c r="A28" s="51">
        <v>89</v>
      </c>
      <c r="B28" s="52"/>
      <c r="C28" s="53"/>
      <c r="D28" s="53"/>
      <c r="E28" s="53"/>
      <c r="F28" s="53"/>
      <c r="G28" s="54"/>
    </row>
    <row r="29" spans="1:7" ht="15.75" customHeight="1" x14ac:dyDescent="0.3">
      <c r="A29" s="51">
        <v>92</v>
      </c>
      <c r="B29" s="52"/>
      <c r="C29" s="53"/>
      <c r="D29" s="53"/>
      <c r="E29" s="53"/>
      <c r="F29" s="53"/>
      <c r="G29" s="54"/>
    </row>
    <row r="30" spans="1:7" ht="15.75" customHeight="1" x14ac:dyDescent="0.3">
      <c r="A30" s="51">
        <v>100</v>
      </c>
      <c r="B30" s="52"/>
      <c r="C30" s="53"/>
      <c r="D30" s="53"/>
      <c r="E30" s="53"/>
      <c r="F30" s="53"/>
      <c r="G30" s="54"/>
    </row>
    <row r="31" spans="1:7" ht="15.75" customHeight="1" x14ac:dyDescent="0.3">
      <c r="A31" s="51">
        <v>105</v>
      </c>
      <c r="B31" s="52"/>
      <c r="C31" s="53"/>
      <c r="D31" s="53"/>
      <c r="E31" s="53"/>
      <c r="F31" s="53"/>
      <c r="G31" s="54"/>
    </row>
    <row r="32" spans="1:7" ht="15.75" customHeight="1" x14ac:dyDescent="0.3">
      <c r="A32" s="51">
        <v>110</v>
      </c>
      <c r="B32" s="52"/>
      <c r="C32" s="53"/>
      <c r="D32" s="53"/>
      <c r="E32" s="53"/>
      <c r="F32" s="53"/>
      <c r="G32" s="54"/>
    </row>
    <row r="33" spans="1:7" ht="15.75" customHeight="1" x14ac:dyDescent="0.3">
      <c r="A33" s="51">
        <v>113</v>
      </c>
      <c r="B33" s="52"/>
      <c r="C33" s="53"/>
      <c r="D33" s="53"/>
      <c r="E33" s="53"/>
      <c r="F33" s="53"/>
      <c r="G33" s="54"/>
    </row>
    <row r="34" spans="1:7" ht="15.75" customHeight="1" x14ac:dyDescent="0.3">
      <c r="A34" s="51">
        <v>115</v>
      </c>
      <c r="B34" s="52"/>
      <c r="C34" s="53"/>
      <c r="D34" s="53"/>
      <c r="E34" s="53"/>
      <c r="F34" s="53"/>
      <c r="G34" s="54"/>
    </row>
    <row r="35" spans="1:7" ht="15.75" customHeight="1" x14ac:dyDescent="0.3">
      <c r="A35" s="51">
        <v>122</v>
      </c>
      <c r="B35" s="52"/>
      <c r="C35" s="53"/>
      <c r="D35" s="53"/>
      <c r="E35" s="53"/>
      <c r="F35" s="53"/>
      <c r="G35" s="54"/>
    </row>
    <row r="36" spans="1:7" ht="15.75" customHeight="1" x14ac:dyDescent="0.3">
      <c r="A36" s="51">
        <v>130</v>
      </c>
      <c r="B36" s="52"/>
      <c r="C36" s="53"/>
      <c r="D36" s="53"/>
      <c r="E36" s="53"/>
      <c r="F36" s="53"/>
      <c r="G36" s="54"/>
    </row>
    <row r="37" spans="1:7" ht="15.75" customHeight="1" x14ac:dyDescent="0.3">
      <c r="A37" s="51">
        <v>136</v>
      </c>
      <c r="B37" s="52"/>
      <c r="C37" s="53"/>
      <c r="D37" s="53"/>
      <c r="E37" s="53"/>
      <c r="F37" s="53"/>
      <c r="G37" s="54"/>
    </row>
    <row r="38" spans="1:7" ht="15.75" customHeight="1" x14ac:dyDescent="0.3">
      <c r="A38" s="51">
        <v>140</v>
      </c>
      <c r="B38" s="52"/>
      <c r="C38" s="53"/>
      <c r="D38" s="53"/>
      <c r="E38" s="53"/>
      <c r="F38" s="53"/>
      <c r="G38" s="54"/>
    </row>
    <row r="39" spans="1:7" ht="15.75" customHeight="1" x14ac:dyDescent="0.3">
      <c r="A39" s="51">
        <v>150</v>
      </c>
      <c r="B39" s="52"/>
      <c r="C39" s="53"/>
      <c r="D39" s="53"/>
      <c r="E39" s="53"/>
      <c r="F39" s="53"/>
      <c r="G39" s="54"/>
    </row>
    <row r="40" spans="1:7" ht="15.75" customHeight="1" x14ac:dyDescent="0.3">
      <c r="A40" s="51">
        <v>165</v>
      </c>
      <c r="B40" s="52"/>
      <c r="C40" s="53"/>
      <c r="D40" s="53"/>
      <c r="E40" s="53"/>
      <c r="F40" s="53"/>
      <c r="G40" s="54"/>
    </row>
    <row r="41" spans="1:7" ht="15.75" customHeight="1" x14ac:dyDescent="0.3">
      <c r="A41" s="51">
        <v>185</v>
      </c>
      <c r="B41" s="52"/>
      <c r="C41" s="53"/>
      <c r="D41" s="53"/>
      <c r="E41" s="53"/>
      <c r="F41" s="53"/>
      <c r="G41" s="54"/>
    </row>
    <row r="42" spans="1:7" ht="15.75" customHeight="1" x14ac:dyDescent="0.3">
      <c r="A42" s="51">
        <v>190</v>
      </c>
      <c r="B42" s="52"/>
      <c r="C42" s="53"/>
      <c r="D42" s="53"/>
      <c r="E42" s="53"/>
      <c r="F42" s="53"/>
      <c r="G42" s="54"/>
    </row>
    <row r="43" spans="1:7" ht="15.75" customHeight="1" x14ac:dyDescent="0.3">
      <c r="A43" s="51">
        <v>195</v>
      </c>
      <c r="B43" s="52"/>
      <c r="C43" s="53"/>
      <c r="D43" s="53"/>
      <c r="E43" s="53"/>
      <c r="F43" s="53"/>
      <c r="G43" s="54"/>
    </row>
    <row r="44" spans="1:7" ht="15.75" customHeight="1" x14ac:dyDescent="0.3">
      <c r="A44" s="51">
        <v>200</v>
      </c>
      <c r="B44" s="52"/>
      <c r="C44" s="53"/>
      <c r="D44" s="53"/>
      <c r="E44" s="53"/>
      <c r="F44" s="53"/>
      <c r="G44" s="54"/>
    </row>
    <row r="45" spans="1:7" ht="15.75" customHeight="1" x14ac:dyDescent="0.3">
      <c r="A45" s="51">
        <v>205</v>
      </c>
      <c r="B45" s="52"/>
      <c r="C45" s="53"/>
      <c r="D45" s="53"/>
      <c r="E45" s="53"/>
      <c r="F45" s="53"/>
      <c r="G45" s="54"/>
    </row>
    <row r="46" spans="1:7" ht="15.75" customHeight="1" x14ac:dyDescent="0.3">
      <c r="A46" s="51">
        <v>233</v>
      </c>
      <c r="B46" s="52"/>
      <c r="C46" s="53"/>
      <c r="D46" s="53"/>
      <c r="E46" s="53"/>
      <c r="F46" s="53"/>
      <c r="G46" s="54"/>
    </row>
    <row r="47" spans="1:7" ht="15.75" customHeight="1" x14ac:dyDescent="0.3">
      <c r="A47" s="51" t="s">
        <v>349</v>
      </c>
      <c r="B47" s="52"/>
      <c r="C47" s="53"/>
      <c r="D47" s="53"/>
      <c r="E47" s="53"/>
      <c r="F47" s="53"/>
      <c r="G47" s="54"/>
    </row>
    <row r="48" spans="1:7" ht="15.75" customHeight="1" x14ac:dyDescent="0.3">
      <c r="A48" s="51" t="s">
        <v>348</v>
      </c>
      <c r="B48" s="52"/>
      <c r="C48" s="53"/>
      <c r="D48" s="53"/>
      <c r="E48" s="53"/>
      <c r="F48" s="53"/>
      <c r="G48" s="54"/>
    </row>
    <row r="49" spans="1:7" ht="15.75" customHeight="1" x14ac:dyDescent="0.3">
      <c r="A49" s="51"/>
      <c r="B49" s="52"/>
      <c r="C49" s="53"/>
      <c r="D49" s="53"/>
      <c r="E49" s="53"/>
      <c r="F49" s="53"/>
      <c r="G49" s="54"/>
    </row>
    <row r="50" spans="1:7" ht="15.75" customHeight="1" x14ac:dyDescent="0.3">
      <c r="A50" s="51"/>
      <c r="B50" s="52"/>
      <c r="C50" s="53"/>
      <c r="D50" s="53"/>
      <c r="E50" s="53"/>
      <c r="F50" s="53"/>
      <c r="G50" s="54"/>
    </row>
    <row r="51" spans="1:7" ht="15.75" customHeight="1" x14ac:dyDescent="0.3">
      <c r="A51" s="51"/>
      <c r="B51" s="52"/>
      <c r="C51" s="53"/>
      <c r="D51" s="53"/>
      <c r="E51" s="53"/>
      <c r="F51" s="53"/>
      <c r="G51" s="54"/>
    </row>
    <row r="52" spans="1:7" ht="15.75" customHeight="1" x14ac:dyDescent="0.3">
      <c r="A52" s="51"/>
      <c r="B52" s="52"/>
      <c r="C52" s="53"/>
      <c r="D52" s="53"/>
      <c r="E52" s="53"/>
      <c r="F52" s="53"/>
      <c r="G52" s="54"/>
    </row>
    <row r="53" spans="1:7" ht="15.75" customHeight="1" x14ac:dyDescent="0.3">
      <c r="A53" s="56"/>
      <c r="B53" s="57"/>
      <c r="C53" s="58"/>
      <c r="D53" s="58"/>
      <c r="E53" s="58"/>
      <c r="F53" s="58"/>
      <c r="G53" s="59"/>
    </row>
    <row r="54" spans="1:7" ht="15.75" customHeight="1" x14ac:dyDescent="0.3">
      <c r="A54" s="60"/>
    </row>
    <row r="55" spans="1:7" ht="15.75" customHeight="1" x14ac:dyDescent="0.3">
      <c r="A55" s="60"/>
    </row>
    <row r="56" spans="1:7" ht="15.75" customHeight="1" x14ac:dyDescent="0.3">
      <c r="A56" s="60"/>
    </row>
    <row r="57" spans="1:7" ht="15.75" customHeight="1" x14ac:dyDescent="0.3">
      <c r="A57" s="60"/>
    </row>
    <row r="58" spans="1:7" ht="15.75" customHeight="1" x14ac:dyDescent="0.3">
      <c r="A58" s="60"/>
    </row>
    <row r="59" spans="1:7" ht="15.75" customHeight="1" x14ac:dyDescent="0.3">
      <c r="A59" s="60"/>
    </row>
    <row r="60" spans="1:7" ht="15.75" customHeight="1" x14ac:dyDescent="0.3">
      <c r="A60" s="60"/>
    </row>
    <row r="61" spans="1:7" ht="15.75" customHeight="1" x14ac:dyDescent="0.3">
      <c r="A61" s="60"/>
    </row>
    <row r="62" spans="1:7" ht="15.75" customHeight="1" x14ac:dyDescent="0.3">
      <c r="A62" s="60"/>
    </row>
    <row r="63" spans="1:7" ht="15.75" customHeight="1" x14ac:dyDescent="0.3">
      <c r="A63" s="60"/>
    </row>
    <row r="64" spans="1:7" ht="15.75" customHeight="1" x14ac:dyDescent="0.3">
      <c r="A64" s="60"/>
    </row>
    <row r="65" spans="1:1" ht="15.75" customHeight="1" x14ac:dyDescent="0.3">
      <c r="A65" s="60"/>
    </row>
    <row r="66" spans="1:1" ht="15.75" customHeight="1" x14ac:dyDescent="0.3">
      <c r="A66" s="60"/>
    </row>
    <row r="67" spans="1:1" ht="15.75" customHeight="1" x14ac:dyDescent="0.3">
      <c r="A67" s="60"/>
    </row>
    <row r="68" spans="1:1" ht="15.75" customHeight="1" x14ac:dyDescent="0.3">
      <c r="A68" s="60"/>
    </row>
    <row r="69" spans="1:1" ht="15.75" customHeight="1" x14ac:dyDescent="0.3">
      <c r="A69" s="60"/>
    </row>
    <row r="70" spans="1:1" ht="15.75" customHeight="1" x14ac:dyDescent="0.3">
      <c r="A70" s="60"/>
    </row>
    <row r="71" spans="1:1" ht="15.75" customHeight="1" x14ac:dyDescent="0.3">
      <c r="A71" s="60"/>
    </row>
    <row r="72" spans="1:1" ht="15.75" customHeight="1" x14ac:dyDescent="0.3">
      <c r="A72" s="60"/>
    </row>
    <row r="73" spans="1:1" ht="15.75" customHeight="1" x14ac:dyDescent="0.3">
      <c r="A73" s="60"/>
    </row>
    <row r="74" spans="1:1" ht="15.75" customHeight="1" x14ac:dyDescent="0.3">
      <c r="A74" s="60"/>
    </row>
    <row r="75" spans="1:1" ht="15.75" customHeight="1" x14ac:dyDescent="0.3">
      <c r="A75" s="60"/>
    </row>
    <row r="76" spans="1:1" ht="15.75" customHeight="1" x14ac:dyDescent="0.3">
      <c r="A76" s="60"/>
    </row>
    <row r="77" spans="1:1" ht="15.75" customHeight="1" x14ac:dyDescent="0.3">
      <c r="A77" s="60"/>
    </row>
    <row r="78" spans="1:1" ht="15.75" customHeight="1" x14ac:dyDescent="0.3">
      <c r="A78" s="60"/>
    </row>
    <row r="79" spans="1:1" ht="15.75" customHeight="1" x14ac:dyDescent="0.3">
      <c r="A79" s="60"/>
    </row>
    <row r="80" spans="1:1" ht="15.75" customHeight="1" x14ac:dyDescent="0.3">
      <c r="A80" s="60"/>
    </row>
    <row r="81" spans="1:1" ht="15.75" customHeight="1" x14ac:dyDescent="0.3">
      <c r="A81" s="60"/>
    </row>
    <row r="82" spans="1:1" ht="15.75" customHeight="1" x14ac:dyDescent="0.3">
      <c r="A82" s="60"/>
    </row>
    <row r="83" spans="1:1" ht="15.75" customHeight="1" x14ac:dyDescent="0.3">
      <c r="A83" s="60"/>
    </row>
    <row r="84" spans="1:1" ht="15.75" customHeight="1" x14ac:dyDescent="0.3">
      <c r="A84" s="60"/>
    </row>
    <row r="85" spans="1:1" ht="15.75" customHeight="1" x14ac:dyDescent="0.3">
      <c r="A85" s="60"/>
    </row>
    <row r="86" spans="1:1" ht="15.75" customHeight="1" x14ac:dyDescent="0.3"/>
    <row r="87" spans="1:1" ht="15.75" customHeight="1" x14ac:dyDescent="0.3"/>
    <row r="88" spans="1:1" ht="15.75" customHeight="1" x14ac:dyDescent="0.3"/>
    <row r="89" spans="1:1" ht="15.75" customHeight="1" x14ac:dyDescent="0.3"/>
    <row r="90" spans="1:1" ht="15.75" customHeight="1" x14ac:dyDescent="0.3"/>
    <row r="91" spans="1:1" ht="15.75" customHeight="1" x14ac:dyDescent="0.3"/>
    <row r="92" spans="1:1" ht="15.75" customHeight="1" x14ac:dyDescent="0.3"/>
    <row r="93" spans="1:1" ht="15.75" customHeight="1" x14ac:dyDescent="0.3"/>
    <row r="94" spans="1:1" ht="15.75" customHeight="1" x14ac:dyDescent="0.3"/>
    <row r="95" spans="1:1" ht="15.75" customHeight="1" x14ac:dyDescent="0.3"/>
    <row r="96" spans="1: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Z1001"/>
  <sheetViews>
    <sheetView showGridLines="0" zoomScale="55" zoomScaleNormal="55" workbookViewId="0">
      <pane ySplit="1" topLeftCell="A24" activePane="bottomLeft" state="frozen"/>
      <selection pane="bottomLeft" activeCell="E63" sqref="E63"/>
    </sheetView>
  </sheetViews>
  <sheetFormatPr defaultColWidth="14.44140625" defaultRowHeight="15" customHeight="1" x14ac:dyDescent="0.3"/>
  <cols>
    <col min="1" max="1" width="1.5546875" customWidth="1"/>
    <col min="2" max="2" width="37.33203125" customWidth="1"/>
    <col min="3" max="3" width="13.88671875" customWidth="1"/>
    <col min="4" max="4" width="20" customWidth="1"/>
    <col min="5" max="5" width="64.44140625" customWidth="1"/>
    <col min="6" max="6" width="20.88671875" customWidth="1"/>
    <col min="7" max="7" width="23.33203125" customWidth="1"/>
    <col min="8" max="8" width="13.88671875" customWidth="1"/>
    <col min="9" max="9" width="15.88671875" customWidth="1"/>
    <col min="10" max="10" width="29.88671875" customWidth="1"/>
    <col min="11" max="11" width="21.6640625" customWidth="1"/>
    <col min="12" max="12" width="16.6640625" customWidth="1"/>
    <col min="13" max="13" width="15.6640625" customWidth="1"/>
    <col min="14" max="14" width="14.5546875" customWidth="1"/>
    <col min="15" max="26" width="8.88671875" customWidth="1"/>
  </cols>
  <sheetData>
    <row r="1" spans="1:26" ht="6" customHeight="1" x14ac:dyDescent="0.3">
      <c r="A1" s="61"/>
      <c r="B1" s="61"/>
      <c r="C1" s="61"/>
      <c r="D1" s="61"/>
      <c r="E1" s="61"/>
      <c r="F1" s="62"/>
      <c r="G1" s="61"/>
      <c r="H1" s="61"/>
      <c r="I1" s="63"/>
      <c r="J1" s="63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15.6" x14ac:dyDescent="0.3">
      <c r="A2" s="61"/>
      <c r="B2" s="64"/>
      <c r="C2" s="65"/>
      <c r="D2" s="64"/>
      <c r="E2" s="66"/>
      <c r="F2" s="67"/>
      <c r="G2" s="68"/>
      <c r="H2" s="65"/>
      <c r="I2" s="65"/>
      <c r="J2" s="65"/>
      <c r="K2" s="69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ht="15.6" x14ac:dyDescent="0.3">
      <c r="A3" s="61"/>
      <c r="B3" s="70" t="s">
        <v>350</v>
      </c>
      <c r="C3" s="70" t="s">
        <v>351</v>
      </c>
      <c r="D3" s="70" t="s">
        <v>96</v>
      </c>
      <c r="E3" s="71" t="s">
        <v>352</v>
      </c>
      <c r="F3" s="71" t="s">
        <v>353</v>
      </c>
      <c r="G3" s="70" t="s">
        <v>354</v>
      </c>
      <c r="H3" s="70" t="s">
        <v>349</v>
      </c>
      <c r="I3" s="70" t="s">
        <v>347</v>
      </c>
      <c r="J3" s="70" t="s">
        <v>355</v>
      </c>
      <c r="K3" s="72" t="s">
        <v>356</v>
      </c>
      <c r="L3" s="72" t="s">
        <v>357</v>
      </c>
      <c r="M3" s="72" t="s">
        <v>358</v>
      </c>
      <c r="N3" s="72" t="s">
        <v>123</v>
      </c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15.6" x14ac:dyDescent="0.3">
      <c r="A4" s="61"/>
      <c r="B4" s="66" t="s">
        <v>359</v>
      </c>
      <c r="C4" s="73" t="s">
        <v>360</v>
      </c>
      <c r="D4" s="74" t="s">
        <v>361</v>
      </c>
      <c r="E4" s="66" t="s">
        <v>362</v>
      </c>
      <c r="F4" s="75">
        <v>2929.66</v>
      </c>
      <c r="G4" s="76">
        <f t="shared" ref="G4:G49" si="0">F4/H4</f>
        <v>172.33294117647057</v>
      </c>
      <c r="H4" s="77">
        <v>17</v>
      </c>
      <c r="I4" s="78">
        <v>2025</v>
      </c>
      <c r="J4" s="79" t="str">
        <f t="shared" ref="J4:J49" si="1">B4</f>
        <v xml:space="preserve"> SL VT 9.1 17W</v>
      </c>
      <c r="K4" s="80">
        <v>602.37</v>
      </c>
      <c r="L4" s="81" t="s">
        <v>363</v>
      </c>
      <c r="M4" s="82" t="s">
        <v>364</v>
      </c>
      <c r="N4" s="83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15.6" x14ac:dyDescent="0.3">
      <c r="A5" s="61"/>
      <c r="B5" s="66" t="s">
        <v>391</v>
      </c>
      <c r="C5" s="73" t="s">
        <v>360</v>
      </c>
      <c r="D5" s="74" t="s">
        <v>361</v>
      </c>
      <c r="E5" s="66" t="s">
        <v>392</v>
      </c>
      <c r="F5" s="75" t="s">
        <v>130</v>
      </c>
      <c r="G5" s="76" t="e">
        <f t="shared" si="0"/>
        <v>#VALUE!</v>
      </c>
      <c r="H5" s="77">
        <v>22</v>
      </c>
      <c r="I5" s="78">
        <v>2025</v>
      </c>
      <c r="J5" s="79" t="str">
        <f t="shared" si="1"/>
        <v xml:space="preserve"> SL VT 9.3 22W</v>
      </c>
      <c r="K5" s="80">
        <v>544.53</v>
      </c>
      <c r="L5" s="81" t="s">
        <v>133</v>
      </c>
      <c r="M5" s="82" t="s">
        <v>364</v>
      </c>
      <c r="N5" s="83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15.6" x14ac:dyDescent="0.3">
      <c r="A6" s="61"/>
      <c r="B6" s="66" t="s">
        <v>365</v>
      </c>
      <c r="C6" s="73" t="s">
        <v>360</v>
      </c>
      <c r="D6" s="74" t="s">
        <v>361</v>
      </c>
      <c r="E6" s="66" t="s">
        <v>366</v>
      </c>
      <c r="F6" s="75">
        <v>4927.3500000000004</v>
      </c>
      <c r="G6" s="76">
        <f t="shared" si="0"/>
        <v>175.97678571428574</v>
      </c>
      <c r="H6" s="77">
        <v>28</v>
      </c>
      <c r="I6" s="78">
        <v>2025</v>
      </c>
      <c r="J6" s="79" t="str">
        <f t="shared" si="1"/>
        <v xml:space="preserve"> SL VT 9.1 28W</v>
      </c>
      <c r="K6" s="80">
        <v>604.04</v>
      </c>
      <c r="L6" s="81" t="s">
        <v>363</v>
      </c>
      <c r="M6" s="82" t="s">
        <v>364</v>
      </c>
      <c r="N6" s="83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26" ht="15.75" customHeight="1" x14ac:dyDescent="0.3">
      <c r="A7" s="61"/>
      <c r="B7" s="66" t="s">
        <v>393</v>
      </c>
      <c r="C7" s="73" t="s">
        <v>360</v>
      </c>
      <c r="D7" s="74" t="s">
        <v>361</v>
      </c>
      <c r="E7" s="66" t="s">
        <v>394</v>
      </c>
      <c r="F7" s="75">
        <v>4891.8999999999996</v>
      </c>
      <c r="G7" s="76">
        <f t="shared" si="0"/>
        <v>163.06333333333333</v>
      </c>
      <c r="H7" s="77">
        <v>30</v>
      </c>
      <c r="I7" s="78">
        <v>2025</v>
      </c>
      <c r="J7" s="79" t="str">
        <f t="shared" si="1"/>
        <v xml:space="preserve"> SL VT 9.3 30W</v>
      </c>
      <c r="K7" s="80">
        <v>550.35</v>
      </c>
      <c r="L7" s="81" t="s">
        <v>363</v>
      </c>
      <c r="M7" s="82" t="s">
        <v>364</v>
      </c>
      <c r="N7" s="83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15.75" customHeight="1" x14ac:dyDescent="0.3">
      <c r="A8" s="61"/>
      <c r="B8" s="66" t="s">
        <v>419</v>
      </c>
      <c r="C8" s="73" t="s">
        <v>360</v>
      </c>
      <c r="D8" s="74" t="s">
        <v>361</v>
      </c>
      <c r="E8" s="66" t="s">
        <v>420</v>
      </c>
      <c r="F8" s="75">
        <v>4542</v>
      </c>
      <c r="G8" s="76">
        <f t="shared" si="0"/>
        <v>151.4</v>
      </c>
      <c r="H8" s="77">
        <v>30</v>
      </c>
      <c r="I8" s="78">
        <v>2025</v>
      </c>
      <c r="J8" s="79" t="str">
        <f t="shared" si="1"/>
        <v xml:space="preserve"> SL VT 9.6 30W</v>
      </c>
      <c r="K8" s="84">
        <v>592.74</v>
      </c>
      <c r="L8" s="81" t="s">
        <v>363</v>
      </c>
      <c r="M8" s="82" t="s">
        <v>364</v>
      </c>
      <c r="N8" s="83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ht="15.75" customHeight="1" x14ac:dyDescent="0.3">
      <c r="A9" s="61"/>
      <c r="B9" s="66" t="s">
        <v>367</v>
      </c>
      <c r="C9" s="73" t="s">
        <v>360</v>
      </c>
      <c r="D9" s="74" t="s">
        <v>361</v>
      </c>
      <c r="E9" s="66" t="s">
        <v>368</v>
      </c>
      <c r="F9" s="75">
        <v>5955.62</v>
      </c>
      <c r="G9" s="76">
        <f t="shared" si="0"/>
        <v>170.16057142857142</v>
      </c>
      <c r="H9" s="77">
        <v>35</v>
      </c>
      <c r="I9" s="78">
        <v>2025</v>
      </c>
      <c r="J9" s="79" t="str">
        <f t="shared" si="1"/>
        <v xml:space="preserve"> SL VT 9.1 35W</v>
      </c>
      <c r="K9" s="80">
        <v>615.17999999999995</v>
      </c>
      <c r="L9" s="81" t="s">
        <v>363</v>
      </c>
      <c r="M9" s="82" t="s">
        <v>364</v>
      </c>
      <c r="N9" s="83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ht="15.75" customHeight="1" x14ac:dyDescent="0.3">
      <c r="A10" s="61"/>
      <c r="B10" s="66" t="s">
        <v>421</v>
      </c>
      <c r="C10" s="73" t="s">
        <v>360</v>
      </c>
      <c r="D10" s="74" t="s">
        <v>361</v>
      </c>
      <c r="E10" s="66" t="s">
        <v>422</v>
      </c>
      <c r="F10" s="75">
        <v>5516</v>
      </c>
      <c r="G10" s="76">
        <f t="shared" si="0"/>
        <v>149.08108108108109</v>
      </c>
      <c r="H10" s="77">
        <v>37</v>
      </c>
      <c r="I10" s="78">
        <v>2025</v>
      </c>
      <c r="J10" s="79" t="str">
        <f t="shared" si="1"/>
        <v xml:space="preserve"> SL VT 9.6 37W</v>
      </c>
      <c r="K10" s="84">
        <v>624.96</v>
      </c>
      <c r="L10" s="81" t="s">
        <v>363</v>
      </c>
      <c r="M10" s="82" t="s">
        <v>364</v>
      </c>
      <c r="N10" s="83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ht="15.75" customHeight="1" x14ac:dyDescent="0.3">
      <c r="A11" s="61"/>
      <c r="B11" s="66" t="s">
        <v>395</v>
      </c>
      <c r="C11" s="73" t="s">
        <v>360</v>
      </c>
      <c r="D11" s="74" t="s">
        <v>361</v>
      </c>
      <c r="E11" s="66" t="s">
        <v>396</v>
      </c>
      <c r="F11" s="75">
        <v>6965.3</v>
      </c>
      <c r="G11" s="76">
        <f t="shared" si="0"/>
        <v>174.13249999999999</v>
      </c>
      <c r="H11" s="77">
        <v>40</v>
      </c>
      <c r="I11" s="78">
        <v>2025</v>
      </c>
      <c r="J11" s="79" t="str">
        <f t="shared" si="1"/>
        <v xml:space="preserve"> SL VT 9.3 40W</v>
      </c>
      <c r="K11" s="80">
        <v>564.21</v>
      </c>
      <c r="L11" s="81" t="s">
        <v>363</v>
      </c>
      <c r="M11" s="82" t="s">
        <v>364</v>
      </c>
      <c r="N11" s="83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ht="15.75" customHeight="1" x14ac:dyDescent="0.3">
      <c r="A12" s="61"/>
      <c r="B12" s="66" t="s">
        <v>423</v>
      </c>
      <c r="C12" s="73" t="s">
        <v>360</v>
      </c>
      <c r="D12" s="74" t="s">
        <v>361</v>
      </c>
      <c r="E12" s="66" t="s">
        <v>424</v>
      </c>
      <c r="F12" s="75" t="s">
        <v>130</v>
      </c>
      <c r="G12" s="76" t="e">
        <f t="shared" si="0"/>
        <v>#VALUE!</v>
      </c>
      <c r="H12" s="77">
        <v>40</v>
      </c>
      <c r="I12" s="78">
        <v>2025</v>
      </c>
      <c r="J12" s="79" t="str">
        <f t="shared" si="1"/>
        <v xml:space="preserve"> SL VT 9.6 40W</v>
      </c>
      <c r="K12" s="84">
        <v>707.78</v>
      </c>
      <c r="L12" s="81" t="s">
        <v>133</v>
      </c>
      <c r="M12" s="82" t="s">
        <v>364</v>
      </c>
      <c r="N12" s="83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ht="15.75" customHeight="1" x14ac:dyDescent="0.3">
      <c r="A13" s="61"/>
      <c r="B13" s="66" t="s">
        <v>369</v>
      </c>
      <c r="C13" s="73" t="s">
        <v>360</v>
      </c>
      <c r="D13" s="74" t="s">
        <v>361</v>
      </c>
      <c r="E13" s="66" t="s">
        <v>370</v>
      </c>
      <c r="F13" s="75">
        <v>7657.99</v>
      </c>
      <c r="G13" s="76">
        <f t="shared" si="0"/>
        <v>174.04522727272726</v>
      </c>
      <c r="H13" s="77">
        <v>44</v>
      </c>
      <c r="I13" s="78">
        <v>2025</v>
      </c>
      <c r="J13" s="79" t="str">
        <f t="shared" si="1"/>
        <v xml:space="preserve"> SL VT 9.1 44W</v>
      </c>
      <c r="K13" s="80">
        <v>642.39</v>
      </c>
      <c r="L13" s="81" t="s">
        <v>363</v>
      </c>
      <c r="M13" s="82" t="s">
        <v>364</v>
      </c>
      <c r="N13" s="83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ht="15.75" customHeight="1" x14ac:dyDescent="0.3">
      <c r="A14" s="61"/>
      <c r="B14" s="66" t="s">
        <v>425</v>
      </c>
      <c r="C14" s="73" t="s">
        <v>360</v>
      </c>
      <c r="D14" s="74" t="s">
        <v>361</v>
      </c>
      <c r="E14" s="66" t="s">
        <v>426</v>
      </c>
      <c r="F14" s="75">
        <v>6995</v>
      </c>
      <c r="G14" s="76">
        <f t="shared" si="0"/>
        <v>152.06521739130434</v>
      </c>
      <c r="H14" s="77">
        <v>46</v>
      </c>
      <c r="I14" s="78">
        <v>2025</v>
      </c>
      <c r="J14" s="79" t="str">
        <f t="shared" si="1"/>
        <v xml:space="preserve"> SL VT 9.6 46W</v>
      </c>
      <c r="K14" s="84">
        <v>617.46</v>
      </c>
      <c r="L14" s="81" t="s">
        <v>363</v>
      </c>
      <c r="M14" s="82" t="s">
        <v>364</v>
      </c>
      <c r="N14" s="83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ht="15.75" customHeight="1" x14ac:dyDescent="0.3">
      <c r="A15" s="61"/>
      <c r="B15" s="66" t="s">
        <v>397</v>
      </c>
      <c r="C15" s="73" t="s">
        <v>360</v>
      </c>
      <c r="D15" s="74" t="s">
        <v>361</v>
      </c>
      <c r="E15" s="66" t="s">
        <v>398</v>
      </c>
      <c r="F15" s="75">
        <v>8373.1</v>
      </c>
      <c r="G15" s="76">
        <f t="shared" si="0"/>
        <v>167.46200000000002</v>
      </c>
      <c r="H15" s="77">
        <v>50</v>
      </c>
      <c r="I15" s="78">
        <v>2025</v>
      </c>
      <c r="J15" s="79" t="str">
        <f t="shared" si="1"/>
        <v xml:space="preserve"> SL VT 9.3 50W</v>
      </c>
      <c r="K15" s="80">
        <v>541.29999999999995</v>
      </c>
      <c r="L15" s="81" t="s">
        <v>363</v>
      </c>
      <c r="M15" s="82" t="s">
        <v>364</v>
      </c>
      <c r="N15" s="83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ht="15.75" customHeight="1" x14ac:dyDescent="0.3">
      <c r="A16" s="61"/>
      <c r="B16" s="66" t="s">
        <v>371</v>
      </c>
      <c r="C16" s="73" t="s">
        <v>360</v>
      </c>
      <c r="D16" s="74" t="s">
        <v>361</v>
      </c>
      <c r="E16" s="66" t="s">
        <v>372</v>
      </c>
      <c r="F16" s="75">
        <v>8960.18</v>
      </c>
      <c r="G16" s="76">
        <f t="shared" si="0"/>
        <v>172.31115384615384</v>
      </c>
      <c r="H16" s="77">
        <v>52</v>
      </c>
      <c r="I16" s="78">
        <v>2025</v>
      </c>
      <c r="J16" s="79" t="str">
        <f t="shared" si="1"/>
        <v xml:space="preserve"> SL VT 9.1 52W</v>
      </c>
      <c r="K16" s="80">
        <v>663.79</v>
      </c>
      <c r="L16" s="81" t="s">
        <v>363</v>
      </c>
      <c r="M16" s="82" t="s">
        <v>364</v>
      </c>
      <c r="N16" s="83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15.75" customHeight="1" x14ac:dyDescent="0.3">
      <c r="A17" s="61"/>
      <c r="B17" s="66" t="s">
        <v>427</v>
      </c>
      <c r="C17" s="73" t="s">
        <v>360</v>
      </c>
      <c r="D17" s="74" t="s">
        <v>361</v>
      </c>
      <c r="E17" s="66" t="s">
        <v>428</v>
      </c>
      <c r="F17" s="75">
        <v>7920</v>
      </c>
      <c r="G17" s="76">
        <f t="shared" si="0"/>
        <v>144</v>
      </c>
      <c r="H17" s="77">
        <v>55</v>
      </c>
      <c r="I17" s="78">
        <v>2025</v>
      </c>
      <c r="J17" s="79" t="str">
        <f t="shared" si="1"/>
        <v xml:space="preserve"> SL VT 9.6 55W</v>
      </c>
      <c r="K17" s="84">
        <v>627.29</v>
      </c>
      <c r="L17" s="81" t="s">
        <v>363</v>
      </c>
      <c r="M17" s="82" t="s">
        <v>364</v>
      </c>
      <c r="N17" s="83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ht="15.75" customHeight="1" x14ac:dyDescent="0.3">
      <c r="A18" s="61"/>
      <c r="B18" s="66" t="s">
        <v>399</v>
      </c>
      <c r="C18" s="73" t="s">
        <v>360</v>
      </c>
      <c r="D18" s="74" t="s">
        <v>361</v>
      </c>
      <c r="E18" s="66" t="s">
        <v>400</v>
      </c>
      <c r="F18" s="75">
        <v>9479.9</v>
      </c>
      <c r="G18" s="76">
        <f t="shared" si="0"/>
        <v>163.44655172413792</v>
      </c>
      <c r="H18" s="77">
        <v>58</v>
      </c>
      <c r="I18" s="78">
        <v>2025</v>
      </c>
      <c r="J18" s="79" t="str">
        <f t="shared" si="1"/>
        <v xml:space="preserve"> SL VT 9.3 58W</v>
      </c>
      <c r="K18" s="80">
        <v>563.28</v>
      </c>
      <c r="L18" s="81" t="s">
        <v>363</v>
      </c>
      <c r="M18" s="82" t="s">
        <v>364</v>
      </c>
      <c r="N18" s="83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6" ht="15.75" customHeight="1" x14ac:dyDescent="0.3">
      <c r="A19" s="61"/>
      <c r="B19" s="66" t="s">
        <v>373</v>
      </c>
      <c r="C19" s="73" t="s">
        <v>360</v>
      </c>
      <c r="D19" s="74" t="s">
        <v>361</v>
      </c>
      <c r="E19" s="66" t="s">
        <v>374</v>
      </c>
      <c r="F19" s="75">
        <v>10496</v>
      </c>
      <c r="G19" s="76">
        <f t="shared" si="0"/>
        <v>161.47692307692307</v>
      </c>
      <c r="H19" s="77">
        <v>65</v>
      </c>
      <c r="I19" s="78">
        <v>2025</v>
      </c>
      <c r="J19" s="79" t="str">
        <f t="shared" si="1"/>
        <v xml:space="preserve"> SL VT 9.1 65W</v>
      </c>
      <c r="K19" s="80">
        <v>717.61</v>
      </c>
      <c r="L19" s="81" t="s">
        <v>363</v>
      </c>
      <c r="M19" s="82" t="s">
        <v>364</v>
      </c>
      <c r="N19" s="83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6" ht="15.75" customHeight="1" x14ac:dyDescent="0.3">
      <c r="A20" s="61"/>
      <c r="B20" s="66" t="s">
        <v>401</v>
      </c>
      <c r="C20" s="73" t="s">
        <v>360</v>
      </c>
      <c r="D20" s="74" t="s">
        <v>361</v>
      </c>
      <c r="E20" s="66" t="s">
        <v>402</v>
      </c>
      <c r="F20" s="75">
        <v>11712.5</v>
      </c>
      <c r="G20" s="76">
        <f t="shared" si="0"/>
        <v>167.32142857142858</v>
      </c>
      <c r="H20" s="77">
        <v>70</v>
      </c>
      <c r="I20" s="78">
        <v>2025</v>
      </c>
      <c r="J20" s="79" t="str">
        <f t="shared" si="1"/>
        <v xml:space="preserve"> SL VT 9.3 70W</v>
      </c>
      <c r="K20" s="80">
        <v>632.85</v>
      </c>
      <c r="L20" s="81" t="s">
        <v>363</v>
      </c>
      <c r="M20" s="82" t="s">
        <v>364</v>
      </c>
      <c r="N20" s="83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6" ht="15.75" customHeight="1" x14ac:dyDescent="0.3">
      <c r="A21" s="61"/>
      <c r="B21" s="66" t="s">
        <v>429</v>
      </c>
      <c r="C21" s="73" t="s">
        <v>360</v>
      </c>
      <c r="D21" s="74" t="s">
        <v>361</v>
      </c>
      <c r="E21" s="66" t="s">
        <v>430</v>
      </c>
      <c r="F21" s="75">
        <v>9789.2000000000007</v>
      </c>
      <c r="G21" s="76">
        <f t="shared" si="0"/>
        <v>139.84571428571431</v>
      </c>
      <c r="H21" s="77">
        <v>70</v>
      </c>
      <c r="I21" s="78">
        <v>2025</v>
      </c>
      <c r="J21" s="79" t="str">
        <f t="shared" si="1"/>
        <v xml:space="preserve"> SL VT 9.6 70W</v>
      </c>
      <c r="K21" s="84">
        <v>862.03</v>
      </c>
      <c r="L21" s="81" t="s">
        <v>363</v>
      </c>
      <c r="M21" s="82" t="s">
        <v>364</v>
      </c>
      <c r="N21" s="83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6" ht="15.75" customHeight="1" x14ac:dyDescent="0.3">
      <c r="A22" s="61"/>
      <c r="B22" s="66" t="s">
        <v>375</v>
      </c>
      <c r="C22" s="73" t="s">
        <v>360</v>
      </c>
      <c r="D22" s="74" t="s">
        <v>361</v>
      </c>
      <c r="E22" s="66" t="s">
        <v>376</v>
      </c>
      <c r="F22" s="75">
        <v>12107</v>
      </c>
      <c r="G22" s="76">
        <f t="shared" si="0"/>
        <v>168.15277777777777</v>
      </c>
      <c r="H22" s="77">
        <v>72</v>
      </c>
      <c r="I22" s="78">
        <v>2025</v>
      </c>
      <c r="J22" s="79" t="str">
        <f t="shared" si="1"/>
        <v xml:space="preserve"> SL VT 9.1 72W</v>
      </c>
      <c r="K22" s="80">
        <v>719.91</v>
      </c>
      <c r="L22" s="81" t="s">
        <v>363</v>
      </c>
      <c r="M22" s="82" t="s">
        <v>364</v>
      </c>
      <c r="N22" s="83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1:26" ht="15.75" customHeight="1" x14ac:dyDescent="0.3">
      <c r="A23" s="61"/>
      <c r="B23" s="66" t="s">
        <v>403</v>
      </c>
      <c r="C23" s="73" t="s">
        <v>360</v>
      </c>
      <c r="D23" s="74" t="s">
        <v>361</v>
      </c>
      <c r="E23" s="66" t="s">
        <v>404</v>
      </c>
      <c r="F23" s="75">
        <v>13306.6</v>
      </c>
      <c r="G23" s="76">
        <f t="shared" si="0"/>
        <v>166.33250000000001</v>
      </c>
      <c r="H23" s="77">
        <v>80</v>
      </c>
      <c r="I23" s="78">
        <v>2025</v>
      </c>
      <c r="J23" s="79" t="str">
        <f t="shared" si="1"/>
        <v xml:space="preserve"> SL VT 9.3 80W</v>
      </c>
      <c r="K23" s="80">
        <v>744.77700000000004</v>
      </c>
      <c r="L23" s="81" t="s">
        <v>363</v>
      </c>
      <c r="M23" s="82" t="s">
        <v>364</v>
      </c>
      <c r="N23" s="83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1:26" ht="15.75" customHeight="1" x14ac:dyDescent="0.3">
      <c r="A24" s="61"/>
      <c r="B24" s="66" t="s">
        <v>431</v>
      </c>
      <c r="C24" s="73" t="s">
        <v>360</v>
      </c>
      <c r="D24" s="74" t="s">
        <v>361</v>
      </c>
      <c r="E24" s="66" t="s">
        <v>432</v>
      </c>
      <c r="F24" s="75">
        <v>12320</v>
      </c>
      <c r="G24" s="76">
        <f t="shared" si="0"/>
        <v>154</v>
      </c>
      <c r="H24" s="77">
        <v>80</v>
      </c>
      <c r="I24" s="78">
        <v>2025</v>
      </c>
      <c r="J24" s="79" t="str">
        <f t="shared" si="1"/>
        <v xml:space="preserve"> SL VT 9.6 80W</v>
      </c>
      <c r="K24" s="84">
        <v>784.09</v>
      </c>
      <c r="L24" s="81" t="s">
        <v>363</v>
      </c>
      <c r="M24" s="82" t="s">
        <v>364</v>
      </c>
      <c r="N24" s="83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15.75" customHeight="1" x14ac:dyDescent="0.3">
      <c r="A25" s="61"/>
      <c r="B25" s="66" t="s">
        <v>377</v>
      </c>
      <c r="C25" s="73" t="s">
        <v>360</v>
      </c>
      <c r="D25" s="74" t="s">
        <v>361</v>
      </c>
      <c r="E25" s="66" t="s">
        <v>378</v>
      </c>
      <c r="F25" s="75">
        <v>14489</v>
      </c>
      <c r="G25" s="76">
        <f t="shared" si="0"/>
        <v>170.45882352941177</v>
      </c>
      <c r="H25" s="77">
        <v>85</v>
      </c>
      <c r="I25" s="78">
        <v>2025</v>
      </c>
      <c r="J25" s="79" t="str">
        <f t="shared" si="1"/>
        <v xml:space="preserve"> SL VT 9.1 85W</v>
      </c>
      <c r="K25" s="80">
        <v>857.25</v>
      </c>
      <c r="L25" s="81" t="s">
        <v>363</v>
      </c>
      <c r="M25" s="82" t="s">
        <v>364</v>
      </c>
      <c r="N25" s="83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1:26" ht="15.75" customHeight="1" x14ac:dyDescent="0.3">
      <c r="A26" s="61"/>
      <c r="B26" s="66" t="s">
        <v>405</v>
      </c>
      <c r="C26" s="73" t="s">
        <v>360</v>
      </c>
      <c r="D26" s="74" t="s">
        <v>361</v>
      </c>
      <c r="E26" s="66" t="s">
        <v>406</v>
      </c>
      <c r="F26" s="75">
        <v>15713.4</v>
      </c>
      <c r="G26" s="76">
        <f t="shared" si="0"/>
        <v>174.59333333333333</v>
      </c>
      <c r="H26" s="77">
        <v>90</v>
      </c>
      <c r="I26" s="78">
        <v>2025</v>
      </c>
      <c r="J26" s="79" t="str">
        <f t="shared" si="1"/>
        <v xml:space="preserve"> SL VT 9.3 90W</v>
      </c>
      <c r="K26" s="80">
        <v>774.86</v>
      </c>
      <c r="L26" s="81" t="s">
        <v>363</v>
      </c>
      <c r="M26" s="82" t="s">
        <v>364</v>
      </c>
      <c r="N26" s="83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1:26" ht="15.75" customHeight="1" x14ac:dyDescent="0.3">
      <c r="A27" s="61"/>
      <c r="B27" s="66" t="s">
        <v>433</v>
      </c>
      <c r="C27" s="73" t="s">
        <v>360</v>
      </c>
      <c r="D27" s="74" t="s">
        <v>361</v>
      </c>
      <c r="E27" s="66" t="s">
        <v>434</v>
      </c>
      <c r="F27" s="75">
        <v>14295.4</v>
      </c>
      <c r="G27" s="76">
        <f t="shared" si="0"/>
        <v>158.83777777777777</v>
      </c>
      <c r="H27" s="77">
        <v>90</v>
      </c>
      <c r="I27" s="78">
        <v>2025</v>
      </c>
      <c r="J27" s="79" t="str">
        <f t="shared" si="1"/>
        <v xml:space="preserve"> SL VT 9.6 90W</v>
      </c>
      <c r="K27" s="84">
        <v>810.31</v>
      </c>
      <c r="L27" s="81" t="s">
        <v>363</v>
      </c>
      <c r="M27" s="82" t="s">
        <v>364</v>
      </c>
      <c r="N27" s="83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1:26" ht="15.75" customHeight="1" x14ac:dyDescent="0.3">
      <c r="A28" s="61"/>
      <c r="B28" s="66" t="s">
        <v>379</v>
      </c>
      <c r="C28" s="73" t="s">
        <v>360</v>
      </c>
      <c r="D28" s="74" t="s">
        <v>361</v>
      </c>
      <c r="E28" s="66" t="s">
        <v>380</v>
      </c>
      <c r="F28" s="75">
        <v>15900</v>
      </c>
      <c r="G28" s="76">
        <f t="shared" si="0"/>
        <v>159</v>
      </c>
      <c r="H28" s="77">
        <v>100</v>
      </c>
      <c r="I28" s="78">
        <v>2025</v>
      </c>
      <c r="J28" s="79" t="str">
        <f t="shared" si="1"/>
        <v xml:space="preserve"> SL VT 9.1 100W</v>
      </c>
      <c r="K28" s="80">
        <v>875.99</v>
      </c>
      <c r="L28" s="81" t="s">
        <v>363</v>
      </c>
      <c r="M28" s="82" t="s">
        <v>364</v>
      </c>
      <c r="N28" s="83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1:26" ht="15.75" customHeight="1" x14ac:dyDescent="0.3">
      <c r="A29" s="61"/>
      <c r="B29" s="66" t="s">
        <v>407</v>
      </c>
      <c r="C29" s="73" t="s">
        <v>360</v>
      </c>
      <c r="D29" s="74" t="s">
        <v>361</v>
      </c>
      <c r="E29" s="66" t="s">
        <v>408</v>
      </c>
      <c r="F29" s="75">
        <v>17338.400000000001</v>
      </c>
      <c r="G29" s="76">
        <f t="shared" si="0"/>
        <v>165.12761904761905</v>
      </c>
      <c r="H29" s="73">
        <v>105</v>
      </c>
      <c r="I29" s="78">
        <v>2025</v>
      </c>
      <c r="J29" s="79" t="str">
        <f t="shared" si="1"/>
        <v xml:space="preserve"> SL VT 9.3 105W</v>
      </c>
      <c r="K29" s="84">
        <v>784.39</v>
      </c>
      <c r="L29" s="81" t="s">
        <v>363</v>
      </c>
      <c r="M29" s="82" t="s">
        <v>364</v>
      </c>
      <c r="N29" s="83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1:26" ht="15.75" customHeight="1" x14ac:dyDescent="0.3">
      <c r="A30" s="61"/>
      <c r="B30" s="66" t="s">
        <v>435</v>
      </c>
      <c r="C30" s="73" t="s">
        <v>360</v>
      </c>
      <c r="D30" s="74" t="s">
        <v>361</v>
      </c>
      <c r="E30" s="66" t="s">
        <v>436</v>
      </c>
      <c r="F30" s="75">
        <v>15145</v>
      </c>
      <c r="G30" s="76">
        <f t="shared" si="0"/>
        <v>144.23809523809524</v>
      </c>
      <c r="H30" s="77">
        <v>105</v>
      </c>
      <c r="I30" s="78">
        <v>2025</v>
      </c>
      <c r="J30" s="79" t="str">
        <f t="shared" si="1"/>
        <v xml:space="preserve"> SL VT 9.6 105W</v>
      </c>
      <c r="K30" s="84">
        <v>821.26</v>
      </c>
      <c r="L30" s="81" t="s">
        <v>363</v>
      </c>
      <c r="M30" s="82" t="s">
        <v>364</v>
      </c>
      <c r="N30" s="83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1:26" ht="15.75" customHeight="1" x14ac:dyDescent="0.3">
      <c r="A31" s="61"/>
      <c r="B31" s="66" t="s">
        <v>381</v>
      </c>
      <c r="C31" s="73" t="s">
        <v>360</v>
      </c>
      <c r="D31" s="74" t="s">
        <v>361</v>
      </c>
      <c r="E31" s="66" t="s">
        <v>382</v>
      </c>
      <c r="F31" s="75">
        <v>18730</v>
      </c>
      <c r="G31" s="76">
        <f t="shared" si="0"/>
        <v>156.08333333333334</v>
      </c>
      <c r="H31" s="77">
        <v>120</v>
      </c>
      <c r="I31" s="78">
        <v>2025</v>
      </c>
      <c r="J31" s="79" t="str">
        <f t="shared" si="1"/>
        <v xml:space="preserve"> SL VT 9.1 120W</v>
      </c>
      <c r="K31" s="80">
        <v>1035.78</v>
      </c>
      <c r="L31" s="81" t="s">
        <v>363</v>
      </c>
      <c r="M31" s="82" t="s">
        <v>364</v>
      </c>
      <c r="N31" s="83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1:26" ht="15.75" customHeight="1" x14ac:dyDescent="0.3">
      <c r="A32" s="61"/>
      <c r="B32" s="66" t="s">
        <v>409</v>
      </c>
      <c r="C32" s="73" t="s">
        <v>360</v>
      </c>
      <c r="D32" s="74" t="s">
        <v>361</v>
      </c>
      <c r="E32" s="66" t="s">
        <v>410</v>
      </c>
      <c r="F32" s="75">
        <v>20527.8</v>
      </c>
      <c r="G32" s="76">
        <f t="shared" si="0"/>
        <v>171.065</v>
      </c>
      <c r="H32" s="77">
        <v>120</v>
      </c>
      <c r="I32" s="78">
        <v>2025</v>
      </c>
      <c r="J32" s="79" t="str">
        <f t="shared" si="1"/>
        <v xml:space="preserve"> SL VT 9.3 120W</v>
      </c>
      <c r="K32" s="84">
        <v>949.28</v>
      </c>
      <c r="L32" s="81" t="s">
        <v>363</v>
      </c>
      <c r="M32" s="82" t="s">
        <v>364</v>
      </c>
      <c r="N32" s="83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1:26" ht="15.75" customHeight="1" x14ac:dyDescent="0.3">
      <c r="A33" s="61"/>
      <c r="B33" s="66" t="s">
        <v>437</v>
      </c>
      <c r="C33" s="73" t="s">
        <v>360</v>
      </c>
      <c r="D33" s="74" t="s">
        <v>361</v>
      </c>
      <c r="E33" s="66" t="s">
        <v>438</v>
      </c>
      <c r="F33" s="75">
        <v>15145</v>
      </c>
      <c r="G33" s="76">
        <f t="shared" si="0"/>
        <v>126.20833333333333</v>
      </c>
      <c r="H33" s="77">
        <v>120</v>
      </c>
      <c r="I33" s="78">
        <v>2025</v>
      </c>
      <c r="J33" s="79" t="str">
        <f t="shared" si="1"/>
        <v xml:space="preserve"> SL VT 9.6 120W</v>
      </c>
      <c r="K33" s="84">
        <v>1117.1400000000001</v>
      </c>
      <c r="L33" s="81" t="s">
        <v>133</v>
      </c>
      <c r="M33" s="82" t="s">
        <v>364</v>
      </c>
      <c r="N33" s="83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1:26" ht="15.75" customHeight="1" x14ac:dyDescent="0.3">
      <c r="A34" s="61"/>
      <c r="B34" s="66" t="s">
        <v>439</v>
      </c>
      <c r="C34" s="73" t="s">
        <v>360</v>
      </c>
      <c r="D34" s="74" t="s">
        <v>361</v>
      </c>
      <c r="E34" s="66" t="s">
        <v>440</v>
      </c>
      <c r="F34" s="75">
        <v>17968</v>
      </c>
      <c r="G34" s="76">
        <f t="shared" si="0"/>
        <v>143.744</v>
      </c>
      <c r="H34" s="77">
        <v>125</v>
      </c>
      <c r="I34" s="78">
        <v>2025</v>
      </c>
      <c r="J34" s="79" t="str">
        <f t="shared" si="1"/>
        <v xml:space="preserve"> SL VT 9.6 125W</v>
      </c>
      <c r="K34" s="84">
        <v>1013.74</v>
      </c>
      <c r="L34" s="81" t="s">
        <v>363</v>
      </c>
      <c r="M34" s="82" t="s">
        <v>364</v>
      </c>
      <c r="N34" s="83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1:26" ht="15.75" customHeight="1" x14ac:dyDescent="0.3">
      <c r="A35" s="61"/>
      <c r="B35" s="66" t="s">
        <v>383</v>
      </c>
      <c r="C35" s="73" t="s">
        <v>360</v>
      </c>
      <c r="D35" s="74" t="s">
        <v>361</v>
      </c>
      <c r="E35" s="66" t="s">
        <v>384</v>
      </c>
      <c r="F35" s="75">
        <v>22440</v>
      </c>
      <c r="G35" s="76">
        <f t="shared" si="0"/>
        <v>160.28571428571428</v>
      </c>
      <c r="H35" s="77">
        <v>140</v>
      </c>
      <c r="I35" s="78">
        <v>2025</v>
      </c>
      <c r="J35" s="79" t="str">
        <f t="shared" si="1"/>
        <v xml:space="preserve"> SL VT 9.1 140W</v>
      </c>
      <c r="K35" s="80">
        <v>1059.2</v>
      </c>
      <c r="L35" s="81" t="s">
        <v>363</v>
      </c>
      <c r="M35" s="82" t="s">
        <v>364</v>
      </c>
      <c r="N35" s="83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1:26" ht="15.75" customHeight="1" x14ac:dyDescent="0.3">
      <c r="A36" s="61"/>
      <c r="B36" s="66" t="s">
        <v>411</v>
      </c>
      <c r="C36" s="73" t="s">
        <v>360</v>
      </c>
      <c r="D36" s="74" t="s">
        <v>361</v>
      </c>
      <c r="E36" s="66" t="s">
        <v>412</v>
      </c>
      <c r="F36" s="75">
        <v>23598.3</v>
      </c>
      <c r="G36" s="76">
        <f t="shared" si="0"/>
        <v>162.74689655172412</v>
      </c>
      <c r="H36" s="77">
        <v>145</v>
      </c>
      <c r="I36" s="78">
        <v>2025</v>
      </c>
      <c r="J36" s="79" t="str">
        <f t="shared" si="1"/>
        <v xml:space="preserve"> SL VT 9.3 145W</v>
      </c>
      <c r="K36" s="84">
        <v>968.41</v>
      </c>
      <c r="L36" s="81" t="s">
        <v>363</v>
      </c>
      <c r="M36" s="82" t="s">
        <v>364</v>
      </c>
      <c r="N36" s="83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1:26" ht="15.75" customHeight="1" x14ac:dyDescent="0.3">
      <c r="A37" s="61"/>
      <c r="B37" s="66" t="s">
        <v>441</v>
      </c>
      <c r="C37" s="77" t="s">
        <v>360</v>
      </c>
      <c r="D37" s="74" t="s">
        <v>361</v>
      </c>
      <c r="E37" s="66" t="s">
        <v>442</v>
      </c>
      <c r="F37" s="75">
        <v>20481</v>
      </c>
      <c r="G37" s="85">
        <f t="shared" si="0"/>
        <v>141.24827586206897</v>
      </c>
      <c r="H37" s="85">
        <v>145</v>
      </c>
      <c r="I37" s="78">
        <v>2025</v>
      </c>
      <c r="J37" s="79" t="str">
        <f t="shared" si="1"/>
        <v xml:space="preserve"> SL VT 9.6 145W</v>
      </c>
      <c r="K37" s="80">
        <v>1024.45</v>
      </c>
      <c r="L37" s="81" t="s">
        <v>363</v>
      </c>
      <c r="M37" s="82" t="s">
        <v>364</v>
      </c>
      <c r="N37" s="83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1:26" ht="15.75" customHeight="1" x14ac:dyDescent="0.3">
      <c r="A38" s="61"/>
      <c r="B38" s="66" t="s">
        <v>443</v>
      </c>
      <c r="C38" s="73" t="s">
        <v>360</v>
      </c>
      <c r="D38" s="74" t="s">
        <v>361</v>
      </c>
      <c r="E38" s="66" t="s">
        <v>444</v>
      </c>
      <c r="F38" s="75" t="s">
        <v>130</v>
      </c>
      <c r="G38" s="85" t="e">
        <f t="shared" si="0"/>
        <v>#VALUE!</v>
      </c>
      <c r="H38" s="73">
        <v>150</v>
      </c>
      <c r="I38" s="78">
        <v>2025</v>
      </c>
      <c r="J38" s="79" t="str">
        <f t="shared" si="1"/>
        <v xml:space="preserve"> SL VT 9.6 150W</v>
      </c>
      <c r="K38" s="84">
        <v>1188.6199999999999</v>
      </c>
      <c r="L38" s="81" t="s">
        <v>133</v>
      </c>
      <c r="M38" s="82" t="s">
        <v>364</v>
      </c>
      <c r="N38" s="83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1:26" ht="15.75" customHeight="1" x14ac:dyDescent="0.3">
      <c r="A39" s="61"/>
      <c r="B39" s="66" t="s">
        <v>385</v>
      </c>
      <c r="C39" s="73" t="s">
        <v>360</v>
      </c>
      <c r="D39" s="74" t="s">
        <v>361</v>
      </c>
      <c r="E39" s="66" t="s">
        <v>386</v>
      </c>
      <c r="F39" s="75">
        <v>24540</v>
      </c>
      <c r="G39" s="76">
        <f t="shared" si="0"/>
        <v>158.32258064516128</v>
      </c>
      <c r="H39" s="73">
        <v>155</v>
      </c>
      <c r="I39" s="78">
        <v>2025</v>
      </c>
      <c r="J39" s="79" t="str">
        <f t="shared" si="1"/>
        <v xml:space="preserve"> SL VT 9.1 155W</v>
      </c>
      <c r="K39" s="80">
        <v>1118.75</v>
      </c>
      <c r="L39" s="81" t="s">
        <v>363</v>
      </c>
      <c r="M39" s="82" t="s">
        <v>364</v>
      </c>
      <c r="N39" s="83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1:26" ht="15.75" customHeight="1" x14ac:dyDescent="0.3">
      <c r="A40" s="61"/>
      <c r="B40" s="66" t="s">
        <v>413</v>
      </c>
      <c r="C40" s="73" t="s">
        <v>360</v>
      </c>
      <c r="D40" s="74" t="s">
        <v>361</v>
      </c>
      <c r="E40" s="66" t="s">
        <v>414</v>
      </c>
      <c r="F40" s="75">
        <v>26327.1</v>
      </c>
      <c r="G40" s="76">
        <f t="shared" si="0"/>
        <v>164.544375</v>
      </c>
      <c r="H40" s="77">
        <v>160</v>
      </c>
      <c r="I40" s="78">
        <v>2025</v>
      </c>
      <c r="J40" s="79" t="str">
        <f t="shared" si="1"/>
        <v xml:space="preserve"> SL VT 9.3 160W</v>
      </c>
      <c r="K40" s="84">
        <v>1012.37</v>
      </c>
      <c r="L40" s="81" t="s">
        <v>363</v>
      </c>
      <c r="M40" s="82" t="s">
        <v>364</v>
      </c>
      <c r="N40" s="83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1:26" ht="15.75" customHeight="1" x14ac:dyDescent="0.3">
      <c r="A41" s="61"/>
      <c r="B41" s="66" t="s">
        <v>445</v>
      </c>
      <c r="C41" s="73" t="s">
        <v>360</v>
      </c>
      <c r="D41" s="74" t="s">
        <v>361</v>
      </c>
      <c r="E41" s="66" t="s">
        <v>446</v>
      </c>
      <c r="F41" s="75">
        <v>23437</v>
      </c>
      <c r="G41" s="85">
        <f t="shared" si="0"/>
        <v>146.48124999999999</v>
      </c>
      <c r="H41" s="73">
        <v>160</v>
      </c>
      <c r="I41" s="78">
        <v>2025</v>
      </c>
      <c r="J41" s="79" t="str">
        <f t="shared" si="1"/>
        <v xml:space="preserve"> SL VT 9.6 160W</v>
      </c>
      <c r="K41" s="84">
        <v>1072.51</v>
      </c>
      <c r="L41" s="81" t="s">
        <v>363</v>
      </c>
      <c r="M41" s="82" t="s">
        <v>364</v>
      </c>
      <c r="N41" s="83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1:26" ht="15.75" customHeight="1" x14ac:dyDescent="0.3">
      <c r="A42" s="61"/>
      <c r="B42" s="66" t="s">
        <v>387</v>
      </c>
      <c r="C42" s="73" t="s">
        <v>360</v>
      </c>
      <c r="D42" s="74" t="s">
        <v>361</v>
      </c>
      <c r="E42" s="66" t="s">
        <v>388</v>
      </c>
      <c r="F42" s="75">
        <v>26748</v>
      </c>
      <c r="G42" s="76">
        <f t="shared" si="0"/>
        <v>157.34117647058824</v>
      </c>
      <c r="H42" s="77">
        <v>170</v>
      </c>
      <c r="I42" s="78">
        <v>2025</v>
      </c>
      <c r="J42" s="79" t="str">
        <f t="shared" si="1"/>
        <v xml:space="preserve"> SL VT 9.1 170W</v>
      </c>
      <c r="K42" s="80">
        <v>1178.93</v>
      </c>
      <c r="L42" s="81" t="s">
        <v>363</v>
      </c>
      <c r="M42" s="82" t="s">
        <v>364</v>
      </c>
      <c r="N42" s="83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1:26" ht="15.75" customHeight="1" x14ac:dyDescent="0.3">
      <c r="A43" s="61"/>
      <c r="B43" s="66" t="s">
        <v>447</v>
      </c>
      <c r="C43" s="73" t="s">
        <v>360</v>
      </c>
      <c r="D43" s="74" t="s">
        <v>361</v>
      </c>
      <c r="E43" s="66" t="s">
        <v>448</v>
      </c>
      <c r="F43" s="75">
        <v>25532</v>
      </c>
      <c r="G43" s="85">
        <f t="shared" si="0"/>
        <v>145.89714285714285</v>
      </c>
      <c r="H43" s="73">
        <v>175</v>
      </c>
      <c r="I43" s="78">
        <v>2025</v>
      </c>
      <c r="J43" s="79" t="str">
        <f t="shared" si="1"/>
        <v xml:space="preserve"> SL VT 9.6 175W</v>
      </c>
      <c r="K43" s="84">
        <v>1131.73</v>
      </c>
      <c r="L43" s="81" t="s">
        <v>363</v>
      </c>
      <c r="M43" s="82" t="s">
        <v>364</v>
      </c>
      <c r="N43" s="83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1:26" ht="15.75" customHeight="1" x14ac:dyDescent="0.3">
      <c r="A44" s="61"/>
      <c r="B44" s="66" t="s">
        <v>415</v>
      </c>
      <c r="C44" s="73" t="s">
        <v>360</v>
      </c>
      <c r="D44" s="74" t="s">
        <v>361</v>
      </c>
      <c r="E44" s="66" t="s">
        <v>416</v>
      </c>
      <c r="F44" s="75">
        <v>29771.7</v>
      </c>
      <c r="G44" s="76">
        <f t="shared" si="0"/>
        <v>160.92810810810812</v>
      </c>
      <c r="H44" s="77">
        <v>185</v>
      </c>
      <c r="I44" s="78">
        <v>2025</v>
      </c>
      <c r="J44" s="79" t="str">
        <f t="shared" si="1"/>
        <v xml:space="preserve"> SL VT 9.3 185W</v>
      </c>
      <c r="K44" s="84">
        <v>1106.69</v>
      </c>
      <c r="L44" s="81" t="s">
        <v>363</v>
      </c>
      <c r="M44" s="82" t="s">
        <v>364</v>
      </c>
      <c r="N44" s="83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ht="15.75" customHeight="1" x14ac:dyDescent="0.3">
      <c r="A45" s="61"/>
      <c r="B45" s="66" t="s">
        <v>449</v>
      </c>
      <c r="C45" s="73" t="s">
        <v>360</v>
      </c>
      <c r="D45" s="74" t="s">
        <v>361</v>
      </c>
      <c r="E45" s="66" t="s">
        <v>450</v>
      </c>
      <c r="F45" s="75">
        <v>28644.799999999999</v>
      </c>
      <c r="G45" s="85">
        <f t="shared" si="0"/>
        <v>150.76210526315788</v>
      </c>
      <c r="H45" s="73">
        <v>190</v>
      </c>
      <c r="I45" s="78">
        <v>2025</v>
      </c>
      <c r="J45" s="79" t="str">
        <f t="shared" si="1"/>
        <v xml:space="preserve"> SL VT 9.6 190W</v>
      </c>
      <c r="K45" s="84">
        <v>1149.6400000000001</v>
      </c>
      <c r="L45" s="81" t="s">
        <v>363</v>
      </c>
      <c r="M45" s="82" t="s">
        <v>364</v>
      </c>
      <c r="N45" s="83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1:26" ht="15.75" customHeight="1" x14ac:dyDescent="0.3">
      <c r="A46" s="61"/>
      <c r="B46" s="66" t="s">
        <v>389</v>
      </c>
      <c r="C46" s="73" t="s">
        <v>360</v>
      </c>
      <c r="D46" s="74" t="s">
        <v>361</v>
      </c>
      <c r="E46" s="66" t="s">
        <v>390</v>
      </c>
      <c r="F46" s="75">
        <v>32521</v>
      </c>
      <c r="G46" s="76">
        <f t="shared" si="0"/>
        <v>162.60499999999999</v>
      </c>
      <c r="H46" s="77">
        <v>200</v>
      </c>
      <c r="I46" s="78">
        <v>2025</v>
      </c>
      <c r="J46" s="79" t="str">
        <f t="shared" si="1"/>
        <v xml:space="preserve"> SL VT 9.1 200W</v>
      </c>
      <c r="K46" s="80">
        <v>1233.8</v>
      </c>
      <c r="L46" s="81" t="s">
        <v>363</v>
      </c>
      <c r="M46" s="82" t="s">
        <v>364</v>
      </c>
      <c r="N46" s="83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5.75" customHeight="1" x14ac:dyDescent="0.3">
      <c r="A47" s="61"/>
      <c r="B47" s="66" t="s">
        <v>417</v>
      </c>
      <c r="C47" s="73" t="s">
        <v>360</v>
      </c>
      <c r="D47" s="74" t="s">
        <v>361</v>
      </c>
      <c r="E47" s="66" t="s">
        <v>418</v>
      </c>
      <c r="F47" s="75">
        <v>32740.2</v>
      </c>
      <c r="G47" s="76">
        <f t="shared" si="0"/>
        <v>163.70099999999999</v>
      </c>
      <c r="H47" s="77">
        <v>200</v>
      </c>
      <c r="I47" s="78">
        <v>2025</v>
      </c>
      <c r="J47" s="79" t="str">
        <f t="shared" si="1"/>
        <v xml:space="preserve"> SL VT 9.3 200W</v>
      </c>
      <c r="K47" s="84">
        <v>1121.3900000000001</v>
      </c>
      <c r="L47" s="81" t="s">
        <v>363</v>
      </c>
      <c r="M47" s="82" t="s">
        <v>364</v>
      </c>
      <c r="N47" s="83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1:26" ht="15.75" customHeight="1" x14ac:dyDescent="0.3">
      <c r="A48" s="61"/>
      <c r="B48" s="66" t="s">
        <v>451</v>
      </c>
      <c r="C48" s="73" t="s">
        <v>360</v>
      </c>
      <c r="D48" s="74" t="s">
        <v>361</v>
      </c>
      <c r="E48" s="66" t="s">
        <v>452</v>
      </c>
      <c r="F48" s="75">
        <v>31800.799999999999</v>
      </c>
      <c r="G48" s="85">
        <f t="shared" si="0"/>
        <v>147.9106976744186</v>
      </c>
      <c r="H48" s="73">
        <v>215</v>
      </c>
      <c r="I48" s="78">
        <v>2025</v>
      </c>
      <c r="J48" s="79" t="str">
        <f t="shared" si="1"/>
        <v xml:space="preserve"> SL VT 9.6 215W</v>
      </c>
      <c r="K48" s="84">
        <v>1207.4100000000001</v>
      </c>
      <c r="L48" s="81" t="s">
        <v>363</v>
      </c>
      <c r="M48" s="82" t="s">
        <v>364</v>
      </c>
      <c r="N48" s="83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1:26" ht="15.75" customHeight="1" x14ac:dyDescent="0.3">
      <c r="A49" s="61"/>
      <c r="B49" s="66" t="s">
        <v>453</v>
      </c>
      <c r="C49" s="73" t="s">
        <v>360</v>
      </c>
      <c r="D49" s="74" t="s">
        <v>361</v>
      </c>
      <c r="E49" s="66" t="s">
        <v>454</v>
      </c>
      <c r="F49" s="75" t="s">
        <v>130</v>
      </c>
      <c r="G49" s="85" t="e">
        <f t="shared" si="0"/>
        <v>#VALUE!</v>
      </c>
      <c r="H49" s="73">
        <v>240</v>
      </c>
      <c r="I49" s="78">
        <v>2025</v>
      </c>
      <c r="J49" s="79" t="str">
        <f t="shared" si="1"/>
        <v xml:space="preserve"> SL VT 9.6 240W</v>
      </c>
      <c r="K49" s="84">
        <v>1363.6</v>
      </c>
      <c r="L49" s="81" t="s">
        <v>133</v>
      </c>
      <c r="M49" s="82" t="s">
        <v>364</v>
      </c>
      <c r="N49" s="83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1:26" ht="15.75" customHeight="1" x14ac:dyDescent="0.3">
      <c r="A50" s="61"/>
      <c r="B50" s="61"/>
      <c r="C50" s="61"/>
      <c r="D50" s="61"/>
      <c r="E50" s="61"/>
      <c r="F50" s="62"/>
      <c r="G50" s="61"/>
      <c r="H50" s="61"/>
      <c r="I50" s="63"/>
      <c r="J50" s="63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1:26" ht="15.75" customHeight="1" x14ac:dyDescent="0.3">
      <c r="A51" s="61"/>
      <c r="B51" s="61"/>
      <c r="C51" s="61"/>
      <c r="D51" s="61"/>
      <c r="E51" s="61"/>
      <c r="F51" s="62"/>
      <c r="G51" s="61"/>
      <c r="H51" s="61"/>
      <c r="I51" s="63"/>
      <c r="J51" s="63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15.75" customHeight="1" x14ac:dyDescent="0.3">
      <c r="A52" s="61"/>
      <c r="B52" s="86" t="s">
        <v>350</v>
      </c>
      <c r="C52" s="86" t="s">
        <v>351</v>
      </c>
      <c r="D52" s="86" t="s">
        <v>96</v>
      </c>
      <c r="E52" s="87" t="s">
        <v>352</v>
      </c>
      <c r="F52" s="87" t="s">
        <v>353</v>
      </c>
      <c r="G52" s="86" t="s">
        <v>354</v>
      </c>
      <c r="H52" s="86" t="s">
        <v>349</v>
      </c>
      <c r="I52" s="86" t="s">
        <v>347</v>
      </c>
      <c r="J52" s="86" t="s">
        <v>455</v>
      </c>
      <c r="K52" s="88" t="s">
        <v>356</v>
      </c>
      <c r="L52" s="88" t="s">
        <v>357</v>
      </c>
      <c r="M52" s="88" t="s">
        <v>358</v>
      </c>
      <c r="N52" s="88" t="s">
        <v>123</v>
      </c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1:26" ht="15.75" customHeight="1" x14ac:dyDescent="0.3">
      <c r="A53" s="61"/>
      <c r="B53" s="89" t="s">
        <v>456</v>
      </c>
      <c r="C53" s="89" t="s">
        <v>360</v>
      </c>
      <c r="D53" s="90" t="s">
        <v>457</v>
      </c>
      <c r="E53" s="73" t="s">
        <v>458</v>
      </c>
      <c r="F53" s="75">
        <v>3825</v>
      </c>
      <c r="G53" s="91">
        <f t="shared" ref="G53:G79" si="2">F53/H53</f>
        <v>170</v>
      </c>
      <c r="H53" s="89">
        <v>22.5</v>
      </c>
      <c r="I53" s="92">
        <v>2025</v>
      </c>
      <c r="J53" s="89" t="str">
        <f t="shared" ref="J53:J79" si="3">B53</f>
        <v>SX-INEVO020HF</v>
      </c>
      <c r="K53" s="80">
        <v>330</v>
      </c>
      <c r="L53" s="89" t="s">
        <v>363</v>
      </c>
      <c r="M53" s="92" t="s">
        <v>364</v>
      </c>
      <c r="N53" s="93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1:26" ht="15.75" customHeight="1" x14ac:dyDescent="0.3">
      <c r="A54" s="61"/>
      <c r="B54" s="89" t="s">
        <v>456</v>
      </c>
      <c r="C54" s="89" t="s">
        <v>360</v>
      </c>
      <c r="D54" s="90" t="s">
        <v>457</v>
      </c>
      <c r="E54" s="73" t="s">
        <v>458</v>
      </c>
      <c r="F54" s="75">
        <v>3825</v>
      </c>
      <c r="G54" s="91">
        <f t="shared" si="2"/>
        <v>170</v>
      </c>
      <c r="H54" s="89">
        <v>22.5</v>
      </c>
      <c r="I54" s="92">
        <v>2025</v>
      </c>
      <c r="J54" s="89" t="str">
        <f t="shared" si="3"/>
        <v>SX-INEVO020HF</v>
      </c>
      <c r="K54" s="80">
        <v>330</v>
      </c>
      <c r="L54" s="89" t="s">
        <v>363</v>
      </c>
      <c r="M54" s="92" t="s">
        <v>364</v>
      </c>
      <c r="N54" s="93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1:26" ht="15.75" customHeight="1" x14ac:dyDescent="0.3">
      <c r="A55" s="61"/>
      <c r="B55" s="89" t="s">
        <v>459</v>
      </c>
      <c r="C55" s="89" t="s">
        <v>360</v>
      </c>
      <c r="D55" s="90" t="s">
        <v>457</v>
      </c>
      <c r="E55" s="73" t="s">
        <v>460</v>
      </c>
      <c r="F55" s="75">
        <v>5270</v>
      </c>
      <c r="G55" s="91">
        <f t="shared" si="2"/>
        <v>170</v>
      </c>
      <c r="H55" s="89">
        <v>31</v>
      </c>
      <c r="I55" s="92">
        <v>2025</v>
      </c>
      <c r="J55" s="89" t="str">
        <f t="shared" si="3"/>
        <v>SX-INEVO030HF</v>
      </c>
      <c r="K55" s="80">
        <v>335</v>
      </c>
      <c r="L55" s="89" t="s">
        <v>363</v>
      </c>
      <c r="M55" s="92" t="s">
        <v>364</v>
      </c>
      <c r="N55" s="93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1:26" ht="15.75" customHeight="1" x14ac:dyDescent="0.3">
      <c r="A56" s="61"/>
      <c r="B56" s="89" t="s">
        <v>461</v>
      </c>
      <c r="C56" s="89" t="s">
        <v>360</v>
      </c>
      <c r="D56" s="90" t="s">
        <v>457</v>
      </c>
      <c r="E56" s="73" t="s">
        <v>462</v>
      </c>
      <c r="F56" s="75">
        <v>6552</v>
      </c>
      <c r="G56" s="91">
        <f t="shared" si="2"/>
        <v>168</v>
      </c>
      <c r="H56" s="89">
        <v>39</v>
      </c>
      <c r="I56" s="92">
        <v>2025</v>
      </c>
      <c r="J56" s="89" t="str">
        <f t="shared" si="3"/>
        <v>SX-INEVO040HF</v>
      </c>
      <c r="K56" s="80">
        <v>370</v>
      </c>
      <c r="L56" s="89" t="s">
        <v>363</v>
      </c>
      <c r="M56" s="92" t="s">
        <v>364</v>
      </c>
      <c r="N56" s="93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1:26" ht="15.75" customHeight="1" x14ac:dyDescent="0.3">
      <c r="A57" s="61"/>
      <c r="B57" s="89" t="s">
        <v>463</v>
      </c>
      <c r="C57" s="89" t="s">
        <v>360</v>
      </c>
      <c r="D57" s="90" t="s">
        <v>457</v>
      </c>
      <c r="E57" s="73" t="s">
        <v>464</v>
      </c>
      <c r="F57" s="75">
        <v>8650</v>
      </c>
      <c r="G57" s="91">
        <f t="shared" si="2"/>
        <v>173</v>
      </c>
      <c r="H57" s="89">
        <v>50</v>
      </c>
      <c r="I57" s="92">
        <v>2025</v>
      </c>
      <c r="J57" s="89" t="str">
        <f t="shared" si="3"/>
        <v>SX-INEVO050HF</v>
      </c>
      <c r="K57" s="80">
        <v>374</v>
      </c>
      <c r="L57" s="89" t="s">
        <v>363</v>
      </c>
      <c r="M57" s="92" t="s">
        <v>364</v>
      </c>
      <c r="N57" s="93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1:26" ht="15.75" customHeight="1" x14ac:dyDescent="0.3">
      <c r="A58" s="61"/>
      <c r="B58" s="89" t="s">
        <v>465</v>
      </c>
      <c r="C58" s="89" t="s">
        <v>360</v>
      </c>
      <c r="D58" s="90" t="s">
        <v>457</v>
      </c>
      <c r="E58" s="73" t="s">
        <v>466</v>
      </c>
      <c r="F58" s="75">
        <v>9600</v>
      </c>
      <c r="G58" s="91">
        <f t="shared" si="2"/>
        <v>160</v>
      </c>
      <c r="H58" s="89">
        <v>60</v>
      </c>
      <c r="I58" s="92">
        <v>2025</v>
      </c>
      <c r="J58" s="89" t="str">
        <f t="shared" si="3"/>
        <v>SX-INEVO060HF</v>
      </c>
      <c r="K58" s="80">
        <v>375</v>
      </c>
      <c r="L58" s="89" t="s">
        <v>363</v>
      </c>
      <c r="M58" s="92" t="s">
        <v>364</v>
      </c>
      <c r="N58" s="93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1:26" ht="15.75" customHeight="1" x14ac:dyDescent="0.3">
      <c r="A59" s="61"/>
      <c r="B59" s="89" t="s">
        <v>467</v>
      </c>
      <c r="C59" s="89" t="s">
        <v>360</v>
      </c>
      <c r="D59" s="90" t="s">
        <v>457</v>
      </c>
      <c r="E59" s="73" t="s">
        <v>468</v>
      </c>
      <c r="F59" s="75">
        <v>11970</v>
      </c>
      <c r="G59" s="91">
        <f t="shared" si="2"/>
        <v>171</v>
      </c>
      <c r="H59" s="89">
        <v>70</v>
      </c>
      <c r="I59" s="92">
        <v>2025</v>
      </c>
      <c r="J59" s="89" t="str">
        <f t="shared" si="3"/>
        <v>SX-INLPP070HF</v>
      </c>
      <c r="K59" s="80">
        <v>465</v>
      </c>
      <c r="L59" s="89" t="s">
        <v>363</v>
      </c>
      <c r="M59" s="92" t="s">
        <v>364</v>
      </c>
      <c r="N59" s="93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1:26" ht="15.75" customHeight="1" x14ac:dyDescent="0.3">
      <c r="A60" s="61"/>
      <c r="B60" s="89" t="s">
        <v>467</v>
      </c>
      <c r="C60" s="89" t="s">
        <v>360</v>
      </c>
      <c r="D60" s="90" t="s">
        <v>457</v>
      </c>
      <c r="E60" s="73" t="s">
        <v>468</v>
      </c>
      <c r="F60" s="75">
        <v>11970</v>
      </c>
      <c r="G60" s="91">
        <f t="shared" si="2"/>
        <v>171</v>
      </c>
      <c r="H60" s="89">
        <v>70</v>
      </c>
      <c r="I60" s="92">
        <v>2025</v>
      </c>
      <c r="J60" s="89" t="str">
        <f t="shared" si="3"/>
        <v>SX-INLPP070HF</v>
      </c>
      <c r="K60" s="80">
        <v>465</v>
      </c>
      <c r="L60" s="89" t="s">
        <v>363</v>
      </c>
      <c r="M60" s="92" t="s">
        <v>364</v>
      </c>
      <c r="N60" s="93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1:26" ht="15.75" customHeight="1" x14ac:dyDescent="0.3">
      <c r="A61" s="61"/>
      <c r="B61" s="89" t="s">
        <v>469</v>
      </c>
      <c r="C61" s="89" t="s">
        <v>360</v>
      </c>
      <c r="D61" s="90" t="s">
        <v>457</v>
      </c>
      <c r="E61" s="73" t="s">
        <v>470</v>
      </c>
      <c r="F61" s="75">
        <v>13359</v>
      </c>
      <c r="G61" s="91">
        <f t="shared" si="2"/>
        <v>169.1012658227848</v>
      </c>
      <c r="H61" s="89">
        <v>79</v>
      </c>
      <c r="I61" s="92">
        <v>2025</v>
      </c>
      <c r="J61" s="89" t="str">
        <f t="shared" si="3"/>
        <v>SX-INLPP080HF</v>
      </c>
      <c r="K61" s="80">
        <v>470</v>
      </c>
      <c r="L61" s="89" t="s">
        <v>363</v>
      </c>
      <c r="M61" s="92" t="s">
        <v>364</v>
      </c>
      <c r="N61" s="93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1:26" ht="15.6" customHeight="1" x14ac:dyDescent="0.3">
      <c r="A62" s="61"/>
      <c r="B62" s="89" t="s">
        <v>471</v>
      </c>
      <c r="C62" s="89" t="s">
        <v>360</v>
      </c>
      <c r="D62" s="90" t="s">
        <v>457</v>
      </c>
      <c r="E62" s="73" t="s">
        <v>472</v>
      </c>
      <c r="F62" s="75">
        <v>15476</v>
      </c>
      <c r="G62" s="91">
        <f t="shared" si="2"/>
        <v>171.95555555555555</v>
      </c>
      <c r="H62" s="89">
        <v>90</v>
      </c>
      <c r="I62" s="92">
        <v>2025</v>
      </c>
      <c r="J62" s="89" t="str">
        <f t="shared" si="3"/>
        <v>SX-INLPP090HF</v>
      </c>
      <c r="K62" s="80">
        <v>490</v>
      </c>
      <c r="L62" s="89" t="s">
        <v>363</v>
      </c>
      <c r="M62" s="92" t="s">
        <v>364</v>
      </c>
      <c r="N62" s="93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1:26" ht="15.75" customHeight="1" x14ac:dyDescent="0.3">
      <c r="A63" s="61"/>
      <c r="B63" s="89" t="s">
        <v>649</v>
      </c>
      <c r="C63" s="89" t="s">
        <v>360</v>
      </c>
      <c r="D63" s="90" t="s">
        <v>457</v>
      </c>
      <c r="E63" s="73" t="s">
        <v>472</v>
      </c>
      <c r="F63" s="75">
        <v>15476</v>
      </c>
      <c r="G63" s="91">
        <f>F63/H63</f>
        <v>154.76</v>
      </c>
      <c r="H63" s="89">
        <v>100</v>
      </c>
      <c r="I63" s="92">
        <v>2025</v>
      </c>
      <c r="J63" s="89" t="str">
        <f>B63</f>
        <v>SX-INLPP0100HF</v>
      </c>
      <c r="K63" s="80">
        <v>520</v>
      </c>
      <c r="L63" s="89" t="s">
        <v>363</v>
      </c>
      <c r="M63" s="92" t="s">
        <v>364</v>
      </c>
      <c r="N63" s="93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1:26" ht="15.75" customHeight="1" x14ac:dyDescent="0.3">
      <c r="A64" s="61"/>
      <c r="B64" s="89" t="s">
        <v>473</v>
      </c>
      <c r="C64" s="89" t="s">
        <v>360</v>
      </c>
      <c r="D64" s="90" t="s">
        <v>457</v>
      </c>
      <c r="E64" s="73" t="s">
        <v>474</v>
      </c>
      <c r="F64" s="75">
        <v>20748</v>
      </c>
      <c r="G64" s="91">
        <f t="shared" si="2"/>
        <v>172.9</v>
      </c>
      <c r="H64" s="89">
        <v>120</v>
      </c>
      <c r="I64" s="92">
        <v>2025</v>
      </c>
      <c r="J64" s="89" t="str">
        <f t="shared" si="3"/>
        <v>SX-INLPP120HF</v>
      </c>
      <c r="K64" s="80">
        <v>550</v>
      </c>
      <c r="L64" s="89" t="s">
        <v>363</v>
      </c>
      <c r="M64" s="92" t="s">
        <v>364</v>
      </c>
      <c r="N64" s="93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:26" ht="15.75" customHeight="1" x14ac:dyDescent="0.3">
      <c r="A65" s="61"/>
      <c r="B65" s="89" t="s">
        <v>475</v>
      </c>
      <c r="C65" s="89" t="s">
        <v>360</v>
      </c>
      <c r="D65" s="90" t="s">
        <v>457</v>
      </c>
      <c r="E65" s="94" t="s">
        <v>476</v>
      </c>
      <c r="F65" s="75">
        <v>23817</v>
      </c>
      <c r="G65" s="91">
        <f t="shared" si="2"/>
        <v>173.84671532846716</v>
      </c>
      <c r="H65" s="89">
        <v>137</v>
      </c>
      <c r="I65" s="92">
        <v>2025</v>
      </c>
      <c r="J65" s="89" t="str">
        <f t="shared" si="3"/>
        <v>SX-INLPP150HF</v>
      </c>
      <c r="K65" s="80">
        <v>570</v>
      </c>
      <c r="L65" s="89" t="s">
        <v>363</v>
      </c>
      <c r="M65" s="92" t="s">
        <v>364</v>
      </c>
      <c r="N65" s="93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:26" ht="15.75" customHeight="1" x14ac:dyDescent="0.3">
      <c r="A66" s="61"/>
      <c r="B66" s="89" t="s">
        <v>477</v>
      </c>
      <c r="C66" s="89" t="s">
        <v>360</v>
      </c>
      <c r="D66" s="90" t="s">
        <v>457</v>
      </c>
      <c r="E66" s="73" t="s">
        <v>478</v>
      </c>
      <c r="F66" s="75">
        <v>26908</v>
      </c>
      <c r="G66" s="91">
        <f t="shared" si="2"/>
        <v>184.30136986301369</v>
      </c>
      <c r="H66" s="89">
        <v>146</v>
      </c>
      <c r="I66" s="92">
        <v>2025</v>
      </c>
      <c r="J66" s="89" t="str">
        <f t="shared" si="3"/>
        <v>SX-INLPE150HF</v>
      </c>
      <c r="K66" s="80">
        <v>780</v>
      </c>
      <c r="L66" s="89" t="s">
        <v>363</v>
      </c>
      <c r="M66" s="92" t="s">
        <v>364</v>
      </c>
      <c r="N66" s="93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spans="1:26" ht="15.75" hidden="1" customHeight="1" x14ac:dyDescent="0.3">
      <c r="A67" s="61"/>
      <c r="B67" s="95" t="s">
        <v>479</v>
      </c>
      <c r="C67" s="89" t="s">
        <v>360</v>
      </c>
      <c r="D67" s="90" t="s">
        <v>480</v>
      </c>
      <c r="E67" s="96" t="s">
        <v>481</v>
      </c>
      <c r="F67" s="75">
        <v>4398</v>
      </c>
      <c r="G67" s="91">
        <f t="shared" si="2"/>
        <v>162.88888888888889</v>
      </c>
      <c r="H67" s="89">
        <v>27</v>
      </c>
      <c r="I67" s="92">
        <v>2025</v>
      </c>
      <c r="J67" s="89" t="str">
        <f t="shared" si="3"/>
        <v xml:space="preserve">TAUTAGGTFRRTTNDL_27W_35IBBR
</v>
      </c>
      <c r="K67" s="80">
        <v>527.63</v>
      </c>
      <c r="L67" s="89" t="s">
        <v>363</v>
      </c>
      <c r="M67" s="92" t="s">
        <v>364</v>
      </c>
      <c r="N67" s="93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spans="1:26" ht="15.75" customHeight="1" x14ac:dyDescent="0.3">
      <c r="A68" s="61"/>
      <c r="B68" s="95" t="s">
        <v>482</v>
      </c>
      <c r="C68" s="89" t="s">
        <v>360</v>
      </c>
      <c r="D68" s="90" t="s">
        <v>480</v>
      </c>
      <c r="E68" s="73" t="s">
        <v>483</v>
      </c>
      <c r="F68" s="75">
        <v>5266</v>
      </c>
      <c r="G68" s="91">
        <f t="shared" si="2"/>
        <v>175.53333333333333</v>
      </c>
      <c r="H68" s="89">
        <v>30</v>
      </c>
      <c r="I68" s="92">
        <v>2025</v>
      </c>
      <c r="J68" s="89" t="str">
        <f t="shared" si="3"/>
        <v xml:space="preserve">SIGSAGPTLRRSSNDL_30W_38IBBRS
</v>
      </c>
      <c r="K68" s="80">
        <v>437.09</v>
      </c>
      <c r="L68" s="89" t="s">
        <v>363</v>
      </c>
      <c r="M68" s="92" t="s">
        <v>364</v>
      </c>
      <c r="N68" s="93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spans="1:26" ht="15.75" customHeight="1" x14ac:dyDescent="0.3">
      <c r="A69" s="61"/>
      <c r="B69" s="95" t="s">
        <v>484</v>
      </c>
      <c r="C69" s="89" t="s">
        <v>360</v>
      </c>
      <c r="D69" s="90" t="s">
        <v>480</v>
      </c>
      <c r="E69" s="73" t="s">
        <v>485</v>
      </c>
      <c r="F69" s="75">
        <v>6641</v>
      </c>
      <c r="G69" s="91">
        <f t="shared" si="2"/>
        <v>166.02500000000001</v>
      </c>
      <c r="H69" s="89">
        <v>40</v>
      </c>
      <c r="I69" s="92">
        <v>2025</v>
      </c>
      <c r="J69" s="89" t="str">
        <f t="shared" si="3"/>
        <v xml:space="preserve">SIGSAGPTLRRSSNDL_40W_50IBBRS
</v>
      </c>
      <c r="K69" s="80">
        <v>437.09</v>
      </c>
      <c r="L69" s="89" t="s">
        <v>363</v>
      </c>
      <c r="M69" s="92" t="s">
        <v>364</v>
      </c>
      <c r="N69" s="93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spans="1:26" ht="15.75" customHeight="1" x14ac:dyDescent="0.3">
      <c r="A70" s="61"/>
      <c r="B70" s="95" t="s">
        <v>486</v>
      </c>
      <c r="C70" s="89" t="s">
        <v>360</v>
      </c>
      <c r="D70" s="90" t="s">
        <v>480</v>
      </c>
      <c r="E70" s="73" t="s">
        <v>487</v>
      </c>
      <c r="F70" s="75">
        <v>8163</v>
      </c>
      <c r="G70" s="91">
        <f t="shared" si="2"/>
        <v>163.26</v>
      </c>
      <c r="H70" s="89">
        <v>50</v>
      </c>
      <c r="I70" s="92">
        <v>2025</v>
      </c>
      <c r="J70" s="89" t="str">
        <f t="shared" si="3"/>
        <v xml:space="preserve">SIGSAGPTLRRSSNDL_50W_61IBBRS
</v>
      </c>
      <c r="K70" s="80">
        <v>437.09</v>
      </c>
      <c r="L70" s="89" t="s">
        <v>363</v>
      </c>
      <c r="M70" s="92" t="s">
        <v>364</v>
      </c>
      <c r="N70" s="93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spans="1:26" ht="15.75" customHeight="1" x14ac:dyDescent="0.3">
      <c r="A71" s="61"/>
      <c r="B71" s="95" t="s">
        <v>488</v>
      </c>
      <c r="C71" s="89" t="s">
        <v>360</v>
      </c>
      <c r="D71" s="90" t="s">
        <v>480</v>
      </c>
      <c r="E71" s="73" t="s">
        <v>489</v>
      </c>
      <c r="F71" s="75">
        <v>9453</v>
      </c>
      <c r="G71" s="91">
        <f t="shared" si="2"/>
        <v>157.55000000000001</v>
      </c>
      <c r="H71" s="89">
        <v>60</v>
      </c>
      <c r="I71" s="92">
        <v>2025</v>
      </c>
      <c r="J71" s="89" t="str">
        <f t="shared" si="3"/>
        <v xml:space="preserve">SIGSAGPTLRRSSNDL_60W_73IBBRS
</v>
      </c>
      <c r="K71" s="80">
        <v>453.95</v>
      </c>
      <c r="L71" s="89" t="s">
        <v>363</v>
      </c>
      <c r="M71" s="92" t="s">
        <v>364</v>
      </c>
      <c r="N71" s="93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spans="1:26" ht="15.75" customHeight="1" x14ac:dyDescent="0.3">
      <c r="A72" s="61"/>
      <c r="B72" s="95" t="s">
        <v>490</v>
      </c>
      <c r="C72" s="89" t="s">
        <v>360</v>
      </c>
      <c r="D72" s="90" t="s">
        <v>480</v>
      </c>
      <c r="E72" s="73" t="s">
        <v>491</v>
      </c>
      <c r="F72" s="75">
        <v>10884</v>
      </c>
      <c r="G72" s="91">
        <f t="shared" si="2"/>
        <v>160.05882352941177</v>
      </c>
      <c r="H72" s="89">
        <v>68</v>
      </c>
      <c r="I72" s="92">
        <v>2025</v>
      </c>
      <c r="J72" s="89" t="str">
        <f t="shared" si="3"/>
        <v xml:space="preserve">SIGSAGPTLRRSSNDL_68W_83IBBRS
</v>
      </c>
      <c r="K72" s="80">
        <v>453.95</v>
      </c>
      <c r="L72" s="89" t="s">
        <v>363</v>
      </c>
      <c r="M72" s="92" t="s">
        <v>364</v>
      </c>
      <c r="N72" s="93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spans="1:26" ht="15.6" customHeight="1" x14ac:dyDescent="0.3">
      <c r="A73" s="61"/>
      <c r="B73" s="95" t="s">
        <v>492</v>
      </c>
      <c r="C73" s="89" t="s">
        <v>360</v>
      </c>
      <c r="D73" s="90" t="s">
        <v>480</v>
      </c>
      <c r="E73" s="73" t="s">
        <v>493</v>
      </c>
      <c r="F73" s="75">
        <v>13209</v>
      </c>
      <c r="G73" s="91">
        <f t="shared" si="2"/>
        <v>165.11250000000001</v>
      </c>
      <c r="H73" s="89">
        <v>80</v>
      </c>
      <c r="I73" s="92">
        <v>2025</v>
      </c>
      <c r="J73" s="89" t="str">
        <f t="shared" si="3"/>
        <v xml:space="preserve">SIGMAGPTLRRSMNDL_80W_56IBBR
</v>
      </c>
      <c r="K73" s="80">
        <v>567.22</v>
      </c>
      <c r="L73" s="89" t="s">
        <v>363</v>
      </c>
      <c r="M73" s="92" t="s">
        <v>364</v>
      </c>
      <c r="N73" s="93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spans="1:26" ht="15.6" customHeight="1" x14ac:dyDescent="0.3">
      <c r="A74" s="61"/>
      <c r="B74" s="95" t="s">
        <v>494</v>
      </c>
      <c r="C74" s="89" t="s">
        <v>360</v>
      </c>
      <c r="D74" s="90" t="s">
        <v>480</v>
      </c>
      <c r="E74" s="73" t="s">
        <v>495</v>
      </c>
      <c r="F74" s="75">
        <v>13859</v>
      </c>
      <c r="G74" s="91">
        <f t="shared" si="2"/>
        <v>153.98888888888888</v>
      </c>
      <c r="H74" s="89">
        <v>90</v>
      </c>
      <c r="I74" s="92">
        <v>2025</v>
      </c>
      <c r="J74" s="89" t="str">
        <f t="shared" si="3"/>
        <v xml:space="preserve">SIGSAGPTLRRSSNDL_90W112IBBRS
</v>
      </c>
      <c r="K74" s="80">
        <v>476.26</v>
      </c>
      <c r="L74" s="89" t="s">
        <v>363</v>
      </c>
      <c r="M74" s="92" t="s">
        <v>364</v>
      </c>
      <c r="N74" s="93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spans="1:26" ht="15.75" customHeight="1" x14ac:dyDescent="0.3">
      <c r="A75" s="61"/>
      <c r="B75" s="95" t="s">
        <v>496</v>
      </c>
      <c r="C75" s="89" t="s">
        <v>360</v>
      </c>
      <c r="D75" s="90" t="s">
        <v>480</v>
      </c>
      <c r="E75" s="73" t="s">
        <v>497</v>
      </c>
      <c r="F75" s="75">
        <v>15162</v>
      </c>
      <c r="G75" s="91">
        <f t="shared" si="2"/>
        <v>151.62</v>
      </c>
      <c r="H75" s="89">
        <v>100</v>
      </c>
      <c r="I75" s="92">
        <v>2025</v>
      </c>
      <c r="J75" s="89" t="str">
        <f t="shared" si="3"/>
        <v xml:space="preserve">SIGSAGPTLRRSSNDL100W125IBBRS
</v>
      </c>
      <c r="K75" s="80">
        <v>476.26</v>
      </c>
      <c r="L75" s="89" t="s">
        <v>363</v>
      </c>
      <c r="M75" s="92" t="s">
        <v>364</v>
      </c>
      <c r="N75" s="93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spans="1:26" ht="15.75" customHeight="1" x14ac:dyDescent="0.3">
      <c r="A76" s="61"/>
      <c r="B76" s="95" t="s">
        <v>498</v>
      </c>
      <c r="C76" s="89" t="s">
        <v>360</v>
      </c>
      <c r="D76" s="90" t="s">
        <v>480</v>
      </c>
      <c r="E76" s="73" t="s">
        <v>499</v>
      </c>
      <c r="F76" s="75">
        <v>19640</v>
      </c>
      <c r="G76" s="91">
        <f t="shared" si="2"/>
        <v>163.66666666666666</v>
      </c>
      <c r="H76" s="89">
        <v>120</v>
      </c>
      <c r="I76" s="92">
        <v>2025</v>
      </c>
      <c r="J76" s="89" t="str">
        <f t="shared" si="3"/>
        <v xml:space="preserve">SIGMAGPTLRRSMNDL120W_82IBBR
</v>
      </c>
      <c r="K76" s="80">
        <v>589.22</v>
      </c>
      <c r="L76" s="89" t="s">
        <v>363</v>
      </c>
      <c r="M76" s="92" t="s">
        <v>364</v>
      </c>
      <c r="N76" s="93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spans="1:26" ht="15.75" customHeight="1" x14ac:dyDescent="0.3">
      <c r="A77" s="61"/>
      <c r="B77" s="95" t="s">
        <v>500</v>
      </c>
      <c r="C77" s="89" t="s">
        <v>360</v>
      </c>
      <c r="D77" s="90" t="s">
        <v>480</v>
      </c>
      <c r="E77" s="73" t="s">
        <v>501</v>
      </c>
      <c r="F77" s="75">
        <v>23000</v>
      </c>
      <c r="G77" s="91">
        <f t="shared" si="2"/>
        <v>153.33333333333334</v>
      </c>
      <c r="H77" s="89">
        <v>150</v>
      </c>
      <c r="I77" s="92">
        <v>2025</v>
      </c>
      <c r="J77" s="89" t="str">
        <f t="shared" si="3"/>
        <v xml:space="preserve">SIGMAGPTLRRSMNDL150W102IBBR
</v>
      </c>
      <c r="K77" s="80">
        <v>589.24</v>
      </c>
      <c r="L77" s="89" t="s">
        <v>363</v>
      </c>
      <c r="M77" s="92" t="s">
        <v>364</v>
      </c>
      <c r="N77" s="93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spans="1:26" ht="15.75" customHeight="1" x14ac:dyDescent="0.3">
      <c r="A78" s="61"/>
      <c r="B78" s="95" t="s">
        <v>502</v>
      </c>
      <c r="C78" s="89" t="s">
        <v>360</v>
      </c>
      <c r="D78" s="90" t="s">
        <v>480</v>
      </c>
      <c r="E78" s="73" t="s">
        <v>503</v>
      </c>
      <c r="F78" s="75">
        <v>30866</v>
      </c>
      <c r="G78" s="91">
        <f t="shared" si="2"/>
        <v>168.66666666666666</v>
      </c>
      <c r="H78" s="89">
        <v>183</v>
      </c>
      <c r="I78" s="92">
        <v>2025</v>
      </c>
      <c r="J78" s="89" t="str">
        <f t="shared" si="3"/>
        <v>TAUMAGPTLRRTMNDL183W_95IBB</v>
      </c>
      <c r="K78" s="80">
        <v>854.43</v>
      </c>
      <c r="L78" s="89" t="s">
        <v>133</v>
      </c>
      <c r="M78" s="92" t="s">
        <v>364</v>
      </c>
      <c r="N78" s="93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spans="1:26" ht="15.75" customHeight="1" x14ac:dyDescent="0.3">
      <c r="A79" s="61"/>
      <c r="B79" s="95" t="s">
        <v>504</v>
      </c>
      <c r="C79" s="89" t="s">
        <v>360</v>
      </c>
      <c r="D79" s="90" t="s">
        <v>480</v>
      </c>
      <c r="E79" s="73" t="s">
        <v>505</v>
      </c>
      <c r="F79" s="75">
        <v>33153</v>
      </c>
      <c r="G79" s="91">
        <f t="shared" si="2"/>
        <v>165.76499999999999</v>
      </c>
      <c r="H79" s="89">
        <v>200</v>
      </c>
      <c r="I79" s="92">
        <v>2025</v>
      </c>
      <c r="J79" s="89" t="str">
        <f t="shared" si="3"/>
        <v>TAUMAGGTFRRTMNDL200W105IB</v>
      </c>
      <c r="K79" s="80">
        <v>892.31</v>
      </c>
      <c r="L79" s="89" t="s">
        <v>133</v>
      </c>
      <c r="M79" s="92" t="s">
        <v>364</v>
      </c>
      <c r="N79" s="93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spans="1:26" ht="15.75" customHeight="1" x14ac:dyDescent="0.3">
      <c r="A80" s="61"/>
      <c r="B80" s="61"/>
      <c r="C80" s="61"/>
      <c r="D80" s="61"/>
      <c r="E80" s="61"/>
      <c r="F80" s="62"/>
      <c r="G80" s="61"/>
      <c r="H80" s="61"/>
      <c r="I80" s="63"/>
      <c r="J80" s="63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spans="1:26" ht="15.75" customHeight="1" x14ac:dyDescent="0.3">
      <c r="A81" s="61"/>
      <c r="B81" s="61"/>
      <c r="C81" s="61"/>
      <c r="D81" s="61"/>
      <c r="E81" s="61"/>
      <c r="F81" s="62"/>
      <c r="G81" s="61"/>
      <c r="H81" s="61"/>
      <c r="I81" s="63"/>
      <c r="J81" s="63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spans="1:26" ht="15.75" customHeight="1" x14ac:dyDescent="0.3">
      <c r="A82" s="61"/>
      <c r="B82" s="61"/>
      <c r="C82" s="61"/>
      <c r="D82" s="61"/>
      <c r="E82" s="61"/>
      <c r="F82" s="62"/>
      <c r="G82" s="61"/>
      <c r="H82" s="61"/>
      <c r="I82" s="63"/>
      <c r="J82" s="63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spans="1:26" ht="15.75" customHeight="1" x14ac:dyDescent="0.3">
      <c r="A83" s="61"/>
      <c r="B83" s="61"/>
      <c r="C83" s="61"/>
      <c r="D83" s="61"/>
      <c r="E83" s="61"/>
      <c r="F83" s="62"/>
      <c r="G83" s="61"/>
      <c r="H83" s="61"/>
      <c r="I83" s="63"/>
      <c r="J83" s="63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spans="1:26" ht="15.75" customHeight="1" x14ac:dyDescent="0.3">
      <c r="A84" s="61"/>
      <c r="B84" s="61"/>
      <c r="C84" s="61"/>
      <c r="D84" s="61"/>
      <c r="E84" s="61"/>
      <c r="F84" s="62"/>
      <c r="G84" s="61"/>
      <c r="H84" s="61"/>
      <c r="I84" s="63"/>
      <c r="J84" s="63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spans="1:26" ht="15.75" customHeight="1" x14ac:dyDescent="0.3">
      <c r="A85" s="61"/>
      <c r="B85" s="61"/>
      <c r="C85" s="61"/>
      <c r="D85" s="61"/>
      <c r="E85" s="61"/>
      <c r="F85" s="62"/>
      <c r="G85" s="61"/>
      <c r="H85" s="61"/>
      <c r="I85" s="63"/>
      <c r="J85" s="63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spans="1:26" ht="15.75" customHeight="1" x14ac:dyDescent="0.3">
      <c r="A86" s="61"/>
      <c r="B86" s="61"/>
      <c r="C86" s="61"/>
      <c r="D86" s="61"/>
      <c r="E86" s="61"/>
      <c r="F86" s="62"/>
      <c r="G86" s="61"/>
      <c r="H86" s="61"/>
      <c r="I86" s="63"/>
      <c r="J86" s="63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spans="1:26" ht="15.75" customHeight="1" x14ac:dyDescent="0.3">
      <c r="A87" s="61"/>
      <c r="B87" s="61"/>
      <c r="C87" s="61"/>
      <c r="D87" s="61"/>
      <c r="E87" s="61"/>
      <c r="F87" s="62"/>
      <c r="G87" s="61"/>
      <c r="H87" s="61"/>
      <c r="I87" s="63"/>
      <c r="J87" s="63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spans="1:26" ht="15.75" customHeight="1" x14ac:dyDescent="0.3">
      <c r="A88" s="61"/>
      <c r="B88" s="61"/>
      <c r="C88" s="61"/>
      <c r="D88" s="61"/>
      <c r="E88" s="61"/>
      <c r="F88" s="62"/>
      <c r="G88" s="61"/>
      <c r="H88" s="61"/>
      <c r="I88" s="63"/>
      <c r="J88" s="63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spans="1:26" ht="15.75" customHeight="1" x14ac:dyDescent="0.3">
      <c r="A89" s="61"/>
      <c r="B89" s="61"/>
      <c r="C89" s="61"/>
      <c r="D89" s="61"/>
      <c r="E89" s="61"/>
      <c r="F89" s="62"/>
      <c r="G89" s="61"/>
      <c r="H89" s="61"/>
      <c r="I89" s="63"/>
      <c r="J89" s="63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ht="15.75" customHeight="1" x14ac:dyDescent="0.3">
      <c r="A90" s="61"/>
      <c r="B90" s="61"/>
      <c r="C90" s="61"/>
      <c r="D90" s="61"/>
      <c r="E90" s="61"/>
      <c r="F90" s="62"/>
      <c r="G90" s="61"/>
      <c r="H90" s="61"/>
      <c r="I90" s="63"/>
      <c r="J90" s="63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spans="1:26" ht="15.75" customHeight="1" x14ac:dyDescent="0.3">
      <c r="A91" s="61"/>
      <c r="B91" s="61"/>
      <c r="C91" s="61"/>
      <c r="D91" s="61"/>
      <c r="E91" s="61"/>
      <c r="F91" s="62"/>
      <c r="G91" s="61"/>
      <c r="H91" s="61"/>
      <c r="I91" s="63"/>
      <c r="J91" s="63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spans="1:26" ht="15.75" customHeight="1" x14ac:dyDescent="0.3">
      <c r="A92" s="61"/>
      <c r="B92" s="61"/>
      <c r="C92" s="61"/>
      <c r="D92" s="61"/>
      <c r="E92" s="61"/>
      <c r="F92" s="62"/>
      <c r="G92" s="61"/>
      <c r="H92" s="61"/>
      <c r="I92" s="63"/>
      <c r="J92" s="63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1:26" ht="15.75" customHeight="1" x14ac:dyDescent="0.3">
      <c r="A93" s="61"/>
      <c r="B93" s="61"/>
      <c r="C93" s="61"/>
      <c r="D93" s="61"/>
      <c r="E93" s="61"/>
      <c r="F93" s="62"/>
      <c r="G93" s="61"/>
      <c r="H93" s="61"/>
      <c r="I93" s="63"/>
      <c r="J93" s="63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spans="1:26" ht="15.75" customHeight="1" x14ac:dyDescent="0.3">
      <c r="A94" s="61"/>
      <c r="B94" s="61"/>
      <c r="C94" s="61"/>
      <c r="D94" s="61"/>
      <c r="E94" s="61"/>
      <c r="F94" s="62"/>
      <c r="G94" s="61"/>
      <c r="H94" s="61"/>
      <c r="I94" s="63"/>
      <c r="J94" s="63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spans="1:26" ht="15.75" customHeight="1" x14ac:dyDescent="0.3">
      <c r="A95" s="61"/>
      <c r="B95" s="61"/>
      <c r="C95" s="61"/>
      <c r="D95" s="61"/>
      <c r="E95" s="61"/>
      <c r="F95" s="62"/>
      <c r="G95" s="61"/>
      <c r="H95" s="61"/>
      <c r="I95" s="63"/>
      <c r="J95" s="63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spans="1:26" ht="15.75" customHeight="1" x14ac:dyDescent="0.3">
      <c r="A96" s="61"/>
      <c r="B96" s="61"/>
      <c r="C96" s="61"/>
      <c r="D96" s="61"/>
      <c r="E96" s="61"/>
      <c r="F96" s="62"/>
      <c r="G96" s="61"/>
      <c r="H96" s="61"/>
      <c r="I96" s="63"/>
      <c r="J96" s="63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spans="1:26" ht="15.75" customHeight="1" x14ac:dyDescent="0.3">
      <c r="A97" s="61"/>
      <c r="B97" s="61"/>
      <c r="C97" s="61"/>
      <c r="D97" s="61"/>
      <c r="E97" s="61"/>
      <c r="F97" s="62"/>
      <c r="G97" s="61"/>
      <c r="H97" s="61"/>
      <c r="I97" s="63"/>
      <c r="J97" s="63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spans="1:26" ht="15.75" customHeight="1" x14ac:dyDescent="0.3">
      <c r="A98" s="61"/>
      <c r="B98" s="61"/>
      <c r="C98" s="61"/>
      <c r="D98" s="61"/>
      <c r="E98" s="61"/>
      <c r="F98" s="62"/>
      <c r="G98" s="61"/>
      <c r="H98" s="61"/>
      <c r="I98" s="63"/>
      <c r="J98" s="63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spans="1:26" ht="15.75" customHeight="1" x14ac:dyDescent="0.3">
      <c r="A99" s="61"/>
      <c r="B99" s="61"/>
      <c r="C99" s="61"/>
      <c r="D99" s="61"/>
      <c r="E99" s="61"/>
      <c r="F99" s="62"/>
      <c r="G99" s="61"/>
      <c r="H99" s="61"/>
      <c r="I99" s="63"/>
      <c r="J99" s="63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spans="1:26" ht="15.75" customHeight="1" x14ac:dyDescent="0.3">
      <c r="A100" s="61"/>
      <c r="B100" s="61"/>
      <c r="C100" s="61"/>
      <c r="D100" s="61"/>
      <c r="E100" s="61"/>
      <c r="F100" s="62"/>
      <c r="G100" s="61"/>
      <c r="H100" s="61"/>
      <c r="I100" s="63"/>
      <c r="J100" s="63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spans="1:26" ht="15.75" customHeight="1" x14ac:dyDescent="0.3">
      <c r="A101" s="61"/>
      <c r="B101" s="61"/>
      <c r="C101" s="61"/>
      <c r="D101" s="61"/>
      <c r="E101" s="61"/>
      <c r="F101" s="62"/>
      <c r="G101" s="61"/>
      <c r="H101" s="61"/>
      <c r="I101" s="63"/>
      <c r="J101" s="63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spans="1:26" ht="15.75" customHeight="1" x14ac:dyDescent="0.3">
      <c r="A102" s="61"/>
      <c r="B102" s="61"/>
      <c r="C102" s="61"/>
      <c r="D102" s="61"/>
      <c r="E102" s="61"/>
      <c r="F102" s="62"/>
      <c r="G102" s="61"/>
      <c r="H102" s="61"/>
      <c r="I102" s="63"/>
      <c r="J102" s="63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spans="1:26" ht="15.75" customHeight="1" x14ac:dyDescent="0.3">
      <c r="A103" s="61"/>
      <c r="B103" s="61"/>
      <c r="C103" s="61"/>
      <c r="D103" s="61"/>
      <c r="E103" s="61"/>
      <c r="F103" s="62"/>
      <c r="G103" s="61"/>
      <c r="H103" s="61"/>
      <c r="I103" s="63"/>
      <c r="J103" s="63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spans="1:26" ht="15.75" customHeight="1" x14ac:dyDescent="0.3">
      <c r="A104" s="61"/>
      <c r="B104" s="61"/>
      <c r="C104" s="61"/>
      <c r="D104" s="61"/>
      <c r="E104" s="61"/>
      <c r="F104" s="62"/>
      <c r="G104" s="61"/>
      <c r="H104" s="61"/>
      <c r="I104" s="63"/>
      <c r="J104" s="63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spans="1:26" ht="15.75" customHeight="1" x14ac:dyDescent="0.3">
      <c r="A105" s="61"/>
      <c r="B105" s="61"/>
      <c r="C105" s="61"/>
      <c r="D105" s="61"/>
      <c r="E105" s="61"/>
      <c r="F105" s="62"/>
      <c r="G105" s="61"/>
      <c r="H105" s="61"/>
      <c r="I105" s="63"/>
      <c r="J105" s="63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spans="1:26" ht="15.75" customHeight="1" x14ac:dyDescent="0.3">
      <c r="A106" s="61"/>
      <c r="B106" s="61"/>
      <c r="C106" s="61"/>
      <c r="D106" s="61"/>
      <c r="E106" s="61"/>
      <c r="F106" s="62"/>
      <c r="G106" s="61"/>
      <c r="H106" s="61"/>
      <c r="I106" s="63"/>
      <c r="J106" s="63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spans="1:26" ht="15.75" customHeight="1" x14ac:dyDescent="0.3">
      <c r="A107" s="61"/>
      <c r="B107" s="61"/>
      <c r="C107" s="61"/>
      <c r="D107" s="61"/>
      <c r="E107" s="61"/>
      <c r="F107" s="62"/>
      <c r="G107" s="61"/>
      <c r="H107" s="61"/>
      <c r="I107" s="63"/>
      <c r="J107" s="63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spans="1:26" ht="15.75" customHeight="1" x14ac:dyDescent="0.3">
      <c r="A108" s="61"/>
      <c r="B108" s="61"/>
      <c r="C108" s="61"/>
      <c r="D108" s="61"/>
      <c r="E108" s="61"/>
      <c r="F108" s="62"/>
      <c r="G108" s="61"/>
      <c r="H108" s="61"/>
      <c r="I108" s="63"/>
      <c r="J108" s="63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spans="1:26" ht="15.75" customHeight="1" x14ac:dyDescent="0.3">
      <c r="A109" s="61"/>
      <c r="B109" s="61"/>
      <c r="C109" s="61"/>
      <c r="D109" s="61"/>
      <c r="E109" s="61"/>
      <c r="F109" s="62"/>
      <c r="G109" s="61"/>
      <c r="H109" s="61"/>
      <c r="I109" s="63"/>
      <c r="J109" s="63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spans="1:26" ht="15.75" customHeight="1" x14ac:dyDescent="0.3">
      <c r="A110" s="61"/>
      <c r="B110" s="61"/>
      <c r="C110" s="61"/>
      <c r="D110" s="61"/>
      <c r="E110" s="61"/>
      <c r="F110" s="62"/>
      <c r="G110" s="61"/>
      <c r="H110" s="61"/>
      <c r="I110" s="63"/>
      <c r="J110" s="63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15.75" customHeight="1" x14ac:dyDescent="0.3">
      <c r="A111" s="61"/>
      <c r="B111" s="61"/>
      <c r="C111" s="61"/>
      <c r="D111" s="61"/>
      <c r="E111" s="61"/>
      <c r="F111" s="62"/>
      <c r="G111" s="61"/>
      <c r="H111" s="61"/>
      <c r="I111" s="63"/>
      <c r="J111" s="63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spans="1:26" ht="15.75" customHeight="1" x14ac:dyDescent="0.3">
      <c r="A112" s="61"/>
      <c r="B112" s="61"/>
      <c r="C112" s="61"/>
      <c r="D112" s="61"/>
      <c r="E112" s="61"/>
      <c r="F112" s="62"/>
      <c r="G112" s="61"/>
      <c r="H112" s="61"/>
      <c r="I112" s="63"/>
      <c r="J112" s="63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spans="1:26" ht="15.75" customHeight="1" x14ac:dyDescent="0.3">
      <c r="A113" s="61"/>
      <c r="B113" s="61"/>
      <c r="C113" s="61"/>
      <c r="D113" s="61"/>
      <c r="E113" s="61"/>
      <c r="F113" s="62"/>
      <c r="G113" s="61"/>
      <c r="H113" s="61"/>
      <c r="I113" s="63"/>
      <c r="J113" s="63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spans="1:26" ht="15.75" customHeight="1" x14ac:dyDescent="0.3">
      <c r="A114" s="61"/>
      <c r="B114" s="61"/>
      <c r="C114" s="61"/>
      <c r="D114" s="61"/>
      <c r="E114" s="61"/>
      <c r="F114" s="62"/>
      <c r="G114" s="61"/>
      <c r="H114" s="61"/>
      <c r="I114" s="63"/>
      <c r="J114" s="63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spans="1:26" ht="15.75" customHeight="1" x14ac:dyDescent="0.3">
      <c r="A115" s="61"/>
      <c r="B115" s="61"/>
      <c r="C115" s="61"/>
      <c r="D115" s="61"/>
      <c r="E115" s="61"/>
      <c r="F115" s="62"/>
      <c r="G115" s="61"/>
      <c r="H115" s="61"/>
      <c r="I115" s="63"/>
      <c r="J115" s="63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spans="1:26" ht="15.75" customHeight="1" x14ac:dyDescent="0.3">
      <c r="A116" s="61"/>
      <c r="B116" s="61"/>
      <c r="C116" s="61"/>
      <c r="D116" s="61"/>
      <c r="E116" s="61"/>
      <c r="F116" s="62"/>
      <c r="G116" s="61"/>
      <c r="H116" s="61"/>
      <c r="I116" s="63"/>
      <c r="J116" s="63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spans="1:26" ht="15.75" customHeight="1" x14ac:dyDescent="0.3">
      <c r="A117" s="61"/>
      <c r="B117" s="61"/>
      <c r="C117" s="61"/>
      <c r="D117" s="61"/>
      <c r="E117" s="61"/>
      <c r="F117" s="62"/>
      <c r="G117" s="61"/>
      <c r="H117" s="61"/>
      <c r="I117" s="63"/>
      <c r="J117" s="63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spans="1:26" ht="15.75" customHeight="1" x14ac:dyDescent="0.3">
      <c r="A118" s="61"/>
      <c r="B118" s="61"/>
      <c r="C118" s="61"/>
      <c r="D118" s="61"/>
      <c r="E118" s="61"/>
      <c r="F118" s="62"/>
      <c r="G118" s="61"/>
      <c r="H118" s="61"/>
      <c r="I118" s="63"/>
      <c r="J118" s="63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spans="1:26" ht="15.75" customHeight="1" x14ac:dyDescent="0.3">
      <c r="A119" s="61"/>
      <c r="B119" s="61"/>
      <c r="C119" s="61"/>
      <c r="D119" s="61"/>
      <c r="E119" s="61"/>
      <c r="F119" s="62"/>
      <c r="G119" s="61"/>
      <c r="H119" s="61"/>
      <c r="I119" s="63"/>
      <c r="J119" s="63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spans="1:26" ht="15.75" customHeight="1" x14ac:dyDescent="0.3">
      <c r="A120" s="61"/>
      <c r="B120" s="61"/>
      <c r="C120" s="61"/>
      <c r="D120" s="61"/>
      <c r="E120" s="61"/>
      <c r="F120" s="62"/>
      <c r="G120" s="61"/>
      <c r="H120" s="61"/>
      <c r="I120" s="63"/>
      <c r="J120" s="63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spans="1:26" ht="15.75" customHeight="1" x14ac:dyDescent="0.3">
      <c r="A121" s="61"/>
      <c r="B121" s="61"/>
      <c r="C121" s="61"/>
      <c r="D121" s="61"/>
      <c r="E121" s="61"/>
      <c r="F121" s="62"/>
      <c r="G121" s="61"/>
      <c r="H121" s="61"/>
      <c r="I121" s="63"/>
      <c r="J121" s="63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spans="1:26" ht="16.5" customHeight="1" x14ac:dyDescent="0.3">
      <c r="A122" s="61"/>
      <c r="B122" s="61"/>
      <c r="C122" s="61"/>
      <c r="D122" s="61"/>
      <c r="E122" s="61"/>
      <c r="F122" s="62"/>
      <c r="G122" s="61"/>
      <c r="H122" s="61"/>
      <c r="I122" s="63"/>
      <c r="J122" s="63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spans="1:26" ht="15.75" customHeight="1" x14ac:dyDescent="0.3">
      <c r="A123" s="61"/>
      <c r="B123" s="61"/>
      <c r="C123" s="61"/>
      <c r="D123" s="61"/>
      <c r="E123" s="61"/>
      <c r="F123" s="62"/>
      <c r="G123" s="61"/>
      <c r="H123" s="61"/>
      <c r="I123" s="63"/>
      <c r="J123" s="63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spans="1:26" ht="15.75" customHeight="1" x14ac:dyDescent="0.3">
      <c r="A124" s="61"/>
      <c r="B124" s="61"/>
      <c r="C124" s="61"/>
      <c r="D124" s="61"/>
      <c r="E124" s="61"/>
      <c r="F124" s="62"/>
      <c r="G124" s="61"/>
      <c r="H124" s="61"/>
      <c r="I124" s="63"/>
      <c r="J124" s="63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spans="1:26" ht="15.75" customHeight="1" x14ac:dyDescent="0.3">
      <c r="A125" s="61"/>
      <c r="B125" s="61"/>
      <c r="C125" s="61"/>
      <c r="D125" s="61"/>
      <c r="E125" s="61"/>
      <c r="F125" s="62"/>
      <c r="G125" s="61"/>
      <c r="H125" s="61"/>
      <c r="I125" s="63"/>
      <c r="J125" s="63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spans="1:26" ht="15.75" customHeight="1" x14ac:dyDescent="0.3">
      <c r="A126" s="61"/>
      <c r="B126" s="61"/>
      <c r="C126" s="61"/>
      <c r="D126" s="61"/>
      <c r="E126" s="61"/>
      <c r="F126" s="62"/>
      <c r="G126" s="61"/>
      <c r="H126" s="61"/>
      <c r="I126" s="63"/>
      <c r="J126" s="63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spans="1:26" ht="15.75" customHeight="1" x14ac:dyDescent="0.3">
      <c r="A127" s="61"/>
      <c r="B127" s="61"/>
      <c r="C127" s="61"/>
      <c r="D127" s="61"/>
      <c r="E127" s="61"/>
      <c r="F127" s="62"/>
      <c r="G127" s="61"/>
      <c r="H127" s="61"/>
      <c r="I127" s="63"/>
      <c r="J127" s="63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spans="1:26" ht="15.75" customHeight="1" x14ac:dyDescent="0.3">
      <c r="A128" s="61"/>
      <c r="B128" s="61"/>
      <c r="C128" s="61"/>
      <c r="D128" s="61"/>
      <c r="E128" s="61"/>
      <c r="F128" s="62"/>
      <c r="G128" s="61"/>
      <c r="H128" s="61"/>
      <c r="I128" s="63"/>
      <c r="J128" s="63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spans="1:26" ht="15.75" customHeight="1" x14ac:dyDescent="0.3">
      <c r="A129" s="61"/>
      <c r="B129" s="61"/>
      <c r="C129" s="61"/>
      <c r="D129" s="61"/>
      <c r="E129" s="61"/>
      <c r="F129" s="62"/>
      <c r="G129" s="61"/>
      <c r="H129" s="61"/>
      <c r="I129" s="63"/>
      <c r="J129" s="63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spans="1:26" ht="15.75" customHeight="1" x14ac:dyDescent="0.3">
      <c r="A130" s="61"/>
      <c r="B130" s="61"/>
      <c r="C130" s="61"/>
      <c r="D130" s="61"/>
      <c r="E130" s="61"/>
      <c r="F130" s="62"/>
      <c r="G130" s="61"/>
      <c r="H130" s="61"/>
      <c r="I130" s="63"/>
      <c r="J130" s="63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spans="1:26" ht="15.75" customHeight="1" x14ac:dyDescent="0.3">
      <c r="A131" s="61"/>
      <c r="B131" s="61"/>
      <c r="C131" s="61"/>
      <c r="D131" s="61"/>
      <c r="E131" s="61"/>
      <c r="F131" s="62"/>
      <c r="G131" s="61"/>
      <c r="H131" s="61"/>
      <c r="I131" s="63"/>
      <c r="J131" s="63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spans="1:26" ht="15.75" customHeight="1" x14ac:dyDescent="0.3">
      <c r="A132" s="61"/>
      <c r="B132" s="61"/>
      <c r="C132" s="61"/>
      <c r="D132" s="61"/>
      <c r="E132" s="61"/>
      <c r="F132" s="62"/>
      <c r="G132" s="61"/>
      <c r="H132" s="61"/>
      <c r="I132" s="63"/>
      <c r="J132" s="63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spans="1:26" ht="15.75" customHeight="1" x14ac:dyDescent="0.3">
      <c r="A133" s="61"/>
      <c r="B133" s="61"/>
      <c r="C133" s="61"/>
      <c r="D133" s="61"/>
      <c r="E133" s="61"/>
      <c r="F133" s="62"/>
      <c r="G133" s="61"/>
      <c r="H133" s="61"/>
      <c r="I133" s="63"/>
      <c r="J133" s="63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spans="1:26" ht="15.75" customHeight="1" x14ac:dyDescent="0.3">
      <c r="A134" s="61"/>
      <c r="B134" s="61"/>
      <c r="C134" s="61"/>
      <c r="D134" s="61"/>
      <c r="E134" s="61"/>
      <c r="F134" s="62"/>
      <c r="G134" s="61"/>
      <c r="H134" s="61"/>
      <c r="I134" s="63"/>
      <c r="J134" s="63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spans="1:26" ht="15.75" customHeight="1" x14ac:dyDescent="0.3">
      <c r="A135" s="61"/>
      <c r="B135" s="61"/>
      <c r="C135" s="61"/>
      <c r="D135" s="61"/>
      <c r="E135" s="61"/>
      <c r="F135" s="62"/>
      <c r="G135" s="61"/>
      <c r="H135" s="61"/>
      <c r="I135" s="63"/>
      <c r="J135" s="63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spans="1:26" ht="15.75" customHeight="1" x14ac:dyDescent="0.3">
      <c r="A136" s="61"/>
      <c r="B136" s="61"/>
      <c r="C136" s="61"/>
      <c r="D136" s="61"/>
      <c r="E136" s="61"/>
      <c r="F136" s="62"/>
      <c r="G136" s="61"/>
      <c r="H136" s="61"/>
      <c r="I136" s="63"/>
      <c r="J136" s="63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spans="1:26" ht="15.75" customHeight="1" x14ac:dyDescent="0.3">
      <c r="A137" s="61"/>
      <c r="B137" s="61"/>
      <c r="C137" s="61"/>
      <c r="D137" s="61"/>
      <c r="E137" s="61"/>
      <c r="F137" s="62"/>
      <c r="G137" s="61"/>
      <c r="H137" s="61"/>
      <c r="I137" s="63"/>
      <c r="J137" s="63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spans="1:26" ht="15.75" customHeight="1" x14ac:dyDescent="0.3">
      <c r="A138" s="61"/>
      <c r="B138" s="61"/>
      <c r="C138" s="61"/>
      <c r="D138" s="61"/>
      <c r="E138" s="61"/>
      <c r="F138" s="62"/>
      <c r="G138" s="61"/>
      <c r="H138" s="61"/>
      <c r="I138" s="63"/>
      <c r="J138" s="63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spans="1:26" ht="15.75" customHeight="1" x14ac:dyDescent="0.3">
      <c r="A139" s="61"/>
      <c r="B139" s="61"/>
      <c r="C139" s="61"/>
      <c r="D139" s="61"/>
      <c r="E139" s="61"/>
      <c r="F139" s="62"/>
      <c r="G139" s="61"/>
      <c r="H139" s="61"/>
      <c r="I139" s="63"/>
      <c r="J139" s="63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spans="1:26" ht="15.75" customHeight="1" x14ac:dyDescent="0.3">
      <c r="A140" s="61"/>
      <c r="B140" s="61"/>
      <c r="C140" s="61"/>
      <c r="D140" s="61"/>
      <c r="E140" s="61"/>
      <c r="F140" s="62"/>
      <c r="G140" s="61"/>
      <c r="H140" s="61"/>
      <c r="I140" s="63"/>
      <c r="J140" s="63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spans="1:26" ht="15.75" customHeight="1" x14ac:dyDescent="0.3">
      <c r="A141" s="61"/>
      <c r="B141" s="61"/>
      <c r="C141" s="61"/>
      <c r="D141" s="61"/>
      <c r="E141" s="61"/>
      <c r="F141" s="62"/>
      <c r="G141" s="61"/>
      <c r="H141" s="61"/>
      <c r="I141" s="63"/>
      <c r="J141" s="63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spans="1:26" ht="15.75" customHeight="1" x14ac:dyDescent="0.3">
      <c r="A142" s="61"/>
      <c r="B142" s="61"/>
      <c r="C142" s="61"/>
      <c r="D142" s="61"/>
      <c r="E142" s="61"/>
      <c r="F142" s="62"/>
      <c r="G142" s="61"/>
      <c r="H142" s="61"/>
      <c r="I142" s="63"/>
      <c r="J142" s="63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spans="1:26" ht="15.75" customHeight="1" x14ac:dyDescent="0.3">
      <c r="A143" s="61"/>
      <c r="B143" s="61"/>
      <c r="C143" s="61"/>
      <c r="D143" s="61"/>
      <c r="E143" s="61"/>
      <c r="F143" s="62"/>
      <c r="G143" s="61"/>
      <c r="H143" s="61"/>
      <c r="I143" s="63"/>
      <c r="J143" s="63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spans="1:26" ht="16.5" customHeight="1" x14ac:dyDescent="0.3">
      <c r="A144" s="61"/>
      <c r="B144" s="61"/>
      <c r="C144" s="61"/>
      <c r="D144" s="61"/>
      <c r="E144" s="61"/>
      <c r="F144" s="62"/>
      <c r="G144" s="61"/>
      <c r="H144" s="61"/>
      <c r="I144" s="63"/>
      <c r="J144" s="63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spans="1:26" ht="15.75" customHeight="1" x14ac:dyDescent="0.3">
      <c r="A145" s="61"/>
      <c r="B145" s="61"/>
      <c r="C145" s="61"/>
      <c r="D145" s="61"/>
      <c r="E145" s="61"/>
      <c r="F145" s="62"/>
      <c r="G145" s="61"/>
      <c r="H145" s="61"/>
      <c r="I145" s="63"/>
      <c r="J145" s="63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spans="1:26" ht="15.75" customHeight="1" x14ac:dyDescent="0.3">
      <c r="A146" s="61"/>
      <c r="B146" s="61"/>
      <c r="C146" s="61"/>
      <c r="D146" s="61"/>
      <c r="E146" s="61"/>
      <c r="F146" s="62"/>
      <c r="G146" s="61"/>
      <c r="H146" s="61"/>
      <c r="I146" s="63"/>
      <c r="J146" s="63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spans="1:26" ht="15.75" customHeight="1" x14ac:dyDescent="0.3">
      <c r="A147" s="61"/>
      <c r="B147" s="61"/>
      <c r="C147" s="61"/>
      <c r="D147" s="61"/>
      <c r="E147" s="61"/>
      <c r="F147" s="62"/>
      <c r="G147" s="61"/>
      <c r="H147" s="61"/>
      <c r="I147" s="63"/>
      <c r="J147" s="63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spans="1:26" ht="15.75" customHeight="1" x14ac:dyDescent="0.3">
      <c r="A148" s="61"/>
      <c r="B148" s="61"/>
      <c r="C148" s="61"/>
      <c r="D148" s="61"/>
      <c r="E148" s="61"/>
      <c r="F148" s="62"/>
      <c r="G148" s="61"/>
      <c r="H148" s="61"/>
      <c r="I148" s="63"/>
      <c r="J148" s="63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spans="1:26" ht="16.5" customHeight="1" x14ac:dyDescent="0.3">
      <c r="A149" s="61"/>
      <c r="B149" s="61"/>
      <c r="C149" s="61"/>
      <c r="D149" s="61"/>
      <c r="E149" s="61"/>
      <c r="F149" s="62"/>
      <c r="G149" s="61"/>
      <c r="H149" s="61"/>
      <c r="I149" s="63"/>
      <c r="J149" s="63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spans="1:26" ht="15.75" customHeight="1" x14ac:dyDescent="0.3">
      <c r="A150" s="61"/>
      <c r="B150" s="61"/>
      <c r="C150" s="61"/>
      <c r="D150" s="61"/>
      <c r="E150" s="61"/>
      <c r="F150" s="62"/>
      <c r="G150" s="61"/>
      <c r="H150" s="61"/>
      <c r="I150" s="63"/>
      <c r="J150" s="63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spans="1:26" ht="15.75" customHeight="1" x14ac:dyDescent="0.3">
      <c r="A151" s="61"/>
      <c r="B151" s="61"/>
      <c r="C151" s="61"/>
      <c r="D151" s="61"/>
      <c r="E151" s="61"/>
      <c r="F151" s="62"/>
      <c r="G151" s="61"/>
      <c r="H151" s="61"/>
      <c r="I151" s="63"/>
      <c r="J151" s="63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spans="1:26" ht="15.75" customHeight="1" x14ac:dyDescent="0.3">
      <c r="A152" s="61"/>
      <c r="B152" s="61"/>
      <c r="C152" s="61"/>
      <c r="D152" s="61"/>
      <c r="E152" s="61"/>
      <c r="F152" s="62"/>
      <c r="G152" s="61"/>
      <c r="H152" s="61"/>
      <c r="I152" s="63"/>
      <c r="J152" s="63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spans="1:26" ht="15.75" customHeight="1" x14ac:dyDescent="0.3">
      <c r="A153" s="61"/>
      <c r="B153" s="61"/>
      <c r="C153" s="61"/>
      <c r="D153" s="61"/>
      <c r="E153" s="61"/>
      <c r="F153" s="62"/>
      <c r="G153" s="61"/>
      <c r="H153" s="61"/>
      <c r="I153" s="63"/>
      <c r="J153" s="63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spans="1:26" ht="15.75" customHeight="1" x14ac:dyDescent="0.3">
      <c r="A154" s="61"/>
      <c r="B154" s="61"/>
      <c r="C154" s="61"/>
      <c r="D154" s="61"/>
      <c r="E154" s="61"/>
      <c r="F154" s="62"/>
      <c r="G154" s="61"/>
      <c r="H154" s="61"/>
      <c r="I154" s="63"/>
      <c r="J154" s="63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spans="1:26" ht="15.75" customHeight="1" x14ac:dyDescent="0.3">
      <c r="A155" s="61"/>
      <c r="B155" s="61"/>
      <c r="C155" s="61"/>
      <c r="D155" s="61"/>
      <c r="E155" s="61"/>
      <c r="F155" s="62"/>
      <c r="G155" s="61"/>
      <c r="H155" s="61"/>
      <c r="I155" s="63"/>
      <c r="J155" s="63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spans="1:26" ht="15.75" customHeight="1" x14ac:dyDescent="0.3">
      <c r="A156" s="61"/>
      <c r="B156" s="61"/>
      <c r="C156" s="61"/>
      <c r="D156" s="61"/>
      <c r="E156" s="61"/>
      <c r="F156" s="62"/>
      <c r="G156" s="61"/>
      <c r="H156" s="61"/>
      <c r="I156" s="63"/>
      <c r="J156" s="63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spans="1:26" ht="15.75" customHeight="1" x14ac:dyDescent="0.3">
      <c r="A157" s="61"/>
      <c r="B157" s="61"/>
      <c r="C157" s="61"/>
      <c r="D157" s="61"/>
      <c r="E157" s="61"/>
      <c r="F157" s="62"/>
      <c r="G157" s="61"/>
      <c r="H157" s="61"/>
      <c r="I157" s="63"/>
      <c r="J157" s="63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spans="1:26" ht="15.75" customHeight="1" x14ac:dyDescent="0.3">
      <c r="A158" s="61"/>
      <c r="B158" s="61"/>
      <c r="C158" s="61"/>
      <c r="D158" s="61"/>
      <c r="E158" s="61"/>
      <c r="F158" s="62"/>
      <c r="G158" s="61"/>
      <c r="H158" s="61"/>
      <c r="I158" s="63"/>
      <c r="J158" s="63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spans="1:26" ht="15.75" customHeight="1" x14ac:dyDescent="0.3">
      <c r="A159" s="61"/>
      <c r="B159" s="61"/>
      <c r="C159" s="61"/>
      <c r="D159" s="61"/>
      <c r="E159" s="61"/>
      <c r="F159" s="62"/>
      <c r="G159" s="61"/>
      <c r="H159" s="61"/>
      <c r="I159" s="63"/>
      <c r="J159" s="63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spans="1:26" ht="15.75" customHeight="1" x14ac:dyDescent="0.3">
      <c r="A160" s="61"/>
      <c r="B160" s="61"/>
      <c r="C160" s="61"/>
      <c r="D160" s="61"/>
      <c r="E160" s="61"/>
      <c r="F160" s="62"/>
      <c r="G160" s="61"/>
      <c r="H160" s="61"/>
      <c r="I160" s="63"/>
      <c r="J160" s="63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spans="1:26" ht="15.75" customHeight="1" x14ac:dyDescent="0.3">
      <c r="A161" s="61"/>
      <c r="B161" s="61"/>
      <c r="C161" s="61"/>
      <c r="D161" s="61"/>
      <c r="E161" s="61"/>
      <c r="F161" s="62"/>
      <c r="G161" s="61"/>
      <c r="H161" s="61"/>
      <c r="I161" s="63"/>
      <c r="J161" s="63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spans="1:26" ht="15.75" customHeight="1" x14ac:dyDescent="0.3">
      <c r="A162" s="61"/>
      <c r="B162" s="61"/>
      <c r="C162" s="61"/>
      <c r="D162" s="61"/>
      <c r="E162" s="61"/>
      <c r="F162" s="62"/>
      <c r="G162" s="61"/>
      <c r="H162" s="61"/>
      <c r="I162" s="63"/>
      <c r="J162" s="63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spans="1:26" ht="15.75" customHeight="1" x14ac:dyDescent="0.3">
      <c r="A163" s="61"/>
      <c r="B163" s="61"/>
      <c r="C163" s="61"/>
      <c r="D163" s="61"/>
      <c r="E163" s="61"/>
      <c r="F163" s="62"/>
      <c r="G163" s="61"/>
      <c r="H163" s="61"/>
      <c r="I163" s="63"/>
      <c r="J163" s="63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spans="1:26" ht="15.75" customHeight="1" x14ac:dyDescent="0.3">
      <c r="A164" s="61"/>
      <c r="B164" s="61"/>
      <c r="C164" s="61"/>
      <c r="D164" s="61"/>
      <c r="E164" s="61"/>
      <c r="F164" s="62"/>
      <c r="G164" s="61"/>
      <c r="H164" s="61"/>
      <c r="I164" s="63"/>
      <c r="J164" s="63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spans="1:26" ht="15.75" customHeight="1" x14ac:dyDescent="0.3">
      <c r="A165" s="61"/>
      <c r="B165" s="61"/>
      <c r="C165" s="61"/>
      <c r="D165" s="61"/>
      <c r="E165" s="61"/>
      <c r="F165" s="62"/>
      <c r="G165" s="61"/>
      <c r="H165" s="61"/>
      <c r="I165" s="63"/>
      <c r="J165" s="63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spans="1:26" ht="15.75" customHeight="1" x14ac:dyDescent="0.3">
      <c r="A166" s="61"/>
      <c r="B166" s="61"/>
      <c r="C166" s="61"/>
      <c r="D166" s="61"/>
      <c r="E166" s="61"/>
      <c r="F166" s="62"/>
      <c r="G166" s="61"/>
      <c r="H166" s="61"/>
      <c r="I166" s="63"/>
      <c r="J166" s="63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spans="1:26" ht="15.75" customHeight="1" x14ac:dyDescent="0.3">
      <c r="A167" s="61"/>
      <c r="B167" s="61"/>
      <c r="C167" s="61"/>
      <c r="D167" s="61"/>
      <c r="E167" s="61"/>
      <c r="F167" s="62"/>
      <c r="G167" s="61"/>
      <c r="H167" s="61"/>
      <c r="I167" s="63"/>
      <c r="J167" s="63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spans="1:26" ht="15.75" customHeight="1" x14ac:dyDescent="0.3">
      <c r="A168" s="61"/>
      <c r="B168" s="61"/>
      <c r="C168" s="61"/>
      <c r="D168" s="61"/>
      <c r="E168" s="61"/>
      <c r="F168" s="62"/>
      <c r="G168" s="61"/>
      <c r="H168" s="61"/>
      <c r="I168" s="63"/>
      <c r="J168" s="63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spans="1:26" ht="15.75" customHeight="1" x14ac:dyDescent="0.3">
      <c r="A169" s="61"/>
      <c r="B169" s="61"/>
      <c r="C169" s="61"/>
      <c r="D169" s="61"/>
      <c r="E169" s="61"/>
      <c r="F169" s="62"/>
      <c r="G169" s="61"/>
      <c r="H169" s="61"/>
      <c r="I169" s="63"/>
      <c r="J169" s="63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spans="1:26" ht="15.75" customHeight="1" x14ac:dyDescent="0.3">
      <c r="A170" s="61"/>
      <c r="B170" s="61"/>
      <c r="C170" s="61"/>
      <c r="D170" s="61"/>
      <c r="E170" s="61"/>
      <c r="F170" s="62"/>
      <c r="G170" s="61"/>
      <c r="H170" s="61"/>
      <c r="I170" s="63"/>
      <c r="J170" s="63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spans="1:26" ht="15.75" customHeight="1" x14ac:dyDescent="0.3">
      <c r="A171" s="61"/>
      <c r="B171" s="61"/>
      <c r="C171" s="61"/>
      <c r="D171" s="61"/>
      <c r="E171" s="61"/>
      <c r="F171" s="62"/>
      <c r="G171" s="61"/>
      <c r="H171" s="61"/>
      <c r="I171" s="63"/>
      <c r="J171" s="63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spans="1:26" ht="15.75" customHeight="1" x14ac:dyDescent="0.3">
      <c r="A172" s="61"/>
      <c r="B172" s="61"/>
      <c r="C172" s="61"/>
      <c r="D172" s="61"/>
      <c r="E172" s="61"/>
      <c r="F172" s="62"/>
      <c r="G172" s="61"/>
      <c r="H172" s="61"/>
      <c r="I172" s="63"/>
      <c r="J172" s="63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spans="1:26" ht="15.75" customHeight="1" x14ac:dyDescent="0.3">
      <c r="A173" s="61"/>
      <c r="B173" s="61"/>
      <c r="C173" s="61"/>
      <c r="D173" s="61"/>
      <c r="E173" s="61"/>
      <c r="F173" s="62"/>
      <c r="G173" s="61"/>
      <c r="H173" s="61"/>
      <c r="I173" s="63"/>
      <c r="J173" s="63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spans="1:26" ht="15.75" customHeight="1" x14ac:dyDescent="0.3">
      <c r="A174" s="61"/>
      <c r="B174" s="61"/>
      <c r="C174" s="61"/>
      <c r="D174" s="61"/>
      <c r="E174" s="61"/>
      <c r="F174" s="62"/>
      <c r="G174" s="61"/>
      <c r="H174" s="61"/>
      <c r="I174" s="63"/>
      <c r="J174" s="63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spans="1:26" ht="15.75" customHeight="1" x14ac:dyDescent="0.3">
      <c r="A175" s="61"/>
      <c r="B175" s="61"/>
      <c r="C175" s="61"/>
      <c r="D175" s="61"/>
      <c r="E175" s="61"/>
      <c r="F175" s="62"/>
      <c r="G175" s="61"/>
      <c r="H175" s="61"/>
      <c r="I175" s="63"/>
      <c r="J175" s="63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spans="1:26" ht="15.75" customHeight="1" x14ac:dyDescent="0.3">
      <c r="A176" s="61"/>
      <c r="B176" s="61"/>
      <c r="C176" s="61"/>
      <c r="D176" s="61"/>
      <c r="E176" s="61"/>
      <c r="F176" s="62"/>
      <c r="G176" s="61"/>
      <c r="H176" s="61"/>
      <c r="I176" s="63"/>
      <c r="J176" s="63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spans="1:26" ht="15.75" customHeight="1" x14ac:dyDescent="0.3">
      <c r="A177" s="61"/>
      <c r="B177" s="61"/>
      <c r="C177" s="61"/>
      <c r="D177" s="61"/>
      <c r="E177" s="61"/>
      <c r="F177" s="62"/>
      <c r="G177" s="61"/>
      <c r="H177" s="61"/>
      <c r="I177" s="63"/>
      <c r="J177" s="63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spans="1:26" ht="15.75" customHeight="1" x14ac:dyDescent="0.3">
      <c r="A178" s="61"/>
      <c r="B178" s="61"/>
      <c r="C178" s="61"/>
      <c r="D178" s="61"/>
      <c r="E178" s="61"/>
      <c r="F178" s="62"/>
      <c r="G178" s="61"/>
      <c r="H178" s="61"/>
      <c r="I178" s="63"/>
      <c r="J178" s="63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spans="1:26" ht="15.75" customHeight="1" x14ac:dyDescent="0.3">
      <c r="A179" s="61"/>
      <c r="B179" s="61"/>
      <c r="C179" s="61"/>
      <c r="D179" s="61"/>
      <c r="E179" s="61"/>
      <c r="F179" s="62"/>
      <c r="G179" s="61"/>
      <c r="H179" s="61"/>
      <c r="I179" s="63"/>
      <c r="J179" s="63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spans="1:26" ht="15.75" customHeight="1" x14ac:dyDescent="0.3">
      <c r="A180" s="61"/>
      <c r="B180" s="61"/>
      <c r="C180" s="61"/>
      <c r="D180" s="61"/>
      <c r="E180" s="61"/>
      <c r="F180" s="62"/>
      <c r="G180" s="61"/>
      <c r="H180" s="61"/>
      <c r="I180" s="63"/>
      <c r="J180" s="63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spans="1:26" ht="15.75" customHeight="1" x14ac:dyDescent="0.3">
      <c r="A181" s="61"/>
      <c r="B181" s="61"/>
      <c r="C181" s="61"/>
      <c r="D181" s="61"/>
      <c r="E181" s="61"/>
      <c r="F181" s="62"/>
      <c r="G181" s="61"/>
      <c r="H181" s="61"/>
      <c r="I181" s="63"/>
      <c r="J181" s="63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spans="1:26" ht="15.75" customHeight="1" x14ac:dyDescent="0.3">
      <c r="A182" s="61"/>
      <c r="B182" s="61"/>
      <c r="C182" s="61"/>
      <c r="D182" s="61"/>
      <c r="E182" s="61"/>
      <c r="F182" s="62"/>
      <c r="G182" s="61"/>
      <c r="H182" s="61"/>
      <c r="I182" s="63"/>
      <c r="J182" s="63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spans="1:26" ht="15.75" customHeight="1" x14ac:dyDescent="0.3">
      <c r="A183" s="61"/>
      <c r="B183" s="61"/>
      <c r="C183" s="61"/>
      <c r="D183" s="61"/>
      <c r="E183" s="61"/>
      <c r="F183" s="62"/>
      <c r="G183" s="61"/>
      <c r="H183" s="61"/>
      <c r="I183" s="63"/>
      <c r="J183" s="63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spans="1:26" ht="15.75" customHeight="1" x14ac:dyDescent="0.3">
      <c r="A184" s="61"/>
      <c r="B184" s="61"/>
      <c r="C184" s="61"/>
      <c r="D184" s="61"/>
      <c r="E184" s="61"/>
      <c r="F184" s="62"/>
      <c r="G184" s="61"/>
      <c r="H184" s="61"/>
      <c r="I184" s="63"/>
      <c r="J184" s="63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spans="1:26" ht="15.75" customHeight="1" x14ac:dyDescent="0.3">
      <c r="A185" s="61"/>
      <c r="B185" s="61"/>
      <c r="C185" s="61"/>
      <c r="D185" s="61"/>
      <c r="E185" s="61"/>
      <c r="F185" s="62"/>
      <c r="G185" s="61"/>
      <c r="H185" s="61"/>
      <c r="I185" s="63"/>
      <c r="J185" s="63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spans="1:26" ht="15.75" customHeight="1" x14ac:dyDescent="0.3">
      <c r="A186" s="61"/>
      <c r="B186" s="61"/>
      <c r="C186" s="61"/>
      <c r="D186" s="61"/>
      <c r="E186" s="61"/>
      <c r="F186" s="62"/>
      <c r="G186" s="61"/>
      <c r="H186" s="61"/>
      <c r="I186" s="63"/>
      <c r="J186" s="63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spans="1:26" ht="15.75" customHeight="1" x14ac:dyDescent="0.3">
      <c r="A187" s="61"/>
      <c r="B187" s="61"/>
      <c r="C187" s="61"/>
      <c r="D187" s="61"/>
      <c r="E187" s="61"/>
      <c r="F187" s="62"/>
      <c r="G187" s="61"/>
      <c r="H187" s="61"/>
      <c r="I187" s="63"/>
      <c r="J187" s="63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spans="1:26" ht="15.75" customHeight="1" x14ac:dyDescent="0.3">
      <c r="A188" s="61"/>
      <c r="B188" s="61"/>
      <c r="C188" s="61"/>
      <c r="D188" s="61"/>
      <c r="E188" s="61"/>
      <c r="F188" s="62"/>
      <c r="G188" s="61"/>
      <c r="H188" s="61"/>
      <c r="I188" s="63"/>
      <c r="J188" s="63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spans="1:26" ht="15.75" customHeight="1" x14ac:dyDescent="0.3">
      <c r="A189" s="61"/>
      <c r="B189" s="61"/>
      <c r="C189" s="61"/>
      <c r="D189" s="61"/>
      <c r="E189" s="61"/>
      <c r="F189" s="62"/>
      <c r="G189" s="61"/>
      <c r="H189" s="61"/>
      <c r="I189" s="63"/>
      <c r="J189" s="63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spans="1:26" ht="15.75" customHeight="1" x14ac:dyDescent="0.3">
      <c r="A190" s="61"/>
      <c r="B190" s="61"/>
      <c r="C190" s="61"/>
      <c r="D190" s="61"/>
      <c r="E190" s="61"/>
      <c r="F190" s="62"/>
      <c r="G190" s="61"/>
      <c r="H190" s="61"/>
      <c r="I190" s="63"/>
      <c r="J190" s="63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spans="1:26" ht="15.75" customHeight="1" x14ac:dyDescent="0.3">
      <c r="A191" s="61"/>
      <c r="B191" s="61"/>
      <c r="C191" s="61"/>
      <c r="D191" s="61"/>
      <c r="E191" s="61"/>
      <c r="F191" s="62"/>
      <c r="G191" s="61"/>
      <c r="H191" s="61"/>
      <c r="I191" s="63"/>
      <c r="J191" s="63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spans="1:26" ht="15.75" customHeight="1" x14ac:dyDescent="0.3">
      <c r="A192" s="61"/>
      <c r="B192" s="61"/>
      <c r="C192" s="61"/>
      <c r="D192" s="61"/>
      <c r="E192" s="61"/>
      <c r="F192" s="62"/>
      <c r="G192" s="61"/>
      <c r="H192" s="61"/>
      <c r="I192" s="63"/>
      <c r="J192" s="63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spans="1:26" ht="15.75" customHeight="1" x14ac:dyDescent="0.3">
      <c r="A193" s="61"/>
      <c r="B193" s="61"/>
      <c r="C193" s="61"/>
      <c r="D193" s="61"/>
      <c r="E193" s="61"/>
      <c r="F193" s="62"/>
      <c r="G193" s="61"/>
      <c r="H193" s="61"/>
      <c r="I193" s="63"/>
      <c r="J193" s="63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spans="1:26" ht="15.75" customHeight="1" x14ac:dyDescent="0.3">
      <c r="A194" s="61"/>
      <c r="B194" s="61"/>
      <c r="C194" s="61"/>
      <c r="D194" s="61"/>
      <c r="E194" s="61"/>
      <c r="F194" s="62"/>
      <c r="G194" s="61"/>
      <c r="H194" s="61"/>
      <c r="I194" s="63"/>
      <c r="J194" s="63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spans="1:26" ht="15.75" customHeight="1" x14ac:dyDescent="0.3">
      <c r="A195" s="61"/>
      <c r="B195" s="61"/>
      <c r="C195" s="61"/>
      <c r="D195" s="61"/>
      <c r="E195" s="61"/>
      <c r="F195" s="62"/>
      <c r="G195" s="61"/>
      <c r="H195" s="61"/>
      <c r="I195" s="63"/>
      <c r="J195" s="63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spans="1:26" ht="15.75" customHeight="1" x14ac:dyDescent="0.3">
      <c r="A196" s="61"/>
      <c r="B196" s="61"/>
      <c r="C196" s="61"/>
      <c r="D196" s="61"/>
      <c r="E196" s="61"/>
      <c r="F196" s="62"/>
      <c r="G196" s="61"/>
      <c r="H196" s="61"/>
      <c r="I196" s="63"/>
      <c r="J196" s="63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spans="1:26" ht="15.75" customHeight="1" x14ac:dyDescent="0.3">
      <c r="A197" s="61"/>
      <c r="B197" s="61"/>
      <c r="C197" s="61"/>
      <c r="D197" s="61"/>
      <c r="E197" s="61"/>
      <c r="F197" s="62"/>
      <c r="G197" s="61"/>
      <c r="H197" s="61"/>
      <c r="I197" s="63"/>
      <c r="J197" s="63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spans="1:26" ht="15.75" customHeight="1" x14ac:dyDescent="0.3">
      <c r="A198" s="61"/>
      <c r="B198" s="61"/>
      <c r="C198" s="61"/>
      <c r="D198" s="61"/>
      <c r="E198" s="61"/>
      <c r="F198" s="62"/>
      <c r="G198" s="61"/>
      <c r="H198" s="61"/>
      <c r="I198" s="63"/>
      <c r="J198" s="63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spans="1:26" ht="15.75" customHeight="1" x14ac:dyDescent="0.3">
      <c r="A199" s="61"/>
      <c r="B199" s="61"/>
      <c r="C199" s="61"/>
      <c r="D199" s="61"/>
      <c r="E199" s="61"/>
      <c r="F199" s="62"/>
      <c r="G199" s="61"/>
      <c r="H199" s="61"/>
      <c r="I199" s="63"/>
      <c r="J199" s="63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spans="1:26" ht="15.75" customHeight="1" x14ac:dyDescent="0.3">
      <c r="A200" s="61"/>
      <c r="B200" s="61"/>
      <c r="C200" s="61"/>
      <c r="D200" s="61"/>
      <c r="E200" s="61"/>
      <c r="F200" s="62"/>
      <c r="G200" s="61"/>
      <c r="H200" s="61"/>
      <c r="I200" s="63"/>
      <c r="J200" s="63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spans="1:26" ht="15.75" customHeight="1" x14ac:dyDescent="0.3">
      <c r="A201" s="61"/>
      <c r="B201" s="61"/>
      <c r="C201" s="61"/>
      <c r="D201" s="61"/>
      <c r="E201" s="61"/>
      <c r="F201" s="62"/>
      <c r="G201" s="61"/>
      <c r="H201" s="61"/>
      <c r="I201" s="63"/>
      <c r="J201" s="63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spans="1:26" ht="15.75" customHeight="1" x14ac:dyDescent="0.3">
      <c r="A202" s="61"/>
      <c r="B202" s="61"/>
      <c r="C202" s="61"/>
      <c r="D202" s="61"/>
      <c r="E202" s="61"/>
      <c r="F202" s="62"/>
      <c r="G202" s="61"/>
      <c r="H202" s="61"/>
      <c r="I202" s="63"/>
      <c r="J202" s="63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spans="1:26" ht="15.75" customHeight="1" x14ac:dyDescent="0.3">
      <c r="A203" s="61"/>
      <c r="B203" s="61"/>
      <c r="C203" s="61"/>
      <c r="D203" s="61"/>
      <c r="E203" s="61"/>
      <c r="F203" s="62"/>
      <c r="G203" s="61"/>
      <c r="H203" s="61"/>
      <c r="I203" s="63"/>
      <c r="J203" s="63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spans="1:26" ht="15.75" customHeight="1" x14ac:dyDescent="0.3">
      <c r="A204" s="61"/>
      <c r="B204" s="61"/>
      <c r="C204" s="61"/>
      <c r="D204" s="61"/>
      <c r="E204" s="61"/>
      <c r="F204" s="62"/>
      <c r="G204" s="61"/>
      <c r="H204" s="61"/>
      <c r="I204" s="63"/>
      <c r="J204" s="63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spans="1:26" ht="15.75" customHeight="1" x14ac:dyDescent="0.3">
      <c r="A205" s="61"/>
      <c r="B205" s="61"/>
      <c r="C205" s="61"/>
      <c r="D205" s="61"/>
      <c r="E205" s="61"/>
      <c r="F205" s="62"/>
      <c r="G205" s="61"/>
      <c r="H205" s="61"/>
      <c r="I205" s="63"/>
      <c r="J205" s="63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spans="1:26" ht="15.75" customHeight="1" x14ac:dyDescent="0.3">
      <c r="A206" s="61"/>
      <c r="B206" s="61"/>
      <c r="C206" s="61"/>
      <c r="D206" s="61"/>
      <c r="E206" s="61"/>
      <c r="F206" s="62"/>
      <c r="G206" s="61"/>
      <c r="H206" s="61"/>
      <c r="I206" s="63"/>
      <c r="J206" s="63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spans="1:26" ht="15.75" customHeight="1" x14ac:dyDescent="0.3">
      <c r="A207" s="61"/>
      <c r="B207" s="61"/>
      <c r="C207" s="61"/>
      <c r="D207" s="61"/>
      <c r="E207" s="61"/>
      <c r="F207" s="62"/>
      <c r="G207" s="61"/>
      <c r="H207" s="61"/>
      <c r="I207" s="63"/>
      <c r="J207" s="63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spans="1:26" ht="15.75" customHeight="1" x14ac:dyDescent="0.3">
      <c r="A208" s="61"/>
      <c r="B208" s="61"/>
      <c r="C208" s="61"/>
      <c r="D208" s="61"/>
      <c r="E208" s="61"/>
      <c r="F208" s="62"/>
      <c r="G208" s="61"/>
      <c r="H208" s="61"/>
      <c r="I208" s="63"/>
      <c r="J208" s="63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spans="1:26" ht="15.75" customHeight="1" x14ac:dyDescent="0.3">
      <c r="A209" s="61"/>
      <c r="B209" s="61"/>
      <c r="C209" s="61"/>
      <c r="D209" s="61"/>
      <c r="E209" s="61"/>
      <c r="F209" s="62"/>
      <c r="G209" s="61"/>
      <c r="H209" s="61"/>
      <c r="I209" s="63"/>
      <c r="J209" s="63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spans="1:26" ht="15.75" customHeight="1" x14ac:dyDescent="0.3">
      <c r="A210" s="61"/>
      <c r="B210" s="61"/>
      <c r="C210" s="61"/>
      <c r="D210" s="61"/>
      <c r="E210" s="61"/>
      <c r="F210" s="62"/>
      <c r="G210" s="61"/>
      <c r="H210" s="61"/>
      <c r="I210" s="63"/>
      <c r="J210" s="63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spans="1:26" ht="15.75" customHeight="1" x14ac:dyDescent="0.3">
      <c r="A211" s="61"/>
      <c r="B211" s="61"/>
      <c r="C211" s="61"/>
      <c r="D211" s="61"/>
      <c r="E211" s="61"/>
      <c r="F211" s="62"/>
      <c r="G211" s="61"/>
      <c r="H211" s="61"/>
      <c r="I211" s="63"/>
      <c r="J211" s="63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spans="1:26" ht="15.75" customHeight="1" x14ac:dyDescent="0.3">
      <c r="A212" s="61"/>
      <c r="B212" s="61"/>
      <c r="C212" s="61"/>
      <c r="D212" s="61"/>
      <c r="E212" s="61"/>
      <c r="F212" s="62"/>
      <c r="G212" s="61"/>
      <c r="H212" s="61"/>
      <c r="I212" s="63"/>
      <c r="J212" s="63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spans="1:26" ht="15.75" customHeight="1" x14ac:dyDescent="0.3">
      <c r="A213" s="61"/>
      <c r="B213" s="61"/>
      <c r="C213" s="61"/>
      <c r="D213" s="61"/>
      <c r="E213" s="61"/>
      <c r="F213" s="62"/>
      <c r="G213" s="61"/>
      <c r="H213" s="61"/>
      <c r="I213" s="63"/>
      <c r="J213" s="63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spans="1:26" ht="15.75" customHeight="1" x14ac:dyDescent="0.3">
      <c r="A214" s="61"/>
      <c r="B214" s="61"/>
      <c r="C214" s="61"/>
      <c r="D214" s="61"/>
      <c r="E214" s="61"/>
      <c r="F214" s="62"/>
      <c r="G214" s="61"/>
      <c r="H214" s="61"/>
      <c r="I214" s="63"/>
      <c r="J214" s="63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spans="1:26" ht="15.75" customHeight="1" x14ac:dyDescent="0.3">
      <c r="A215" s="61"/>
      <c r="B215" s="61"/>
      <c r="C215" s="61"/>
      <c r="D215" s="61"/>
      <c r="E215" s="61"/>
      <c r="F215" s="62"/>
      <c r="G215" s="61"/>
      <c r="H215" s="61"/>
      <c r="I215" s="63"/>
      <c r="J215" s="63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spans="1:26" ht="15.75" customHeight="1" x14ac:dyDescent="0.3">
      <c r="A216" s="61"/>
      <c r="B216" s="61"/>
      <c r="C216" s="61"/>
      <c r="D216" s="61"/>
      <c r="E216" s="61"/>
      <c r="F216" s="62"/>
      <c r="G216" s="61"/>
      <c r="H216" s="61"/>
      <c r="I216" s="63"/>
      <c r="J216" s="63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spans="1:26" ht="15.75" customHeight="1" x14ac:dyDescent="0.3">
      <c r="A217" s="61"/>
      <c r="B217" s="61"/>
      <c r="C217" s="61"/>
      <c r="D217" s="61"/>
      <c r="E217" s="61"/>
      <c r="F217" s="62"/>
      <c r="G217" s="61"/>
      <c r="H217" s="61"/>
      <c r="I217" s="63"/>
      <c r="J217" s="63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spans="1:26" ht="15.75" customHeight="1" x14ac:dyDescent="0.3">
      <c r="A218" s="61"/>
      <c r="B218" s="61"/>
      <c r="C218" s="61"/>
      <c r="D218" s="61"/>
      <c r="E218" s="61"/>
      <c r="F218" s="62"/>
      <c r="G218" s="61"/>
      <c r="H218" s="61"/>
      <c r="I218" s="63"/>
      <c r="J218" s="63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spans="1:26" ht="15.75" customHeight="1" x14ac:dyDescent="0.3">
      <c r="A219" s="61"/>
      <c r="B219" s="61"/>
      <c r="C219" s="61"/>
      <c r="D219" s="61"/>
      <c r="E219" s="61"/>
      <c r="F219" s="62"/>
      <c r="G219" s="61"/>
      <c r="H219" s="61"/>
      <c r="I219" s="63"/>
      <c r="J219" s="63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spans="1:26" ht="15.75" customHeight="1" x14ac:dyDescent="0.3">
      <c r="A220" s="61"/>
      <c r="B220" s="61"/>
      <c r="C220" s="61"/>
      <c r="D220" s="61"/>
      <c r="E220" s="61"/>
      <c r="F220" s="62"/>
      <c r="G220" s="61"/>
      <c r="H220" s="61"/>
      <c r="I220" s="63"/>
      <c r="J220" s="63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spans="1:26" ht="15.75" customHeight="1" x14ac:dyDescent="0.3">
      <c r="A221" s="61"/>
      <c r="B221" s="61"/>
      <c r="C221" s="61"/>
      <c r="D221" s="61"/>
      <c r="E221" s="61"/>
      <c r="F221" s="62"/>
      <c r="G221" s="61"/>
      <c r="H221" s="61"/>
      <c r="I221" s="63"/>
      <c r="J221" s="63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spans="1:26" ht="15.75" customHeight="1" x14ac:dyDescent="0.3">
      <c r="A222" s="61"/>
      <c r="B222" s="61"/>
      <c r="C222" s="61"/>
      <c r="D222" s="61"/>
      <c r="E222" s="61"/>
      <c r="F222" s="62"/>
      <c r="G222" s="61"/>
      <c r="H222" s="61"/>
      <c r="I222" s="63"/>
      <c r="J222" s="63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spans="1:26" ht="15.75" customHeight="1" x14ac:dyDescent="0.3">
      <c r="A223" s="61"/>
      <c r="B223" s="61"/>
      <c r="C223" s="61"/>
      <c r="D223" s="61"/>
      <c r="E223" s="61"/>
      <c r="F223" s="62"/>
      <c r="G223" s="61"/>
      <c r="H223" s="61"/>
      <c r="I223" s="63"/>
      <c r="J223" s="63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spans="1:26" ht="15.75" customHeight="1" x14ac:dyDescent="0.3">
      <c r="A224" s="61"/>
      <c r="B224" s="61"/>
      <c r="C224" s="61"/>
      <c r="D224" s="61"/>
      <c r="E224" s="61"/>
      <c r="F224" s="62"/>
      <c r="G224" s="61"/>
      <c r="H224" s="61"/>
      <c r="I224" s="63"/>
      <c r="J224" s="63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spans="1:26" ht="15.75" customHeight="1" x14ac:dyDescent="0.3">
      <c r="A225" s="61"/>
      <c r="B225" s="61"/>
      <c r="C225" s="61"/>
      <c r="D225" s="61"/>
      <c r="E225" s="61"/>
      <c r="F225" s="62"/>
      <c r="G225" s="61"/>
      <c r="H225" s="61"/>
      <c r="I225" s="63"/>
      <c r="J225" s="63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spans="1:26" ht="15.75" customHeight="1" x14ac:dyDescent="0.3">
      <c r="A226" s="61"/>
      <c r="B226" s="61"/>
      <c r="C226" s="61"/>
      <c r="D226" s="61"/>
      <c r="E226" s="61"/>
      <c r="F226" s="62"/>
      <c r="G226" s="61"/>
      <c r="H226" s="61"/>
      <c r="I226" s="63"/>
      <c r="J226" s="63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spans="1:26" ht="15.75" customHeight="1" x14ac:dyDescent="0.3">
      <c r="A227" s="61"/>
      <c r="B227" s="61"/>
      <c r="C227" s="61"/>
      <c r="D227" s="61"/>
      <c r="E227" s="61"/>
      <c r="F227" s="62"/>
      <c r="G227" s="61"/>
      <c r="H227" s="61"/>
      <c r="I227" s="63"/>
      <c r="J227" s="63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spans="1:26" ht="15.75" customHeight="1" x14ac:dyDescent="0.3">
      <c r="A228" s="61"/>
      <c r="B228" s="61"/>
      <c r="C228" s="61"/>
      <c r="D228" s="61"/>
      <c r="E228" s="61"/>
      <c r="F228" s="62"/>
      <c r="G228" s="61"/>
      <c r="H228" s="61"/>
      <c r="I228" s="63"/>
      <c r="J228" s="63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spans="1:26" ht="15.75" customHeight="1" x14ac:dyDescent="0.3">
      <c r="A229" s="61"/>
      <c r="B229" s="61"/>
      <c r="C229" s="61"/>
      <c r="D229" s="61"/>
      <c r="E229" s="61"/>
      <c r="F229" s="62"/>
      <c r="G229" s="61"/>
      <c r="H229" s="61"/>
      <c r="I229" s="63"/>
      <c r="J229" s="63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spans="1:26" ht="15.75" customHeight="1" x14ac:dyDescent="0.3">
      <c r="A230" s="61"/>
      <c r="B230" s="61"/>
      <c r="C230" s="61"/>
      <c r="D230" s="61"/>
      <c r="E230" s="61"/>
      <c r="F230" s="62"/>
      <c r="G230" s="61"/>
      <c r="H230" s="61"/>
      <c r="I230" s="63"/>
      <c r="J230" s="63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spans="1:26" ht="15.75" customHeight="1" x14ac:dyDescent="0.3">
      <c r="A231" s="61"/>
      <c r="B231" s="61"/>
      <c r="C231" s="61"/>
      <c r="D231" s="61"/>
      <c r="E231" s="61"/>
      <c r="F231" s="62"/>
      <c r="G231" s="61"/>
      <c r="H231" s="61"/>
      <c r="I231" s="63"/>
      <c r="J231" s="63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spans="1:26" ht="15.75" customHeight="1" x14ac:dyDescent="0.3">
      <c r="A232" s="61"/>
      <c r="B232" s="61"/>
      <c r="C232" s="61"/>
      <c r="D232" s="61"/>
      <c r="E232" s="61"/>
      <c r="F232" s="62"/>
      <c r="G232" s="61"/>
      <c r="H232" s="61"/>
      <c r="I232" s="63"/>
      <c r="J232" s="63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spans="1:26" ht="15.75" customHeight="1" x14ac:dyDescent="0.3">
      <c r="A233" s="61"/>
      <c r="B233" s="61"/>
      <c r="C233" s="61"/>
      <c r="D233" s="61"/>
      <c r="E233" s="61"/>
      <c r="F233" s="62"/>
      <c r="G233" s="61"/>
      <c r="H233" s="61"/>
      <c r="I233" s="63"/>
      <c r="J233" s="63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spans="1:26" ht="15.75" customHeight="1" x14ac:dyDescent="0.3">
      <c r="A234" s="61"/>
      <c r="B234" s="61"/>
      <c r="C234" s="61"/>
      <c r="D234" s="61"/>
      <c r="E234" s="61"/>
      <c r="F234" s="62"/>
      <c r="G234" s="61"/>
      <c r="H234" s="61"/>
      <c r="I234" s="63"/>
      <c r="J234" s="63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spans="1:26" ht="15.75" customHeight="1" x14ac:dyDescent="0.3">
      <c r="A235" s="61"/>
      <c r="B235" s="61"/>
      <c r="C235" s="61"/>
      <c r="D235" s="61"/>
      <c r="E235" s="61"/>
      <c r="F235" s="62"/>
      <c r="G235" s="61"/>
      <c r="H235" s="61"/>
      <c r="I235" s="63"/>
      <c r="J235" s="63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spans="1:26" ht="15.75" customHeight="1" x14ac:dyDescent="0.3">
      <c r="A236" s="61"/>
      <c r="B236" s="61"/>
      <c r="C236" s="61"/>
      <c r="D236" s="61"/>
      <c r="E236" s="61"/>
      <c r="F236" s="62"/>
      <c r="G236" s="61"/>
      <c r="H236" s="61"/>
      <c r="I236" s="63"/>
      <c r="J236" s="63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spans="1:26" ht="15.75" customHeight="1" x14ac:dyDescent="0.3">
      <c r="A237" s="61"/>
      <c r="B237" s="61"/>
      <c r="C237" s="61"/>
      <c r="D237" s="61"/>
      <c r="E237" s="61"/>
      <c r="F237" s="62"/>
      <c r="G237" s="61"/>
      <c r="H237" s="61"/>
      <c r="I237" s="63"/>
      <c r="J237" s="63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spans="1:26" ht="15.75" customHeight="1" x14ac:dyDescent="0.3">
      <c r="A238" s="61"/>
      <c r="B238" s="61"/>
      <c r="C238" s="61"/>
      <c r="D238" s="61"/>
      <c r="E238" s="61"/>
      <c r="F238" s="62"/>
      <c r="G238" s="61"/>
      <c r="H238" s="61"/>
      <c r="I238" s="63"/>
      <c r="J238" s="63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spans="1:26" ht="15.75" customHeight="1" x14ac:dyDescent="0.3">
      <c r="A239" s="61"/>
      <c r="B239" s="61"/>
      <c r="C239" s="61"/>
      <c r="D239" s="61"/>
      <c r="E239" s="61"/>
      <c r="F239" s="62"/>
      <c r="G239" s="61"/>
      <c r="H239" s="61"/>
      <c r="I239" s="63"/>
      <c r="J239" s="63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spans="1:26" ht="15.75" customHeight="1" x14ac:dyDescent="0.3">
      <c r="A240" s="61"/>
      <c r="B240" s="61"/>
      <c r="C240" s="61"/>
      <c r="D240" s="61"/>
      <c r="E240" s="61"/>
      <c r="F240" s="62"/>
      <c r="G240" s="61"/>
      <c r="H240" s="61"/>
      <c r="I240" s="63"/>
      <c r="J240" s="63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spans="1:26" ht="15.75" customHeight="1" x14ac:dyDescent="0.3">
      <c r="A241" s="61"/>
      <c r="B241" s="61"/>
      <c r="C241" s="61"/>
      <c r="D241" s="61"/>
      <c r="E241" s="61"/>
      <c r="F241" s="62"/>
      <c r="G241" s="61"/>
      <c r="H241" s="61"/>
      <c r="I241" s="63"/>
      <c r="J241" s="63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spans="1:26" ht="15.75" customHeight="1" x14ac:dyDescent="0.3">
      <c r="A242" s="61"/>
      <c r="B242" s="61"/>
      <c r="C242" s="61"/>
      <c r="D242" s="61"/>
      <c r="E242" s="61"/>
      <c r="F242" s="62"/>
      <c r="G242" s="61"/>
      <c r="H242" s="61"/>
      <c r="I242" s="63"/>
      <c r="J242" s="63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spans="1:26" ht="15.75" customHeight="1" x14ac:dyDescent="0.3">
      <c r="A243" s="61"/>
      <c r="B243" s="61"/>
      <c r="C243" s="61"/>
      <c r="D243" s="61"/>
      <c r="E243" s="61"/>
      <c r="F243" s="62"/>
      <c r="G243" s="61"/>
      <c r="H243" s="61"/>
      <c r="I243" s="63"/>
      <c r="J243" s="63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spans="1:26" ht="15.75" customHeight="1" x14ac:dyDescent="0.3">
      <c r="A244" s="61"/>
      <c r="B244" s="61"/>
      <c r="C244" s="61"/>
      <c r="D244" s="61"/>
      <c r="E244" s="61"/>
      <c r="F244" s="62"/>
      <c r="G244" s="61"/>
      <c r="H244" s="61"/>
      <c r="I244" s="63"/>
      <c r="J244" s="63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spans="1:26" ht="15.75" customHeight="1" x14ac:dyDescent="0.3">
      <c r="A245" s="61"/>
      <c r="B245" s="61"/>
      <c r="C245" s="61"/>
      <c r="D245" s="61"/>
      <c r="E245" s="61"/>
      <c r="F245" s="62"/>
      <c r="G245" s="61"/>
      <c r="H245" s="61"/>
      <c r="I245" s="63"/>
      <c r="J245" s="63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spans="1:26" ht="15.75" customHeight="1" x14ac:dyDescent="0.3">
      <c r="A246" s="61"/>
      <c r="B246" s="61"/>
      <c r="C246" s="61"/>
      <c r="D246" s="61"/>
      <c r="E246" s="61"/>
      <c r="F246" s="62"/>
      <c r="G246" s="61"/>
      <c r="H246" s="61"/>
      <c r="I246" s="63"/>
      <c r="J246" s="63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spans="1:26" ht="15.75" customHeight="1" x14ac:dyDescent="0.3">
      <c r="A247" s="61"/>
      <c r="B247" s="61"/>
      <c r="C247" s="61"/>
      <c r="D247" s="61"/>
      <c r="E247" s="61"/>
      <c r="F247" s="62"/>
      <c r="G247" s="61"/>
      <c r="H247" s="61"/>
      <c r="I247" s="63"/>
      <c r="J247" s="63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spans="1:26" ht="15.75" customHeight="1" x14ac:dyDescent="0.3">
      <c r="A248" s="61"/>
      <c r="B248" s="61"/>
      <c r="C248" s="61"/>
      <c r="D248" s="61"/>
      <c r="E248" s="61"/>
      <c r="F248" s="62"/>
      <c r="G248" s="61"/>
      <c r="H248" s="61"/>
      <c r="I248" s="63"/>
      <c r="J248" s="63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spans="1:26" ht="15.75" customHeight="1" x14ac:dyDescent="0.3">
      <c r="A249" s="61"/>
      <c r="B249" s="61"/>
      <c r="C249" s="61"/>
      <c r="D249" s="61"/>
      <c r="E249" s="61"/>
      <c r="F249" s="62"/>
      <c r="G249" s="61"/>
      <c r="H249" s="61"/>
      <c r="I249" s="63"/>
      <c r="J249" s="63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spans="1:26" ht="15.75" customHeight="1" x14ac:dyDescent="0.3">
      <c r="A250" s="61"/>
      <c r="B250" s="61"/>
      <c r="C250" s="61"/>
      <c r="D250" s="61"/>
      <c r="E250" s="61"/>
      <c r="F250" s="62"/>
      <c r="G250" s="61"/>
      <c r="H250" s="61"/>
      <c r="I250" s="63"/>
      <c r="J250" s="63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spans="1:26" ht="15.75" customHeight="1" x14ac:dyDescent="0.3">
      <c r="A251" s="61"/>
      <c r="B251" s="61"/>
      <c r="C251" s="61"/>
      <c r="D251" s="61"/>
      <c r="E251" s="61"/>
      <c r="F251" s="62"/>
      <c r="G251" s="61"/>
      <c r="H251" s="61"/>
      <c r="I251" s="63"/>
      <c r="J251" s="63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spans="1:26" ht="15.75" customHeight="1" x14ac:dyDescent="0.3">
      <c r="A252" s="61"/>
      <c r="B252" s="61"/>
      <c r="C252" s="61"/>
      <c r="D252" s="61"/>
      <c r="E252" s="61"/>
      <c r="F252" s="62"/>
      <c r="G252" s="61"/>
      <c r="H252" s="61"/>
      <c r="I252" s="63"/>
      <c r="J252" s="63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spans="1:26" ht="15.75" customHeight="1" x14ac:dyDescent="0.3">
      <c r="A253" s="61"/>
      <c r="B253" s="61"/>
      <c r="C253" s="61"/>
      <c r="D253" s="61"/>
      <c r="E253" s="61"/>
      <c r="F253" s="62"/>
      <c r="G253" s="61"/>
      <c r="H253" s="61"/>
      <c r="I253" s="63"/>
      <c r="J253" s="63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spans="1:26" ht="15.75" customHeight="1" x14ac:dyDescent="0.3">
      <c r="A254" s="61"/>
      <c r="B254" s="61"/>
      <c r="C254" s="61"/>
      <c r="D254" s="61"/>
      <c r="E254" s="61"/>
      <c r="F254" s="62"/>
      <c r="G254" s="61"/>
      <c r="H254" s="61"/>
      <c r="I254" s="63"/>
      <c r="J254" s="63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spans="1:26" ht="15.75" customHeight="1" x14ac:dyDescent="0.3">
      <c r="A255" s="61"/>
      <c r="B255" s="61"/>
      <c r="C255" s="61"/>
      <c r="D255" s="61"/>
      <c r="E255" s="61"/>
      <c r="F255" s="62"/>
      <c r="G255" s="61"/>
      <c r="H255" s="61"/>
      <c r="I255" s="63"/>
      <c r="J255" s="63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spans="1:26" ht="15.75" customHeight="1" x14ac:dyDescent="0.3">
      <c r="A256" s="61"/>
      <c r="B256" s="61"/>
      <c r="C256" s="61"/>
      <c r="D256" s="61"/>
      <c r="E256" s="61"/>
      <c r="F256" s="62"/>
      <c r="G256" s="61"/>
      <c r="H256" s="61"/>
      <c r="I256" s="63"/>
      <c r="J256" s="63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spans="1:26" ht="15.75" customHeight="1" x14ac:dyDescent="0.3">
      <c r="A257" s="61"/>
      <c r="B257" s="61"/>
      <c r="C257" s="61"/>
      <c r="D257" s="61"/>
      <c r="E257" s="61"/>
      <c r="F257" s="62"/>
      <c r="G257" s="61"/>
      <c r="H257" s="61"/>
      <c r="I257" s="63"/>
      <c r="J257" s="63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spans="1:26" ht="15.75" customHeight="1" x14ac:dyDescent="0.3">
      <c r="A258" s="61"/>
      <c r="B258" s="61"/>
      <c r="C258" s="61"/>
      <c r="D258" s="61"/>
      <c r="E258" s="61"/>
      <c r="F258" s="62"/>
      <c r="G258" s="61"/>
      <c r="H258" s="61"/>
      <c r="I258" s="63"/>
      <c r="J258" s="63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spans="1:26" ht="15.75" customHeight="1" x14ac:dyDescent="0.3">
      <c r="A259" s="61"/>
      <c r="B259" s="61"/>
      <c r="C259" s="61"/>
      <c r="D259" s="61"/>
      <c r="E259" s="61"/>
      <c r="F259" s="62"/>
      <c r="G259" s="61"/>
      <c r="H259" s="61"/>
      <c r="I259" s="63"/>
      <c r="J259" s="63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spans="1:26" ht="15.75" customHeight="1" x14ac:dyDescent="0.3">
      <c r="A260" s="61"/>
      <c r="B260" s="61"/>
      <c r="C260" s="61"/>
      <c r="D260" s="61"/>
      <c r="E260" s="61"/>
      <c r="F260" s="62"/>
      <c r="G260" s="61"/>
      <c r="H260" s="61"/>
      <c r="I260" s="63"/>
      <c r="J260" s="63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spans="1:26" ht="15.75" customHeight="1" x14ac:dyDescent="0.3">
      <c r="A261" s="61"/>
      <c r="B261" s="61"/>
      <c r="C261" s="61"/>
      <c r="D261" s="61"/>
      <c r="E261" s="61"/>
      <c r="F261" s="62"/>
      <c r="G261" s="61"/>
      <c r="H261" s="61"/>
      <c r="I261" s="63"/>
      <c r="J261" s="63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spans="1:26" ht="15.75" customHeight="1" x14ac:dyDescent="0.3">
      <c r="A262" s="61"/>
      <c r="B262" s="61"/>
      <c r="C262" s="61"/>
      <c r="D262" s="61"/>
      <c r="E262" s="61"/>
      <c r="F262" s="62"/>
      <c r="G262" s="61"/>
      <c r="H262" s="61"/>
      <c r="I262" s="63"/>
      <c r="J262" s="63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spans="1:26" ht="15.75" customHeight="1" x14ac:dyDescent="0.3">
      <c r="A263" s="61"/>
      <c r="B263" s="61"/>
      <c r="C263" s="61"/>
      <c r="D263" s="61"/>
      <c r="E263" s="61"/>
      <c r="F263" s="62"/>
      <c r="G263" s="61"/>
      <c r="H263" s="61"/>
      <c r="I263" s="63"/>
      <c r="J263" s="63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spans="1:26" ht="15.75" customHeight="1" x14ac:dyDescent="0.3">
      <c r="A264" s="61"/>
      <c r="B264" s="61"/>
      <c r="C264" s="61"/>
      <c r="D264" s="61"/>
      <c r="E264" s="61"/>
      <c r="F264" s="62"/>
      <c r="G264" s="61"/>
      <c r="H264" s="61"/>
      <c r="I264" s="63"/>
      <c r="J264" s="63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spans="1:26" ht="15.75" customHeight="1" x14ac:dyDescent="0.3">
      <c r="A265" s="61"/>
      <c r="B265" s="61"/>
      <c r="C265" s="61"/>
      <c r="D265" s="61"/>
      <c r="E265" s="61"/>
      <c r="F265" s="62"/>
      <c r="G265" s="61"/>
      <c r="H265" s="61"/>
      <c r="I265" s="63"/>
      <c r="J265" s="63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spans="1:26" ht="15.75" customHeight="1" x14ac:dyDescent="0.3">
      <c r="A266" s="61"/>
      <c r="B266" s="61"/>
      <c r="C266" s="61"/>
      <c r="D266" s="61"/>
      <c r="E266" s="61"/>
      <c r="F266" s="62"/>
      <c r="G266" s="61"/>
      <c r="H266" s="61"/>
      <c r="I266" s="63"/>
      <c r="J266" s="63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spans="1:26" ht="15.75" customHeight="1" x14ac:dyDescent="0.3">
      <c r="A267" s="61"/>
      <c r="B267" s="61"/>
      <c r="C267" s="61"/>
      <c r="D267" s="61"/>
      <c r="E267" s="61"/>
      <c r="F267" s="62"/>
      <c r="G267" s="61"/>
      <c r="H267" s="61"/>
      <c r="I267" s="63"/>
      <c r="J267" s="63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spans="1:26" ht="15.75" customHeight="1" x14ac:dyDescent="0.3">
      <c r="A268" s="61"/>
      <c r="B268" s="61"/>
      <c r="C268" s="61"/>
      <c r="D268" s="61"/>
      <c r="E268" s="61"/>
      <c r="F268" s="62"/>
      <c r="G268" s="61"/>
      <c r="H268" s="61"/>
      <c r="I268" s="63"/>
      <c r="J268" s="63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spans="1:26" ht="15.75" customHeight="1" x14ac:dyDescent="0.3">
      <c r="A269" s="61"/>
      <c r="B269" s="61"/>
      <c r="C269" s="61"/>
      <c r="D269" s="61"/>
      <c r="E269" s="61"/>
      <c r="F269" s="62"/>
      <c r="G269" s="61"/>
      <c r="H269" s="61"/>
      <c r="I269" s="63"/>
      <c r="J269" s="63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spans="1:26" ht="15.75" customHeight="1" x14ac:dyDescent="0.3">
      <c r="A270" s="61"/>
      <c r="B270" s="61"/>
      <c r="C270" s="61"/>
      <c r="D270" s="61"/>
      <c r="E270" s="61"/>
      <c r="F270" s="62"/>
      <c r="G270" s="61"/>
      <c r="H270" s="61"/>
      <c r="I270" s="63"/>
      <c r="J270" s="63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spans="1:26" ht="15.75" customHeight="1" x14ac:dyDescent="0.3">
      <c r="A271" s="61"/>
      <c r="B271" s="61"/>
      <c r="C271" s="61"/>
      <c r="D271" s="61"/>
      <c r="E271" s="61"/>
      <c r="F271" s="62"/>
      <c r="G271" s="61"/>
      <c r="H271" s="61"/>
      <c r="I271" s="63"/>
      <c r="J271" s="63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spans="1:26" ht="15.75" customHeight="1" x14ac:dyDescent="0.3">
      <c r="A272" s="61"/>
      <c r="B272" s="61"/>
      <c r="C272" s="61"/>
      <c r="D272" s="61"/>
      <c r="E272" s="61"/>
      <c r="F272" s="62"/>
      <c r="G272" s="61"/>
      <c r="H272" s="61"/>
      <c r="I272" s="63"/>
      <c r="J272" s="63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spans="1:26" ht="15.75" customHeight="1" x14ac:dyDescent="0.3">
      <c r="A273" s="61"/>
      <c r="B273" s="61"/>
      <c r="C273" s="61"/>
      <c r="D273" s="61"/>
      <c r="E273" s="61"/>
      <c r="F273" s="62"/>
      <c r="G273" s="61"/>
      <c r="H273" s="61"/>
      <c r="I273" s="63"/>
      <c r="J273" s="63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spans="1:26" ht="15.75" customHeight="1" x14ac:dyDescent="0.3">
      <c r="A274" s="61"/>
      <c r="B274" s="61"/>
      <c r="C274" s="61"/>
      <c r="D274" s="61"/>
      <c r="E274" s="61"/>
      <c r="F274" s="62"/>
      <c r="G274" s="61"/>
      <c r="H274" s="61"/>
      <c r="I274" s="63"/>
      <c r="J274" s="63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spans="1:26" ht="15.75" customHeight="1" x14ac:dyDescent="0.3">
      <c r="A275" s="61"/>
      <c r="B275" s="61"/>
      <c r="C275" s="61"/>
      <c r="D275" s="61"/>
      <c r="E275" s="61"/>
      <c r="F275" s="62"/>
      <c r="G275" s="61"/>
      <c r="H275" s="61"/>
      <c r="I275" s="63"/>
      <c r="J275" s="63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spans="1:26" ht="15.75" customHeight="1" x14ac:dyDescent="0.3">
      <c r="A276" s="61"/>
      <c r="B276" s="61"/>
      <c r="C276" s="61"/>
      <c r="D276" s="61"/>
      <c r="E276" s="61"/>
      <c r="F276" s="62"/>
      <c r="G276" s="61"/>
      <c r="H276" s="61"/>
      <c r="I276" s="63"/>
      <c r="J276" s="63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spans="1:26" ht="15.75" customHeight="1" x14ac:dyDescent="0.3">
      <c r="A277" s="61"/>
      <c r="B277" s="61"/>
      <c r="C277" s="61"/>
      <c r="D277" s="61"/>
      <c r="E277" s="61"/>
      <c r="F277" s="62"/>
      <c r="G277" s="61"/>
      <c r="H277" s="61"/>
      <c r="I277" s="63"/>
      <c r="J277" s="63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spans="1:26" ht="15.75" customHeight="1" x14ac:dyDescent="0.3">
      <c r="A278" s="61"/>
      <c r="B278" s="61"/>
      <c r="C278" s="61"/>
      <c r="D278" s="61"/>
      <c r="E278" s="61"/>
      <c r="F278" s="62"/>
      <c r="G278" s="61"/>
      <c r="H278" s="61"/>
      <c r="I278" s="63"/>
      <c r="J278" s="63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spans="1:26" ht="15.75" customHeight="1" x14ac:dyDescent="0.3">
      <c r="A279" s="61"/>
      <c r="B279" s="61"/>
      <c r="C279" s="61"/>
      <c r="D279" s="61"/>
      <c r="E279" s="61"/>
      <c r="F279" s="62"/>
      <c r="G279" s="61"/>
      <c r="H279" s="61"/>
      <c r="I279" s="63"/>
      <c r="J279" s="63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spans="1:26" ht="15.75" customHeight="1" x14ac:dyDescent="0.3">
      <c r="A280" s="61"/>
      <c r="B280" s="61"/>
      <c r="C280" s="61"/>
      <c r="D280" s="61"/>
      <c r="E280" s="61"/>
      <c r="F280" s="62"/>
      <c r="G280" s="61"/>
      <c r="H280" s="61"/>
      <c r="I280" s="63"/>
      <c r="J280" s="63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spans="1:26" ht="15.75" customHeight="1" x14ac:dyDescent="0.3">
      <c r="A281" s="61"/>
      <c r="B281" s="61"/>
      <c r="C281" s="61"/>
      <c r="D281" s="61"/>
      <c r="E281" s="61"/>
      <c r="F281" s="62"/>
      <c r="G281" s="61"/>
      <c r="H281" s="61"/>
      <c r="I281" s="63"/>
      <c r="J281" s="63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spans="1:26" ht="15.75" customHeight="1" x14ac:dyDescent="0.3">
      <c r="A282" s="61"/>
      <c r="B282" s="61"/>
      <c r="C282" s="61"/>
      <c r="D282" s="61"/>
      <c r="E282" s="61"/>
      <c r="F282" s="62"/>
      <c r="G282" s="61"/>
      <c r="H282" s="61"/>
      <c r="I282" s="63"/>
      <c r="J282" s="63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spans="1:26" ht="15.75" customHeight="1" x14ac:dyDescent="0.3">
      <c r="A283" s="61"/>
      <c r="B283" s="61"/>
      <c r="C283" s="61"/>
      <c r="D283" s="61"/>
      <c r="E283" s="61"/>
      <c r="F283" s="62"/>
      <c r="G283" s="61"/>
      <c r="H283" s="61"/>
      <c r="I283" s="63"/>
      <c r="J283" s="63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spans="1:26" ht="15.75" customHeight="1" x14ac:dyDescent="0.3">
      <c r="A284" s="61"/>
      <c r="B284" s="61"/>
      <c r="C284" s="61"/>
      <c r="D284" s="61"/>
      <c r="E284" s="61"/>
      <c r="F284" s="62"/>
      <c r="G284" s="61"/>
      <c r="H284" s="61"/>
      <c r="I284" s="63"/>
      <c r="J284" s="63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spans="1:26" ht="15.75" customHeight="1" x14ac:dyDescent="0.3">
      <c r="A285" s="61"/>
      <c r="B285" s="61"/>
      <c r="C285" s="61"/>
      <c r="D285" s="61"/>
      <c r="E285" s="61"/>
      <c r="F285" s="62"/>
      <c r="G285" s="61"/>
      <c r="H285" s="61"/>
      <c r="I285" s="63"/>
      <c r="J285" s="63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spans="1:26" ht="15.75" customHeight="1" x14ac:dyDescent="0.3">
      <c r="A286" s="61"/>
      <c r="B286" s="61"/>
      <c r="C286" s="61"/>
      <c r="D286" s="61"/>
      <c r="E286" s="61"/>
      <c r="F286" s="62"/>
      <c r="G286" s="61"/>
      <c r="H286" s="61"/>
      <c r="I286" s="63"/>
      <c r="J286" s="63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spans="1:26" ht="15.75" customHeight="1" x14ac:dyDescent="0.3">
      <c r="A287" s="61"/>
      <c r="B287" s="61"/>
      <c r="C287" s="61"/>
      <c r="D287" s="61"/>
      <c r="E287" s="61"/>
      <c r="F287" s="62"/>
      <c r="G287" s="61"/>
      <c r="H287" s="61"/>
      <c r="I287" s="63"/>
      <c r="J287" s="63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spans="1:26" ht="15.75" customHeight="1" x14ac:dyDescent="0.3">
      <c r="A288" s="61"/>
      <c r="B288" s="61"/>
      <c r="C288" s="61"/>
      <c r="D288" s="61"/>
      <c r="E288" s="61"/>
      <c r="F288" s="62"/>
      <c r="G288" s="61"/>
      <c r="H288" s="61"/>
      <c r="I288" s="63"/>
      <c r="J288" s="63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spans="1:26" ht="15.75" customHeight="1" x14ac:dyDescent="0.3">
      <c r="A289" s="61"/>
      <c r="B289" s="61"/>
      <c r="C289" s="61"/>
      <c r="D289" s="61"/>
      <c r="E289" s="61"/>
      <c r="F289" s="62"/>
      <c r="G289" s="61"/>
      <c r="H289" s="61"/>
      <c r="I289" s="63"/>
      <c r="J289" s="63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spans="1:26" ht="15.75" customHeight="1" x14ac:dyDescent="0.3">
      <c r="A290" s="61"/>
      <c r="B290" s="61"/>
      <c r="C290" s="61"/>
      <c r="D290" s="61"/>
      <c r="E290" s="61"/>
      <c r="F290" s="62"/>
      <c r="G290" s="61"/>
      <c r="H290" s="61"/>
      <c r="I290" s="63"/>
      <c r="J290" s="63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spans="1:26" ht="15.75" customHeight="1" x14ac:dyDescent="0.3">
      <c r="A291" s="61"/>
      <c r="B291" s="61"/>
      <c r="C291" s="61"/>
      <c r="D291" s="61"/>
      <c r="E291" s="61"/>
      <c r="F291" s="62"/>
      <c r="G291" s="61"/>
      <c r="H291" s="61"/>
      <c r="I291" s="63"/>
      <c r="J291" s="63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spans="1:26" ht="15.75" customHeight="1" x14ac:dyDescent="0.3">
      <c r="A292" s="61"/>
      <c r="B292" s="61"/>
      <c r="C292" s="61"/>
      <c r="D292" s="61"/>
      <c r="E292" s="61"/>
      <c r="F292" s="62"/>
      <c r="G292" s="61"/>
      <c r="H292" s="61"/>
      <c r="I292" s="63"/>
      <c r="J292" s="63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spans="1:26" ht="15.75" customHeight="1" x14ac:dyDescent="0.3">
      <c r="A293" s="61"/>
      <c r="B293" s="61"/>
      <c r="C293" s="61"/>
      <c r="D293" s="61"/>
      <c r="E293" s="61"/>
      <c r="F293" s="62"/>
      <c r="G293" s="61"/>
      <c r="H293" s="61"/>
      <c r="I293" s="63"/>
      <c r="J293" s="63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spans="1:26" ht="15.75" customHeight="1" x14ac:dyDescent="0.3">
      <c r="A294" s="61"/>
      <c r="B294" s="61"/>
      <c r="C294" s="61"/>
      <c r="D294" s="61"/>
      <c r="E294" s="61"/>
      <c r="F294" s="62"/>
      <c r="G294" s="61"/>
      <c r="H294" s="61"/>
      <c r="I294" s="63"/>
      <c r="J294" s="63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spans="1:26" ht="15.75" customHeight="1" x14ac:dyDescent="0.3">
      <c r="A295" s="61"/>
      <c r="B295" s="61"/>
      <c r="C295" s="61"/>
      <c r="D295" s="61"/>
      <c r="E295" s="61"/>
      <c r="F295" s="62"/>
      <c r="G295" s="61"/>
      <c r="H295" s="61"/>
      <c r="I295" s="63"/>
      <c r="J295" s="63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spans="1:26" ht="15.75" customHeight="1" x14ac:dyDescent="0.3">
      <c r="A296" s="61"/>
      <c r="B296" s="61"/>
      <c r="C296" s="61"/>
      <c r="D296" s="61"/>
      <c r="E296" s="61"/>
      <c r="F296" s="62"/>
      <c r="G296" s="61"/>
      <c r="H296" s="61"/>
      <c r="I296" s="63"/>
      <c r="J296" s="63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spans="1:26" ht="15.75" customHeight="1" x14ac:dyDescent="0.3">
      <c r="A297" s="61"/>
      <c r="B297" s="61"/>
      <c r="C297" s="61"/>
      <c r="D297" s="61"/>
      <c r="E297" s="61"/>
      <c r="F297" s="62"/>
      <c r="G297" s="61"/>
      <c r="H297" s="61"/>
      <c r="I297" s="63"/>
      <c r="J297" s="63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spans="1:26" ht="15.75" customHeight="1" x14ac:dyDescent="0.3">
      <c r="A298" s="61"/>
      <c r="B298" s="61"/>
      <c r="C298" s="61"/>
      <c r="D298" s="61"/>
      <c r="E298" s="61"/>
      <c r="F298" s="62"/>
      <c r="G298" s="61"/>
      <c r="H298" s="61"/>
      <c r="I298" s="63"/>
      <c r="J298" s="63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spans="1:26" ht="15.75" customHeight="1" x14ac:dyDescent="0.3">
      <c r="A299" s="61"/>
      <c r="B299" s="61"/>
      <c r="C299" s="61"/>
      <c r="D299" s="61"/>
      <c r="E299" s="61"/>
      <c r="F299" s="62"/>
      <c r="G299" s="61"/>
      <c r="H299" s="61"/>
      <c r="I299" s="63"/>
      <c r="J299" s="63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spans="1:26" ht="15.75" customHeight="1" x14ac:dyDescent="0.3">
      <c r="A300" s="61"/>
      <c r="B300" s="61"/>
      <c r="C300" s="61"/>
      <c r="D300" s="61"/>
      <c r="E300" s="61"/>
      <c r="F300" s="62"/>
      <c r="G300" s="61"/>
      <c r="H300" s="61"/>
      <c r="I300" s="63"/>
      <c r="J300" s="63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spans="1:26" ht="15.75" customHeight="1" x14ac:dyDescent="0.3">
      <c r="A301" s="61"/>
      <c r="B301" s="61"/>
      <c r="C301" s="61"/>
      <c r="D301" s="61"/>
      <c r="E301" s="61"/>
      <c r="F301" s="62"/>
      <c r="G301" s="61"/>
      <c r="H301" s="61"/>
      <c r="I301" s="63"/>
      <c r="J301" s="63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spans="1:26" ht="15.75" customHeight="1" x14ac:dyDescent="0.3">
      <c r="A302" s="61"/>
      <c r="B302" s="61"/>
      <c r="C302" s="61"/>
      <c r="D302" s="61"/>
      <c r="E302" s="61"/>
      <c r="F302" s="62"/>
      <c r="G302" s="61"/>
      <c r="H302" s="61"/>
      <c r="I302" s="63"/>
      <c r="J302" s="63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spans="1:26" ht="15.75" customHeight="1" x14ac:dyDescent="0.3">
      <c r="A303" s="61"/>
      <c r="B303" s="61"/>
      <c r="C303" s="61"/>
      <c r="D303" s="61"/>
      <c r="E303" s="61"/>
      <c r="F303" s="62"/>
      <c r="G303" s="61"/>
      <c r="H303" s="61"/>
      <c r="I303" s="63"/>
      <c r="J303" s="63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spans="1:26" ht="15.75" customHeight="1" x14ac:dyDescent="0.3">
      <c r="A304" s="61"/>
      <c r="B304" s="61"/>
      <c r="C304" s="61"/>
      <c r="D304" s="61"/>
      <c r="E304" s="61"/>
      <c r="F304" s="62"/>
      <c r="G304" s="61"/>
      <c r="H304" s="61"/>
      <c r="I304" s="63"/>
      <c r="J304" s="63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spans="1:26" ht="15.75" customHeight="1" x14ac:dyDescent="0.3">
      <c r="A305" s="61"/>
      <c r="B305" s="61"/>
      <c r="C305" s="61"/>
      <c r="D305" s="61"/>
      <c r="E305" s="61"/>
      <c r="F305" s="62"/>
      <c r="G305" s="61"/>
      <c r="H305" s="61"/>
      <c r="I305" s="63"/>
      <c r="J305" s="63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spans="1:26" ht="15.75" customHeight="1" x14ac:dyDescent="0.3">
      <c r="A306" s="61"/>
      <c r="B306" s="61"/>
      <c r="C306" s="61"/>
      <c r="D306" s="61"/>
      <c r="E306" s="61"/>
      <c r="F306" s="62"/>
      <c r="G306" s="61"/>
      <c r="H306" s="61"/>
      <c r="I306" s="63"/>
      <c r="J306" s="63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spans="1:26" ht="15.75" customHeight="1" x14ac:dyDescent="0.3">
      <c r="A307" s="61"/>
      <c r="B307" s="61"/>
      <c r="C307" s="61"/>
      <c r="D307" s="61"/>
      <c r="E307" s="61"/>
      <c r="F307" s="62"/>
      <c r="G307" s="61"/>
      <c r="H307" s="61"/>
      <c r="I307" s="63"/>
      <c r="J307" s="63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spans="1:26" ht="15.75" customHeight="1" x14ac:dyDescent="0.3">
      <c r="A308" s="61"/>
      <c r="B308" s="61"/>
      <c r="C308" s="61"/>
      <c r="D308" s="61"/>
      <c r="E308" s="61"/>
      <c r="F308" s="62"/>
      <c r="G308" s="61"/>
      <c r="H308" s="61"/>
      <c r="I308" s="63"/>
      <c r="J308" s="63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spans="1:26" ht="15.75" customHeight="1" x14ac:dyDescent="0.3">
      <c r="A309" s="61"/>
      <c r="B309" s="61"/>
      <c r="C309" s="61"/>
      <c r="D309" s="61"/>
      <c r="E309" s="61"/>
      <c r="F309" s="62"/>
      <c r="G309" s="61"/>
      <c r="H309" s="61"/>
      <c r="I309" s="63"/>
      <c r="J309" s="63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spans="1:26" ht="15.75" customHeight="1" x14ac:dyDescent="0.3">
      <c r="A310" s="61"/>
      <c r="B310" s="61"/>
      <c r="C310" s="61"/>
      <c r="D310" s="61"/>
      <c r="E310" s="61"/>
      <c r="F310" s="62"/>
      <c r="G310" s="61"/>
      <c r="H310" s="61"/>
      <c r="I310" s="63"/>
      <c r="J310" s="63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spans="1:26" ht="15.75" customHeight="1" x14ac:dyDescent="0.3">
      <c r="A311" s="61"/>
      <c r="B311" s="61"/>
      <c r="C311" s="61"/>
      <c r="D311" s="61"/>
      <c r="E311" s="61"/>
      <c r="F311" s="62"/>
      <c r="G311" s="61"/>
      <c r="H311" s="61"/>
      <c r="I311" s="63"/>
      <c r="J311" s="63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spans="1:26" ht="15.75" customHeight="1" x14ac:dyDescent="0.3">
      <c r="A312" s="61"/>
      <c r="B312" s="61"/>
      <c r="C312" s="61"/>
      <c r="D312" s="61"/>
      <c r="E312" s="61"/>
      <c r="F312" s="62"/>
      <c r="G312" s="61"/>
      <c r="H312" s="61"/>
      <c r="I312" s="63"/>
      <c r="J312" s="63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spans="1:26" ht="15.75" customHeight="1" x14ac:dyDescent="0.3">
      <c r="A313" s="61"/>
      <c r="B313" s="61"/>
      <c r="C313" s="61"/>
      <c r="D313" s="61"/>
      <c r="E313" s="61"/>
      <c r="F313" s="62"/>
      <c r="G313" s="61"/>
      <c r="H313" s="61"/>
      <c r="I313" s="63"/>
      <c r="J313" s="63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spans="1:26" ht="15.75" customHeight="1" x14ac:dyDescent="0.3">
      <c r="A314" s="61"/>
      <c r="B314" s="61"/>
      <c r="C314" s="61"/>
      <c r="D314" s="61"/>
      <c r="E314" s="61"/>
      <c r="F314" s="62"/>
      <c r="G314" s="61"/>
      <c r="H314" s="61"/>
      <c r="I314" s="63"/>
      <c r="J314" s="63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spans="1:26" ht="15.75" customHeight="1" x14ac:dyDescent="0.3">
      <c r="A315" s="61"/>
      <c r="B315" s="61"/>
      <c r="C315" s="61"/>
      <c r="D315" s="61"/>
      <c r="E315" s="61"/>
      <c r="F315" s="62"/>
      <c r="G315" s="61"/>
      <c r="H315" s="61"/>
      <c r="I315" s="63"/>
      <c r="J315" s="63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spans="1:26" ht="15.75" customHeight="1" x14ac:dyDescent="0.3">
      <c r="A316" s="61"/>
      <c r="B316" s="61"/>
      <c r="C316" s="61"/>
      <c r="D316" s="61"/>
      <c r="E316" s="61"/>
      <c r="F316" s="62"/>
      <c r="G316" s="61"/>
      <c r="H316" s="61"/>
      <c r="I316" s="63"/>
      <c r="J316" s="63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spans="1:26" ht="15.75" customHeight="1" x14ac:dyDescent="0.3">
      <c r="A317" s="61"/>
      <c r="B317" s="61"/>
      <c r="C317" s="61"/>
      <c r="D317" s="61"/>
      <c r="E317" s="61"/>
      <c r="F317" s="62"/>
      <c r="G317" s="61"/>
      <c r="H317" s="61"/>
      <c r="I317" s="63"/>
      <c r="J317" s="63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spans="1:26" ht="15.75" customHeight="1" x14ac:dyDescent="0.3">
      <c r="A318" s="61"/>
      <c r="B318" s="61"/>
      <c r="C318" s="61"/>
      <c r="D318" s="61"/>
      <c r="E318" s="61"/>
      <c r="F318" s="62"/>
      <c r="G318" s="61"/>
      <c r="H318" s="61"/>
      <c r="I318" s="63"/>
      <c r="J318" s="63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spans="1:26" ht="15.75" customHeight="1" x14ac:dyDescent="0.3">
      <c r="A319" s="61"/>
      <c r="B319" s="61"/>
      <c r="C319" s="61"/>
      <c r="D319" s="61"/>
      <c r="E319" s="61"/>
      <c r="F319" s="62"/>
      <c r="G319" s="61"/>
      <c r="H319" s="61"/>
      <c r="I319" s="63"/>
      <c r="J319" s="63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spans="1:26" ht="15.75" customHeight="1" x14ac:dyDescent="0.3">
      <c r="A320" s="61"/>
      <c r="B320" s="61"/>
      <c r="C320" s="61"/>
      <c r="D320" s="61"/>
      <c r="E320" s="61"/>
      <c r="F320" s="62"/>
      <c r="G320" s="61"/>
      <c r="H320" s="61"/>
      <c r="I320" s="63"/>
      <c r="J320" s="63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spans="1:26" ht="15.75" customHeight="1" x14ac:dyDescent="0.3">
      <c r="A321" s="61"/>
      <c r="B321" s="61"/>
      <c r="C321" s="61"/>
      <c r="D321" s="61"/>
      <c r="E321" s="61"/>
      <c r="F321" s="62"/>
      <c r="G321" s="61"/>
      <c r="H321" s="61"/>
      <c r="I321" s="63"/>
      <c r="J321" s="63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spans="1:26" ht="15.75" customHeight="1" x14ac:dyDescent="0.3">
      <c r="A322" s="61"/>
      <c r="B322" s="61"/>
      <c r="C322" s="61"/>
      <c r="D322" s="61"/>
      <c r="E322" s="61"/>
      <c r="F322" s="62"/>
      <c r="G322" s="61"/>
      <c r="H322" s="61"/>
      <c r="I322" s="63"/>
      <c r="J322" s="63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spans="1:26" ht="15.75" customHeight="1" x14ac:dyDescent="0.3">
      <c r="A323" s="61"/>
      <c r="B323" s="61"/>
      <c r="C323" s="61"/>
      <c r="D323" s="61"/>
      <c r="E323" s="61"/>
      <c r="F323" s="62"/>
      <c r="G323" s="61"/>
      <c r="H323" s="61"/>
      <c r="I323" s="63"/>
      <c r="J323" s="63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spans="1:26" ht="15.75" customHeight="1" x14ac:dyDescent="0.3">
      <c r="A324" s="61"/>
      <c r="B324" s="61"/>
      <c r="C324" s="61"/>
      <c r="D324" s="61"/>
      <c r="E324" s="61"/>
      <c r="F324" s="62"/>
      <c r="G324" s="61"/>
      <c r="H324" s="61"/>
      <c r="I324" s="63"/>
      <c r="J324" s="63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spans="1:26" ht="15.75" customHeight="1" x14ac:dyDescent="0.3">
      <c r="A325" s="61"/>
      <c r="B325" s="61"/>
      <c r="C325" s="61"/>
      <c r="D325" s="61"/>
      <c r="E325" s="61"/>
      <c r="F325" s="62"/>
      <c r="G325" s="61"/>
      <c r="H325" s="61"/>
      <c r="I325" s="63"/>
      <c r="J325" s="63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spans="1:26" ht="15.75" customHeight="1" x14ac:dyDescent="0.3">
      <c r="A326" s="61"/>
      <c r="B326" s="61"/>
      <c r="C326" s="61"/>
      <c r="D326" s="61"/>
      <c r="E326" s="61"/>
      <c r="F326" s="62"/>
      <c r="G326" s="61"/>
      <c r="H326" s="61"/>
      <c r="I326" s="63"/>
      <c r="J326" s="63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spans="1:26" ht="15.75" customHeight="1" x14ac:dyDescent="0.3">
      <c r="A327" s="61"/>
      <c r="B327" s="61"/>
      <c r="C327" s="61"/>
      <c r="D327" s="61"/>
      <c r="E327" s="61"/>
      <c r="F327" s="62"/>
      <c r="G327" s="61"/>
      <c r="H327" s="61"/>
      <c r="I327" s="63"/>
      <c r="J327" s="63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spans="1:26" ht="15.75" customHeight="1" x14ac:dyDescent="0.3">
      <c r="A328" s="61"/>
      <c r="B328" s="61"/>
      <c r="C328" s="61"/>
      <c r="D328" s="61"/>
      <c r="E328" s="61"/>
      <c r="F328" s="62"/>
      <c r="G328" s="61"/>
      <c r="H328" s="61"/>
      <c r="I328" s="63"/>
      <c r="J328" s="63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spans="1:26" ht="15.75" customHeight="1" x14ac:dyDescent="0.3">
      <c r="A329" s="61"/>
      <c r="B329" s="61"/>
      <c r="C329" s="61"/>
      <c r="D329" s="61"/>
      <c r="E329" s="61"/>
      <c r="F329" s="62"/>
      <c r="G329" s="61"/>
      <c r="H329" s="61"/>
      <c r="I329" s="63"/>
      <c r="J329" s="63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spans="1:26" ht="15.75" customHeight="1" x14ac:dyDescent="0.3">
      <c r="A330" s="61"/>
      <c r="B330" s="61"/>
      <c r="C330" s="61"/>
      <c r="D330" s="61"/>
      <c r="E330" s="61"/>
      <c r="F330" s="62"/>
      <c r="G330" s="61"/>
      <c r="H330" s="61"/>
      <c r="I330" s="63"/>
      <c r="J330" s="63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spans="1:26" ht="15.75" customHeight="1" x14ac:dyDescent="0.3">
      <c r="A331" s="61"/>
      <c r="B331" s="61"/>
      <c r="C331" s="61"/>
      <c r="D331" s="61"/>
      <c r="E331" s="61"/>
      <c r="F331" s="62"/>
      <c r="G331" s="61"/>
      <c r="H331" s="61"/>
      <c r="I331" s="63"/>
      <c r="J331" s="63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spans="1:26" ht="15.75" customHeight="1" x14ac:dyDescent="0.3">
      <c r="A332" s="61"/>
      <c r="B332" s="61"/>
      <c r="C332" s="61"/>
      <c r="D332" s="61"/>
      <c r="E332" s="61"/>
      <c r="F332" s="62"/>
      <c r="G332" s="61"/>
      <c r="H332" s="61"/>
      <c r="I332" s="63"/>
      <c r="J332" s="63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spans="1:26" ht="15.75" customHeight="1" x14ac:dyDescent="0.3">
      <c r="A333" s="61"/>
      <c r="B333" s="61"/>
      <c r="C333" s="61"/>
      <c r="D333" s="61"/>
      <c r="E333" s="61"/>
      <c r="F333" s="62"/>
      <c r="G333" s="61"/>
      <c r="H333" s="61"/>
      <c r="I333" s="63"/>
      <c r="J333" s="63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spans="1:26" ht="15.75" customHeight="1" x14ac:dyDescent="0.3">
      <c r="A334" s="61"/>
      <c r="B334" s="61"/>
      <c r="C334" s="61"/>
      <c r="D334" s="61"/>
      <c r="E334" s="61"/>
      <c r="F334" s="62"/>
      <c r="G334" s="61"/>
      <c r="H334" s="61"/>
      <c r="I334" s="63"/>
      <c r="J334" s="63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spans="1:26" ht="15.75" customHeight="1" x14ac:dyDescent="0.3">
      <c r="A335" s="61"/>
      <c r="B335" s="61"/>
      <c r="C335" s="61"/>
      <c r="D335" s="61"/>
      <c r="E335" s="61"/>
      <c r="F335" s="62"/>
      <c r="G335" s="61"/>
      <c r="H335" s="61"/>
      <c r="I335" s="63"/>
      <c r="J335" s="63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spans="1:26" ht="15.75" customHeight="1" x14ac:dyDescent="0.3">
      <c r="A336" s="61"/>
      <c r="B336" s="61"/>
      <c r="C336" s="61"/>
      <c r="D336" s="61"/>
      <c r="E336" s="61"/>
      <c r="F336" s="62"/>
      <c r="G336" s="61"/>
      <c r="H336" s="61"/>
      <c r="I336" s="63"/>
      <c r="J336" s="63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spans="1:26" ht="15.75" customHeight="1" x14ac:dyDescent="0.3">
      <c r="A337" s="61"/>
      <c r="B337" s="61"/>
      <c r="C337" s="61"/>
      <c r="D337" s="61"/>
      <c r="E337" s="61"/>
      <c r="F337" s="62"/>
      <c r="G337" s="61"/>
      <c r="H337" s="61"/>
      <c r="I337" s="63"/>
      <c r="J337" s="63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spans="1:26" ht="15.75" customHeight="1" x14ac:dyDescent="0.3">
      <c r="A338" s="61"/>
      <c r="B338" s="61"/>
      <c r="C338" s="61"/>
      <c r="D338" s="61"/>
      <c r="E338" s="61"/>
      <c r="F338" s="62"/>
      <c r="G338" s="61"/>
      <c r="H338" s="61"/>
      <c r="I338" s="63"/>
      <c r="J338" s="63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spans="1:26" ht="15.75" customHeight="1" x14ac:dyDescent="0.3">
      <c r="A339" s="61"/>
      <c r="B339" s="61"/>
      <c r="C339" s="61"/>
      <c r="D339" s="61"/>
      <c r="E339" s="61"/>
      <c r="F339" s="62"/>
      <c r="G339" s="61"/>
      <c r="H339" s="61"/>
      <c r="I339" s="63"/>
      <c r="J339" s="63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spans="1:26" ht="15.75" customHeight="1" x14ac:dyDescent="0.3">
      <c r="A340" s="61"/>
      <c r="B340" s="61"/>
      <c r="C340" s="61"/>
      <c r="D340" s="61"/>
      <c r="E340" s="61"/>
      <c r="F340" s="62"/>
      <c r="G340" s="61"/>
      <c r="H340" s="61"/>
      <c r="I340" s="63"/>
      <c r="J340" s="63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spans="1:26" ht="15.75" customHeight="1" x14ac:dyDescent="0.3">
      <c r="A341" s="61"/>
      <c r="B341" s="61"/>
      <c r="C341" s="61"/>
      <c r="D341" s="61"/>
      <c r="E341" s="61"/>
      <c r="F341" s="62"/>
      <c r="G341" s="61"/>
      <c r="H341" s="61"/>
      <c r="I341" s="63"/>
      <c r="J341" s="63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spans="1:26" ht="15.75" customHeight="1" x14ac:dyDescent="0.3">
      <c r="A342" s="61"/>
      <c r="B342" s="61"/>
      <c r="C342" s="61"/>
      <c r="D342" s="61"/>
      <c r="E342" s="61"/>
      <c r="F342" s="62"/>
      <c r="G342" s="61"/>
      <c r="H342" s="61"/>
      <c r="I342" s="63"/>
      <c r="J342" s="63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spans="1:26" ht="15.75" customHeight="1" x14ac:dyDescent="0.3">
      <c r="A343" s="61"/>
      <c r="B343" s="61"/>
      <c r="C343" s="61"/>
      <c r="D343" s="61"/>
      <c r="E343" s="61"/>
      <c r="F343" s="62"/>
      <c r="G343" s="61"/>
      <c r="H343" s="61"/>
      <c r="I343" s="63"/>
      <c r="J343" s="63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spans="1:26" ht="15.75" customHeight="1" x14ac:dyDescent="0.3">
      <c r="A344" s="61"/>
      <c r="B344" s="61"/>
      <c r="C344" s="61"/>
      <c r="D344" s="61"/>
      <c r="E344" s="61"/>
      <c r="F344" s="62"/>
      <c r="G344" s="61"/>
      <c r="H344" s="61"/>
      <c r="I344" s="63"/>
      <c r="J344" s="63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spans="1:26" ht="15.75" customHeight="1" x14ac:dyDescent="0.3">
      <c r="A345" s="61"/>
      <c r="B345" s="61"/>
      <c r="C345" s="61"/>
      <c r="D345" s="61"/>
      <c r="E345" s="61"/>
      <c r="F345" s="62"/>
      <c r="G345" s="61"/>
      <c r="H345" s="61"/>
      <c r="I345" s="63"/>
      <c r="J345" s="63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spans="1:26" ht="15.75" customHeight="1" x14ac:dyDescent="0.3">
      <c r="A346" s="61"/>
      <c r="B346" s="61"/>
      <c r="C346" s="61"/>
      <c r="D346" s="61"/>
      <c r="E346" s="61"/>
      <c r="F346" s="62"/>
      <c r="G346" s="61"/>
      <c r="H346" s="61"/>
      <c r="I346" s="63"/>
      <c r="J346" s="63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spans="1:26" ht="15.75" customHeight="1" x14ac:dyDescent="0.3">
      <c r="A347" s="61"/>
      <c r="B347" s="61"/>
      <c r="C347" s="61"/>
      <c r="D347" s="61"/>
      <c r="E347" s="61"/>
      <c r="F347" s="62"/>
      <c r="G347" s="61"/>
      <c r="H347" s="61"/>
      <c r="I347" s="63"/>
      <c r="J347" s="63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spans="1:26" ht="15.75" customHeight="1" x14ac:dyDescent="0.3">
      <c r="A348" s="61"/>
      <c r="B348" s="61"/>
      <c r="C348" s="61"/>
      <c r="D348" s="61"/>
      <c r="E348" s="61"/>
      <c r="F348" s="62"/>
      <c r="G348" s="61"/>
      <c r="H348" s="61"/>
      <c r="I348" s="63"/>
      <c r="J348" s="63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spans="1:26" ht="15.75" customHeight="1" x14ac:dyDescent="0.3">
      <c r="A349" s="61"/>
      <c r="B349" s="61"/>
      <c r="C349" s="61"/>
      <c r="D349" s="61"/>
      <c r="E349" s="61"/>
      <c r="F349" s="62"/>
      <c r="G349" s="61"/>
      <c r="H349" s="61"/>
      <c r="I349" s="63"/>
      <c r="J349" s="63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spans="1:26" ht="15.75" customHeight="1" x14ac:dyDescent="0.3">
      <c r="A350" s="61"/>
      <c r="B350" s="61"/>
      <c r="C350" s="61"/>
      <c r="D350" s="61"/>
      <c r="E350" s="61"/>
      <c r="F350" s="62"/>
      <c r="G350" s="61"/>
      <c r="H350" s="61"/>
      <c r="I350" s="63"/>
      <c r="J350" s="63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spans="1:26" ht="15.75" customHeight="1" x14ac:dyDescent="0.3">
      <c r="A351" s="61"/>
      <c r="B351" s="61"/>
      <c r="C351" s="61"/>
      <c r="D351" s="61"/>
      <c r="E351" s="61"/>
      <c r="F351" s="62"/>
      <c r="G351" s="61"/>
      <c r="H351" s="61"/>
      <c r="I351" s="63"/>
      <c r="J351" s="63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spans="1:26" ht="15.75" customHeight="1" x14ac:dyDescent="0.3">
      <c r="A352" s="61"/>
      <c r="B352" s="61"/>
      <c r="C352" s="61"/>
      <c r="D352" s="61"/>
      <c r="E352" s="61"/>
      <c r="F352" s="62"/>
      <c r="G352" s="61"/>
      <c r="H352" s="61"/>
      <c r="I352" s="63"/>
      <c r="J352" s="63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spans="1:26" ht="15.75" customHeight="1" x14ac:dyDescent="0.3">
      <c r="A353" s="61"/>
      <c r="B353" s="61"/>
      <c r="C353" s="61"/>
      <c r="D353" s="61"/>
      <c r="E353" s="61"/>
      <c r="F353" s="62"/>
      <c r="G353" s="61"/>
      <c r="H353" s="61"/>
      <c r="I353" s="63"/>
      <c r="J353" s="63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spans="1:26" ht="15.75" customHeight="1" x14ac:dyDescent="0.3">
      <c r="A354" s="61"/>
      <c r="B354" s="61"/>
      <c r="C354" s="61"/>
      <c r="D354" s="61"/>
      <c r="E354" s="61"/>
      <c r="F354" s="62"/>
      <c r="G354" s="61"/>
      <c r="H354" s="61"/>
      <c r="I354" s="63"/>
      <c r="J354" s="63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spans="1:26" ht="15.75" customHeight="1" x14ac:dyDescent="0.3">
      <c r="A355" s="61"/>
      <c r="B355" s="61"/>
      <c r="C355" s="61"/>
      <c r="D355" s="61"/>
      <c r="E355" s="61"/>
      <c r="F355" s="62"/>
      <c r="G355" s="61"/>
      <c r="H355" s="61"/>
      <c r="I355" s="63"/>
      <c r="J355" s="63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spans="1:26" ht="15.75" customHeight="1" x14ac:dyDescent="0.3">
      <c r="A356" s="61"/>
      <c r="B356" s="61"/>
      <c r="C356" s="61"/>
      <c r="D356" s="61"/>
      <c r="E356" s="61"/>
      <c r="F356" s="62"/>
      <c r="G356" s="61"/>
      <c r="H356" s="61"/>
      <c r="I356" s="63"/>
      <c r="J356" s="63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spans="1:26" ht="15.75" customHeight="1" x14ac:dyDescent="0.3">
      <c r="A357" s="61"/>
      <c r="B357" s="61"/>
      <c r="C357" s="61"/>
      <c r="D357" s="61"/>
      <c r="E357" s="61"/>
      <c r="F357" s="62"/>
      <c r="G357" s="61"/>
      <c r="H357" s="61"/>
      <c r="I357" s="63"/>
      <c r="J357" s="63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spans="1:26" ht="15.75" customHeight="1" x14ac:dyDescent="0.3">
      <c r="A358" s="61"/>
      <c r="B358" s="61"/>
      <c r="C358" s="61"/>
      <c r="D358" s="61"/>
      <c r="E358" s="61"/>
      <c r="F358" s="62"/>
      <c r="G358" s="61"/>
      <c r="H358" s="61"/>
      <c r="I358" s="63"/>
      <c r="J358" s="63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spans="1:26" ht="15.75" customHeight="1" x14ac:dyDescent="0.3">
      <c r="A359" s="61"/>
      <c r="B359" s="61"/>
      <c r="C359" s="61"/>
      <c r="D359" s="61"/>
      <c r="E359" s="61"/>
      <c r="F359" s="62"/>
      <c r="G359" s="61"/>
      <c r="H359" s="61"/>
      <c r="I359" s="63"/>
      <c r="J359" s="63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spans="1:26" ht="15.75" customHeight="1" x14ac:dyDescent="0.3">
      <c r="A360" s="61"/>
      <c r="B360" s="61"/>
      <c r="C360" s="61"/>
      <c r="D360" s="61"/>
      <c r="E360" s="61"/>
      <c r="F360" s="62"/>
      <c r="G360" s="61"/>
      <c r="H360" s="61"/>
      <c r="I360" s="63"/>
      <c r="J360" s="63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spans="1:26" ht="15.75" customHeight="1" x14ac:dyDescent="0.3">
      <c r="A361" s="61"/>
      <c r="B361" s="61"/>
      <c r="C361" s="61"/>
      <c r="D361" s="61"/>
      <c r="E361" s="61"/>
      <c r="F361" s="62"/>
      <c r="G361" s="61"/>
      <c r="H361" s="61"/>
      <c r="I361" s="63"/>
      <c r="J361" s="63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spans="1:26" ht="15.75" customHeight="1" x14ac:dyDescent="0.3">
      <c r="A362" s="61"/>
      <c r="B362" s="61"/>
      <c r="C362" s="61"/>
      <c r="D362" s="61"/>
      <c r="E362" s="61"/>
      <c r="F362" s="62"/>
      <c r="G362" s="61"/>
      <c r="H362" s="61"/>
      <c r="I362" s="63"/>
      <c r="J362" s="63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spans="1:26" ht="15.75" customHeight="1" x14ac:dyDescent="0.3">
      <c r="A363" s="61"/>
      <c r="B363" s="61"/>
      <c r="C363" s="61"/>
      <c r="D363" s="61"/>
      <c r="E363" s="61"/>
      <c r="F363" s="62"/>
      <c r="G363" s="61"/>
      <c r="H363" s="61"/>
      <c r="I363" s="63"/>
      <c r="J363" s="63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spans="1:26" ht="15.75" customHeight="1" x14ac:dyDescent="0.3">
      <c r="A364" s="61"/>
      <c r="B364" s="61"/>
      <c r="C364" s="61"/>
      <c r="D364" s="61"/>
      <c r="E364" s="61"/>
      <c r="F364" s="62"/>
      <c r="G364" s="61"/>
      <c r="H364" s="61"/>
      <c r="I364" s="63"/>
      <c r="J364" s="63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spans="1:26" ht="15.75" customHeight="1" x14ac:dyDescent="0.3">
      <c r="A365" s="61"/>
      <c r="B365" s="61"/>
      <c r="C365" s="61"/>
      <c r="D365" s="61"/>
      <c r="E365" s="61"/>
      <c r="F365" s="62"/>
      <c r="G365" s="61"/>
      <c r="H365" s="61"/>
      <c r="I365" s="63"/>
      <c r="J365" s="63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spans="1:26" ht="15.75" customHeight="1" x14ac:dyDescent="0.3">
      <c r="A366" s="61"/>
      <c r="B366" s="61"/>
      <c r="C366" s="61"/>
      <c r="D366" s="61"/>
      <c r="E366" s="61"/>
      <c r="F366" s="62"/>
      <c r="G366" s="61"/>
      <c r="H366" s="61"/>
      <c r="I366" s="63"/>
      <c r="J366" s="63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spans="1:26" ht="15.75" customHeight="1" x14ac:dyDescent="0.3">
      <c r="A367" s="61"/>
      <c r="B367" s="61"/>
      <c r="C367" s="61"/>
      <c r="D367" s="61"/>
      <c r="E367" s="61"/>
      <c r="F367" s="62"/>
      <c r="G367" s="61"/>
      <c r="H367" s="61"/>
      <c r="I367" s="63"/>
      <c r="J367" s="63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spans="1:26" ht="15.75" customHeight="1" x14ac:dyDescent="0.3">
      <c r="A368" s="61"/>
      <c r="B368" s="61"/>
      <c r="C368" s="61"/>
      <c r="D368" s="61"/>
      <c r="E368" s="61"/>
      <c r="F368" s="62"/>
      <c r="G368" s="61"/>
      <c r="H368" s="61"/>
      <c r="I368" s="63"/>
      <c r="J368" s="63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spans="1:26" ht="15.75" customHeight="1" x14ac:dyDescent="0.3">
      <c r="A369" s="61"/>
      <c r="B369" s="61"/>
      <c r="C369" s="61"/>
      <c r="D369" s="61"/>
      <c r="E369" s="61"/>
      <c r="F369" s="62"/>
      <c r="G369" s="61"/>
      <c r="H369" s="61"/>
      <c r="I369" s="63"/>
      <c r="J369" s="63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spans="1:26" ht="15.75" customHeight="1" x14ac:dyDescent="0.3">
      <c r="A370" s="61"/>
      <c r="B370" s="61"/>
      <c r="C370" s="61"/>
      <c r="D370" s="61"/>
      <c r="E370" s="61"/>
      <c r="F370" s="62"/>
      <c r="G370" s="61"/>
      <c r="H370" s="61"/>
      <c r="I370" s="63"/>
      <c r="J370" s="63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spans="1:26" ht="15.75" customHeight="1" x14ac:dyDescent="0.3">
      <c r="A371" s="61"/>
      <c r="B371" s="61"/>
      <c r="C371" s="61"/>
      <c r="D371" s="61"/>
      <c r="E371" s="61"/>
      <c r="F371" s="62"/>
      <c r="G371" s="61"/>
      <c r="H371" s="61"/>
      <c r="I371" s="63"/>
      <c r="J371" s="63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spans="1:26" ht="15.75" customHeight="1" x14ac:dyDescent="0.3">
      <c r="A372" s="61"/>
      <c r="B372" s="61"/>
      <c r="C372" s="61"/>
      <c r="D372" s="61"/>
      <c r="E372" s="61"/>
      <c r="F372" s="62"/>
      <c r="G372" s="61"/>
      <c r="H372" s="61"/>
      <c r="I372" s="63"/>
      <c r="J372" s="63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spans="1:26" ht="15.75" customHeight="1" x14ac:dyDescent="0.3">
      <c r="A373" s="61"/>
      <c r="B373" s="61"/>
      <c r="C373" s="61"/>
      <c r="D373" s="61"/>
      <c r="E373" s="61"/>
      <c r="F373" s="62"/>
      <c r="G373" s="61"/>
      <c r="H373" s="61"/>
      <c r="I373" s="63"/>
      <c r="J373" s="63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spans="1:26" ht="15.75" customHeight="1" x14ac:dyDescent="0.3">
      <c r="A374" s="61"/>
      <c r="B374" s="61"/>
      <c r="C374" s="61"/>
      <c r="D374" s="61"/>
      <c r="E374" s="61"/>
      <c r="F374" s="62"/>
      <c r="G374" s="61"/>
      <c r="H374" s="61"/>
      <c r="I374" s="63"/>
      <c r="J374" s="63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spans="1:26" ht="15.75" customHeight="1" x14ac:dyDescent="0.3">
      <c r="A375" s="61"/>
      <c r="B375" s="61"/>
      <c r="C375" s="61"/>
      <c r="D375" s="61"/>
      <c r="E375" s="61"/>
      <c r="F375" s="62"/>
      <c r="G375" s="61"/>
      <c r="H375" s="61"/>
      <c r="I375" s="63"/>
      <c r="J375" s="63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spans="1:26" ht="15.75" customHeight="1" x14ac:dyDescent="0.3">
      <c r="A376" s="61"/>
      <c r="B376" s="61"/>
      <c r="C376" s="61"/>
      <c r="D376" s="61"/>
      <c r="E376" s="61"/>
      <c r="F376" s="62"/>
      <c r="G376" s="61"/>
      <c r="H376" s="61"/>
      <c r="I376" s="63"/>
      <c r="J376" s="63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spans="1:26" ht="15.75" customHeight="1" x14ac:dyDescent="0.3">
      <c r="A377" s="61"/>
      <c r="B377" s="61"/>
      <c r="C377" s="61"/>
      <c r="D377" s="61"/>
      <c r="E377" s="61"/>
      <c r="F377" s="62"/>
      <c r="G377" s="61"/>
      <c r="H377" s="61"/>
      <c r="I377" s="63"/>
      <c r="J377" s="63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spans="1:26" ht="15.75" customHeight="1" x14ac:dyDescent="0.3">
      <c r="A378" s="61"/>
      <c r="B378" s="61"/>
      <c r="C378" s="61"/>
      <c r="D378" s="61"/>
      <c r="E378" s="61"/>
      <c r="F378" s="62"/>
      <c r="G378" s="61"/>
      <c r="H378" s="61"/>
      <c r="I378" s="63"/>
      <c r="J378" s="63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spans="1:26" ht="15.75" customHeight="1" x14ac:dyDescent="0.3">
      <c r="A379" s="61"/>
      <c r="B379" s="61"/>
      <c r="C379" s="61"/>
      <c r="D379" s="61"/>
      <c r="E379" s="61"/>
      <c r="F379" s="62"/>
      <c r="G379" s="61"/>
      <c r="H379" s="61"/>
      <c r="I379" s="63"/>
      <c r="J379" s="63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spans="1:26" ht="15.75" customHeight="1" x14ac:dyDescent="0.3">
      <c r="A380" s="61"/>
      <c r="B380" s="61"/>
      <c r="C380" s="61"/>
      <c r="D380" s="61"/>
      <c r="E380" s="61"/>
      <c r="F380" s="62"/>
      <c r="G380" s="61"/>
      <c r="H380" s="61"/>
      <c r="I380" s="63"/>
      <c r="J380" s="63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spans="1:26" ht="15.75" customHeight="1" x14ac:dyDescent="0.3">
      <c r="A381" s="61"/>
      <c r="B381" s="61"/>
      <c r="C381" s="61"/>
      <c r="D381" s="61"/>
      <c r="E381" s="61"/>
      <c r="F381" s="62"/>
      <c r="G381" s="61"/>
      <c r="H381" s="61"/>
      <c r="I381" s="63"/>
      <c r="J381" s="63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spans="1:26" ht="15.75" customHeight="1" x14ac:dyDescent="0.3">
      <c r="A382" s="61"/>
      <c r="B382" s="61"/>
      <c r="C382" s="61"/>
      <c r="D382" s="61"/>
      <c r="E382" s="61"/>
      <c r="F382" s="62"/>
      <c r="G382" s="61"/>
      <c r="H382" s="61"/>
      <c r="I382" s="63"/>
      <c r="J382" s="63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spans="1:26" ht="15.75" customHeight="1" x14ac:dyDescent="0.3">
      <c r="A383" s="61"/>
      <c r="B383" s="61"/>
      <c r="C383" s="61"/>
      <c r="D383" s="61"/>
      <c r="E383" s="61"/>
      <c r="F383" s="62"/>
      <c r="G383" s="61"/>
      <c r="H383" s="61"/>
      <c r="I383" s="63"/>
      <c r="J383" s="63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spans="1:26" ht="15.75" customHeight="1" x14ac:dyDescent="0.3">
      <c r="A384" s="61"/>
      <c r="B384" s="61"/>
      <c r="C384" s="61"/>
      <c r="D384" s="61"/>
      <c r="E384" s="61"/>
      <c r="F384" s="62"/>
      <c r="G384" s="61"/>
      <c r="H384" s="61"/>
      <c r="I384" s="63"/>
      <c r="J384" s="63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spans="1:26" ht="15.75" customHeight="1" x14ac:dyDescent="0.3">
      <c r="A385" s="61"/>
      <c r="B385" s="61"/>
      <c r="C385" s="61"/>
      <c r="D385" s="61"/>
      <c r="E385" s="61"/>
      <c r="F385" s="62"/>
      <c r="G385" s="61"/>
      <c r="H385" s="61"/>
      <c r="I385" s="63"/>
      <c r="J385" s="63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spans="1:26" ht="15.75" customHeight="1" x14ac:dyDescent="0.3">
      <c r="A386" s="61"/>
      <c r="B386" s="61"/>
      <c r="C386" s="61"/>
      <c r="D386" s="61"/>
      <c r="E386" s="61"/>
      <c r="F386" s="62"/>
      <c r="G386" s="61"/>
      <c r="H386" s="61"/>
      <c r="I386" s="63"/>
      <c r="J386" s="63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spans="1:26" ht="15.75" customHeight="1" x14ac:dyDescent="0.3">
      <c r="A387" s="61"/>
      <c r="B387" s="61"/>
      <c r="C387" s="61"/>
      <c r="D387" s="61"/>
      <c r="E387" s="61"/>
      <c r="F387" s="62"/>
      <c r="G387" s="61"/>
      <c r="H387" s="61"/>
      <c r="I387" s="63"/>
      <c r="J387" s="63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spans="1:26" ht="15.75" customHeight="1" x14ac:dyDescent="0.3">
      <c r="A388" s="61"/>
      <c r="B388" s="61"/>
      <c r="C388" s="61"/>
      <c r="D388" s="61"/>
      <c r="E388" s="61"/>
      <c r="F388" s="62"/>
      <c r="G388" s="61"/>
      <c r="H388" s="61"/>
      <c r="I388" s="63"/>
      <c r="J388" s="63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spans="1:26" ht="15.75" customHeight="1" x14ac:dyDescent="0.3">
      <c r="A389" s="61"/>
      <c r="B389" s="61"/>
      <c r="C389" s="61"/>
      <c r="D389" s="61"/>
      <c r="E389" s="61"/>
      <c r="F389" s="62"/>
      <c r="G389" s="61"/>
      <c r="H389" s="61"/>
      <c r="I389" s="63"/>
      <c r="J389" s="63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spans="1:26" ht="15.75" customHeight="1" x14ac:dyDescent="0.3">
      <c r="A390" s="61"/>
      <c r="B390" s="61"/>
      <c r="C390" s="61"/>
      <c r="D390" s="61"/>
      <c r="E390" s="61"/>
      <c r="F390" s="62"/>
      <c r="G390" s="61"/>
      <c r="H390" s="61"/>
      <c r="I390" s="63"/>
      <c r="J390" s="63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spans="1:26" ht="15.75" customHeight="1" x14ac:dyDescent="0.3">
      <c r="A391" s="61"/>
      <c r="B391" s="61"/>
      <c r="C391" s="61"/>
      <c r="D391" s="61"/>
      <c r="E391" s="61"/>
      <c r="F391" s="62"/>
      <c r="G391" s="61"/>
      <c r="H391" s="61"/>
      <c r="I391" s="63"/>
      <c r="J391" s="63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spans="1:26" ht="15.75" customHeight="1" x14ac:dyDescent="0.3">
      <c r="A392" s="61"/>
      <c r="B392" s="61"/>
      <c r="C392" s="61"/>
      <c r="D392" s="61"/>
      <c r="E392" s="61"/>
      <c r="F392" s="62"/>
      <c r="G392" s="61"/>
      <c r="H392" s="61"/>
      <c r="I392" s="63"/>
      <c r="J392" s="63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spans="1:26" ht="15.75" customHeight="1" x14ac:dyDescent="0.3">
      <c r="A393" s="61"/>
      <c r="B393" s="61"/>
      <c r="C393" s="61"/>
      <c r="D393" s="61"/>
      <c r="E393" s="61"/>
      <c r="F393" s="62"/>
      <c r="G393" s="61"/>
      <c r="H393" s="61"/>
      <c r="I393" s="63"/>
      <c r="J393" s="63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spans="1:26" ht="15.75" customHeight="1" x14ac:dyDescent="0.3">
      <c r="A394" s="61"/>
      <c r="B394" s="61"/>
      <c r="C394" s="61"/>
      <c r="D394" s="61"/>
      <c r="E394" s="61"/>
      <c r="F394" s="62"/>
      <c r="G394" s="61"/>
      <c r="H394" s="61"/>
      <c r="I394" s="63"/>
      <c r="J394" s="63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spans="1:26" ht="15.75" customHeight="1" x14ac:dyDescent="0.3">
      <c r="A395" s="61"/>
      <c r="B395" s="61"/>
      <c r="C395" s="61"/>
      <c r="D395" s="61"/>
      <c r="E395" s="61"/>
      <c r="F395" s="62"/>
      <c r="G395" s="61"/>
      <c r="H395" s="61"/>
      <c r="I395" s="63"/>
      <c r="J395" s="63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spans="1:26" ht="15.75" customHeight="1" x14ac:dyDescent="0.3">
      <c r="A396" s="61"/>
      <c r="B396" s="61"/>
      <c r="C396" s="61"/>
      <c r="D396" s="61"/>
      <c r="E396" s="61"/>
      <c r="F396" s="62"/>
      <c r="G396" s="61"/>
      <c r="H396" s="61"/>
      <c r="I396" s="63"/>
      <c r="J396" s="63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spans="1:26" ht="15.75" customHeight="1" x14ac:dyDescent="0.3">
      <c r="A397" s="61"/>
      <c r="B397" s="61"/>
      <c r="C397" s="61"/>
      <c r="D397" s="61"/>
      <c r="E397" s="61"/>
      <c r="F397" s="62"/>
      <c r="G397" s="61"/>
      <c r="H397" s="61"/>
      <c r="I397" s="63"/>
      <c r="J397" s="63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spans="1:26" ht="15.75" customHeight="1" x14ac:dyDescent="0.3">
      <c r="A398" s="61"/>
      <c r="B398" s="61"/>
      <c r="C398" s="61"/>
      <c r="D398" s="61"/>
      <c r="E398" s="61"/>
      <c r="F398" s="62"/>
      <c r="G398" s="61"/>
      <c r="H398" s="61"/>
      <c r="I398" s="63"/>
      <c r="J398" s="63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spans="1:26" ht="15.75" customHeight="1" x14ac:dyDescent="0.3">
      <c r="A399" s="61"/>
      <c r="B399" s="61"/>
      <c r="C399" s="61"/>
      <c r="D399" s="61"/>
      <c r="E399" s="61"/>
      <c r="F399" s="62"/>
      <c r="G399" s="61"/>
      <c r="H399" s="61"/>
      <c r="I399" s="63"/>
      <c r="J399" s="63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spans="1:26" ht="15.75" customHeight="1" x14ac:dyDescent="0.3">
      <c r="A400" s="61"/>
      <c r="B400" s="61"/>
      <c r="C400" s="61"/>
      <c r="D400" s="61"/>
      <c r="E400" s="61"/>
      <c r="F400" s="62"/>
      <c r="G400" s="61"/>
      <c r="H400" s="61"/>
      <c r="I400" s="63"/>
      <c r="J400" s="63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spans="1:26" ht="15.75" customHeight="1" x14ac:dyDescent="0.3">
      <c r="A401" s="61"/>
      <c r="B401" s="61"/>
      <c r="C401" s="61"/>
      <c r="D401" s="61"/>
      <c r="E401" s="61"/>
      <c r="F401" s="62"/>
      <c r="G401" s="61"/>
      <c r="H401" s="61"/>
      <c r="I401" s="63"/>
      <c r="J401" s="63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spans="1:26" ht="15.75" customHeight="1" x14ac:dyDescent="0.3">
      <c r="A402" s="61"/>
      <c r="B402" s="61"/>
      <c r="C402" s="61"/>
      <c r="D402" s="61"/>
      <c r="E402" s="61"/>
      <c r="F402" s="62"/>
      <c r="G402" s="61"/>
      <c r="H402" s="61"/>
      <c r="I402" s="63"/>
      <c r="J402" s="63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spans="1:26" ht="15.75" customHeight="1" x14ac:dyDescent="0.3">
      <c r="A403" s="61"/>
      <c r="B403" s="61"/>
      <c r="C403" s="61"/>
      <c r="D403" s="61"/>
      <c r="E403" s="61"/>
      <c r="F403" s="62"/>
      <c r="G403" s="61"/>
      <c r="H403" s="61"/>
      <c r="I403" s="63"/>
      <c r="J403" s="63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spans="1:26" ht="15.75" customHeight="1" x14ac:dyDescent="0.3">
      <c r="A404" s="61"/>
      <c r="B404" s="61"/>
      <c r="C404" s="61"/>
      <c r="D404" s="61"/>
      <c r="E404" s="61"/>
      <c r="F404" s="62"/>
      <c r="G404" s="61"/>
      <c r="H404" s="61"/>
      <c r="I404" s="63"/>
      <c r="J404" s="63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spans="1:26" ht="15.75" customHeight="1" x14ac:dyDescent="0.3">
      <c r="A405" s="61"/>
      <c r="B405" s="61"/>
      <c r="C405" s="61"/>
      <c r="D405" s="61"/>
      <c r="E405" s="61"/>
      <c r="F405" s="62"/>
      <c r="G405" s="61"/>
      <c r="H405" s="61"/>
      <c r="I405" s="63"/>
      <c r="J405" s="63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spans="1:26" ht="15.75" customHeight="1" x14ac:dyDescent="0.3">
      <c r="A406" s="61"/>
      <c r="B406" s="61"/>
      <c r="C406" s="61"/>
      <c r="D406" s="61"/>
      <c r="E406" s="61"/>
      <c r="F406" s="62"/>
      <c r="G406" s="61"/>
      <c r="H406" s="61"/>
      <c r="I406" s="63"/>
      <c r="J406" s="63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spans="1:26" ht="15.75" customHeight="1" x14ac:dyDescent="0.3">
      <c r="A407" s="61"/>
      <c r="B407" s="61"/>
      <c r="C407" s="61"/>
      <c r="D407" s="61"/>
      <c r="E407" s="61"/>
      <c r="F407" s="62"/>
      <c r="G407" s="61"/>
      <c r="H407" s="61"/>
      <c r="I407" s="63"/>
      <c r="J407" s="63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spans="1:26" ht="15.75" customHeight="1" x14ac:dyDescent="0.3">
      <c r="A408" s="61"/>
      <c r="B408" s="61"/>
      <c r="C408" s="61"/>
      <c r="D408" s="61"/>
      <c r="E408" s="61"/>
      <c r="F408" s="62"/>
      <c r="G408" s="61"/>
      <c r="H408" s="61"/>
      <c r="I408" s="63"/>
      <c r="J408" s="63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spans="1:26" ht="15.75" customHeight="1" x14ac:dyDescent="0.3">
      <c r="A409" s="61"/>
      <c r="B409" s="61"/>
      <c r="C409" s="61"/>
      <c r="D409" s="61"/>
      <c r="E409" s="61"/>
      <c r="F409" s="62"/>
      <c r="G409" s="61"/>
      <c r="H409" s="61"/>
      <c r="I409" s="63"/>
      <c r="J409" s="63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spans="1:26" ht="15.75" customHeight="1" x14ac:dyDescent="0.3">
      <c r="A410" s="61"/>
      <c r="B410" s="61"/>
      <c r="C410" s="61"/>
      <c r="D410" s="61"/>
      <c r="E410" s="61"/>
      <c r="F410" s="62"/>
      <c r="G410" s="61"/>
      <c r="H410" s="61"/>
      <c r="I410" s="63"/>
      <c r="J410" s="63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spans="1:26" ht="15.75" customHeight="1" x14ac:dyDescent="0.3">
      <c r="A411" s="61"/>
      <c r="B411" s="61"/>
      <c r="C411" s="61"/>
      <c r="D411" s="61"/>
      <c r="E411" s="61"/>
      <c r="F411" s="62"/>
      <c r="G411" s="61"/>
      <c r="H411" s="61"/>
      <c r="I411" s="63"/>
      <c r="J411" s="63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spans="1:26" ht="15.75" customHeight="1" x14ac:dyDescent="0.3">
      <c r="A412" s="61"/>
      <c r="B412" s="61"/>
      <c r="C412" s="61"/>
      <c r="D412" s="61"/>
      <c r="E412" s="61"/>
      <c r="F412" s="62"/>
      <c r="G412" s="61"/>
      <c r="H412" s="61"/>
      <c r="I412" s="63"/>
      <c r="J412" s="63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spans="1:26" ht="15.75" customHeight="1" x14ac:dyDescent="0.3">
      <c r="A413" s="61"/>
      <c r="B413" s="61"/>
      <c r="C413" s="61"/>
      <c r="D413" s="61"/>
      <c r="E413" s="61"/>
      <c r="F413" s="62"/>
      <c r="G413" s="61"/>
      <c r="H413" s="61"/>
      <c r="I413" s="63"/>
      <c r="J413" s="63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spans="1:26" ht="15.75" customHeight="1" x14ac:dyDescent="0.3">
      <c r="A414" s="61"/>
      <c r="B414" s="61"/>
      <c r="C414" s="61"/>
      <c r="D414" s="61"/>
      <c r="E414" s="61"/>
      <c r="F414" s="62"/>
      <c r="G414" s="61"/>
      <c r="H414" s="61"/>
      <c r="I414" s="63"/>
      <c r="J414" s="63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spans="1:26" ht="15.75" customHeight="1" x14ac:dyDescent="0.3">
      <c r="A415" s="61"/>
      <c r="B415" s="61"/>
      <c r="C415" s="61"/>
      <c r="D415" s="61"/>
      <c r="E415" s="61"/>
      <c r="F415" s="62"/>
      <c r="G415" s="61"/>
      <c r="H415" s="61"/>
      <c r="I415" s="63"/>
      <c r="J415" s="63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spans="1:26" ht="15.75" customHeight="1" x14ac:dyDescent="0.3">
      <c r="A416" s="61"/>
      <c r="B416" s="61"/>
      <c r="C416" s="61"/>
      <c r="D416" s="61"/>
      <c r="E416" s="61"/>
      <c r="F416" s="62"/>
      <c r="G416" s="61"/>
      <c r="H416" s="61"/>
      <c r="I416" s="63"/>
      <c r="J416" s="63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spans="1:26" ht="15.75" customHeight="1" x14ac:dyDescent="0.3">
      <c r="A417" s="61"/>
      <c r="B417" s="61"/>
      <c r="C417" s="61"/>
      <c r="D417" s="61"/>
      <c r="E417" s="61"/>
      <c r="F417" s="62"/>
      <c r="G417" s="61"/>
      <c r="H417" s="61"/>
      <c r="I417" s="63"/>
      <c r="J417" s="63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spans="1:26" ht="15.75" customHeight="1" x14ac:dyDescent="0.3">
      <c r="A418" s="61"/>
      <c r="B418" s="61"/>
      <c r="C418" s="61"/>
      <c r="D418" s="61"/>
      <c r="E418" s="61"/>
      <c r="F418" s="62"/>
      <c r="G418" s="61"/>
      <c r="H418" s="61"/>
      <c r="I418" s="63"/>
      <c r="J418" s="63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spans="1:26" ht="15.75" customHeight="1" x14ac:dyDescent="0.3">
      <c r="A419" s="61"/>
      <c r="B419" s="61"/>
      <c r="C419" s="61"/>
      <c r="D419" s="61"/>
      <c r="E419" s="61"/>
      <c r="F419" s="62"/>
      <c r="G419" s="61"/>
      <c r="H419" s="61"/>
      <c r="I419" s="63"/>
      <c r="J419" s="63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spans="1:26" ht="15.75" customHeight="1" x14ac:dyDescent="0.3">
      <c r="A420" s="61"/>
      <c r="B420" s="61"/>
      <c r="C420" s="61"/>
      <c r="D420" s="61"/>
      <c r="E420" s="61"/>
      <c r="F420" s="62"/>
      <c r="G420" s="61"/>
      <c r="H420" s="61"/>
      <c r="I420" s="63"/>
      <c r="J420" s="63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spans="1:26" ht="15.75" customHeight="1" x14ac:dyDescent="0.3">
      <c r="A421" s="61"/>
      <c r="B421" s="61"/>
      <c r="C421" s="61"/>
      <c r="D421" s="61"/>
      <c r="E421" s="61"/>
      <c r="F421" s="62"/>
      <c r="G421" s="61"/>
      <c r="H421" s="61"/>
      <c r="I421" s="63"/>
      <c r="J421" s="63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spans="1:26" ht="15.75" customHeight="1" x14ac:dyDescent="0.3">
      <c r="A422" s="61"/>
      <c r="B422" s="61"/>
      <c r="C422" s="61"/>
      <c r="D422" s="61"/>
      <c r="E422" s="61"/>
      <c r="F422" s="62"/>
      <c r="G422" s="61"/>
      <c r="H422" s="61"/>
      <c r="I422" s="63"/>
      <c r="J422" s="63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spans="1:26" ht="15.75" customHeight="1" x14ac:dyDescent="0.3">
      <c r="A423" s="61"/>
      <c r="B423" s="61"/>
      <c r="C423" s="61"/>
      <c r="D423" s="61"/>
      <c r="E423" s="61"/>
      <c r="F423" s="62"/>
      <c r="G423" s="61"/>
      <c r="H423" s="61"/>
      <c r="I423" s="63"/>
      <c r="J423" s="63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spans="1:26" ht="15.75" customHeight="1" x14ac:dyDescent="0.3">
      <c r="A424" s="61"/>
      <c r="B424" s="61"/>
      <c r="C424" s="61"/>
      <c r="D424" s="61"/>
      <c r="E424" s="61"/>
      <c r="F424" s="62"/>
      <c r="G424" s="61"/>
      <c r="H424" s="61"/>
      <c r="I424" s="63"/>
      <c r="J424" s="63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spans="1:26" ht="15.75" customHeight="1" x14ac:dyDescent="0.3">
      <c r="A425" s="61"/>
      <c r="B425" s="61"/>
      <c r="C425" s="61"/>
      <c r="D425" s="61"/>
      <c r="E425" s="61"/>
      <c r="F425" s="62"/>
      <c r="G425" s="61"/>
      <c r="H425" s="61"/>
      <c r="I425" s="63"/>
      <c r="J425" s="63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spans="1:26" ht="15.75" customHeight="1" x14ac:dyDescent="0.3">
      <c r="A426" s="61"/>
      <c r="B426" s="61"/>
      <c r="C426" s="61"/>
      <c r="D426" s="61"/>
      <c r="E426" s="61"/>
      <c r="F426" s="62"/>
      <c r="G426" s="61"/>
      <c r="H426" s="61"/>
      <c r="I426" s="63"/>
      <c r="J426" s="63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spans="1:26" ht="15.75" customHeight="1" x14ac:dyDescent="0.3">
      <c r="A427" s="61"/>
      <c r="B427" s="61"/>
      <c r="C427" s="61"/>
      <c r="D427" s="61"/>
      <c r="E427" s="61"/>
      <c r="F427" s="62"/>
      <c r="G427" s="61"/>
      <c r="H427" s="61"/>
      <c r="I427" s="63"/>
      <c r="J427" s="63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spans="1:26" ht="15.75" customHeight="1" x14ac:dyDescent="0.3">
      <c r="A428" s="61"/>
      <c r="B428" s="61"/>
      <c r="C428" s="61"/>
      <c r="D428" s="61"/>
      <c r="E428" s="61"/>
      <c r="F428" s="62"/>
      <c r="G428" s="61"/>
      <c r="H428" s="61"/>
      <c r="I428" s="63"/>
      <c r="J428" s="63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spans="1:26" ht="15.75" customHeight="1" x14ac:dyDescent="0.3">
      <c r="A429" s="61"/>
      <c r="B429" s="61"/>
      <c r="C429" s="61"/>
      <c r="D429" s="61"/>
      <c r="E429" s="61"/>
      <c r="F429" s="62"/>
      <c r="G429" s="61"/>
      <c r="H429" s="61"/>
      <c r="I429" s="63"/>
      <c r="J429" s="63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spans="1:26" ht="15.75" customHeight="1" x14ac:dyDescent="0.3">
      <c r="A430" s="61"/>
      <c r="B430" s="61"/>
      <c r="C430" s="61"/>
      <c r="D430" s="61"/>
      <c r="E430" s="61"/>
      <c r="F430" s="62"/>
      <c r="G430" s="61"/>
      <c r="H430" s="61"/>
      <c r="I430" s="63"/>
      <c r="J430" s="63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spans="1:26" ht="15.75" customHeight="1" x14ac:dyDescent="0.3">
      <c r="A431" s="61"/>
      <c r="B431" s="61"/>
      <c r="C431" s="61"/>
      <c r="D431" s="61"/>
      <c r="E431" s="61"/>
      <c r="F431" s="62"/>
      <c r="G431" s="61"/>
      <c r="H431" s="61"/>
      <c r="I431" s="63"/>
      <c r="J431" s="63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spans="1:26" ht="15.75" customHeight="1" x14ac:dyDescent="0.3">
      <c r="A432" s="61"/>
      <c r="B432" s="61"/>
      <c r="C432" s="61"/>
      <c r="D432" s="61"/>
      <c r="E432" s="61"/>
      <c r="F432" s="62"/>
      <c r="G432" s="61"/>
      <c r="H432" s="61"/>
      <c r="I432" s="63"/>
      <c r="J432" s="63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spans="1:26" ht="15.75" customHeight="1" x14ac:dyDescent="0.3">
      <c r="A433" s="61"/>
      <c r="B433" s="61"/>
      <c r="C433" s="61"/>
      <c r="D433" s="61"/>
      <c r="E433" s="61"/>
      <c r="F433" s="62"/>
      <c r="G433" s="61"/>
      <c r="H433" s="61"/>
      <c r="I433" s="63"/>
      <c r="J433" s="63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spans="1:26" ht="15.75" customHeight="1" x14ac:dyDescent="0.3">
      <c r="A434" s="61"/>
      <c r="B434" s="61"/>
      <c r="C434" s="61"/>
      <c r="D434" s="61"/>
      <c r="E434" s="61"/>
      <c r="F434" s="62"/>
      <c r="G434" s="61"/>
      <c r="H434" s="61"/>
      <c r="I434" s="63"/>
      <c r="J434" s="63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spans="1:26" ht="15.75" customHeight="1" x14ac:dyDescent="0.3">
      <c r="A435" s="61"/>
      <c r="B435" s="61"/>
      <c r="C435" s="61"/>
      <c r="D435" s="61"/>
      <c r="E435" s="61"/>
      <c r="F435" s="62"/>
      <c r="G435" s="61"/>
      <c r="H435" s="61"/>
      <c r="I435" s="63"/>
      <c r="J435" s="63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spans="1:26" ht="15.75" customHeight="1" x14ac:dyDescent="0.3">
      <c r="A436" s="61"/>
      <c r="B436" s="61"/>
      <c r="C436" s="61"/>
      <c r="D436" s="61"/>
      <c r="E436" s="61"/>
      <c r="F436" s="62"/>
      <c r="G436" s="61"/>
      <c r="H436" s="61"/>
      <c r="I436" s="63"/>
      <c r="J436" s="63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spans="1:26" ht="15.75" customHeight="1" x14ac:dyDescent="0.3">
      <c r="A437" s="61"/>
      <c r="B437" s="61"/>
      <c r="C437" s="61"/>
      <c r="D437" s="61"/>
      <c r="E437" s="61"/>
      <c r="F437" s="62"/>
      <c r="G437" s="61"/>
      <c r="H437" s="61"/>
      <c r="I437" s="63"/>
      <c r="J437" s="63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spans="1:26" ht="15.75" customHeight="1" x14ac:dyDescent="0.3">
      <c r="A438" s="61"/>
      <c r="B438" s="61"/>
      <c r="C438" s="61"/>
      <c r="D438" s="61"/>
      <c r="E438" s="61"/>
      <c r="F438" s="62"/>
      <c r="G438" s="61"/>
      <c r="H438" s="61"/>
      <c r="I438" s="63"/>
      <c r="J438" s="63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spans="1:26" ht="15.75" customHeight="1" x14ac:dyDescent="0.3">
      <c r="A439" s="61"/>
      <c r="B439" s="61"/>
      <c r="C439" s="61"/>
      <c r="D439" s="61"/>
      <c r="E439" s="61"/>
      <c r="F439" s="62"/>
      <c r="G439" s="61"/>
      <c r="H439" s="61"/>
      <c r="I439" s="63"/>
      <c r="J439" s="63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spans="1:26" ht="15.75" customHeight="1" x14ac:dyDescent="0.3">
      <c r="A440" s="61"/>
      <c r="B440" s="61"/>
      <c r="C440" s="61"/>
      <c r="D440" s="61"/>
      <c r="E440" s="61"/>
      <c r="F440" s="62"/>
      <c r="G440" s="61"/>
      <c r="H440" s="61"/>
      <c r="I440" s="63"/>
      <c r="J440" s="63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spans="1:26" ht="15.75" customHeight="1" x14ac:dyDescent="0.3">
      <c r="A441" s="61"/>
      <c r="B441" s="61"/>
      <c r="C441" s="61"/>
      <c r="D441" s="61"/>
      <c r="E441" s="61"/>
      <c r="F441" s="62"/>
      <c r="G441" s="61"/>
      <c r="H441" s="61"/>
      <c r="I441" s="63"/>
      <c r="J441" s="63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spans="1:26" ht="15.75" customHeight="1" x14ac:dyDescent="0.3">
      <c r="A442" s="61"/>
      <c r="B442" s="61"/>
      <c r="C442" s="61"/>
      <c r="D442" s="61"/>
      <c r="E442" s="61"/>
      <c r="F442" s="62"/>
      <c r="G442" s="61"/>
      <c r="H442" s="61"/>
      <c r="I442" s="63"/>
      <c r="J442" s="63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spans="1:26" ht="15.75" customHeight="1" x14ac:dyDescent="0.3">
      <c r="A443" s="61"/>
      <c r="B443" s="61"/>
      <c r="C443" s="61"/>
      <c r="D443" s="61"/>
      <c r="E443" s="61"/>
      <c r="F443" s="62"/>
      <c r="G443" s="61"/>
      <c r="H443" s="61"/>
      <c r="I443" s="63"/>
      <c r="J443" s="63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spans="1:26" ht="15.75" customHeight="1" x14ac:dyDescent="0.3">
      <c r="A444" s="61"/>
      <c r="B444" s="61"/>
      <c r="C444" s="61"/>
      <c r="D444" s="61"/>
      <c r="E444" s="61"/>
      <c r="F444" s="62"/>
      <c r="G444" s="61"/>
      <c r="H444" s="61"/>
      <c r="I444" s="63"/>
      <c r="J444" s="63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spans="1:26" ht="15.75" customHeight="1" x14ac:dyDescent="0.3">
      <c r="A445" s="61"/>
      <c r="B445" s="61"/>
      <c r="C445" s="61"/>
      <c r="D445" s="61"/>
      <c r="E445" s="61"/>
      <c r="F445" s="62"/>
      <c r="G445" s="61"/>
      <c r="H445" s="61"/>
      <c r="I445" s="63"/>
      <c r="J445" s="63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spans="1:26" ht="15.75" customHeight="1" x14ac:dyDescent="0.3">
      <c r="A446" s="61"/>
      <c r="B446" s="61"/>
      <c r="C446" s="61"/>
      <c r="D446" s="61"/>
      <c r="E446" s="61"/>
      <c r="F446" s="62"/>
      <c r="G446" s="61"/>
      <c r="H446" s="61"/>
      <c r="I446" s="63"/>
      <c r="J446" s="63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spans="1:26" ht="15.75" customHeight="1" x14ac:dyDescent="0.3">
      <c r="A447" s="61"/>
      <c r="B447" s="61"/>
      <c r="C447" s="61"/>
      <c r="D447" s="61"/>
      <c r="E447" s="61"/>
      <c r="F447" s="62"/>
      <c r="G447" s="61"/>
      <c r="H447" s="61"/>
      <c r="I447" s="63"/>
      <c r="J447" s="63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spans="1:26" ht="15.75" customHeight="1" x14ac:dyDescent="0.3">
      <c r="A448" s="61"/>
      <c r="B448" s="61"/>
      <c r="C448" s="61"/>
      <c r="D448" s="61"/>
      <c r="E448" s="61"/>
      <c r="F448" s="62"/>
      <c r="G448" s="61"/>
      <c r="H448" s="61"/>
      <c r="I448" s="63"/>
      <c r="J448" s="63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spans="1:26" ht="15.75" customHeight="1" x14ac:dyDescent="0.3">
      <c r="A449" s="61"/>
      <c r="B449" s="61"/>
      <c r="C449" s="61"/>
      <c r="D449" s="61"/>
      <c r="E449" s="61"/>
      <c r="F449" s="62"/>
      <c r="G449" s="61"/>
      <c r="H449" s="61"/>
      <c r="I449" s="63"/>
      <c r="J449" s="63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spans="1:26" ht="15.75" customHeight="1" x14ac:dyDescent="0.3">
      <c r="A450" s="61"/>
      <c r="B450" s="61"/>
      <c r="C450" s="61"/>
      <c r="D450" s="61"/>
      <c r="E450" s="61"/>
      <c r="F450" s="62"/>
      <c r="G450" s="61"/>
      <c r="H450" s="61"/>
      <c r="I450" s="63"/>
      <c r="J450" s="63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spans="1:26" ht="15.75" customHeight="1" x14ac:dyDescent="0.3">
      <c r="A451" s="61"/>
      <c r="B451" s="61"/>
      <c r="C451" s="61"/>
      <c r="D451" s="61"/>
      <c r="E451" s="61"/>
      <c r="F451" s="62"/>
      <c r="G451" s="61"/>
      <c r="H451" s="61"/>
      <c r="I451" s="63"/>
      <c r="J451" s="63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spans="1:26" ht="15.75" customHeight="1" x14ac:dyDescent="0.3">
      <c r="A452" s="61"/>
      <c r="B452" s="61"/>
      <c r="C452" s="61"/>
      <c r="D452" s="61"/>
      <c r="E452" s="61"/>
      <c r="F452" s="62"/>
      <c r="G452" s="61"/>
      <c r="H452" s="61"/>
      <c r="I452" s="63"/>
      <c r="J452" s="63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spans="1:26" ht="15.75" customHeight="1" x14ac:dyDescent="0.3">
      <c r="A453" s="61"/>
      <c r="B453" s="61"/>
      <c r="C453" s="61"/>
      <c r="D453" s="61"/>
      <c r="E453" s="61"/>
      <c r="F453" s="62"/>
      <c r="G453" s="61"/>
      <c r="H453" s="61"/>
      <c r="I453" s="63"/>
      <c r="J453" s="63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spans="1:26" ht="15.75" customHeight="1" x14ac:dyDescent="0.3">
      <c r="A454" s="61"/>
      <c r="B454" s="61"/>
      <c r="C454" s="61"/>
      <c r="D454" s="61"/>
      <c r="E454" s="61"/>
      <c r="F454" s="62"/>
      <c r="G454" s="61"/>
      <c r="H454" s="61"/>
      <c r="I454" s="63"/>
      <c r="J454" s="63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spans="1:26" ht="15.75" customHeight="1" x14ac:dyDescent="0.3">
      <c r="A455" s="61"/>
      <c r="B455" s="61"/>
      <c r="C455" s="61"/>
      <c r="D455" s="61"/>
      <c r="E455" s="61"/>
      <c r="F455" s="62"/>
      <c r="G455" s="61"/>
      <c r="H455" s="61"/>
      <c r="I455" s="63"/>
      <c r="J455" s="63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spans="1:26" ht="15.75" customHeight="1" x14ac:dyDescent="0.3">
      <c r="A456" s="61"/>
      <c r="B456" s="61"/>
      <c r="C456" s="61"/>
      <c r="D456" s="61"/>
      <c r="E456" s="61"/>
      <c r="F456" s="62"/>
      <c r="G456" s="61"/>
      <c r="H456" s="61"/>
      <c r="I456" s="63"/>
      <c r="J456" s="63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spans="1:26" ht="15.75" customHeight="1" x14ac:dyDescent="0.3">
      <c r="A457" s="61"/>
      <c r="B457" s="61"/>
      <c r="C457" s="61"/>
      <c r="D457" s="61"/>
      <c r="E457" s="61"/>
      <c r="F457" s="62"/>
      <c r="G457" s="61"/>
      <c r="H457" s="61"/>
      <c r="I457" s="63"/>
      <c r="J457" s="63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spans="1:26" ht="15.75" customHeight="1" x14ac:dyDescent="0.3">
      <c r="A458" s="61"/>
      <c r="B458" s="61"/>
      <c r="C458" s="61"/>
      <c r="D458" s="61"/>
      <c r="E458" s="61"/>
      <c r="F458" s="62"/>
      <c r="G458" s="61"/>
      <c r="H458" s="61"/>
      <c r="I458" s="63"/>
      <c r="J458" s="63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spans="1:26" ht="15.75" customHeight="1" x14ac:dyDescent="0.3">
      <c r="A459" s="61"/>
      <c r="B459" s="61"/>
      <c r="C459" s="61"/>
      <c r="D459" s="61"/>
      <c r="E459" s="61"/>
      <c r="F459" s="62"/>
      <c r="G459" s="61"/>
      <c r="H459" s="61"/>
      <c r="I459" s="63"/>
      <c r="J459" s="63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spans="1:26" ht="15.75" customHeight="1" x14ac:dyDescent="0.3">
      <c r="A460" s="61"/>
      <c r="B460" s="61"/>
      <c r="C460" s="61"/>
      <c r="D460" s="61"/>
      <c r="E460" s="61"/>
      <c r="F460" s="62"/>
      <c r="G460" s="61"/>
      <c r="H460" s="61"/>
      <c r="I460" s="63"/>
      <c r="J460" s="63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spans="1:26" ht="15.75" customHeight="1" x14ac:dyDescent="0.3">
      <c r="A461" s="61"/>
      <c r="B461" s="61"/>
      <c r="C461" s="61"/>
      <c r="D461" s="61"/>
      <c r="E461" s="61"/>
      <c r="F461" s="62"/>
      <c r="G461" s="61"/>
      <c r="H461" s="61"/>
      <c r="I461" s="63"/>
      <c r="J461" s="63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spans="1:26" ht="15.75" customHeight="1" x14ac:dyDescent="0.3">
      <c r="A462" s="61"/>
      <c r="B462" s="61"/>
      <c r="C462" s="61"/>
      <c r="D462" s="61"/>
      <c r="E462" s="61"/>
      <c r="F462" s="62"/>
      <c r="G462" s="61"/>
      <c r="H462" s="61"/>
      <c r="I462" s="63"/>
      <c r="J462" s="63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spans="1:26" ht="15.75" customHeight="1" x14ac:dyDescent="0.3">
      <c r="A463" s="61"/>
      <c r="B463" s="61"/>
      <c r="C463" s="61"/>
      <c r="D463" s="61"/>
      <c r="E463" s="61"/>
      <c r="F463" s="62"/>
      <c r="G463" s="61"/>
      <c r="H463" s="61"/>
      <c r="I463" s="63"/>
      <c r="J463" s="63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spans="1:26" ht="15.75" customHeight="1" x14ac:dyDescent="0.3">
      <c r="A464" s="61"/>
      <c r="B464" s="61"/>
      <c r="C464" s="61"/>
      <c r="D464" s="61"/>
      <c r="E464" s="61"/>
      <c r="F464" s="62"/>
      <c r="G464" s="61"/>
      <c r="H464" s="61"/>
      <c r="I464" s="63"/>
      <c r="J464" s="63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spans="1:26" ht="15.75" customHeight="1" x14ac:dyDescent="0.3">
      <c r="A465" s="61"/>
      <c r="B465" s="61"/>
      <c r="C465" s="61"/>
      <c r="D465" s="61"/>
      <c r="E465" s="61"/>
      <c r="F465" s="62"/>
      <c r="G465" s="61"/>
      <c r="H465" s="61"/>
      <c r="I465" s="63"/>
      <c r="J465" s="63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spans="1:26" ht="15.75" customHeight="1" x14ac:dyDescent="0.3">
      <c r="A466" s="61"/>
      <c r="B466" s="61"/>
      <c r="C466" s="61"/>
      <c r="D466" s="61"/>
      <c r="E466" s="61"/>
      <c r="F466" s="62"/>
      <c r="G466" s="61"/>
      <c r="H466" s="61"/>
      <c r="I466" s="63"/>
      <c r="J466" s="63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spans="1:26" ht="15.75" customHeight="1" x14ac:dyDescent="0.3">
      <c r="A467" s="61"/>
      <c r="B467" s="61"/>
      <c r="C467" s="61"/>
      <c r="D467" s="61"/>
      <c r="E467" s="61"/>
      <c r="F467" s="62"/>
      <c r="G467" s="61"/>
      <c r="H467" s="61"/>
      <c r="I467" s="63"/>
      <c r="J467" s="63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spans="1:26" ht="15.75" customHeight="1" x14ac:dyDescent="0.3">
      <c r="A468" s="61"/>
      <c r="B468" s="61"/>
      <c r="C468" s="61"/>
      <c r="D468" s="61"/>
      <c r="E468" s="61"/>
      <c r="F468" s="62"/>
      <c r="G468" s="61"/>
      <c r="H468" s="61"/>
      <c r="I468" s="63"/>
      <c r="J468" s="63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spans="1:26" ht="15.75" customHeight="1" x14ac:dyDescent="0.3">
      <c r="A469" s="61"/>
      <c r="B469" s="61"/>
      <c r="C469" s="61"/>
      <c r="D469" s="61"/>
      <c r="E469" s="61"/>
      <c r="F469" s="62"/>
      <c r="G469" s="61"/>
      <c r="H469" s="61"/>
      <c r="I469" s="63"/>
      <c r="J469" s="63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spans="1:26" ht="15.75" customHeight="1" x14ac:dyDescent="0.3">
      <c r="A470" s="61"/>
      <c r="B470" s="61"/>
      <c r="C470" s="61"/>
      <c r="D470" s="61"/>
      <c r="E470" s="61"/>
      <c r="F470" s="62"/>
      <c r="G470" s="61"/>
      <c r="H470" s="61"/>
      <c r="I470" s="63"/>
      <c r="J470" s="63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spans="1:26" ht="15.75" customHeight="1" x14ac:dyDescent="0.3">
      <c r="A471" s="61"/>
      <c r="B471" s="61"/>
      <c r="C471" s="61"/>
      <c r="D471" s="61"/>
      <c r="E471" s="61"/>
      <c r="F471" s="62"/>
      <c r="G471" s="61"/>
      <c r="H471" s="61"/>
      <c r="I471" s="63"/>
      <c r="J471" s="63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spans="1:26" ht="15.75" customHeight="1" x14ac:dyDescent="0.3">
      <c r="A472" s="61"/>
      <c r="B472" s="61"/>
      <c r="C472" s="61"/>
      <c r="D472" s="61"/>
      <c r="E472" s="61"/>
      <c r="F472" s="62"/>
      <c r="G472" s="61"/>
      <c r="H472" s="61"/>
      <c r="I472" s="63"/>
      <c r="J472" s="63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spans="1:26" ht="15.75" customHeight="1" x14ac:dyDescent="0.3">
      <c r="A473" s="61"/>
      <c r="B473" s="61"/>
      <c r="C473" s="61"/>
      <c r="D473" s="61"/>
      <c r="E473" s="61"/>
      <c r="F473" s="62"/>
      <c r="G473" s="61"/>
      <c r="H473" s="61"/>
      <c r="I473" s="63"/>
      <c r="J473" s="63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spans="1:26" ht="15.75" customHeight="1" x14ac:dyDescent="0.3">
      <c r="A474" s="61"/>
      <c r="B474" s="61"/>
      <c r="C474" s="61"/>
      <c r="D474" s="61"/>
      <c r="E474" s="61"/>
      <c r="F474" s="62"/>
      <c r="G474" s="61"/>
      <c r="H474" s="61"/>
      <c r="I474" s="63"/>
      <c r="J474" s="63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spans="1:26" ht="15.75" customHeight="1" x14ac:dyDescent="0.3">
      <c r="A475" s="61"/>
      <c r="B475" s="61"/>
      <c r="C475" s="61"/>
      <c r="D475" s="61"/>
      <c r="E475" s="61"/>
      <c r="F475" s="62"/>
      <c r="G475" s="61"/>
      <c r="H475" s="61"/>
      <c r="I475" s="63"/>
      <c r="J475" s="63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spans="1:26" ht="15.75" customHeight="1" x14ac:dyDescent="0.3">
      <c r="A476" s="61"/>
      <c r="B476" s="61"/>
      <c r="C476" s="61"/>
      <c r="D476" s="61"/>
      <c r="E476" s="61"/>
      <c r="F476" s="62"/>
      <c r="G476" s="61"/>
      <c r="H476" s="61"/>
      <c r="I476" s="63"/>
      <c r="J476" s="63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spans="1:26" ht="15.75" customHeight="1" x14ac:dyDescent="0.3">
      <c r="A477" s="61"/>
      <c r="B477" s="61"/>
      <c r="C477" s="61"/>
      <c r="D477" s="61"/>
      <c r="E477" s="61"/>
      <c r="F477" s="62"/>
      <c r="G477" s="61"/>
      <c r="H477" s="61"/>
      <c r="I477" s="63"/>
      <c r="J477" s="63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spans="1:26" ht="15.75" customHeight="1" x14ac:dyDescent="0.3">
      <c r="A478" s="61"/>
      <c r="B478" s="61"/>
      <c r="C478" s="61"/>
      <c r="D478" s="61"/>
      <c r="E478" s="61"/>
      <c r="F478" s="62"/>
      <c r="G478" s="61"/>
      <c r="H478" s="61"/>
      <c r="I478" s="63"/>
      <c r="J478" s="63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spans="1:26" ht="15.75" customHeight="1" x14ac:dyDescent="0.3">
      <c r="A479" s="61"/>
      <c r="B479" s="61"/>
      <c r="C479" s="61"/>
      <c r="D479" s="61"/>
      <c r="E479" s="61"/>
      <c r="F479" s="62"/>
      <c r="G479" s="61"/>
      <c r="H479" s="61"/>
      <c r="I479" s="63"/>
      <c r="J479" s="63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spans="1:26" ht="15.75" customHeight="1" x14ac:dyDescent="0.3">
      <c r="A480" s="61"/>
      <c r="B480" s="61"/>
      <c r="C480" s="61"/>
      <c r="D480" s="61"/>
      <c r="E480" s="61"/>
      <c r="F480" s="62"/>
      <c r="G480" s="61"/>
      <c r="H480" s="61"/>
      <c r="I480" s="63"/>
      <c r="J480" s="63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spans="1:26" ht="15.75" customHeight="1" x14ac:dyDescent="0.3">
      <c r="A481" s="61"/>
      <c r="B481" s="61"/>
      <c r="C481" s="61"/>
      <c r="D481" s="61"/>
      <c r="E481" s="61"/>
      <c r="F481" s="62"/>
      <c r="G481" s="61"/>
      <c r="H481" s="61"/>
      <c r="I481" s="63"/>
      <c r="J481" s="63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spans="1:26" ht="15.75" customHeight="1" x14ac:dyDescent="0.3">
      <c r="A482" s="61"/>
      <c r="B482" s="61"/>
      <c r="C482" s="61"/>
      <c r="D482" s="61"/>
      <c r="E482" s="61"/>
      <c r="F482" s="62"/>
      <c r="G482" s="61"/>
      <c r="H482" s="61"/>
      <c r="I482" s="63"/>
      <c r="J482" s="63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spans="1:26" ht="15.75" customHeight="1" x14ac:dyDescent="0.3">
      <c r="A483" s="61"/>
      <c r="B483" s="61"/>
      <c r="C483" s="61"/>
      <c r="D483" s="61"/>
      <c r="E483" s="61"/>
      <c r="F483" s="62"/>
      <c r="G483" s="61"/>
      <c r="H483" s="61"/>
      <c r="I483" s="63"/>
      <c r="J483" s="63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spans="1:26" ht="15.75" customHeight="1" x14ac:dyDescent="0.3">
      <c r="A484" s="61"/>
      <c r="B484" s="61"/>
      <c r="C484" s="61"/>
      <c r="D484" s="61"/>
      <c r="E484" s="61"/>
      <c r="F484" s="62"/>
      <c r="G484" s="61"/>
      <c r="H484" s="61"/>
      <c r="I484" s="63"/>
      <c r="J484" s="63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spans="1:26" ht="15.75" customHeight="1" x14ac:dyDescent="0.3">
      <c r="A485" s="61"/>
      <c r="B485" s="61"/>
      <c r="C485" s="61"/>
      <c r="D485" s="61"/>
      <c r="E485" s="61"/>
      <c r="F485" s="62"/>
      <c r="G485" s="61"/>
      <c r="H485" s="61"/>
      <c r="I485" s="63"/>
      <c r="J485" s="63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spans="1:26" ht="15.75" customHeight="1" x14ac:dyDescent="0.3">
      <c r="A486" s="61"/>
      <c r="B486" s="61"/>
      <c r="C486" s="61"/>
      <c r="D486" s="61"/>
      <c r="E486" s="61"/>
      <c r="F486" s="62"/>
      <c r="G486" s="61"/>
      <c r="H486" s="61"/>
      <c r="I486" s="63"/>
      <c r="J486" s="63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spans="1:26" ht="15.75" customHeight="1" x14ac:dyDescent="0.3">
      <c r="A487" s="61"/>
      <c r="B487" s="61"/>
      <c r="C487" s="61"/>
      <c r="D487" s="61"/>
      <c r="E487" s="61"/>
      <c r="F487" s="62"/>
      <c r="G487" s="61"/>
      <c r="H487" s="61"/>
      <c r="I487" s="63"/>
      <c r="J487" s="63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spans="1:26" ht="15.75" customHeight="1" x14ac:dyDescent="0.3">
      <c r="A488" s="61"/>
      <c r="B488" s="61"/>
      <c r="C488" s="61"/>
      <c r="D488" s="61"/>
      <c r="E488" s="61"/>
      <c r="F488" s="62"/>
      <c r="G488" s="61"/>
      <c r="H488" s="61"/>
      <c r="I488" s="63"/>
      <c r="J488" s="63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spans="1:26" ht="15.75" customHeight="1" x14ac:dyDescent="0.3">
      <c r="A489" s="61"/>
      <c r="B489" s="61"/>
      <c r="C489" s="61"/>
      <c r="D489" s="61"/>
      <c r="E489" s="61"/>
      <c r="F489" s="62"/>
      <c r="G489" s="61"/>
      <c r="H489" s="61"/>
      <c r="I489" s="63"/>
      <c r="J489" s="63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spans="1:26" ht="15.75" customHeight="1" x14ac:dyDescent="0.3">
      <c r="A490" s="61"/>
      <c r="B490" s="61"/>
      <c r="C490" s="61"/>
      <c r="D490" s="61"/>
      <c r="E490" s="61"/>
      <c r="F490" s="62"/>
      <c r="G490" s="61"/>
      <c r="H490" s="61"/>
      <c r="I490" s="63"/>
      <c r="J490" s="63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spans="1:26" ht="15.75" customHeight="1" x14ac:dyDescent="0.3">
      <c r="A491" s="61"/>
      <c r="B491" s="61"/>
      <c r="C491" s="61"/>
      <c r="D491" s="61"/>
      <c r="E491" s="61"/>
      <c r="F491" s="62"/>
      <c r="G491" s="61"/>
      <c r="H491" s="61"/>
      <c r="I491" s="63"/>
      <c r="J491" s="63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spans="1:26" ht="15.75" customHeight="1" x14ac:dyDescent="0.3">
      <c r="A492" s="61"/>
      <c r="B492" s="61"/>
      <c r="C492" s="61"/>
      <c r="D492" s="61"/>
      <c r="E492" s="61"/>
      <c r="F492" s="62"/>
      <c r="G492" s="61"/>
      <c r="H492" s="61"/>
      <c r="I492" s="63"/>
      <c r="J492" s="63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spans="1:26" ht="15.75" customHeight="1" x14ac:dyDescent="0.3">
      <c r="A493" s="61"/>
      <c r="B493" s="61"/>
      <c r="C493" s="61"/>
      <c r="D493" s="61"/>
      <c r="E493" s="61"/>
      <c r="F493" s="62"/>
      <c r="G493" s="61"/>
      <c r="H493" s="61"/>
      <c r="I493" s="63"/>
      <c r="J493" s="63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spans="1:26" ht="15.75" customHeight="1" x14ac:dyDescent="0.3">
      <c r="A494" s="61"/>
      <c r="B494" s="61"/>
      <c r="C494" s="61"/>
      <c r="D494" s="61"/>
      <c r="E494" s="61"/>
      <c r="F494" s="62"/>
      <c r="G494" s="61"/>
      <c r="H494" s="61"/>
      <c r="I494" s="63"/>
      <c r="J494" s="63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spans="1:26" ht="15.75" customHeight="1" x14ac:dyDescent="0.3">
      <c r="A495" s="61"/>
      <c r="B495" s="61"/>
      <c r="C495" s="61"/>
      <c r="D495" s="61"/>
      <c r="E495" s="61"/>
      <c r="F495" s="62"/>
      <c r="G495" s="61"/>
      <c r="H495" s="61"/>
      <c r="I495" s="63"/>
      <c r="J495" s="63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spans="1:26" ht="15.75" customHeight="1" x14ac:dyDescent="0.3">
      <c r="A496" s="61"/>
      <c r="B496" s="61"/>
      <c r="C496" s="61"/>
      <c r="D496" s="61"/>
      <c r="E496" s="61"/>
      <c r="F496" s="62"/>
      <c r="G496" s="61"/>
      <c r="H496" s="61"/>
      <c r="I496" s="63"/>
      <c r="J496" s="63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spans="1:26" ht="15.75" customHeight="1" x14ac:dyDescent="0.3">
      <c r="A497" s="61"/>
      <c r="B497" s="61"/>
      <c r="C497" s="61"/>
      <c r="D497" s="61"/>
      <c r="E497" s="61"/>
      <c r="F497" s="62"/>
      <c r="G497" s="61"/>
      <c r="H497" s="61"/>
      <c r="I497" s="63"/>
      <c r="J497" s="63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spans="1:26" ht="15.75" customHeight="1" x14ac:dyDescent="0.3">
      <c r="A498" s="61"/>
      <c r="B498" s="61"/>
      <c r="C498" s="61"/>
      <c r="D498" s="61"/>
      <c r="E498" s="61"/>
      <c r="F498" s="62"/>
      <c r="G498" s="61"/>
      <c r="H498" s="61"/>
      <c r="I498" s="63"/>
      <c r="J498" s="63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spans="1:26" ht="15.75" customHeight="1" x14ac:dyDescent="0.3">
      <c r="A499" s="61"/>
      <c r="B499" s="61"/>
      <c r="C499" s="61"/>
      <c r="D499" s="61"/>
      <c r="E499" s="61"/>
      <c r="F499" s="62"/>
      <c r="G499" s="61"/>
      <c r="H499" s="61"/>
      <c r="I499" s="63"/>
      <c r="J499" s="63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spans="1:26" ht="15.75" customHeight="1" x14ac:dyDescent="0.3">
      <c r="A500" s="61"/>
      <c r="B500" s="61"/>
      <c r="C500" s="61"/>
      <c r="D500" s="61"/>
      <c r="E500" s="61"/>
      <c r="F500" s="62"/>
      <c r="G500" s="61"/>
      <c r="H500" s="61"/>
      <c r="I500" s="63"/>
      <c r="J500" s="63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spans="1:26" ht="15.75" customHeight="1" x14ac:dyDescent="0.3">
      <c r="A501" s="61"/>
      <c r="B501" s="61"/>
      <c r="C501" s="61"/>
      <c r="D501" s="61"/>
      <c r="E501" s="61"/>
      <c r="F501" s="62"/>
      <c r="G501" s="61"/>
      <c r="H501" s="61"/>
      <c r="I501" s="63"/>
      <c r="J501" s="63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spans="1:26" ht="15.75" customHeight="1" x14ac:dyDescent="0.3">
      <c r="A502" s="61"/>
      <c r="B502" s="61"/>
      <c r="C502" s="61"/>
      <c r="D502" s="61"/>
      <c r="E502" s="61"/>
      <c r="F502" s="62"/>
      <c r="G502" s="61"/>
      <c r="H502" s="61"/>
      <c r="I502" s="63"/>
      <c r="J502" s="63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spans="1:26" ht="15.75" customHeight="1" x14ac:dyDescent="0.3">
      <c r="A503" s="61"/>
      <c r="B503" s="61"/>
      <c r="C503" s="61"/>
      <c r="D503" s="61"/>
      <c r="E503" s="61"/>
      <c r="F503" s="62"/>
      <c r="G503" s="61"/>
      <c r="H503" s="61"/>
      <c r="I503" s="63"/>
      <c r="J503" s="63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spans="1:26" ht="15.75" customHeight="1" x14ac:dyDescent="0.3">
      <c r="A504" s="61"/>
      <c r="B504" s="61"/>
      <c r="C504" s="61"/>
      <c r="D504" s="61"/>
      <c r="E504" s="61"/>
      <c r="F504" s="62"/>
      <c r="G504" s="61"/>
      <c r="H504" s="61"/>
      <c r="I504" s="63"/>
      <c r="J504" s="63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spans="1:26" ht="15.75" customHeight="1" x14ac:dyDescent="0.3">
      <c r="A505" s="61"/>
      <c r="B505" s="61"/>
      <c r="C505" s="61"/>
      <c r="D505" s="61"/>
      <c r="E505" s="61"/>
      <c r="F505" s="62"/>
      <c r="G505" s="61"/>
      <c r="H505" s="61"/>
      <c r="I505" s="63"/>
      <c r="J505" s="63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spans="1:26" ht="15.75" customHeight="1" x14ac:dyDescent="0.3">
      <c r="A506" s="61"/>
      <c r="B506" s="61"/>
      <c r="C506" s="61"/>
      <c r="D506" s="61"/>
      <c r="E506" s="61"/>
      <c r="F506" s="62"/>
      <c r="G506" s="61"/>
      <c r="H506" s="61"/>
      <c r="I506" s="63"/>
      <c r="J506" s="63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spans="1:26" ht="15.75" customHeight="1" x14ac:dyDescent="0.3">
      <c r="A507" s="61"/>
      <c r="B507" s="61"/>
      <c r="C507" s="61"/>
      <c r="D507" s="61"/>
      <c r="E507" s="61"/>
      <c r="F507" s="62"/>
      <c r="G507" s="61"/>
      <c r="H507" s="61"/>
      <c r="I507" s="63"/>
      <c r="J507" s="63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spans="1:26" ht="15.75" customHeight="1" x14ac:dyDescent="0.3">
      <c r="A508" s="61"/>
      <c r="B508" s="61"/>
      <c r="C508" s="61"/>
      <c r="D508" s="61"/>
      <c r="E508" s="61"/>
      <c r="F508" s="62"/>
      <c r="G508" s="61"/>
      <c r="H508" s="61"/>
      <c r="I508" s="63"/>
      <c r="J508" s="63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spans="1:26" ht="15.75" customHeight="1" x14ac:dyDescent="0.3">
      <c r="A509" s="61"/>
      <c r="B509" s="61"/>
      <c r="C509" s="61"/>
      <c r="D509" s="61"/>
      <c r="E509" s="61"/>
      <c r="F509" s="62"/>
      <c r="G509" s="61"/>
      <c r="H509" s="61"/>
      <c r="I509" s="63"/>
      <c r="J509" s="63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spans="1:26" ht="15.75" customHeight="1" x14ac:dyDescent="0.3">
      <c r="A510" s="61"/>
      <c r="B510" s="61"/>
      <c r="C510" s="61"/>
      <c r="D510" s="61"/>
      <c r="E510" s="61"/>
      <c r="F510" s="62"/>
      <c r="G510" s="61"/>
      <c r="H510" s="61"/>
      <c r="I510" s="63"/>
      <c r="J510" s="63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spans="1:26" ht="15.75" customHeight="1" x14ac:dyDescent="0.3">
      <c r="A511" s="61"/>
      <c r="B511" s="61"/>
      <c r="C511" s="61"/>
      <c r="D511" s="61"/>
      <c r="E511" s="61"/>
      <c r="F511" s="62"/>
      <c r="G511" s="61"/>
      <c r="H511" s="61"/>
      <c r="I511" s="63"/>
      <c r="J511" s="63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spans="1:26" ht="15.75" customHeight="1" x14ac:dyDescent="0.3">
      <c r="A512" s="61"/>
      <c r="B512" s="61"/>
      <c r="C512" s="61"/>
      <c r="D512" s="61"/>
      <c r="E512" s="61"/>
      <c r="F512" s="62"/>
      <c r="G512" s="61"/>
      <c r="H512" s="61"/>
      <c r="I512" s="63"/>
      <c r="J512" s="63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spans="1:26" ht="15.75" customHeight="1" x14ac:dyDescent="0.3">
      <c r="A513" s="61"/>
      <c r="B513" s="61"/>
      <c r="C513" s="61"/>
      <c r="D513" s="61"/>
      <c r="E513" s="61"/>
      <c r="F513" s="62"/>
      <c r="G513" s="61"/>
      <c r="H513" s="61"/>
      <c r="I513" s="63"/>
      <c r="J513" s="63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spans="1:26" ht="15.75" customHeight="1" x14ac:dyDescent="0.3">
      <c r="A514" s="61"/>
      <c r="B514" s="61"/>
      <c r="C514" s="61"/>
      <c r="D514" s="61"/>
      <c r="E514" s="61"/>
      <c r="F514" s="62"/>
      <c r="G514" s="61"/>
      <c r="H514" s="61"/>
      <c r="I514" s="63"/>
      <c r="J514" s="63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spans="1:26" ht="15.75" customHeight="1" x14ac:dyDescent="0.3">
      <c r="A515" s="61"/>
      <c r="B515" s="61"/>
      <c r="C515" s="61"/>
      <c r="D515" s="61"/>
      <c r="E515" s="61"/>
      <c r="F515" s="62"/>
      <c r="G515" s="61"/>
      <c r="H515" s="61"/>
      <c r="I515" s="63"/>
      <c r="J515" s="63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spans="1:26" ht="15.75" customHeight="1" x14ac:dyDescent="0.3">
      <c r="A516" s="61"/>
      <c r="B516" s="61"/>
      <c r="C516" s="61"/>
      <c r="D516" s="61"/>
      <c r="E516" s="61"/>
      <c r="F516" s="62"/>
      <c r="G516" s="61"/>
      <c r="H516" s="61"/>
      <c r="I516" s="63"/>
      <c r="J516" s="63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spans="1:26" ht="15.75" customHeight="1" x14ac:dyDescent="0.3">
      <c r="A517" s="61"/>
      <c r="B517" s="61"/>
      <c r="C517" s="61"/>
      <c r="D517" s="61"/>
      <c r="E517" s="61"/>
      <c r="F517" s="62"/>
      <c r="G517" s="61"/>
      <c r="H517" s="61"/>
      <c r="I517" s="63"/>
      <c r="J517" s="63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spans="1:26" ht="15.75" customHeight="1" x14ac:dyDescent="0.3">
      <c r="A518" s="61"/>
      <c r="B518" s="61"/>
      <c r="C518" s="61"/>
      <c r="D518" s="61"/>
      <c r="E518" s="61"/>
      <c r="F518" s="62"/>
      <c r="G518" s="61"/>
      <c r="H518" s="61"/>
      <c r="I518" s="63"/>
      <c r="J518" s="63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spans="1:26" ht="15.75" customHeight="1" x14ac:dyDescent="0.3">
      <c r="A519" s="61"/>
      <c r="B519" s="61"/>
      <c r="C519" s="61"/>
      <c r="D519" s="61"/>
      <c r="E519" s="61"/>
      <c r="F519" s="62"/>
      <c r="G519" s="61"/>
      <c r="H519" s="61"/>
      <c r="I519" s="63"/>
      <c r="J519" s="63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spans="1:26" ht="15.75" customHeight="1" x14ac:dyDescent="0.3">
      <c r="A520" s="61"/>
      <c r="B520" s="61"/>
      <c r="C520" s="61"/>
      <c r="D520" s="61"/>
      <c r="E520" s="61"/>
      <c r="F520" s="62"/>
      <c r="G520" s="61"/>
      <c r="H520" s="61"/>
      <c r="I520" s="63"/>
      <c r="J520" s="63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spans="1:26" ht="15.75" customHeight="1" x14ac:dyDescent="0.3">
      <c r="A521" s="61"/>
      <c r="B521" s="61"/>
      <c r="C521" s="61"/>
      <c r="D521" s="61"/>
      <c r="E521" s="61"/>
      <c r="F521" s="62"/>
      <c r="G521" s="61"/>
      <c r="H521" s="61"/>
      <c r="I521" s="63"/>
      <c r="J521" s="63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spans="1:26" ht="15.75" customHeight="1" x14ac:dyDescent="0.3">
      <c r="A522" s="61"/>
      <c r="B522" s="61"/>
      <c r="C522" s="61"/>
      <c r="D522" s="61"/>
      <c r="E522" s="61"/>
      <c r="F522" s="62"/>
      <c r="G522" s="61"/>
      <c r="H522" s="61"/>
      <c r="I522" s="63"/>
      <c r="J522" s="63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spans="1:26" ht="15.75" customHeight="1" x14ac:dyDescent="0.3">
      <c r="A523" s="61"/>
      <c r="B523" s="61"/>
      <c r="C523" s="61"/>
      <c r="D523" s="61"/>
      <c r="E523" s="61"/>
      <c r="F523" s="62"/>
      <c r="G523" s="61"/>
      <c r="H523" s="61"/>
      <c r="I523" s="63"/>
      <c r="J523" s="63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spans="1:26" ht="15.75" customHeight="1" x14ac:dyDescent="0.3">
      <c r="A524" s="61"/>
      <c r="B524" s="61"/>
      <c r="C524" s="61"/>
      <c r="D524" s="61"/>
      <c r="E524" s="61"/>
      <c r="F524" s="62"/>
      <c r="G524" s="61"/>
      <c r="H524" s="61"/>
      <c r="I524" s="63"/>
      <c r="J524" s="63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spans="1:26" ht="15.75" customHeight="1" x14ac:dyDescent="0.3">
      <c r="A525" s="61"/>
      <c r="B525" s="61"/>
      <c r="C525" s="61"/>
      <c r="D525" s="61"/>
      <c r="E525" s="61"/>
      <c r="F525" s="62"/>
      <c r="G525" s="61"/>
      <c r="H525" s="61"/>
      <c r="I525" s="63"/>
      <c r="J525" s="63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spans="1:26" ht="15.75" customHeight="1" x14ac:dyDescent="0.3">
      <c r="A526" s="61"/>
      <c r="B526" s="61"/>
      <c r="C526" s="61"/>
      <c r="D526" s="61"/>
      <c r="E526" s="61"/>
      <c r="F526" s="62"/>
      <c r="G526" s="61"/>
      <c r="H526" s="61"/>
      <c r="I526" s="63"/>
      <c r="J526" s="63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spans="1:26" ht="15.75" customHeight="1" x14ac:dyDescent="0.3">
      <c r="A527" s="61"/>
      <c r="B527" s="61"/>
      <c r="C527" s="61"/>
      <c r="D527" s="61"/>
      <c r="E527" s="61"/>
      <c r="F527" s="62"/>
      <c r="G527" s="61"/>
      <c r="H527" s="61"/>
      <c r="I527" s="63"/>
      <c r="J527" s="63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spans="1:26" ht="15.75" customHeight="1" x14ac:dyDescent="0.3">
      <c r="A528" s="61"/>
      <c r="B528" s="61"/>
      <c r="C528" s="61"/>
      <c r="D528" s="61"/>
      <c r="E528" s="61"/>
      <c r="F528" s="62"/>
      <c r="G528" s="61"/>
      <c r="H528" s="61"/>
      <c r="I528" s="63"/>
      <c r="J528" s="63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spans="1:26" ht="15.75" customHeight="1" x14ac:dyDescent="0.3">
      <c r="A529" s="61"/>
      <c r="B529" s="61"/>
      <c r="C529" s="61"/>
      <c r="D529" s="61"/>
      <c r="E529" s="61"/>
      <c r="F529" s="62"/>
      <c r="G529" s="61"/>
      <c r="H529" s="61"/>
      <c r="I529" s="63"/>
      <c r="J529" s="63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spans="1:26" ht="15.75" customHeight="1" x14ac:dyDescent="0.3">
      <c r="A530" s="61"/>
      <c r="B530" s="61"/>
      <c r="C530" s="61"/>
      <c r="D530" s="61"/>
      <c r="E530" s="61"/>
      <c r="F530" s="62"/>
      <c r="G530" s="61"/>
      <c r="H530" s="61"/>
      <c r="I530" s="63"/>
      <c r="J530" s="63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spans="1:26" ht="15.75" customHeight="1" x14ac:dyDescent="0.3">
      <c r="A531" s="61"/>
      <c r="B531" s="61"/>
      <c r="C531" s="61"/>
      <c r="D531" s="61"/>
      <c r="E531" s="61"/>
      <c r="F531" s="62"/>
      <c r="G531" s="61"/>
      <c r="H531" s="61"/>
      <c r="I531" s="63"/>
      <c r="J531" s="63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spans="1:26" ht="15.75" customHeight="1" x14ac:dyDescent="0.3">
      <c r="A532" s="61"/>
      <c r="B532" s="61"/>
      <c r="C532" s="61"/>
      <c r="D532" s="61"/>
      <c r="E532" s="61"/>
      <c r="F532" s="62"/>
      <c r="G532" s="61"/>
      <c r="H532" s="61"/>
      <c r="I532" s="63"/>
      <c r="J532" s="63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spans="1:26" ht="15.75" customHeight="1" x14ac:dyDescent="0.3">
      <c r="A533" s="61"/>
      <c r="B533" s="61"/>
      <c r="C533" s="61"/>
      <c r="D533" s="61"/>
      <c r="E533" s="61"/>
      <c r="F533" s="62"/>
      <c r="G533" s="61"/>
      <c r="H533" s="61"/>
      <c r="I533" s="63"/>
      <c r="J533" s="63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spans="1:26" ht="15.75" customHeight="1" x14ac:dyDescent="0.3">
      <c r="A534" s="61"/>
      <c r="B534" s="61"/>
      <c r="C534" s="61"/>
      <c r="D534" s="61"/>
      <c r="E534" s="61"/>
      <c r="F534" s="62"/>
      <c r="G534" s="61"/>
      <c r="H534" s="61"/>
      <c r="I534" s="63"/>
      <c r="J534" s="63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spans="1:26" ht="15.75" customHeight="1" x14ac:dyDescent="0.3">
      <c r="A535" s="61"/>
      <c r="B535" s="61"/>
      <c r="C535" s="61"/>
      <c r="D535" s="61"/>
      <c r="E535" s="61"/>
      <c r="F535" s="62"/>
      <c r="G535" s="61"/>
      <c r="H535" s="61"/>
      <c r="I535" s="63"/>
      <c r="J535" s="63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spans="1:26" ht="15.75" customHeight="1" x14ac:dyDescent="0.3">
      <c r="A536" s="61"/>
      <c r="B536" s="61"/>
      <c r="C536" s="61"/>
      <c r="D536" s="61"/>
      <c r="E536" s="61"/>
      <c r="F536" s="62"/>
      <c r="G536" s="61"/>
      <c r="H536" s="61"/>
      <c r="I536" s="63"/>
      <c r="J536" s="63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spans="1:26" ht="15.75" customHeight="1" x14ac:dyDescent="0.3">
      <c r="A537" s="61"/>
      <c r="B537" s="61"/>
      <c r="C537" s="61"/>
      <c r="D537" s="61"/>
      <c r="E537" s="61"/>
      <c r="F537" s="62"/>
      <c r="G537" s="61"/>
      <c r="H537" s="61"/>
      <c r="I537" s="63"/>
      <c r="J537" s="63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spans="1:26" ht="15.75" customHeight="1" x14ac:dyDescent="0.3">
      <c r="A538" s="61"/>
      <c r="B538" s="61"/>
      <c r="C538" s="61"/>
      <c r="D538" s="61"/>
      <c r="E538" s="61"/>
      <c r="F538" s="62"/>
      <c r="G538" s="61"/>
      <c r="H538" s="61"/>
      <c r="I538" s="63"/>
      <c r="J538" s="63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spans="1:26" ht="15.75" customHeight="1" x14ac:dyDescent="0.3">
      <c r="A539" s="61"/>
      <c r="B539" s="61"/>
      <c r="C539" s="61"/>
      <c r="D539" s="61"/>
      <c r="E539" s="61"/>
      <c r="F539" s="62"/>
      <c r="G539" s="61"/>
      <c r="H539" s="61"/>
      <c r="I539" s="63"/>
      <c r="J539" s="63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spans="1:26" ht="15.75" customHeight="1" x14ac:dyDescent="0.3">
      <c r="A540" s="61"/>
      <c r="B540" s="61"/>
      <c r="C540" s="61"/>
      <c r="D540" s="61"/>
      <c r="E540" s="61"/>
      <c r="F540" s="62"/>
      <c r="G540" s="61"/>
      <c r="H540" s="61"/>
      <c r="I540" s="63"/>
      <c r="J540" s="63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spans="1:26" ht="15.75" customHeight="1" x14ac:dyDescent="0.3">
      <c r="A541" s="61"/>
      <c r="B541" s="61"/>
      <c r="C541" s="61"/>
      <c r="D541" s="61"/>
      <c r="E541" s="61"/>
      <c r="F541" s="62"/>
      <c r="G541" s="61"/>
      <c r="H541" s="61"/>
      <c r="I541" s="63"/>
      <c r="J541" s="63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spans="1:26" ht="15.75" customHeight="1" x14ac:dyDescent="0.3">
      <c r="A542" s="61"/>
      <c r="B542" s="61"/>
      <c r="C542" s="61"/>
      <c r="D542" s="61"/>
      <c r="E542" s="61"/>
      <c r="F542" s="62"/>
      <c r="G542" s="61"/>
      <c r="H542" s="61"/>
      <c r="I542" s="63"/>
      <c r="J542" s="63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spans="1:26" ht="15.75" customHeight="1" x14ac:dyDescent="0.3">
      <c r="A543" s="61"/>
      <c r="B543" s="61"/>
      <c r="C543" s="61"/>
      <c r="D543" s="61"/>
      <c r="E543" s="61"/>
      <c r="F543" s="62"/>
      <c r="G543" s="61"/>
      <c r="H543" s="61"/>
      <c r="I543" s="63"/>
      <c r="J543" s="63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spans="1:26" ht="15.75" customHeight="1" x14ac:dyDescent="0.3">
      <c r="A544" s="61"/>
      <c r="B544" s="61"/>
      <c r="C544" s="61"/>
      <c r="D544" s="61"/>
      <c r="E544" s="61"/>
      <c r="F544" s="62"/>
      <c r="G544" s="61"/>
      <c r="H544" s="61"/>
      <c r="I544" s="63"/>
      <c r="J544" s="63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spans="1:26" ht="15.75" customHeight="1" x14ac:dyDescent="0.3">
      <c r="A545" s="61"/>
      <c r="B545" s="61"/>
      <c r="C545" s="61"/>
      <c r="D545" s="61"/>
      <c r="E545" s="61"/>
      <c r="F545" s="62"/>
      <c r="G545" s="61"/>
      <c r="H545" s="61"/>
      <c r="I545" s="63"/>
      <c r="J545" s="63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spans="1:26" ht="15.75" customHeight="1" x14ac:dyDescent="0.3">
      <c r="A546" s="61"/>
      <c r="B546" s="61"/>
      <c r="C546" s="61"/>
      <c r="D546" s="61"/>
      <c r="E546" s="61"/>
      <c r="F546" s="62"/>
      <c r="G546" s="61"/>
      <c r="H546" s="61"/>
      <c r="I546" s="63"/>
      <c r="J546" s="63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spans="1:26" ht="15.75" customHeight="1" x14ac:dyDescent="0.3">
      <c r="A547" s="61"/>
      <c r="B547" s="61"/>
      <c r="C547" s="61"/>
      <c r="D547" s="61"/>
      <c r="E547" s="61"/>
      <c r="F547" s="62"/>
      <c r="G547" s="61"/>
      <c r="H547" s="61"/>
      <c r="I547" s="63"/>
      <c r="J547" s="63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spans="1:26" ht="15.75" customHeight="1" x14ac:dyDescent="0.3">
      <c r="A548" s="61"/>
      <c r="B548" s="61"/>
      <c r="C548" s="61"/>
      <c r="D548" s="61"/>
      <c r="E548" s="61"/>
      <c r="F548" s="62"/>
      <c r="G548" s="61"/>
      <c r="H548" s="61"/>
      <c r="I548" s="63"/>
      <c r="J548" s="63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spans="1:26" ht="15.75" customHeight="1" x14ac:dyDescent="0.3">
      <c r="A549" s="61"/>
      <c r="B549" s="61"/>
      <c r="C549" s="61"/>
      <c r="D549" s="61"/>
      <c r="E549" s="61"/>
      <c r="F549" s="62"/>
      <c r="G549" s="61"/>
      <c r="H549" s="61"/>
      <c r="I549" s="63"/>
      <c r="J549" s="63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spans="1:26" ht="15.75" customHeight="1" x14ac:dyDescent="0.3">
      <c r="A550" s="61"/>
      <c r="B550" s="61"/>
      <c r="C550" s="61"/>
      <c r="D550" s="61"/>
      <c r="E550" s="61"/>
      <c r="F550" s="62"/>
      <c r="G550" s="61"/>
      <c r="H550" s="61"/>
      <c r="I550" s="63"/>
      <c r="J550" s="63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spans="1:26" ht="15.75" customHeight="1" x14ac:dyDescent="0.3">
      <c r="A551" s="61"/>
      <c r="B551" s="61"/>
      <c r="C551" s="61"/>
      <c r="D551" s="61"/>
      <c r="E551" s="61"/>
      <c r="F551" s="62"/>
      <c r="G551" s="61"/>
      <c r="H551" s="61"/>
      <c r="I551" s="63"/>
      <c r="J551" s="63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spans="1:26" ht="15.75" customHeight="1" x14ac:dyDescent="0.3">
      <c r="A552" s="61"/>
      <c r="B552" s="61"/>
      <c r="C552" s="61"/>
      <c r="D552" s="61"/>
      <c r="E552" s="61"/>
      <c r="F552" s="62"/>
      <c r="G552" s="61"/>
      <c r="H552" s="61"/>
      <c r="I552" s="63"/>
      <c r="J552" s="63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spans="1:26" ht="15.75" customHeight="1" x14ac:dyDescent="0.3">
      <c r="A553" s="61"/>
      <c r="B553" s="61"/>
      <c r="C553" s="61"/>
      <c r="D553" s="61"/>
      <c r="E553" s="61"/>
      <c r="F553" s="62"/>
      <c r="G553" s="61"/>
      <c r="H553" s="61"/>
      <c r="I553" s="63"/>
      <c r="J553" s="63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spans="1:26" ht="15.75" customHeight="1" x14ac:dyDescent="0.3">
      <c r="A554" s="61"/>
      <c r="B554" s="61"/>
      <c r="C554" s="61"/>
      <c r="D554" s="61"/>
      <c r="E554" s="61"/>
      <c r="F554" s="62"/>
      <c r="G554" s="61"/>
      <c r="H554" s="61"/>
      <c r="I554" s="63"/>
      <c r="J554" s="63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spans="1:26" ht="15.75" customHeight="1" x14ac:dyDescent="0.3">
      <c r="A555" s="61"/>
      <c r="B555" s="61"/>
      <c r="C555" s="61"/>
      <c r="D555" s="61"/>
      <c r="E555" s="61"/>
      <c r="F555" s="62"/>
      <c r="G555" s="61"/>
      <c r="H555" s="61"/>
      <c r="I555" s="63"/>
      <c r="J555" s="63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spans="1:26" ht="15.75" customHeight="1" x14ac:dyDescent="0.3">
      <c r="A556" s="61"/>
      <c r="B556" s="61"/>
      <c r="C556" s="61"/>
      <c r="D556" s="61"/>
      <c r="E556" s="61"/>
      <c r="F556" s="62"/>
      <c r="G556" s="61"/>
      <c r="H556" s="61"/>
      <c r="I556" s="63"/>
      <c r="J556" s="63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spans="1:26" ht="15.75" customHeight="1" x14ac:dyDescent="0.3">
      <c r="A557" s="61"/>
      <c r="B557" s="61"/>
      <c r="C557" s="61"/>
      <c r="D557" s="61"/>
      <c r="E557" s="61"/>
      <c r="F557" s="62"/>
      <c r="G557" s="61"/>
      <c r="H557" s="61"/>
      <c r="I557" s="63"/>
      <c r="J557" s="63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spans="1:26" ht="15.75" customHeight="1" x14ac:dyDescent="0.3">
      <c r="A558" s="61"/>
      <c r="B558" s="61"/>
      <c r="C558" s="61"/>
      <c r="D558" s="61"/>
      <c r="E558" s="61"/>
      <c r="F558" s="62"/>
      <c r="G558" s="61"/>
      <c r="H558" s="61"/>
      <c r="I558" s="63"/>
      <c r="J558" s="63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spans="1:26" ht="15.75" customHeight="1" x14ac:dyDescent="0.3">
      <c r="A559" s="61"/>
      <c r="B559" s="61"/>
      <c r="C559" s="61"/>
      <c r="D559" s="61"/>
      <c r="E559" s="61"/>
      <c r="F559" s="62"/>
      <c r="G559" s="61"/>
      <c r="H559" s="61"/>
      <c r="I559" s="63"/>
      <c r="J559" s="63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spans="1:26" ht="15.75" customHeight="1" x14ac:dyDescent="0.3">
      <c r="A560" s="61"/>
      <c r="B560" s="61"/>
      <c r="C560" s="61"/>
      <c r="D560" s="61"/>
      <c r="E560" s="61"/>
      <c r="F560" s="62"/>
      <c r="G560" s="61"/>
      <c r="H560" s="61"/>
      <c r="I560" s="63"/>
      <c r="J560" s="63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spans="1:26" ht="15.75" customHeight="1" x14ac:dyDescent="0.3">
      <c r="A561" s="61"/>
      <c r="B561" s="61"/>
      <c r="C561" s="61"/>
      <c r="D561" s="61"/>
      <c r="E561" s="61"/>
      <c r="F561" s="62"/>
      <c r="G561" s="61"/>
      <c r="H561" s="61"/>
      <c r="I561" s="63"/>
      <c r="J561" s="63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spans="1:26" ht="15.75" customHeight="1" x14ac:dyDescent="0.3">
      <c r="A562" s="61"/>
      <c r="B562" s="61"/>
      <c r="C562" s="61"/>
      <c r="D562" s="61"/>
      <c r="E562" s="61"/>
      <c r="F562" s="62"/>
      <c r="G562" s="61"/>
      <c r="H562" s="61"/>
      <c r="I562" s="63"/>
      <c r="J562" s="63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spans="1:26" ht="15.75" customHeight="1" x14ac:dyDescent="0.3">
      <c r="A563" s="61"/>
      <c r="B563" s="61"/>
      <c r="C563" s="61"/>
      <c r="D563" s="61"/>
      <c r="E563" s="61"/>
      <c r="F563" s="62"/>
      <c r="G563" s="61"/>
      <c r="H563" s="61"/>
      <c r="I563" s="63"/>
      <c r="J563" s="63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spans="1:26" ht="15.75" customHeight="1" x14ac:dyDescent="0.3">
      <c r="A564" s="61"/>
      <c r="B564" s="61"/>
      <c r="C564" s="61"/>
      <c r="D564" s="61"/>
      <c r="E564" s="61"/>
      <c r="F564" s="62"/>
      <c r="G564" s="61"/>
      <c r="H564" s="61"/>
      <c r="I564" s="63"/>
      <c r="J564" s="63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spans="1:26" ht="15.75" customHeight="1" x14ac:dyDescent="0.3">
      <c r="A565" s="61"/>
      <c r="B565" s="61"/>
      <c r="C565" s="61"/>
      <c r="D565" s="61"/>
      <c r="E565" s="61"/>
      <c r="F565" s="62"/>
      <c r="G565" s="61"/>
      <c r="H565" s="61"/>
      <c r="I565" s="63"/>
      <c r="J565" s="63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spans="1:26" ht="15.75" customHeight="1" x14ac:dyDescent="0.3">
      <c r="A566" s="61"/>
      <c r="B566" s="61"/>
      <c r="C566" s="61"/>
      <c r="D566" s="61"/>
      <c r="E566" s="61"/>
      <c r="F566" s="62"/>
      <c r="G566" s="61"/>
      <c r="H566" s="61"/>
      <c r="I566" s="63"/>
      <c r="J566" s="63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spans="1:26" ht="15.75" customHeight="1" x14ac:dyDescent="0.3">
      <c r="A567" s="61"/>
      <c r="B567" s="61"/>
      <c r="C567" s="61"/>
      <c r="D567" s="61"/>
      <c r="E567" s="61"/>
      <c r="F567" s="62"/>
      <c r="G567" s="61"/>
      <c r="H567" s="61"/>
      <c r="I567" s="63"/>
      <c r="J567" s="63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spans="1:26" ht="15.75" customHeight="1" x14ac:dyDescent="0.3">
      <c r="A568" s="61"/>
      <c r="B568" s="61"/>
      <c r="C568" s="61"/>
      <c r="D568" s="61"/>
      <c r="E568" s="61"/>
      <c r="F568" s="62"/>
      <c r="G568" s="61"/>
      <c r="H568" s="61"/>
      <c r="I568" s="63"/>
      <c r="J568" s="63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spans="1:26" ht="15.75" customHeight="1" x14ac:dyDescent="0.3">
      <c r="A569" s="61"/>
      <c r="B569" s="61"/>
      <c r="C569" s="61"/>
      <c r="D569" s="61"/>
      <c r="E569" s="61"/>
      <c r="F569" s="62"/>
      <c r="G569" s="61"/>
      <c r="H569" s="61"/>
      <c r="I569" s="63"/>
      <c r="J569" s="63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spans="1:26" ht="15.75" customHeight="1" x14ac:dyDescent="0.3">
      <c r="A570" s="61"/>
      <c r="B570" s="61"/>
      <c r="C570" s="61"/>
      <c r="D570" s="61"/>
      <c r="E570" s="61"/>
      <c r="F570" s="62"/>
      <c r="G570" s="61"/>
      <c r="H570" s="61"/>
      <c r="I570" s="63"/>
      <c r="J570" s="63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spans="1:26" ht="15.75" customHeight="1" x14ac:dyDescent="0.3">
      <c r="A571" s="61"/>
      <c r="B571" s="61"/>
      <c r="C571" s="61"/>
      <c r="D571" s="61"/>
      <c r="E571" s="61"/>
      <c r="F571" s="62"/>
      <c r="G571" s="61"/>
      <c r="H571" s="61"/>
      <c r="I571" s="63"/>
      <c r="J571" s="63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spans="1:26" ht="15.75" customHeight="1" x14ac:dyDescent="0.3">
      <c r="A572" s="61"/>
      <c r="B572" s="61"/>
      <c r="C572" s="61"/>
      <c r="D572" s="61"/>
      <c r="E572" s="61"/>
      <c r="F572" s="62"/>
      <c r="G572" s="61"/>
      <c r="H572" s="61"/>
      <c r="I572" s="63"/>
      <c r="J572" s="63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spans="1:26" ht="15.75" customHeight="1" x14ac:dyDescent="0.3">
      <c r="A573" s="61"/>
      <c r="B573" s="61"/>
      <c r="C573" s="61"/>
      <c r="D573" s="61"/>
      <c r="E573" s="61"/>
      <c r="F573" s="62"/>
      <c r="G573" s="61"/>
      <c r="H573" s="61"/>
      <c r="I573" s="63"/>
      <c r="J573" s="63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spans="1:26" ht="15.75" customHeight="1" x14ac:dyDescent="0.3">
      <c r="A574" s="61"/>
      <c r="B574" s="61"/>
      <c r="C574" s="61"/>
      <c r="D574" s="61"/>
      <c r="E574" s="61"/>
      <c r="F574" s="62"/>
      <c r="G574" s="61"/>
      <c r="H574" s="61"/>
      <c r="I574" s="63"/>
      <c r="J574" s="63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spans="1:26" ht="15.75" customHeight="1" x14ac:dyDescent="0.3">
      <c r="A575" s="61"/>
      <c r="B575" s="61"/>
      <c r="C575" s="61"/>
      <c r="D575" s="61"/>
      <c r="E575" s="61"/>
      <c r="F575" s="62"/>
      <c r="G575" s="61"/>
      <c r="H575" s="61"/>
      <c r="I575" s="63"/>
      <c r="J575" s="63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spans="1:26" ht="15.75" customHeight="1" x14ac:dyDescent="0.3">
      <c r="A576" s="61"/>
      <c r="B576" s="61"/>
      <c r="C576" s="61"/>
      <c r="D576" s="61"/>
      <c r="E576" s="61"/>
      <c r="F576" s="62"/>
      <c r="G576" s="61"/>
      <c r="H576" s="61"/>
      <c r="I576" s="63"/>
      <c r="J576" s="63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spans="1:26" ht="15.75" customHeight="1" x14ac:dyDescent="0.3">
      <c r="A577" s="61"/>
      <c r="B577" s="61"/>
      <c r="C577" s="61"/>
      <c r="D577" s="61"/>
      <c r="E577" s="61"/>
      <c r="F577" s="62"/>
      <c r="G577" s="61"/>
      <c r="H577" s="61"/>
      <c r="I577" s="63"/>
      <c r="J577" s="63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spans="1:26" ht="15.75" customHeight="1" x14ac:dyDescent="0.3">
      <c r="A578" s="61"/>
      <c r="B578" s="61"/>
      <c r="C578" s="61"/>
      <c r="D578" s="61"/>
      <c r="E578" s="61"/>
      <c r="F578" s="62"/>
      <c r="G578" s="61"/>
      <c r="H578" s="61"/>
      <c r="I578" s="63"/>
      <c r="J578" s="63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spans="1:26" ht="15.75" customHeight="1" x14ac:dyDescent="0.3">
      <c r="A579" s="61"/>
      <c r="B579" s="61"/>
      <c r="C579" s="61"/>
      <c r="D579" s="61"/>
      <c r="E579" s="61"/>
      <c r="F579" s="62"/>
      <c r="G579" s="61"/>
      <c r="H579" s="61"/>
      <c r="I579" s="63"/>
      <c r="J579" s="63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spans="1:26" ht="15.75" customHeight="1" x14ac:dyDescent="0.3">
      <c r="A580" s="61"/>
      <c r="B580" s="61"/>
      <c r="C580" s="61"/>
      <c r="D580" s="61"/>
      <c r="E580" s="61"/>
      <c r="F580" s="62"/>
      <c r="G580" s="61"/>
      <c r="H580" s="61"/>
      <c r="I580" s="63"/>
      <c r="J580" s="63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spans="1:26" ht="15.75" customHeight="1" x14ac:dyDescent="0.3">
      <c r="A581" s="61"/>
      <c r="B581" s="61"/>
      <c r="C581" s="61"/>
      <c r="D581" s="61"/>
      <c r="E581" s="61"/>
      <c r="F581" s="62"/>
      <c r="G581" s="61"/>
      <c r="H581" s="61"/>
      <c r="I581" s="63"/>
      <c r="J581" s="63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spans="1:26" ht="15.75" customHeight="1" x14ac:dyDescent="0.3">
      <c r="A582" s="61"/>
      <c r="B582" s="61"/>
      <c r="C582" s="61"/>
      <c r="D582" s="61"/>
      <c r="E582" s="61"/>
      <c r="F582" s="62"/>
      <c r="G582" s="61"/>
      <c r="H582" s="61"/>
      <c r="I582" s="63"/>
      <c r="J582" s="63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spans="1:26" ht="15.75" customHeight="1" x14ac:dyDescent="0.3">
      <c r="A583" s="61"/>
      <c r="B583" s="61"/>
      <c r="C583" s="61"/>
      <c r="D583" s="61"/>
      <c r="E583" s="61"/>
      <c r="F583" s="62"/>
      <c r="G583" s="61"/>
      <c r="H583" s="61"/>
      <c r="I583" s="63"/>
      <c r="J583" s="63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spans="1:26" ht="15.75" customHeight="1" x14ac:dyDescent="0.3">
      <c r="A584" s="61"/>
      <c r="B584" s="61"/>
      <c r="C584" s="61"/>
      <c r="D584" s="61"/>
      <c r="E584" s="61"/>
      <c r="F584" s="62"/>
      <c r="G584" s="61"/>
      <c r="H584" s="61"/>
      <c r="I584" s="63"/>
      <c r="J584" s="63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spans="1:26" ht="15.75" customHeight="1" x14ac:dyDescent="0.3">
      <c r="A585" s="61"/>
      <c r="B585" s="61"/>
      <c r="C585" s="61"/>
      <c r="D585" s="61"/>
      <c r="E585" s="61"/>
      <c r="F585" s="62"/>
      <c r="G585" s="61"/>
      <c r="H585" s="61"/>
      <c r="I585" s="63"/>
      <c r="J585" s="63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spans="1:26" ht="15.75" customHeight="1" x14ac:dyDescent="0.3">
      <c r="A586" s="61"/>
      <c r="B586" s="61"/>
      <c r="C586" s="61"/>
      <c r="D586" s="61"/>
      <c r="E586" s="61"/>
      <c r="F586" s="62"/>
      <c r="G586" s="61"/>
      <c r="H586" s="61"/>
      <c r="I586" s="63"/>
      <c r="J586" s="63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spans="1:26" ht="15.75" customHeight="1" x14ac:dyDescent="0.3">
      <c r="A587" s="61"/>
      <c r="B587" s="61"/>
      <c r="C587" s="61"/>
      <c r="D587" s="61"/>
      <c r="E587" s="61"/>
      <c r="F587" s="62"/>
      <c r="G587" s="61"/>
      <c r="H587" s="61"/>
      <c r="I587" s="63"/>
      <c r="J587" s="63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spans="1:26" ht="15.75" customHeight="1" x14ac:dyDescent="0.3">
      <c r="A588" s="61"/>
      <c r="B588" s="61"/>
      <c r="C588" s="61"/>
      <c r="D588" s="61"/>
      <c r="E588" s="61"/>
      <c r="F588" s="62"/>
      <c r="G588" s="61"/>
      <c r="H588" s="61"/>
      <c r="I588" s="63"/>
      <c r="J588" s="63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spans="1:26" ht="15.75" customHeight="1" x14ac:dyDescent="0.3">
      <c r="A589" s="61"/>
      <c r="B589" s="61"/>
      <c r="C589" s="61"/>
      <c r="D589" s="61"/>
      <c r="E589" s="61"/>
      <c r="F589" s="62"/>
      <c r="G589" s="61"/>
      <c r="H589" s="61"/>
      <c r="I589" s="63"/>
      <c r="J589" s="63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spans="1:26" ht="15.75" customHeight="1" x14ac:dyDescent="0.3">
      <c r="A590" s="61"/>
      <c r="B590" s="61"/>
      <c r="C590" s="61"/>
      <c r="D590" s="61"/>
      <c r="E590" s="61"/>
      <c r="F590" s="62"/>
      <c r="G590" s="61"/>
      <c r="H590" s="61"/>
      <c r="I590" s="63"/>
      <c r="J590" s="63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spans="1:26" ht="15.75" customHeight="1" x14ac:dyDescent="0.3">
      <c r="A591" s="61"/>
      <c r="B591" s="61"/>
      <c r="C591" s="61"/>
      <c r="D591" s="61"/>
      <c r="E591" s="61"/>
      <c r="F591" s="62"/>
      <c r="G591" s="61"/>
      <c r="H591" s="61"/>
      <c r="I591" s="63"/>
      <c r="J591" s="63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spans="1:26" ht="15.75" customHeight="1" x14ac:dyDescent="0.3">
      <c r="A592" s="61"/>
      <c r="B592" s="61"/>
      <c r="C592" s="61"/>
      <c r="D592" s="61"/>
      <c r="E592" s="61"/>
      <c r="F592" s="62"/>
      <c r="G592" s="61"/>
      <c r="H592" s="61"/>
      <c r="I592" s="63"/>
      <c r="J592" s="63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spans="1:26" ht="15.75" customHeight="1" x14ac:dyDescent="0.3">
      <c r="A593" s="61"/>
      <c r="B593" s="61"/>
      <c r="C593" s="61"/>
      <c r="D593" s="61"/>
      <c r="E593" s="61"/>
      <c r="F593" s="62"/>
      <c r="G593" s="61"/>
      <c r="H593" s="61"/>
      <c r="I593" s="63"/>
      <c r="J593" s="63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spans="1:26" ht="15.75" customHeight="1" x14ac:dyDescent="0.3">
      <c r="A594" s="61"/>
      <c r="B594" s="61"/>
      <c r="C594" s="61"/>
      <c r="D594" s="61"/>
      <c r="E594" s="61"/>
      <c r="F594" s="62"/>
      <c r="G594" s="61"/>
      <c r="H594" s="61"/>
      <c r="I594" s="63"/>
      <c r="J594" s="63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spans="1:26" ht="15.75" customHeight="1" x14ac:dyDescent="0.3">
      <c r="A595" s="61"/>
      <c r="B595" s="61"/>
      <c r="C595" s="61"/>
      <c r="D595" s="61"/>
      <c r="E595" s="61"/>
      <c r="F595" s="62"/>
      <c r="G595" s="61"/>
      <c r="H595" s="61"/>
      <c r="I595" s="63"/>
      <c r="J595" s="63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spans="1:26" ht="15.75" customHeight="1" x14ac:dyDescent="0.3">
      <c r="A596" s="61"/>
      <c r="B596" s="61"/>
      <c r="C596" s="61"/>
      <c r="D596" s="61"/>
      <c r="E596" s="61"/>
      <c r="F596" s="62"/>
      <c r="G596" s="61"/>
      <c r="H596" s="61"/>
      <c r="I596" s="63"/>
      <c r="J596" s="63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spans="1:26" ht="15.75" customHeight="1" x14ac:dyDescent="0.3">
      <c r="A597" s="61"/>
      <c r="B597" s="61"/>
      <c r="C597" s="61"/>
      <c r="D597" s="61"/>
      <c r="E597" s="61"/>
      <c r="F597" s="62"/>
      <c r="G597" s="61"/>
      <c r="H597" s="61"/>
      <c r="I597" s="63"/>
      <c r="J597" s="63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spans="1:26" ht="15.75" customHeight="1" x14ac:dyDescent="0.3">
      <c r="A598" s="61"/>
      <c r="B598" s="61"/>
      <c r="C598" s="61"/>
      <c r="D598" s="61"/>
      <c r="E598" s="61"/>
      <c r="F598" s="62"/>
      <c r="G598" s="61"/>
      <c r="H598" s="61"/>
      <c r="I598" s="63"/>
      <c r="J598" s="63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spans="1:26" ht="15.75" customHeight="1" x14ac:dyDescent="0.3">
      <c r="A599" s="61"/>
      <c r="B599" s="61"/>
      <c r="C599" s="61"/>
      <c r="D599" s="61"/>
      <c r="E599" s="61"/>
      <c r="F599" s="62"/>
      <c r="G599" s="61"/>
      <c r="H599" s="61"/>
      <c r="I599" s="63"/>
      <c r="J599" s="63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spans="1:26" ht="15.75" customHeight="1" x14ac:dyDescent="0.3">
      <c r="A600" s="61"/>
      <c r="B600" s="61"/>
      <c r="C600" s="61"/>
      <c r="D600" s="61"/>
      <c r="E600" s="61"/>
      <c r="F600" s="62"/>
      <c r="G600" s="61"/>
      <c r="H600" s="61"/>
      <c r="I600" s="63"/>
      <c r="J600" s="63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spans="1:26" ht="15.75" customHeight="1" x14ac:dyDescent="0.3">
      <c r="A601" s="61"/>
      <c r="B601" s="61"/>
      <c r="C601" s="61"/>
      <c r="D601" s="61"/>
      <c r="E601" s="61"/>
      <c r="F601" s="62"/>
      <c r="G601" s="61"/>
      <c r="H601" s="61"/>
      <c r="I601" s="63"/>
      <c r="J601" s="63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spans="1:26" ht="15.75" customHeight="1" x14ac:dyDescent="0.3">
      <c r="A602" s="61"/>
      <c r="B602" s="61"/>
      <c r="C602" s="61"/>
      <c r="D602" s="61"/>
      <c r="E602" s="61"/>
      <c r="F602" s="62"/>
      <c r="G602" s="61"/>
      <c r="H602" s="61"/>
      <c r="I602" s="63"/>
      <c r="J602" s="63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spans="1:26" ht="15.75" customHeight="1" x14ac:dyDescent="0.3">
      <c r="A603" s="61"/>
      <c r="B603" s="61"/>
      <c r="C603" s="61"/>
      <c r="D603" s="61"/>
      <c r="E603" s="61"/>
      <c r="F603" s="62"/>
      <c r="G603" s="61"/>
      <c r="H603" s="61"/>
      <c r="I603" s="63"/>
      <c r="J603" s="63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spans="1:26" ht="15.75" customHeight="1" x14ac:dyDescent="0.3">
      <c r="A604" s="61"/>
      <c r="B604" s="61"/>
      <c r="C604" s="61"/>
      <c r="D604" s="61"/>
      <c r="E604" s="61"/>
      <c r="F604" s="62"/>
      <c r="G604" s="61"/>
      <c r="H604" s="61"/>
      <c r="I604" s="63"/>
      <c r="J604" s="63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spans="1:26" ht="15.75" customHeight="1" x14ac:dyDescent="0.3">
      <c r="A605" s="61"/>
      <c r="B605" s="61"/>
      <c r="C605" s="61"/>
      <c r="D605" s="61"/>
      <c r="E605" s="61"/>
      <c r="F605" s="62"/>
      <c r="G605" s="61"/>
      <c r="H605" s="61"/>
      <c r="I605" s="63"/>
      <c r="J605" s="63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spans="1:26" ht="15.75" customHeight="1" x14ac:dyDescent="0.3">
      <c r="A606" s="61"/>
      <c r="B606" s="61"/>
      <c r="C606" s="61"/>
      <c r="D606" s="61"/>
      <c r="E606" s="61"/>
      <c r="F606" s="62"/>
      <c r="G606" s="61"/>
      <c r="H606" s="61"/>
      <c r="I606" s="63"/>
      <c r="J606" s="63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spans="1:26" ht="15.75" customHeight="1" x14ac:dyDescent="0.3">
      <c r="A607" s="61"/>
      <c r="B607" s="61"/>
      <c r="C607" s="61"/>
      <c r="D607" s="61"/>
      <c r="E607" s="61"/>
      <c r="F607" s="62"/>
      <c r="G607" s="61"/>
      <c r="H607" s="61"/>
      <c r="I607" s="63"/>
      <c r="J607" s="63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spans="1:26" ht="15.75" customHeight="1" x14ac:dyDescent="0.3">
      <c r="A608" s="61"/>
      <c r="B608" s="61"/>
      <c r="C608" s="61"/>
      <c r="D608" s="61"/>
      <c r="E608" s="61"/>
      <c r="F608" s="62"/>
      <c r="G608" s="61"/>
      <c r="H608" s="61"/>
      <c r="I608" s="63"/>
      <c r="J608" s="63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spans="1:26" ht="15.75" customHeight="1" x14ac:dyDescent="0.3">
      <c r="A609" s="61"/>
      <c r="B609" s="61"/>
      <c r="C609" s="61"/>
      <c r="D609" s="61"/>
      <c r="E609" s="61"/>
      <c r="F609" s="62"/>
      <c r="G609" s="61"/>
      <c r="H609" s="61"/>
      <c r="I609" s="63"/>
      <c r="J609" s="63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spans="1:26" ht="15.75" customHeight="1" x14ac:dyDescent="0.3">
      <c r="A610" s="61"/>
      <c r="B610" s="61"/>
      <c r="C610" s="61"/>
      <c r="D610" s="61"/>
      <c r="E610" s="61"/>
      <c r="F610" s="62"/>
      <c r="G610" s="61"/>
      <c r="H610" s="61"/>
      <c r="I610" s="63"/>
      <c r="J610" s="63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spans="1:26" ht="15.75" customHeight="1" x14ac:dyDescent="0.3">
      <c r="A611" s="61"/>
      <c r="B611" s="61"/>
      <c r="C611" s="61"/>
      <c r="D611" s="61"/>
      <c r="E611" s="61"/>
      <c r="F611" s="62"/>
      <c r="G611" s="61"/>
      <c r="H611" s="61"/>
      <c r="I611" s="63"/>
      <c r="J611" s="63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spans="1:26" ht="15.75" customHeight="1" x14ac:dyDescent="0.3">
      <c r="A612" s="61"/>
      <c r="B612" s="61"/>
      <c r="C612" s="61"/>
      <c r="D612" s="61"/>
      <c r="E612" s="61"/>
      <c r="F612" s="62"/>
      <c r="G612" s="61"/>
      <c r="H612" s="61"/>
      <c r="I612" s="63"/>
      <c r="J612" s="63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spans="1:26" ht="15.75" customHeight="1" x14ac:dyDescent="0.3">
      <c r="A613" s="61"/>
      <c r="B613" s="61"/>
      <c r="C613" s="61"/>
      <c r="D613" s="61"/>
      <c r="E613" s="61"/>
      <c r="F613" s="62"/>
      <c r="G613" s="61"/>
      <c r="H613" s="61"/>
      <c r="I613" s="63"/>
      <c r="J613" s="63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spans="1:26" ht="15.75" customHeight="1" x14ac:dyDescent="0.3">
      <c r="A614" s="61"/>
      <c r="B614" s="61"/>
      <c r="C614" s="61"/>
      <c r="D614" s="61"/>
      <c r="E614" s="61"/>
      <c r="F614" s="62"/>
      <c r="G614" s="61"/>
      <c r="H614" s="61"/>
      <c r="I614" s="63"/>
      <c r="J614" s="63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spans="1:26" ht="15.75" customHeight="1" x14ac:dyDescent="0.3">
      <c r="A615" s="61"/>
      <c r="B615" s="61"/>
      <c r="C615" s="61"/>
      <c r="D615" s="61"/>
      <c r="E615" s="61"/>
      <c r="F615" s="62"/>
      <c r="G615" s="61"/>
      <c r="H615" s="61"/>
      <c r="I615" s="63"/>
      <c r="J615" s="63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spans="1:26" ht="15.75" customHeight="1" x14ac:dyDescent="0.3">
      <c r="A616" s="61"/>
      <c r="B616" s="61"/>
      <c r="C616" s="61"/>
      <c r="D616" s="61"/>
      <c r="E616" s="61"/>
      <c r="F616" s="62"/>
      <c r="G616" s="61"/>
      <c r="H616" s="61"/>
      <c r="I616" s="63"/>
      <c r="J616" s="63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spans="1:26" ht="15.75" customHeight="1" x14ac:dyDescent="0.3">
      <c r="A617" s="61"/>
      <c r="B617" s="61"/>
      <c r="C617" s="61"/>
      <c r="D617" s="61"/>
      <c r="E617" s="61"/>
      <c r="F617" s="62"/>
      <c r="G617" s="61"/>
      <c r="H617" s="61"/>
      <c r="I617" s="63"/>
      <c r="J617" s="63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spans="1:26" ht="15.75" customHeight="1" x14ac:dyDescent="0.3">
      <c r="A618" s="61"/>
      <c r="B618" s="61"/>
      <c r="C618" s="61"/>
      <c r="D618" s="61"/>
      <c r="E618" s="61"/>
      <c r="F618" s="62"/>
      <c r="G618" s="61"/>
      <c r="H618" s="61"/>
      <c r="I618" s="63"/>
      <c r="J618" s="63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spans="1:26" ht="15.75" customHeight="1" x14ac:dyDescent="0.3">
      <c r="A619" s="61"/>
      <c r="B619" s="61"/>
      <c r="C619" s="61"/>
      <c r="D619" s="61"/>
      <c r="E619" s="61"/>
      <c r="F619" s="62"/>
      <c r="G619" s="61"/>
      <c r="H619" s="61"/>
      <c r="I619" s="63"/>
      <c r="J619" s="63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spans="1:26" ht="15.75" customHeight="1" x14ac:dyDescent="0.3">
      <c r="A620" s="61"/>
      <c r="B620" s="61"/>
      <c r="C620" s="61"/>
      <c r="D620" s="61"/>
      <c r="E620" s="61"/>
      <c r="F620" s="62"/>
      <c r="G620" s="61"/>
      <c r="H620" s="61"/>
      <c r="I620" s="63"/>
      <c r="J620" s="63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spans="1:26" ht="15.75" customHeight="1" x14ac:dyDescent="0.3">
      <c r="A621" s="61"/>
      <c r="B621" s="61"/>
      <c r="C621" s="61"/>
      <c r="D621" s="61"/>
      <c r="E621" s="61"/>
      <c r="F621" s="62"/>
      <c r="G621" s="61"/>
      <c r="H621" s="61"/>
      <c r="I621" s="63"/>
      <c r="J621" s="63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spans="1:26" ht="15.75" customHeight="1" x14ac:dyDescent="0.3">
      <c r="A622" s="61"/>
      <c r="B622" s="61"/>
      <c r="C622" s="61"/>
      <c r="D622" s="61"/>
      <c r="E622" s="61"/>
      <c r="F622" s="62"/>
      <c r="G622" s="61"/>
      <c r="H622" s="61"/>
      <c r="I622" s="63"/>
      <c r="J622" s="63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spans="1:26" ht="15.75" customHeight="1" x14ac:dyDescent="0.3">
      <c r="A623" s="61"/>
      <c r="B623" s="61"/>
      <c r="C623" s="61"/>
      <c r="D623" s="61"/>
      <c r="E623" s="61"/>
      <c r="F623" s="62"/>
      <c r="G623" s="61"/>
      <c r="H623" s="61"/>
      <c r="I623" s="63"/>
      <c r="J623" s="63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spans="1:26" ht="15.75" customHeight="1" x14ac:dyDescent="0.3">
      <c r="A624" s="61"/>
      <c r="B624" s="61"/>
      <c r="C624" s="61"/>
      <c r="D624" s="61"/>
      <c r="E624" s="61"/>
      <c r="F624" s="62"/>
      <c r="G624" s="61"/>
      <c r="H624" s="61"/>
      <c r="I624" s="63"/>
      <c r="J624" s="63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spans="1:26" ht="15.75" customHeight="1" x14ac:dyDescent="0.3">
      <c r="A625" s="61"/>
      <c r="B625" s="61"/>
      <c r="C625" s="61"/>
      <c r="D625" s="61"/>
      <c r="E625" s="61"/>
      <c r="F625" s="62"/>
      <c r="G625" s="61"/>
      <c r="H625" s="61"/>
      <c r="I625" s="63"/>
      <c r="J625" s="63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spans="1:26" ht="15.75" customHeight="1" x14ac:dyDescent="0.3">
      <c r="A626" s="61"/>
      <c r="B626" s="61"/>
      <c r="C626" s="61"/>
      <c r="D626" s="61"/>
      <c r="E626" s="61"/>
      <c r="F626" s="62"/>
      <c r="G626" s="61"/>
      <c r="H626" s="61"/>
      <c r="I626" s="63"/>
      <c r="J626" s="63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spans="1:26" ht="15.75" customHeight="1" x14ac:dyDescent="0.3">
      <c r="A627" s="61"/>
      <c r="B627" s="61"/>
      <c r="C627" s="61"/>
      <c r="D627" s="61"/>
      <c r="E627" s="61"/>
      <c r="F627" s="62"/>
      <c r="G627" s="61"/>
      <c r="H627" s="61"/>
      <c r="I627" s="63"/>
      <c r="J627" s="63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spans="1:26" ht="15.75" customHeight="1" x14ac:dyDescent="0.3">
      <c r="A628" s="61"/>
      <c r="B628" s="61"/>
      <c r="C628" s="61"/>
      <c r="D628" s="61"/>
      <c r="E628" s="61"/>
      <c r="F628" s="62"/>
      <c r="G628" s="61"/>
      <c r="H628" s="61"/>
      <c r="I628" s="63"/>
      <c r="J628" s="63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spans="1:26" ht="15.75" customHeight="1" x14ac:dyDescent="0.3">
      <c r="A629" s="61"/>
      <c r="B629" s="61"/>
      <c r="C629" s="61"/>
      <c r="D629" s="61"/>
      <c r="E629" s="61"/>
      <c r="F629" s="62"/>
      <c r="G629" s="61"/>
      <c r="H629" s="61"/>
      <c r="I629" s="63"/>
      <c r="J629" s="63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spans="1:26" ht="15.75" customHeight="1" x14ac:dyDescent="0.3">
      <c r="A630" s="61"/>
      <c r="B630" s="61"/>
      <c r="C630" s="61"/>
      <c r="D630" s="61"/>
      <c r="E630" s="61"/>
      <c r="F630" s="62"/>
      <c r="G630" s="61"/>
      <c r="H630" s="61"/>
      <c r="I630" s="63"/>
      <c r="J630" s="63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spans="1:26" ht="15.75" customHeight="1" x14ac:dyDescent="0.3">
      <c r="A631" s="61"/>
      <c r="B631" s="61"/>
      <c r="C631" s="61"/>
      <c r="D631" s="61"/>
      <c r="E631" s="61"/>
      <c r="F631" s="62"/>
      <c r="G631" s="61"/>
      <c r="H631" s="61"/>
      <c r="I631" s="63"/>
      <c r="J631" s="63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spans="1:26" ht="15.75" customHeight="1" x14ac:dyDescent="0.3">
      <c r="A632" s="61"/>
      <c r="B632" s="61"/>
      <c r="C632" s="61"/>
      <c r="D632" s="61"/>
      <c r="E632" s="61"/>
      <c r="F632" s="62"/>
      <c r="G632" s="61"/>
      <c r="H632" s="61"/>
      <c r="I632" s="63"/>
      <c r="J632" s="63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spans="1:26" ht="15.75" customHeight="1" x14ac:dyDescent="0.3">
      <c r="A633" s="61"/>
      <c r="B633" s="61"/>
      <c r="C633" s="61"/>
      <c r="D633" s="61"/>
      <c r="E633" s="61"/>
      <c r="F633" s="62"/>
      <c r="G633" s="61"/>
      <c r="H633" s="61"/>
      <c r="I633" s="63"/>
      <c r="J633" s="63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spans="1:26" ht="15.75" customHeight="1" x14ac:dyDescent="0.3">
      <c r="A634" s="61"/>
      <c r="B634" s="61"/>
      <c r="C634" s="61"/>
      <c r="D634" s="61"/>
      <c r="E634" s="61"/>
      <c r="F634" s="62"/>
      <c r="G634" s="61"/>
      <c r="H634" s="61"/>
      <c r="I634" s="63"/>
      <c r="J634" s="63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spans="1:26" ht="15.75" customHeight="1" x14ac:dyDescent="0.3">
      <c r="A635" s="61"/>
      <c r="B635" s="61"/>
      <c r="C635" s="61"/>
      <c r="D635" s="61"/>
      <c r="E635" s="61"/>
      <c r="F635" s="62"/>
      <c r="G635" s="61"/>
      <c r="H635" s="61"/>
      <c r="I635" s="63"/>
      <c r="J635" s="63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spans="1:26" ht="15.75" customHeight="1" x14ac:dyDescent="0.3">
      <c r="A636" s="61"/>
      <c r="B636" s="61"/>
      <c r="C636" s="61"/>
      <c r="D636" s="61"/>
      <c r="E636" s="61"/>
      <c r="F636" s="62"/>
      <c r="G636" s="61"/>
      <c r="H636" s="61"/>
      <c r="I636" s="63"/>
      <c r="J636" s="63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spans="1:26" ht="15.75" customHeight="1" x14ac:dyDescent="0.3">
      <c r="A637" s="61"/>
      <c r="B637" s="61"/>
      <c r="C637" s="61"/>
      <c r="D637" s="61"/>
      <c r="E637" s="61"/>
      <c r="F637" s="62"/>
      <c r="G637" s="61"/>
      <c r="H637" s="61"/>
      <c r="I637" s="63"/>
      <c r="J637" s="63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spans="1:26" ht="15.75" customHeight="1" x14ac:dyDescent="0.3">
      <c r="A638" s="61"/>
      <c r="B638" s="61"/>
      <c r="C638" s="61"/>
      <c r="D638" s="61"/>
      <c r="E638" s="61"/>
      <c r="F638" s="62"/>
      <c r="G638" s="61"/>
      <c r="H638" s="61"/>
      <c r="I638" s="63"/>
      <c r="J638" s="63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spans="1:26" ht="15.75" customHeight="1" x14ac:dyDescent="0.3">
      <c r="A639" s="61"/>
      <c r="B639" s="61"/>
      <c r="C639" s="61"/>
      <c r="D639" s="61"/>
      <c r="E639" s="61"/>
      <c r="F639" s="62"/>
      <c r="G639" s="61"/>
      <c r="H639" s="61"/>
      <c r="I639" s="63"/>
      <c r="J639" s="63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spans="1:26" ht="15.75" customHeight="1" x14ac:dyDescent="0.3">
      <c r="A640" s="61"/>
      <c r="B640" s="61"/>
      <c r="C640" s="61"/>
      <c r="D640" s="61"/>
      <c r="E640" s="61"/>
      <c r="F640" s="62"/>
      <c r="G640" s="61"/>
      <c r="H640" s="61"/>
      <c r="I640" s="63"/>
      <c r="J640" s="63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spans="1:26" ht="15.75" customHeight="1" x14ac:dyDescent="0.3">
      <c r="A641" s="61"/>
      <c r="B641" s="61"/>
      <c r="C641" s="61"/>
      <c r="D641" s="61"/>
      <c r="E641" s="61"/>
      <c r="F641" s="62"/>
      <c r="G641" s="61"/>
      <c r="H641" s="61"/>
      <c r="I641" s="63"/>
      <c r="J641" s="63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spans="1:26" ht="15.75" customHeight="1" x14ac:dyDescent="0.3">
      <c r="A642" s="61"/>
      <c r="B642" s="61"/>
      <c r="C642" s="61"/>
      <c r="D642" s="61"/>
      <c r="E642" s="61"/>
      <c r="F642" s="62"/>
      <c r="G642" s="61"/>
      <c r="H642" s="61"/>
      <c r="I642" s="63"/>
      <c r="J642" s="63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spans="1:26" ht="15.75" customHeight="1" x14ac:dyDescent="0.3">
      <c r="A643" s="61"/>
      <c r="B643" s="61"/>
      <c r="C643" s="61"/>
      <c r="D643" s="61"/>
      <c r="E643" s="61"/>
      <c r="F643" s="62"/>
      <c r="G643" s="61"/>
      <c r="H643" s="61"/>
      <c r="I643" s="63"/>
      <c r="J643" s="63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spans="1:26" ht="15.75" customHeight="1" x14ac:dyDescent="0.3">
      <c r="A644" s="61"/>
      <c r="B644" s="61"/>
      <c r="C644" s="61"/>
      <c r="D644" s="61"/>
      <c r="E644" s="61"/>
      <c r="F644" s="62"/>
      <c r="G644" s="61"/>
      <c r="H644" s="61"/>
      <c r="I644" s="63"/>
      <c r="J644" s="63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spans="1:26" ht="15.75" customHeight="1" x14ac:dyDescent="0.3">
      <c r="A645" s="61"/>
      <c r="B645" s="61"/>
      <c r="C645" s="61"/>
      <c r="D645" s="61"/>
      <c r="E645" s="61"/>
      <c r="F645" s="62"/>
      <c r="G645" s="61"/>
      <c r="H645" s="61"/>
      <c r="I645" s="63"/>
      <c r="J645" s="63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spans="1:26" ht="15.75" customHeight="1" x14ac:dyDescent="0.3">
      <c r="A646" s="61"/>
      <c r="B646" s="61"/>
      <c r="C646" s="61"/>
      <c r="D646" s="61"/>
      <c r="E646" s="61"/>
      <c r="F646" s="62"/>
      <c r="G646" s="61"/>
      <c r="H646" s="61"/>
      <c r="I646" s="63"/>
      <c r="J646" s="63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spans="1:26" ht="15.75" customHeight="1" x14ac:dyDescent="0.3">
      <c r="A647" s="61"/>
      <c r="B647" s="61"/>
      <c r="C647" s="61"/>
      <c r="D647" s="61"/>
      <c r="E647" s="61"/>
      <c r="F647" s="62"/>
      <c r="G647" s="61"/>
      <c r="H647" s="61"/>
      <c r="I647" s="63"/>
      <c r="J647" s="63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spans="1:26" ht="15.75" customHeight="1" x14ac:dyDescent="0.3">
      <c r="A648" s="61"/>
      <c r="B648" s="61"/>
      <c r="C648" s="61"/>
      <c r="D648" s="61"/>
      <c r="E648" s="61"/>
      <c r="F648" s="62"/>
      <c r="G648" s="61"/>
      <c r="H648" s="61"/>
      <c r="I648" s="63"/>
      <c r="J648" s="63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spans="1:26" ht="15.75" customHeight="1" x14ac:dyDescent="0.3">
      <c r="A649" s="61"/>
      <c r="B649" s="61"/>
      <c r="C649" s="61"/>
      <c r="D649" s="61"/>
      <c r="E649" s="61"/>
      <c r="F649" s="62"/>
      <c r="G649" s="61"/>
      <c r="H649" s="61"/>
      <c r="I649" s="63"/>
      <c r="J649" s="63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spans="1:26" ht="15.75" customHeight="1" x14ac:dyDescent="0.3">
      <c r="A650" s="61"/>
      <c r="B650" s="61"/>
      <c r="C650" s="61"/>
      <c r="D650" s="61"/>
      <c r="E650" s="61"/>
      <c r="F650" s="62"/>
      <c r="G650" s="61"/>
      <c r="H650" s="61"/>
      <c r="I650" s="63"/>
      <c r="J650" s="63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spans="1:26" ht="15.75" customHeight="1" x14ac:dyDescent="0.3">
      <c r="A651" s="61"/>
      <c r="B651" s="61"/>
      <c r="C651" s="61"/>
      <c r="D651" s="61"/>
      <c r="E651" s="61"/>
      <c r="F651" s="62"/>
      <c r="G651" s="61"/>
      <c r="H651" s="61"/>
      <c r="I651" s="63"/>
      <c r="J651" s="63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spans="1:26" ht="15.75" customHeight="1" x14ac:dyDescent="0.3">
      <c r="A652" s="61"/>
      <c r="B652" s="61"/>
      <c r="C652" s="61"/>
      <c r="D652" s="61"/>
      <c r="E652" s="61"/>
      <c r="F652" s="62"/>
      <c r="G652" s="61"/>
      <c r="H652" s="61"/>
      <c r="I652" s="63"/>
      <c r="J652" s="63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spans="1:26" ht="15.75" customHeight="1" x14ac:dyDescent="0.3">
      <c r="A653" s="61"/>
      <c r="B653" s="61"/>
      <c r="C653" s="61"/>
      <c r="D653" s="61"/>
      <c r="E653" s="61"/>
      <c r="F653" s="62"/>
      <c r="G653" s="61"/>
      <c r="H653" s="61"/>
      <c r="I653" s="63"/>
      <c r="J653" s="63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spans="1:26" ht="15.75" customHeight="1" x14ac:dyDescent="0.3">
      <c r="A654" s="61"/>
      <c r="B654" s="61"/>
      <c r="C654" s="61"/>
      <c r="D654" s="61"/>
      <c r="E654" s="61"/>
      <c r="F654" s="62"/>
      <c r="G654" s="61"/>
      <c r="H654" s="61"/>
      <c r="I654" s="63"/>
      <c r="J654" s="63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spans="1:26" ht="15.75" customHeight="1" x14ac:dyDescent="0.3">
      <c r="A655" s="61"/>
      <c r="B655" s="61"/>
      <c r="C655" s="61"/>
      <c r="D655" s="61"/>
      <c r="E655" s="61"/>
      <c r="F655" s="62"/>
      <c r="G655" s="61"/>
      <c r="H655" s="61"/>
      <c r="I655" s="63"/>
      <c r="J655" s="63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spans="1:26" ht="15.75" customHeight="1" x14ac:dyDescent="0.3">
      <c r="A656" s="61"/>
      <c r="B656" s="61"/>
      <c r="C656" s="61"/>
      <c r="D656" s="61"/>
      <c r="E656" s="61"/>
      <c r="F656" s="62"/>
      <c r="G656" s="61"/>
      <c r="H656" s="61"/>
      <c r="I656" s="63"/>
      <c r="J656" s="63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spans="1:26" ht="15.75" customHeight="1" x14ac:dyDescent="0.3">
      <c r="A657" s="61"/>
      <c r="B657" s="61"/>
      <c r="C657" s="61"/>
      <c r="D657" s="61"/>
      <c r="E657" s="61"/>
      <c r="F657" s="62"/>
      <c r="G657" s="61"/>
      <c r="H657" s="61"/>
      <c r="I657" s="63"/>
      <c r="J657" s="63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spans="1:26" ht="15.75" customHeight="1" x14ac:dyDescent="0.3">
      <c r="A658" s="61"/>
      <c r="B658" s="61"/>
      <c r="C658" s="61"/>
      <c r="D658" s="61"/>
      <c r="E658" s="61"/>
      <c r="F658" s="62"/>
      <c r="G658" s="61"/>
      <c r="H658" s="61"/>
      <c r="I658" s="63"/>
      <c r="J658" s="63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spans="1:26" ht="15.75" customHeight="1" x14ac:dyDescent="0.3">
      <c r="A659" s="61"/>
      <c r="B659" s="61"/>
      <c r="C659" s="61"/>
      <c r="D659" s="61"/>
      <c r="E659" s="61"/>
      <c r="F659" s="62"/>
      <c r="G659" s="61"/>
      <c r="H659" s="61"/>
      <c r="I659" s="63"/>
      <c r="J659" s="63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spans="1:26" ht="15.75" customHeight="1" x14ac:dyDescent="0.3">
      <c r="A660" s="61"/>
      <c r="B660" s="61"/>
      <c r="C660" s="61"/>
      <c r="D660" s="61"/>
      <c r="E660" s="61"/>
      <c r="F660" s="62"/>
      <c r="G660" s="61"/>
      <c r="H660" s="61"/>
      <c r="I660" s="63"/>
      <c r="J660" s="63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spans="1:26" ht="15.75" customHeight="1" x14ac:dyDescent="0.3">
      <c r="A661" s="61"/>
      <c r="B661" s="61"/>
      <c r="C661" s="61"/>
      <c r="D661" s="61"/>
      <c r="E661" s="61"/>
      <c r="F661" s="62"/>
      <c r="G661" s="61"/>
      <c r="H661" s="61"/>
      <c r="I661" s="63"/>
      <c r="J661" s="63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spans="1:26" ht="15.75" customHeight="1" x14ac:dyDescent="0.3">
      <c r="A662" s="61"/>
      <c r="B662" s="61"/>
      <c r="C662" s="61"/>
      <c r="D662" s="61"/>
      <c r="E662" s="61"/>
      <c r="F662" s="62"/>
      <c r="G662" s="61"/>
      <c r="H662" s="61"/>
      <c r="I662" s="63"/>
      <c r="J662" s="63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spans="1:26" ht="15.75" customHeight="1" x14ac:dyDescent="0.3">
      <c r="A663" s="61"/>
      <c r="B663" s="61"/>
      <c r="C663" s="61"/>
      <c r="D663" s="61"/>
      <c r="E663" s="61"/>
      <c r="F663" s="62"/>
      <c r="G663" s="61"/>
      <c r="H663" s="61"/>
      <c r="I663" s="63"/>
      <c r="J663" s="63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spans="1:26" ht="15.75" customHeight="1" x14ac:dyDescent="0.3">
      <c r="A664" s="61"/>
      <c r="B664" s="61"/>
      <c r="C664" s="61"/>
      <c r="D664" s="61"/>
      <c r="E664" s="61"/>
      <c r="F664" s="62"/>
      <c r="G664" s="61"/>
      <c r="H664" s="61"/>
      <c r="I664" s="63"/>
      <c r="J664" s="63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spans="1:26" ht="15.75" customHeight="1" x14ac:dyDescent="0.3">
      <c r="A665" s="61"/>
      <c r="B665" s="61"/>
      <c r="C665" s="61"/>
      <c r="D665" s="61"/>
      <c r="E665" s="61"/>
      <c r="F665" s="62"/>
      <c r="G665" s="61"/>
      <c r="H665" s="61"/>
      <c r="I665" s="63"/>
      <c r="J665" s="63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spans="1:26" ht="15.75" customHeight="1" x14ac:dyDescent="0.3">
      <c r="A666" s="61"/>
      <c r="B666" s="61"/>
      <c r="C666" s="61"/>
      <c r="D666" s="61"/>
      <c r="E666" s="61"/>
      <c r="F666" s="62"/>
      <c r="G666" s="61"/>
      <c r="H666" s="61"/>
      <c r="I666" s="63"/>
      <c r="J666" s="63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spans="1:26" ht="15.75" customHeight="1" x14ac:dyDescent="0.3">
      <c r="A667" s="61"/>
      <c r="B667" s="61"/>
      <c r="C667" s="61"/>
      <c r="D667" s="61"/>
      <c r="E667" s="61"/>
      <c r="F667" s="62"/>
      <c r="G667" s="61"/>
      <c r="H667" s="61"/>
      <c r="I667" s="63"/>
      <c r="J667" s="63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spans="1:26" ht="15.75" customHeight="1" x14ac:dyDescent="0.3">
      <c r="A668" s="61"/>
      <c r="B668" s="61"/>
      <c r="C668" s="61"/>
      <c r="D668" s="61"/>
      <c r="E668" s="61"/>
      <c r="F668" s="62"/>
      <c r="G668" s="61"/>
      <c r="H668" s="61"/>
      <c r="I668" s="63"/>
      <c r="J668" s="63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spans="1:26" ht="15.75" customHeight="1" x14ac:dyDescent="0.3">
      <c r="A669" s="61"/>
      <c r="B669" s="61"/>
      <c r="C669" s="61"/>
      <c r="D669" s="61"/>
      <c r="E669" s="61"/>
      <c r="F669" s="62"/>
      <c r="G669" s="61"/>
      <c r="H669" s="61"/>
      <c r="I669" s="63"/>
      <c r="J669" s="63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spans="1:26" ht="15.75" customHeight="1" x14ac:dyDescent="0.3">
      <c r="A670" s="61"/>
      <c r="B670" s="61"/>
      <c r="C670" s="61"/>
      <c r="D670" s="61"/>
      <c r="E670" s="61"/>
      <c r="F670" s="62"/>
      <c r="G670" s="61"/>
      <c r="H670" s="61"/>
      <c r="I670" s="63"/>
      <c r="J670" s="63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spans="1:26" ht="15.75" customHeight="1" x14ac:dyDescent="0.3">
      <c r="A671" s="61"/>
      <c r="B671" s="61"/>
      <c r="C671" s="61"/>
      <c r="D671" s="61"/>
      <c r="E671" s="61"/>
      <c r="F671" s="62"/>
      <c r="G671" s="61"/>
      <c r="H671" s="61"/>
      <c r="I671" s="63"/>
      <c r="J671" s="63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spans="1:26" ht="15.75" customHeight="1" x14ac:dyDescent="0.3">
      <c r="A672" s="61"/>
      <c r="B672" s="61"/>
      <c r="C672" s="61"/>
      <c r="D672" s="61"/>
      <c r="E672" s="61"/>
      <c r="F672" s="62"/>
      <c r="G672" s="61"/>
      <c r="H672" s="61"/>
      <c r="I672" s="63"/>
      <c r="J672" s="63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spans="1:26" ht="15.75" customHeight="1" x14ac:dyDescent="0.3">
      <c r="A673" s="61"/>
      <c r="B673" s="61"/>
      <c r="C673" s="61"/>
      <c r="D673" s="61"/>
      <c r="E673" s="61"/>
      <c r="F673" s="62"/>
      <c r="G673" s="61"/>
      <c r="H673" s="61"/>
      <c r="I673" s="63"/>
      <c r="J673" s="63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spans="1:26" ht="15.75" customHeight="1" x14ac:dyDescent="0.3">
      <c r="A674" s="61"/>
      <c r="B674" s="61"/>
      <c r="C674" s="61"/>
      <c r="D674" s="61"/>
      <c r="E674" s="61"/>
      <c r="F674" s="62"/>
      <c r="G674" s="61"/>
      <c r="H674" s="61"/>
      <c r="I674" s="63"/>
      <c r="J674" s="63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spans="1:26" ht="15.75" customHeight="1" x14ac:dyDescent="0.3">
      <c r="A675" s="61"/>
      <c r="B675" s="61"/>
      <c r="C675" s="61"/>
      <c r="D675" s="61"/>
      <c r="E675" s="61"/>
      <c r="F675" s="62"/>
      <c r="G675" s="61"/>
      <c r="H675" s="61"/>
      <c r="I675" s="63"/>
      <c r="J675" s="63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spans="1:26" ht="15.75" customHeight="1" x14ac:dyDescent="0.3">
      <c r="A676" s="61"/>
      <c r="B676" s="61"/>
      <c r="C676" s="61"/>
      <c r="D676" s="61"/>
      <c r="E676" s="61"/>
      <c r="F676" s="62"/>
      <c r="G676" s="61"/>
      <c r="H676" s="61"/>
      <c r="I676" s="63"/>
      <c r="J676" s="63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spans="1:26" ht="15.75" customHeight="1" x14ac:dyDescent="0.3">
      <c r="A677" s="61"/>
      <c r="B677" s="61"/>
      <c r="C677" s="61"/>
      <c r="D677" s="61"/>
      <c r="E677" s="61"/>
      <c r="F677" s="62"/>
      <c r="G677" s="61"/>
      <c r="H677" s="61"/>
      <c r="I677" s="63"/>
      <c r="J677" s="63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spans="1:26" ht="15.75" customHeight="1" x14ac:dyDescent="0.3">
      <c r="A678" s="61"/>
      <c r="B678" s="61"/>
      <c r="C678" s="61"/>
      <c r="D678" s="61"/>
      <c r="E678" s="61"/>
      <c r="F678" s="62"/>
      <c r="G678" s="61"/>
      <c r="H678" s="61"/>
      <c r="I678" s="63"/>
      <c r="J678" s="63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spans="1:26" ht="15.75" customHeight="1" x14ac:dyDescent="0.3">
      <c r="A679" s="61"/>
      <c r="B679" s="61"/>
      <c r="C679" s="61"/>
      <c r="D679" s="61"/>
      <c r="E679" s="61"/>
      <c r="F679" s="62"/>
      <c r="G679" s="61"/>
      <c r="H679" s="61"/>
      <c r="I679" s="63"/>
      <c r="J679" s="63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spans="1:26" ht="15.75" customHeight="1" x14ac:dyDescent="0.3">
      <c r="A680" s="61"/>
      <c r="B680" s="61"/>
      <c r="C680" s="61"/>
      <c r="D680" s="61"/>
      <c r="E680" s="61"/>
      <c r="F680" s="62"/>
      <c r="G680" s="61"/>
      <c r="H680" s="61"/>
      <c r="I680" s="63"/>
      <c r="J680" s="63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spans="1:26" ht="15.75" customHeight="1" x14ac:dyDescent="0.3">
      <c r="A681" s="61"/>
      <c r="B681" s="61"/>
      <c r="C681" s="61"/>
      <c r="D681" s="61"/>
      <c r="E681" s="61"/>
      <c r="F681" s="62"/>
      <c r="G681" s="61"/>
      <c r="H681" s="61"/>
      <c r="I681" s="63"/>
      <c r="J681" s="63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spans="1:26" ht="15.75" customHeight="1" x14ac:dyDescent="0.3">
      <c r="A682" s="61"/>
      <c r="B682" s="61"/>
      <c r="C682" s="61"/>
      <c r="D682" s="61"/>
      <c r="E682" s="61"/>
      <c r="F682" s="62"/>
      <c r="G682" s="61"/>
      <c r="H682" s="61"/>
      <c r="I682" s="63"/>
      <c r="J682" s="63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spans="1:26" ht="15.75" customHeight="1" x14ac:dyDescent="0.3">
      <c r="A683" s="61"/>
      <c r="B683" s="61"/>
      <c r="C683" s="61"/>
      <c r="D683" s="61"/>
      <c r="E683" s="61"/>
      <c r="F683" s="62"/>
      <c r="G683" s="61"/>
      <c r="H683" s="61"/>
      <c r="I683" s="63"/>
      <c r="J683" s="63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spans="1:26" ht="15.75" customHeight="1" x14ac:dyDescent="0.3">
      <c r="A684" s="61"/>
      <c r="B684" s="61"/>
      <c r="C684" s="61"/>
      <c r="D684" s="61"/>
      <c r="E684" s="61"/>
      <c r="F684" s="62"/>
      <c r="G684" s="61"/>
      <c r="H684" s="61"/>
      <c r="I684" s="63"/>
      <c r="J684" s="63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spans="1:26" ht="15.75" customHeight="1" x14ac:dyDescent="0.3">
      <c r="A685" s="61"/>
      <c r="B685" s="61"/>
      <c r="C685" s="61"/>
      <c r="D685" s="61"/>
      <c r="E685" s="61"/>
      <c r="F685" s="62"/>
      <c r="G685" s="61"/>
      <c r="H685" s="61"/>
      <c r="I685" s="63"/>
      <c r="J685" s="63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spans="1:26" ht="15.75" customHeight="1" x14ac:dyDescent="0.3">
      <c r="A686" s="61"/>
      <c r="B686" s="61"/>
      <c r="C686" s="61"/>
      <c r="D686" s="61"/>
      <c r="E686" s="61"/>
      <c r="F686" s="62"/>
      <c r="G686" s="61"/>
      <c r="H686" s="61"/>
      <c r="I686" s="63"/>
      <c r="J686" s="63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spans="1:26" ht="15.75" customHeight="1" x14ac:dyDescent="0.3">
      <c r="A687" s="61"/>
      <c r="B687" s="61"/>
      <c r="C687" s="61"/>
      <c r="D687" s="61"/>
      <c r="E687" s="61"/>
      <c r="F687" s="62"/>
      <c r="G687" s="61"/>
      <c r="H687" s="61"/>
      <c r="I687" s="63"/>
      <c r="J687" s="63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spans="1:26" ht="15.75" customHeight="1" x14ac:dyDescent="0.3">
      <c r="A688" s="61"/>
      <c r="B688" s="61"/>
      <c r="C688" s="61"/>
      <c r="D688" s="61"/>
      <c r="E688" s="61"/>
      <c r="F688" s="62"/>
      <c r="G688" s="61"/>
      <c r="H688" s="61"/>
      <c r="I688" s="63"/>
      <c r="J688" s="63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spans="1:26" ht="15.75" customHeight="1" x14ac:dyDescent="0.3">
      <c r="A689" s="61"/>
      <c r="B689" s="61"/>
      <c r="C689" s="61"/>
      <c r="D689" s="61"/>
      <c r="E689" s="61"/>
      <c r="F689" s="62"/>
      <c r="G689" s="61"/>
      <c r="H689" s="61"/>
      <c r="I689" s="63"/>
      <c r="J689" s="63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spans="1:26" ht="15.75" customHeight="1" x14ac:dyDescent="0.3">
      <c r="A690" s="61"/>
      <c r="B690" s="61"/>
      <c r="C690" s="61"/>
      <c r="D690" s="61"/>
      <c r="E690" s="61"/>
      <c r="F690" s="62"/>
      <c r="G690" s="61"/>
      <c r="H690" s="61"/>
      <c r="I690" s="63"/>
      <c r="J690" s="63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spans="1:26" ht="15.75" customHeight="1" x14ac:dyDescent="0.3">
      <c r="A691" s="61"/>
      <c r="B691" s="61"/>
      <c r="C691" s="61"/>
      <c r="D691" s="61"/>
      <c r="E691" s="61"/>
      <c r="F691" s="62"/>
      <c r="G691" s="61"/>
      <c r="H691" s="61"/>
      <c r="I691" s="63"/>
      <c r="J691" s="63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spans="1:26" ht="15.75" customHeight="1" x14ac:dyDescent="0.3">
      <c r="A692" s="61"/>
      <c r="B692" s="61"/>
      <c r="C692" s="61"/>
      <c r="D692" s="61"/>
      <c r="E692" s="61"/>
      <c r="F692" s="62"/>
      <c r="G692" s="61"/>
      <c r="H692" s="61"/>
      <c r="I692" s="63"/>
      <c r="J692" s="63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spans="1:26" ht="15.75" customHeight="1" x14ac:dyDescent="0.3">
      <c r="A693" s="61"/>
      <c r="B693" s="61"/>
      <c r="C693" s="61"/>
      <c r="D693" s="61"/>
      <c r="E693" s="61"/>
      <c r="F693" s="62"/>
      <c r="G693" s="61"/>
      <c r="H693" s="61"/>
      <c r="I693" s="63"/>
      <c r="J693" s="63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spans="1:26" ht="15.75" customHeight="1" x14ac:dyDescent="0.3">
      <c r="A694" s="61"/>
      <c r="B694" s="61"/>
      <c r="C694" s="61"/>
      <c r="D694" s="61"/>
      <c r="E694" s="61"/>
      <c r="F694" s="62"/>
      <c r="G694" s="61"/>
      <c r="H694" s="61"/>
      <c r="I694" s="63"/>
      <c r="J694" s="63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spans="1:26" ht="15.75" customHeight="1" x14ac:dyDescent="0.3">
      <c r="A695" s="61"/>
      <c r="B695" s="61"/>
      <c r="C695" s="61"/>
      <c r="D695" s="61"/>
      <c r="E695" s="61"/>
      <c r="F695" s="62"/>
      <c r="G695" s="61"/>
      <c r="H695" s="61"/>
      <c r="I695" s="63"/>
      <c r="J695" s="63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spans="1:26" ht="15.75" customHeight="1" x14ac:dyDescent="0.3">
      <c r="A696" s="61"/>
      <c r="B696" s="61"/>
      <c r="C696" s="61"/>
      <c r="D696" s="61"/>
      <c r="E696" s="61"/>
      <c r="F696" s="62"/>
      <c r="G696" s="61"/>
      <c r="H696" s="61"/>
      <c r="I696" s="63"/>
      <c r="J696" s="63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spans="1:26" ht="15.75" customHeight="1" x14ac:dyDescent="0.3">
      <c r="A697" s="61"/>
      <c r="B697" s="61"/>
      <c r="C697" s="61"/>
      <c r="D697" s="61"/>
      <c r="E697" s="61"/>
      <c r="F697" s="62"/>
      <c r="G697" s="61"/>
      <c r="H697" s="61"/>
      <c r="I697" s="63"/>
      <c r="J697" s="63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spans="1:26" ht="15.75" customHeight="1" x14ac:dyDescent="0.3">
      <c r="A698" s="61"/>
      <c r="B698" s="61"/>
      <c r="C698" s="61"/>
      <c r="D698" s="61"/>
      <c r="E698" s="61"/>
      <c r="F698" s="62"/>
      <c r="G698" s="61"/>
      <c r="H698" s="61"/>
      <c r="I698" s="63"/>
      <c r="J698" s="63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spans="1:26" ht="15.75" customHeight="1" x14ac:dyDescent="0.3">
      <c r="A699" s="61"/>
      <c r="B699" s="61"/>
      <c r="C699" s="61"/>
      <c r="D699" s="61"/>
      <c r="E699" s="61"/>
      <c r="F699" s="62"/>
      <c r="G699" s="61"/>
      <c r="H699" s="61"/>
      <c r="I699" s="63"/>
      <c r="J699" s="63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spans="1:26" ht="15.75" customHeight="1" x14ac:dyDescent="0.3">
      <c r="A700" s="61"/>
      <c r="B700" s="61"/>
      <c r="C700" s="61"/>
      <c r="D700" s="61"/>
      <c r="E700" s="61"/>
      <c r="F700" s="62"/>
      <c r="G700" s="61"/>
      <c r="H700" s="61"/>
      <c r="I700" s="63"/>
      <c r="J700" s="63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spans="1:26" ht="15.75" customHeight="1" x14ac:dyDescent="0.3">
      <c r="A701" s="61"/>
      <c r="B701" s="61"/>
      <c r="C701" s="61"/>
      <c r="D701" s="61"/>
      <c r="E701" s="61"/>
      <c r="F701" s="62"/>
      <c r="G701" s="61"/>
      <c r="H701" s="61"/>
      <c r="I701" s="63"/>
      <c r="J701" s="63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spans="1:26" ht="15.75" customHeight="1" x14ac:dyDescent="0.3">
      <c r="A702" s="61"/>
      <c r="B702" s="61"/>
      <c r="C702" s="61"/>
      <c r="D702" s="61"/>
      <c r="E702" s="61"/>
      <c r="F702" s="62"/>
      <c r="G702" s="61"/>
      <c r="H702" s="61"/>
      <c r="I702" s="63"/>
      <c r="J702" s="63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spans="1:26" ht="15.75" customHeight="1" x14ac:dyDescent="0.3">
      <c r="A703" s="61"/>
      <c r="B703" s="61"/>
      <c r="C703" s="61"/>
      <c r="D703" s="61"/>
      <c r="E703" s="61"/>
      <c r="F703" s="62"/>
      <c r="G703" s="61"/>
      <c r="H703" s="61"/>
      <c r="I703" s="63"/>
      <c r="J703" s="63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spans="1:26" ht="15.75" customHeight="1" x14ac:dyDescent="0.3">
      <c r="A704" s="61"/>
      <c r="B704" s="61"/>
      <c r="C704" s="61"/>
      <c r="D704" s="61"/>
      <c r="E704" s="61"/>
      <c r="F704" s="62"/>
      <c r="G704" s="61"/>
      <c r="H704" s="61"/>
      <c r="I704" s="63"/>
      <c r="J704" s="63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spans="1:26" ht="15.75" customHeight="1" x14ac:dyDescent="0.3">
      <c r="A705" s="61"/>
      <c r="B705" s="61"/>
      <c r="C705" s="61"/>
      <c r="D705" s="61"/>
      <c r="E705" s="61"/>
      <c r="F705" s="62"/>
      <c r="G705" s="61"/>
      <c r="H705" s="61"/>
      <c r="I705" s="63"/>
      <c r="J705" s="63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spans="1:26" ht="15.75" customHeight="1" x14ac:dyDescent="0.3">
      <c r="A706" s="61"/>
      <c r="B706" s="61"/>
      <c r="C706" s="61"/>
      <c r="D706" s="61"/>
      <c r="E706" s="61"/>
      <c r="F706" s="62"/>
      <c r="G706" s="61"/>
      <c r="H706" s="61"/>
      <c r="I706" s="63"/>
      <c r="J706" s="63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spans="1:26" ht="15.75" customHeight="1" x14ac:dyDescent="0.3">
      <c r="A707" s="61"/>
      <c r="B707" s="61"/>
      <c r="C707" s="61"/>
      <c r="D707" s="61"/>
      <c r="E707" s="61"/>
      <c r="F707" s="62"/>
      <c r="G707" s="61"/>
      <c r="H707" s="61"/>
      <c r="I707" s="63"/>
      <c r="J707" s="63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spans="1:26" ht="15.75" customHeight="1" x14ac:dyDescent="0.3">
      <c r="A708" s="61"/>
      <c r="B708" s="61"/>
      <c r="C708" s="61"/>
      <c r="D708" s="61"/>
      <c r="E708" s="61"/>
      <c r="F708" s="62"/>
      <c r="G708" s="61"/>
      <c r="H708" s="61"/>
      <c r="I708" s="63"/>
      <c r="J708" s="63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spans="1:26" ht="15.75" customHeight="1" x14ac:dyDescent="0.3">
      <c r="A709" s="61"/>
      <c r="B709" s="61"/>
      <c r="C709" s="61"/>
      <c r="D709" s="61"/>
      <c r="E709" s="61"/>
      <c r="F709" s="62"/>
      <c r="G709" s="61"/>
      <c r="H709" s="61"/>
      <c r="I709" s="63"/>
      <c r="J709" s="63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spans="1:26" ht="15.75" customHeight="1" x14ac:dyDescent="0.3">
      <c r="A710" s="61"/>
      <c r="B710" s="61"/>
      <c r="C710" s="61"/>
      <c r="D710" s="61"/>
      <c r="E710" s="61"/>
      <c r="F710" s="62"/>
      <c r="G710" s="61"/>
      <c r="H710" s="61"/>
      <c r="I710" s="63"/>
      <c r="J710" s="63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spans="1:26" ht="15.75" customHeight="1" x14ac:dyDescent="0.3">
      <c r="A711" s="61"/>
      <c r="B711" s="61"/>
      <c r="C711" s="61"/>
      <c r="D711" s="61"/>
      <c r="E711" s="61"/>
      <c r="F711" s="62"/>
      <c r="G711" s="61"/>
      <c r="H711" s="61"/>
      <c r="I711" s="63"/>
      <c r="J711" s="63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spans="1:26" ht="15.75" customHeight="1" x14ac:dyDescent="0.3">
      <c r="A712" s="61"/>
      <c r="B712" s="61"/>
      <c r="C712" s="61"/>
      <c r="D712" s="61"/>
      <c r="E712" s="61"/>
      <c r="F712" s="62"/>
      <c r="G712" s="61"/>
      <c r="H712" s="61"/>
      <c r="I712" s="63"/>
      <c r="J712" s="63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spans="1:26" ht="15.75" customHeight="1" x14ac:dyDescent="0.3">
      <c r="A713" s="61"/>
      <c r="B713" s="61"/>
      <c r="C713" s="61"/>
      <c r="D713" s="61"/>
      <c r="E713" s="61"/>
      <c r="F713" s="62"/>
      <c r="G713" s="61"/>
      <c r="H713" s="61"/>
      <c r="I713" s="63"/>
      <c r="J713" s="63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spans="1:26" ht="15.75" customHeight="1" x14ac:dyDescent="0.3">
      <c r="A714" s="61"/>
      <c r="B714" s="61"/>
      <c r="C714" s="61"/>
      <c r="D714" s="61"/>
      <c r="E714" s="61"/>
      <c r="F714" s="62"/>
      <c r="G714" s="61"/>
      <c r="H714" s="61"/>
      <c r="I714" s="63"/>
      <c r="J714" s="63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spans="1:26" ht="15.75" customHeight="1" x14ac:dyDescent="0.3">
      <c r="A715" s="61"/>
      <c r="B715" s="61"/>
      <c r="C715" s="61"/>
      <c r="D715" s="61"/>
      <c r="E715" s="61"/>
      <c r="F715" s="62"/>
      <c r="G715" s="61"/>
      <c r="H715" s="61"/>
      <c r="I715" s="63"/>
      <c r="J715" s="63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spans="1:26" ht="15.75" customHeight="1" x14ac:dyDescent="0.3">
      <c r="A716" s="61"/>
      <c r="B716" s="61"/>
      <c r="C716" s="61"/>
      <c r="D716" s="61"/>
      <c r="E716" s="61"/>
      <c r="F716" s="62"/>
      <c r="G716" s="61"/>
      <c r="H716" s="61"/>
      <c r="I716" s="63"/>
      <c r="J716" s="63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spans="1:26" ht="15.75" customHeight="1" x14ac:dyDescent="0.3">
      <c r="A717" s="61"/>
      <c r="B717" s="61"/>
      <c r="C717" s="61"/>
      <c r="D717" s="61"/>
      <c r="E717" s="61"/>
      <c r="F717" s="62"/>
      <c r="G717" s="61"/>
      <c r="H717" s="61"/>
      <c r="I717" s="63"/>
      <c r="J717" s="63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spans="1:26" ht="15.75" customHeight="1" x14ac:dyDescent="0.3">
      <c r="A718" s="61"/>
      <c r="B718" s="61"/>
      <c r="C718" s="61"/>
      <c r="D718" s="61"/>
      <c r="E718" s="61"/>
      <c r="F718" s="62"/>
      <c r="G718" s="61"/>
      <c r="H718" s="61"/>
      <c r="I718" s="63"/>
      <c r="J718" s="63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spans="1:26" ht="15.75" customHeight="1" x14ac:dyDescent="0.3">
      <c r="A719" s="61"/>
      <c r="B719" s="61"/>
      <c r="C719" s="61"/>
      <c r="D719" s="61"/>
      <c r="E719" s="61"/>
      <c r="F719" s="62"/>
      <c r="G719" s="61"/>
      <c r="H719" s="61"/>
      <c r="I719" s="63"/>
      <c r="J719" s="63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spans="1:26" ht="15.75" customHeight="1" x14ac:dyDescent="0.3">
      <c r="A720" s="61"/>
      <c r="B720" s="61"/>
      <c r="C720" s="61"/>
      <c r="D720" s="61"/>
      <c r="E720" s="61"/>
      <c r="F720" s="62"/>
      <c r="G720" s="61"/>
      <c r="H720" s="61"/>
      <c r="I720" s="63"/>
      <c r="J720" s="63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spans="1:26" ht="15.75" customHeight="1" x14ac:dyDescent="0.3">
      <c r="A721" s="61"/>
      <c r="B721" s="61"/>
      <c r="C721" s="61"/>
      <c r="D721" s="61"/>
      <c r="E721" s="61"/>
      <c r="F721" s="62"/>
      <c r="G721" s="61"/>
      <c r="H721" s="61"/>
      <c r="I721" s="63"/>
      <c r="J721" s="63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spans="1:26" ht="15.75" customHeight="1" x14ac:dyDescent="0.3">
      <c r="A722" s="61"/>
      <c r="B722" s="61"/>
      <c r="C722" s="61"/>
      <c r="D722" s="61"/>
      <c r="E722" s="61"/>
      <c r="F722" s="62"/>
      <c r="G722" s="61"/>
      <c r="H722" s="61"/>
      <c r="I722" s="63"/>
      <c r="J722" s="63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spans="1:26" ht="15.75" customHeight="1" x14ac:dyDescent="0.3">
      <c r="A723" s="61"/>
      <c r="B723" s="61"/>
      <c r="C723" s="61"/>
      <c r="D723" s="61"/>
      <c r="E723" s="61"/>
      <c r="F723" s="62"/>
      <c r="G723" s="61"/>
      <c r="H723" s="61"/>
      <c r="I723" s="63"/>
      <c r="J723" s="63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spans="1:26" ht="15.75" customHeight="1" x14ac:dyDescent="0.3">
      <c r="A724" s="61"/>
      <c r="B724" s="61"/>
      <c r="C724" s="61"/>
      <c r="D724" s="61"/>
      <c r="E724" s="61"/>
      <c r="F724" s="62"/>
      <c r="G724" s="61"/>
      <c r="H724" s="61"/>
      <c r="I724" s="63"/>
      <c r="J724" s="63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spans="1:26" ht="15.75" customHeight="1" x14ac:dyDescent="0.3">
      <c r="A725" s="61"/>
      <c r="B725" s="61"/>
      <c r="C725" s="61"/>
      <c r="D725" s="61"/>
      <c r="E725" s="61"/>
      <c r="F725" s="62"/>
      <c r="G725" s="61"/>
      <c r="H725" s="61"/>
      <c r="I725" s="63"/>
      <c r="J725" s="63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spans="1:26" ht="15.75" customHeight="1" x14ac:dyDescent="0.3">
      <c r="A726" s="61"/>
      <c r="B726" s="61"/>
      <c r="C726" s="61"/>
      <c r="D726" s="61"/>
      <c r="E726" s="61"/>
      <c r="F726" s="62"/>
      <c r="G726" s="61"/>
      <c r="H726" s="61"/>
      <c r="I726" s="63"/>
      <c r="J726" s="63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spans="1:26" ht="15.75" customHeight="1" x14ac:dyDescent="0.3">
      <c r="A727" s="61"/>
      <c r="B727" s="61"/>
      <c r="C727" s="61"/>
      <c r="D727" s="61"/>
      <c r="E727" s="61"/>
      <c r="F727" s="62"/>
      <c r="G727" s="61"/>
      <c r="H727" s="61"/>
      <c r="I727" s="63"/>
      <c r="J727" s="63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spans="1:26" ht="15.75" customHeight="1" x14ac:dyDescent="0.3">
      <c r="A728" s="61"/>
      <c r="B728" s="61"/>
      <c r="C728" s="61"/>
      <c r="D728" s="61"/>
      <c r="E728" s="61"/>
      <c r="F728" s="62"/>
      <c r="G728" s="61"/>
      <c r="H728" s="61"/>
      <c r="I728" s="63"/>
      <c r="J728" s="63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spans="1:26" ht="15.75" customHeight="1" x14ac:dyDescent="0.3">
      <c r="A729" s="61"/>
      <c r="B729" s="61"/>
      <c r="C729" s="61"/>
      <c r="D729" s="61"/>
      <c r="E729" s="61"/>
      <c r="F729" s="62"/>
      <c r="G729" s="61"/>
      <c r="H729" s="61"/>
      <c r="I729" s="63"/>
      <c r="J729" s="63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spans="1:26" ht="15.75" customHeight="1" x14ac:dyDescent="0.3">
      <c r="A730" s="61"/>
      <c r="B730" s="61"/>
      <c r="C730" s="61"/>
      <c r="D730" s="61"/>
      <c r="E730" s="61"/>
      <c r="F730" s="62"/>
      <c r="G730" s="61"/>
      <c r="H730" s="61"/>
      <c r="I730" s="63"/>
      <c r="J730" s="63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spans="1:26" ht="15.75" customHeight="1" x14ac:dyDescent="0.3">
      <c r="A731" s="61"/>
      <c r="B731" s="61"/>
      <c r="C731" s="61"/>
      <c r="D731" s="61"/>
      <c r="E731" s="61"/>
      <c r="F731" s="62"/>
      <c r="G731" s="61"/>
      <c r="H731" s="61"/>
      <c r="I731" s="63"/>
      <c r="J731" s="63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spans="1:26" ht="15.75" customHeight="1" x14ac:dyDescent="0.3">
      <c r="A732" s="61"/>
      <c r="B732" s="61"/>
      <c r="C732" s="61"/>
      <c r="D732" s="61"/>
      <c r="E732" s="61"/>
      <c r="F732" s="62"/>
      <c r="G732" s="61"/>
      <c r="H732" s="61"/>
      <c r="I732" s="63"/>
      <c r="J732" s="63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spans="1:26" ht="15.75" customHeight="1" x14ac:dyDescent="0.3">
      <c r="A733" s="61"/>
      <c r="B733" s="61"/>
      <c r="C733" s="61"/>
      <c r="D733" s="61"/>
      <c r="E733" s="61"/>
      <c r="F733" s="62"/>
      <c r="G733" s="61"/>
      <c r="H733" s="61"/>
      <c r="I733" s="63"/>
      <c r="J733" s="63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spans="1:26" ht="15.75" customHeight="1" x14ac:dyDescent="0.3">
      <c r="A734" s="61"/>
      <c r="B734" s="61"/>
      <c r="C734" s="61"/>
      <c r="D734" s="61"/>
      <c r="E734" s="61"/>
      <c r="F734" s="62"/>
      <c r="G734" s="61"/>
      <c r="H734" s="61"/>
      <c r="I734" s="63"/>
      <c r="J734" s="63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spans="1:26" ht="15.75" customHeight="1" x14ac:dyDescent="0.3">
      <c r="A735" s="61"/>
      <c r="B735" s="61"/>
      <c r="C735" s="61"/>
      <c r="D735" s="61"/>
      <c r="E735" s="61"/>
      <c r="F735" s="62"/>
      <c r="G735" s="61"/>
      <c r="H735" s="61"/>
      <c r="I735" s="63"/>
      <c r="J735" s="63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spans="1:26" ht="15.75" customHeight="1" x14ac:dyDescent="0.3">
      <c r="A736" s="61"/>
      <c r="B736" s="61"/>
      <c r="C736" s="61"/>
      <c r="D736" s="61"/>
      <c r="E736" s="61"/>
      <c r="F736" s="62"/>
      <c r="G736" s="61"/>
      <c r="H736" s="61"/>
      <c r="I736" s="63"/>
      <c r="J736" s="63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spans="1:26" ht="15.75" customHeight="1" x14ac:dyDescent="0.3">
      <c r="A737" s="61"/>
      <c r="B737" s="61"/>
      <c r="C737" s="61"/>
      <c r="D737" s="61"/>
      <c r="E737" s="61"/>
      <c r="F737" s="62"/>
      <c r="G737" s="61"/>
      <c r="H737" s="61"/>
      <c r="I737" s="63"/>
      <c r="J737" s="63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spans="1:26" ht="15.75" customHeight="1" x14ac:dyDescent="0.3">
      <c r="A738" s="61"/>
      <c r="B738" s="61"/>
      <c r="C738" s="61"/>
      <c r="D738" s="61"/>
      <c r="E738" s="61"/>
      <c r="F738" s="62"/>
      <c r="G738" s="61"/>
      <c r="H738" s="61"/>
      <c r="I738" s="63"/>
      <c r="J738" s="63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spans="1:26" ht="15.75" customHeight="1" x14ac:dyDescent="0.3">
      <c r="A739" s="61"/>
      <c r="B739" s="61"/>
      <c r="C739" s="61"/>
      <c r="D739" s="61"/>
      <c r="E739" s="61"/>
      <c r="F739" s="62"/>
      <c r="G739" s="61"/>
      <c r="H739" s="61"/>
      <c r="I739" s="63"/>
      <c r="J739" s="63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spans="1:26" ht="15.75" customHeight="1" x14ac:dyDescent="0.3">
      <c r="A740" s="61"/>
      <c r="B740" s="61"/>
      <c r="C740" s="61"/>
      <c r="D740" s="61"/>
      <c r="E740" s="61"/>
      <c r="F740" s="62"/>
      <c r="G740" s="61"/>
      <c r="H740" s="61"/>
      <c r="I740" s="63"/>
      <c r="J740" s="63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spans="1:26" ht="15.75" customHeight="1" x14ac:dyDescent="0.3">
      <c r="A741" s="61"/>
      <c r="B741" s="61"/>
      <c r="C741" s="61"/>
      <c r="D741" s="61"/>
      <c r="E741" s="61"/>
      <c r="F741" s="62"/>
      <c r="G741" s="61"/>
      <c r="H741" s="61"/>
      <c r="I741" s="63"/>
      <c r="J741" s="63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spans="1:26" ht="15.75" customHeight="1" x14ac:dyDescent="0.3">
      <c r="A742" s="61"/>
      <c r="B742" s="61"/>
      <c r="C742" s="61"/>
      <c r="D742" s="61"/>
      <c r="E742" s="61"/>
      <c r="F742" s="62"/>
      <c r="G742" s="61"/>
      <c r="H742" s="61"/>
      <c r="I742" s="63"/>
      <c r="J742" s="63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spans="1:26" ht="15.75" customHeight="1" x14ac:dyDescent="0.3">
      <c r="A743" s="61"/>
      <c r="B743" s="61"/>
      <c r="C743" s="61"/>
      <c r="D743" s="61"/>
      <c r="E743" s="61"/>
      <c r="F743" s="62"/>
      <c r="G743" s="61"/>
      <c r="H743" s="61"/>
      <c r="I743" s="63"/>
      <c r="J743" s="63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spans="1:26" ht="15.75" customHeight="1" x14ac:dyDescent="0.3">
      <c r="A744" s="61"/>
      <c r="B744" s="61"/>
      <c r="C744" s="61"/>
      <c r="D744" s="61"/>
      <c r="E744" s="61"/>
      <c r="F744" s="62"/>
      <c r="G744" s="61"/>
      <c r="H744" s="61"/>
      <c r="I744" s="63"/>
      <c r="J744" s="63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spans="1:26" ht="15.75" customHeight="1" x14ac:dyDescent="0.3">
      <c r="A745" s="61"/>
      <c r="B745" s="61"/>
      <c r="C745" s="61"/>
      <c r="D745" s="61"/>
      <c r="E745" s="61"/>
      <c r="F745" s="62"/>
      <c r="G745" s="61"/>
      <c r="H745" s="61"/>
      <c r="I745" s="63"/>
      <c r="J745" s="63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spans="1:26" ht="15.75" customHeight="1" x14ac:dyDescent="0.3">
      <c r="A746" s="61"/>
      <c r="B746" s="61"/>
      <c r="C746" s="61"/>
      <c r="D746" s="61"/>
      <c r="E746" s="61"/>
      <c r="F746" s="62"/>
      <c r="G746" s="61"/>
      <c r="H746" s="61"/>
      <c r="I746" s="63"/>
      <c r="J746" s="63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spans="1:26" ht="15.75" customHeight="1" x14ac:dyDescent="0.3">
      <c r="A747" s="61"/>
      <c r="B747" s="61"/>
      <c r="C747" s="61"/>
      <c r="D747" s="61"/>
      <c r="E747" s="61"/>
      <c r="F747" s="62"/>
      <c r="G747" s="61"/>
      <c r="H747" s="61"/>
      <c r="I747" s="63"/>
      <c r="J747" s="63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spans="1:26" ht="15.75" customHeight="1" x14ac:dyDescent="0.3">
      <c r="A748" s="61"/>
      <c r="B748" s="61"/>
      <c r="C748" s="61"/>
      <c r="D748" s="61"/>
      <c r="E748" s="61"/>
      <c r="F748" s="62"/>
      <c r="G748" s="61"/>
      <c r="H748" s="61"/>
      <c r="I748" s="63"/>
      <c r="J748" s="63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spans="1:26" ht="15.75" customHeight="1" x14ac:dyDescent="0.3">
      <c r="A749" s="61"/>
      <c r="B749" s="61"/>
      <c r="C749" s="61"/>
      <c r="D749" s="61"/>
      <c r="E749" s="61"/>
      <c r="F749" s="62"/>
      <c r="G749" s="61"/>
      <c r="H749" s="61"/>
      <c r="I749" s="63"/>
      <c r="J749" s="63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spans="1:26" ht="15.75" customHeight="1" x14ac:dyDescent="0.3">
      <c r="A750" s="61"/>
      <c r="B750" s="61"/>
      <c r="C750" s="61"/>
      <c r="D750" s="61"/>
      <c r="E750" s="61"/>
      <c r="F750" s="62"/>
      <c r="G750" s="61"/>
      <c r="H750" s="61"/>
      <c r="I750" s="63"/>
      <c r="J750" s="63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spans="1:26" ht="15.75" customHeight="1" x14ac:dyDescent="0.3">
      <c r="A751" s="61"/>
      <c r="B751" s="61"/>
      <c r="C751" s="61"/>
      <c r="D751" s="61"/>
      <c r="E751" s="61"/>
      <c r="F751" s="62"/>
      <c r="G751" s="61"/>
      <c r="H751" s="61"/>
      <c r="I751" s="63"/>
      <c r="J751" s="63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spans="1:26" ht="15.75" customHeight="1" x14ac:dyDescent="0.3">
      <c r="A752" s="61"/>
      <c r="B752" s="61"/>
      <c r="C752" s="61"/>
      <c r="D752" s="61"/>
      <c r="E752" s="61"/>
      <c r="F752" s="62"/>
      <c r="G752" s="61"/>
      <c r="H752" s="61"/>
      <c r="I752" s="63"/>
      <c r="J752" s="63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spans="1:26" ht="15.75" customHeight="1" x14ac:dyDescent="0.3">
      <c r="A753" s="61"/>
      <c r="B753" s="61"/>
      <c r="C753" s="61"/>
      <c r="D753" s="61"/>
      <c r="E753" s="61"/>
      <c r="F753" s="62"/>
      <c r="G753" s="61"/>
      <c r="H753" s="61"/>
      <c r="I753" s="63"/>
      <c r="J753" s="63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spans="1:26" ht="15.75" customHeight="1" x14ac:dyDescent="0.3">
      <c r="A754" s="61"/>
      <c r="B754" s="61"/>
      <c r="C754" s="61"/>
      <c r="D754" s="61"/>
      <c r="E754" s="61"/>
      <c r="F754" s="62"/>
      <c r="G754" s="61"/>
      <c r="H754" s="61"/>
      <c r="I754" s="63"/>
      <c r="J754" s="63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spans="1:26" ht="15.75" customHeight="1" x14ac:dyDescent="0.3">
      <c r="A755" s="61"/>
      <c r="B755" s="61"/>
      <c r="C755" s="61"/>
      <c r="D755" s="61"/>
      <c r="E755" s="61"/>
      <c r="F755" s="62"/>
      <c r="G755" s="61"/>
      <c r="H755" s="61"/>
      <c r="I755" s="63"/>
      <c r="J755" s="63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spans="1:26" ht="15.75" customHeight="1" x14ac:dyDescent="0.3">
      <c r="A756" s="61"/>
      <c r="B756" s="61"/>
      <c r="C756" s="61"/>
      <c r="D756" s="61"/>
      <c r="E756" s="61"/>
      <c r="F756" s="62"/>
      <c r="G756" s="61"/>
      <c r="H756" s="61"/>
      <c r="I756" s="63"/>
      <c r="J756" s="63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spans="1:26" ht="15.75" customHeight="1" x14ac:dyDescent="0.3">
      <c r="A757" s="61"/>
      <c r="B757" s="61"/>
      <c r="C757" s="61"/>
      <c r="D757" s="61"/>
      <c r="E757" s="61"/>
      <c r="F757" s="62"/>
      <c r="G757" s="61"/>
      <c r="H757" s="61"/>
      <c r="I757" s="63"/>
      <c r="J757" s="63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spans="1:26" ht="15.75" customHeight="1" x14ac:dyDescent="0.3">
      <c r="A758" s="61"/>
      <c r="B758" s="61"/>
      <c r="C758" s="61"/>
      <c r="D758" s="61"/>
      <c r="E758" s="61"/>
      <c r="F758" s="62"/>
      <c r="G758" s="61"/>
      <c r="H758" s="61"/>
      <c r="I758" s="63"/>
      <c r="J758" s="63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spans="1:26" ht="15.75" customHeight="1" x14ac:dyDescent="0.3">
      <c r="A759" s="61"/>
      <c r="B759" s="61"/>
      <c r="C759" s="61"/>
      <c r="D759" s="61"/>
      <c r="E759" s="61"/>
      <c r="F759" s="62"/>
      <c r="G759" s="61"/>
      <c r="H759" s="61"/>
      <c r="I759" s="63"/>
      <c r="J759" s="63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spans="1:26" ht="15.75" customHeight="1" x14ac:dyDescent="0.3">
      <c r="A760" s="61"/>
      <c r="B760" s="61"/>
      <c r="C760" s="61"/>
      <c r="D760" s="61"/>
      <c r="E760" s="61"/>
      <c r="F760" s="62"/>
      <c r="G760" s="61"/>
      <c r="H760" s="61"/>
      <c r="I760" s="63"/>
      <c r="J760" s="63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spans="1:26" ht="15.75" customHeight="1" x14ac:dyDescent="0.3">
      <c r="A761" s="61"/>
      <c r="B761" s="61"/>
      <c r="C761" s="61"/>
      <c r="D761" s="61"/>
      <c r="E761" s="61"/>
      <c r="F761" s="62"/>
      <c r="G761" s="61"/>
      <c r="H761" s="61"/>
      <c r="I761" s="63"/>
      <c r="J761" s="63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spans="1:26" ht="15.75" customHeight="1" x14ac:dyDescent="0.3">
      <c r="A762" s="61"/>
      <c r="B762" s="61"/>
      <c r="C762" s="61"/>
      <c r="D762" s="61"/>
      <c r="E762" s="61"/>
      <c r="F762" s="62"/>
      <c r="G762" s="61"/>
      <c r="H762" s="61"/>
      <c r="I762" s="63"/>
      <c r="J762" s="63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spans="1:26" ht="15.75" customHeight="1" x14ac:dyDescent="0.3">
      <c r="A763" s="61"/>
      <c r="B763" s="61"/>
      <c r="C763" s="61"/>
      <c r="D763" s="61"/>
      <c r="E763" s="61"/>
      <c r="F763" s="62"/>
      <c r="G763" s="61"/>
      <c r="H763" s="61"/>
      <c r="I763" s="63"/>
      <c r="J763" s="63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spans="1:26" ht="15.75" customHeight="1" x14ac:dyDescent="0.3">
      <c r="A764" s="61"/>
      <c r="B764" s="61"/>
      <c r="C764" s="61"/>
      <c r="D764" s="61"/>
      <c r="E764" s="61"/>
      <c r="F764" s="62"/>
      <c r="G764" s="61"/>
      <c r="H764" s="61"/>
      <c r="I764" s="63"/>
      <c r="J764" s="63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spans="1:26" ht="15.75" customHeight="1" x14ac:dyDescent="0.3">
      <c r="A765" s="61"/>
      <c r="B765" s="61"/>
      <c r="C765" s="61"/>
      <c r="D765" s="61"/>
      <c r="E765" s="61"/>
      <c r="F765" s="62"/>
      <c r="G765" s="61"/>
      <c r="H765" s="61"/>
      <c r="I765" s="63"/>
      <c r="J765" s="63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spans="1:26" ht="15.75" customHeight="1" x14ac:dyDescent="0.3">
      <c r="A766" s="61"/>
      <c r="B766" s="61"/>
      <c r="C766" s="61"/>
      <c r="D766" s="61"/>
      <c r="E766" s="61"/>
      <c r="F766" s="62"/>
      <c r="G766" s="61"/>
      <c r="H766" s="61"/>
      <c r="I766" s="63"/>
      <c r="J766" s="63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spans="1:26" ht="15.75" customHeight="1" x14ac:dyDescent="0.3">
      <c r="A767" s="61"/>
      <c r="B767" s="61"/>
      <c r="C767" s="61"/>
      <c r="D767" s="61"/>
      <c r="E767" s="61"/>
      <c r="F767" s="62"/>
      <c r="G767" s="61"/>
      <c r="H767" s="61"/>
      <c r="I767" s="63"/>
      <c r="J767" s="63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spans="1:26" ht="15.75" customHeight="1" x14ac:dyDescent="0.3">
      <c r="A768" s="61"/>
      <c r="B768" s="61"/>
      <c r="C768" s="61"/>
      <c r="D768" s="61"/>
      <c r="E768" s="61"/>
      <c r="F768" s="62"/>
      <c r="G768" s="61"/>
      <c r="H768" s="61"/>
      <c r="I768" s="63"/>
      <c r="J768" s="63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spans="1:26" ht="15.75" customHeight="1" x14ac:dyDescent="0.3">
      <c r="A769" s="61"/>
      <c r="B769" s="61"/>
      <c r="C769" s="61"/>
      <c r="D769" s="61"/>
      <c r="E769" s="61"/>
      <c r="F769" s="62"/>
      <c r="G769" s="61"/>
      <c r="H769" s="61"/>
      <c r="I769" s="63"/>
      <c r="J769" s="63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spans="1:26" ht="15.75" customHeight="1" x14ac:dyDescent="0.3">
      <c r="A770" s="61"/>
      <c r="B770" s="61"/>
      <c r="C770" s="61"/>
      <c r="D770" s="61"/>
      <c r="E770" s="61"/>
      <c r="F770" s="62"/>
      <c r="G770" s="61"/>
      <c r="H770" s="61"/>
      <c r="I770" s="63"/>
      <c r="J770" s="63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spans="1:26" ht="15.75" customHeight="1" x14ac:dyDescent="0.3">
      <c r="A771" s="61"/>
      <c r="B771" s="61"/>
      <c r="C771" s="61"/>
      <c r="D771" s="61"/>
      <c r="E771" s="61"/>
      <c r="F771" s="62"/>
      <c r="G771" s="61"/>
      <c r="H771" s="61"/>
      <c r="I771" s="63"/>
      <c r="J771" s="63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spans="1:26" ht="15.75" customHeight="1" x14ac:dyDescent="0.3">
      <c r="A772" s="61"/>
      <c r="B772" s="61"/>
      <c r="C772" s="61"/>
      <c r="D772" s="61"/>
      <c r="E772" s="61"/>
      <c r="F772" s="62"/>
      <c r="G772" s="61"/>
      <c r="H772" s="61"/>
      <c r="I772" s="63"/>
      <c r="J772" s="63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spans="1:26" ht="15.75" customHeight="1" x14ac:dyDescent="0.3">
      <c r="A773" s="61"/>
      <c r="B773" s="61"/>
      <c r="C773" s="61"/>
      <c r="D773" s="61"/>
      <c r="E773" s="61"/>
      <c r="F773" s="62"/>
      <c r="G773" s="61"/>
      <c r="H773" s="61"/>
      <c r="I773" s="63"/>
      <c r="J773" s="63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spans="1:26" ht="15.75" customHeight="1" x14ac:dyDescent="0.3">
      <c r="A774" s="61"/>
      <c r="B774" s="61"/>
      <c r="C774" s="61"/>
      <c r="D774" s="61"/>
      <c r="E774" s="61"/>
      <c r="F774" s="62"/>
      <c r="G774" s="61"/>
      <c r="H774" s="61"/>
      <c r="I774" s="63"/>
      <c r="J774" s="63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spans="1:26" ht="15.75" customHeight="1" x14ac:dyDescent="0.3">
      <c r="A775" s="61"/>
      <c r="B775" s="61"/>
      <c r="C775" s="61"/>
      <c r="D775" s="61"/>
      <c r="E775" s="61"/>
      <c r="F775" s="62"/>
      <c r="G775" s="61"/>
      <c r="H775" s="61"/>
      <c r="I775" s="63"/>
      <c r="J775" s="63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spans="1:26" ht="15.75" customHeight="1" x14ac:dyDescent="0.3">
      <c r="A776" s="61"/>
      <c r="B776" s="61"/>
      <c r="C776" s="61"/>
      <c r="D776" s="61"/>
      <c r="E776" s="61"/>
      <c r="F776" s="62"/>
      <c r="G776" s="61"/>
      <c r="H776" s="61"/>
      <c r="I776" s="63"/>
      <c r="J776" s="63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spans="1:26" ht="15.75" customHeight="1" x14ac:dyDescent="0.3">
      <c r="A777" s="61"/>
      <c r="B777" s="61"/>
      <c r="C777" s="61"/>
      <c r="D777" s="61"/>
      <c r="E777" s="61"/>
      <c r="F777" s="62"/>
      <c r="G777" s="61"/>
      <c r="H777" s="61"/>
      <c r="I777" s="63"/>
      <c r="J777" s="63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spans="1:26" ht="15.75" customHeight="1" x14ac:dyDescent="0.3">
      <c r="A778" s="61"/>
      <c r="B778" s="61"/>
      <c r="C778" s="61"/>
      <c r="D778" s="61"/>
      <c r="E778" s="61"/>
      <c r="F778" s="62"/>
      <c r="G778" s="61"/>
      <c r="H778" s="61"/>
      <c r="I778" s="63"/>
      <c r="J778" s="63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spans="1:26" ht="15.75" customHeight="1" x14ac:dyDescent="0.3">
      <c r="A779" s="61"/>
      <c r="B779" s="61"/>
      <c r="C779" s="61"/>
      <c r="D779" s="61"/>
      <c r="E779" s="61"/>
      <c r="F779" s="62"/>
      <c r="G779" s="61"/>
      <c r="H779" s="61"/>
      <c r="I779" s="63"/>
      <c r="J779" s="63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spans="1:26" ht="15.75" customHeight="1" x14ac:dyDescent="0.3">
      <c r="A780" s="61"/>
      <c r="B780" s="61"/>
      <c r="C780" s="61"/>
      <c r="D780" s="61"/>
      <c r="E780" s="61"/>
      <c r="F780" s="62"/>
      <c r="G780" s="61"/>
      <c r="H780" s="61"/>
      <c r="I780" s="63"/>
      <c r="J780" s="63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spans="1:26" ht="15.75" customHeight="1" x14ac:dyDescent="0.3">
      <c r="A781" s="61"/>
      <c r="B781" s="61"/>
      <c r="C781" s="61"/>
      <c r="D781" s="61"/>
      <c r="E781" s="61"/>
      <c r="F781" s="62"/>
      <c r="G781" s="61"/>
      <c r="H781" s="61"/>
      <c r="I781" s="63"/>
      <c r="J781" s="63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spans="1:26" ht="15.75" customHeight="1" x14ac:dyDescent="0.3">
      <c r="A782" s="61"/>
      <c r="B782" s="61"/>
      <c r="C782" s="61"/>
      <c r="D782" s="61"/>
      <c r="E782" s="61"/>
      <c r="F782" s="62"/>
      <c r="G782" s="61"/>
      <c r="H782" s="61"/>
      <c r="I782" s="63"/>
      <c r="J782" s="63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spans="1:26" ht="15.75" customHeight="1" x14ac:dyDescent="0.3">
      <c r="A783" s="61"/>
      <c r="B783" s="61"/>
      <c r="C783" s="61"/>
      <c r="D783" s="61"/>
      <c r="E783" s="61"/>
      <c r="F783" s="62"/>
      <c r="G783" s="61"/>
      <c r="H783" s="61"/>
      <c r="I783" s="63"/>
      <c r="J783" s="63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spans="1:26" ht="15.75" customHeight="1" x14ac:dyDescent="0.3">
      <c r="A784" s="61"/>
      <c r="B784" s="61"/>
      <c r="C784" s="61"/>
      <c r="D784" s="61"/>
      <c r="E784" s="61"/>
      <c r="F784" s="62"/>
      <c r="G784" s="61"/>
      <c r="H784" s="61"/>
      <c r="I784" s="63"/>
      <c r="J784" s="63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spans="1:26" ht="15.75" customHeight="1" x14ac:dyDescent="0.3">
      <c r="A785" s="61"/>
      <c r="B785" s="61"/>
      <c r="C785" s="61"/>
      <c r="D785" s="61"/>
      <c r="E785" s="61"/>
      <c r="F785" s="62"/>
      <c r="G785" s="61"/>
      <c r="H785" s="61"/>
      <c r="I785" s="63"/>
      <c r="J785" s="63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spans="1:26" ht="15.75" customHeight="1" x14ac:dyDescent="0.3">
      <c r="A786" s="61"/>
      <c r="B786" s="61"/>
      <c r="C786" s="61"/>
      <c r="D786" s="61"/>
      <c r="E786" s="61"/>
      <c r="F786" s="62"/>
      <c r="G786" s="61"/>
      <c r="H786" s="61"/>
      <c r="I786" s="63"/>
      <c r="J786" s="63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spans="1:26" ht="15.75" customHeight="1" x14ac:dyDescent="0.3">
      <c r="A787" s="61"/>
      <c r="B787" s="61"/>
      <c r="C787" s="61"/>
      <c r="D787" s="61"/>
      <c r="E787" s="61"/>
      <c r="F787" s="62"/>
      <c r="G787" s="61"/>
      <c r="H787" s="61"/>
      <c r="I787" s="63"/>
      <c r="J787" s="63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spans="1:26" ht="15.75" customHeight="1" x14ac:dyDescent="0.3">
      <c r="A788" s="61"/>
      <c r="B788" s="61"/>
      <c r="C788" s="61"/>
      <c r="D788" s="61"/>
      <c r="E788" s="61"/>
      <c r="F788" s="62"/>
      <c r="G788" s="61"/>
      <c r="H788" s="61"/>
      <c r="I788" s="63"/>
      <c r="J788" s="63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spans="1:26" ht="15.75" customHeight="1" x14ac:dyDescent="0.3">
      <c r="A789" s="61"/>
      <c r="B789" s="61"/>
      <c r="C789" s="61"/>
      <c r="D789" s="61"/>
      <c r="E789" s="61"/>
      <c r="F789" s="62"/>
      <c r="G789" s="61"/>
      <c r="H789" s="61"/>
      <c r="I789" s="63"/>
      <c r="J789" s="63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spans="1:26" ht="15.75" customHeight="1" x14ac:dyDescent="0.3">
      <c r="A790" s="61"/>
      <c r="B790" s="61"/>
      <c r="C790" s="61"/>
      <c r="D790" s="61"/>
      <c r="E790" s="61"/>
      <c r="F790" s="62"/>
      <c r="G790" s="61"/>
      <c r="H790" s="61"/>
      <c r="I790" s="63"/>
      <c r="J790" s="63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spans="1:26" ht="15.75" customHeight="1" x14ac:dyDescent="0.3">
      <c r="A791" s="61"/>
      <c r="B791" s="61"/>
      <c r="C791" s="61"/>
      <c r="D791" s="61"/>
      <c r="E791" s="61"/>
      <c r="F791" s="62"/>
      <c r="G791" s="61"/>
      <c r="H791" s="61"/>
      <c r="I791" s="63"/>
      <c r="J791" s="63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spans="1:26" ht="15.75" customHeight="1" x14ac:dyDescent="0.3">
      <c r="A792" s="61"/>
      <c r="B792" s="61"/>
      <c r="C792" s="61"/>
      <c r="D792" s="61"/>
      <c r="E792" s="61"/>
      <c r="F792" s="62"/>
      <c r="G792" s="61"/>
      <c r="H792" s="61"/>
      <c r="I792" s="63"/>
      <c r="J792" s="63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spans="1:26" ht="15.75" customHeight="1" x14ac:dyDescent="0.3">
      <c r="A793" s="61"/>
      <c r="B793" s="61"/>
      <c r="C793" s="61"/>
      <c r="D793" s="61"/>
      <c r="E793" s="61"/>
      <c r="F793" s="62"/>
      <c r="G793" s="61"/>
      <c r="H793" s="61"/>
      <c r="I793" s="63"/>
      <c r="J793" s="63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spans="1:26" ht="15.75" customHeight="1" x14ac:dyDescent="0.3">
      <c r="A794" s="61"/>
      <c r="B794" s="61"/>
      <c r="C794" s="61"/>
      <c r="D794" s="61"/>
      <c r="E794" s="61"/>
      <c r="F794" s="62"/>
      <c r="G794" s="61"/>
      <c r="H794" s="61"/>
      <c r="I794" s="63"/>
      <c r="J794" s="63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spans="1:26" ht="15.75" customHeight="1" x14ac:dyDescent="0.3">
      <c r="A795" s="61"/>
      <c r="B795" s="61"/>
      <c r="C795" s="61"/>
      <c r="D795" s="61"/>
      <c r="E795" s="61"/>
      <c r="F795" s="62"/>
      <c r="G795" s="61"/>
      <c r="H795" s="61"/>
      <c r="I795" s="63"/>
      <c r="J795" s="63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spans="1:26" ht="15.75" customHeight="1" x14ac:dyDescent="0.3">
      <c r="A796" s="61"/>
      <c r="B796" s="61"/>
      <c r="C796" s="61"/>
      <c r="D796" s="61"/>
      <c r="E796" s="61"/>
      <c r="F796" s="62"/>
      <c r="G796" s="61"/>
      <c r="H796" s="61"/>
      <c r="I796" s="63"/>
      <c r="J796" s="63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spans="1:26" ht="15.75" customHeight="1" x14ac:dyDescent="0.3">
      <c r="A797" s="61"/>
      <c r="B797" s="61"/>
      <c r="C797" s="61"/>
      <c r="D797" s="61"/>
      <c r="E797" s="61"/>
      <c r="F797" s="62"/>
      <c r="G797" s="61"/>
      <c r="H797" s="61"/>
      <c r="I797" s="63"/>
      <c r="J797" s="63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spans="1:26" ht="15.75" customHeight="1" x14ac:dyDescent="0.3">
      <c r="A798" s="61"/>
      <c r="B798" s="61"/>
      <c r="C798" s="61"/>
      <c r="D798" s="61"/>
      <c r="E798" s="61"/>
      <c r="F798" s="62"/>
      <c r="G798" s="61"/>
      <c r="H798" s="61"/>
      <c r="I798" s="63"/>
      <c r="J798" s="63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spans="1:26" ht="15.75" customHeight="1" x14ac:dyDescent="0.3">
      <c r="A799" s="61"/>
      <c r="B799" s="61"/>
      <c r="C799" s="61"/>
      <c r="D799" s="61"/>
      <c r="E799" s="61"/>
      <c r="F799" s="62"/>
      <c r="G799" s="61"/>
      <c r="H799" s="61"/>
      <c r="I799" s="63"/>
      <c r="J799" s="63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spans="1:26" ht="15.75" customHeight="1" x14ac:dyDescent="0.3">
      <c r="A800" s="61"/>
      <c r="B800" s="61"/>
      <c r="C800" s="61"/>
      <c r="D800" s="61"/>
      <c r="E800" s="61"/>
      <c r="F800" s="62"/>
      <c r="G800" s="61"/>
      <c r="H800" s="61"/>
      <c r="I800" s="63"/>
      <c r="J800" s="63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spans="1:26" ht="15.75" customHeight="1" x14ac:dyDescent="0.3">
      <c r="A801" s="61"/>
      <c r="B801" s="61"/>
      <c r="C801" s="61"/>
      <c r="D801" s="61"/>
      <c r="E801" s="61"/>
      <c r="F801" s="62"/>
      <c r="G801" s="61"/>
      <c r="H801" s="61"/>
      <c r="I801" s="63"/>
      <c r="J801" s="63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spans="1:26" ht="15.75" customHeight="1" x14ac:dyDescent="0.3">
      <c r="A802" s="61"/>
      <c r="B802" s="61"/>
      <c r="C802" s="61"/>
      <c r="D802" s="61"/>
      <c r="E802" s="61"/>
      <c r="F802" s="62"/>
      <c r="G802" s="61"/>
      <c r="H802" s="61"/>
      <c r="I802" s="63"/>
      <c r="J802" s="63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spans="1:26" ht="15.75" customHeight="1" x14ac:dyDescent="0.3">
      <c r="A803" s="61"/>
      <c r="B803" s="61"/>
      <c r="C803" s="61"/>
      <c r="D803" s="61"/>
      <c r="E803" s="61"/>
      <c r="F803" s="62"/>
      <c r="G803" s="61"/>
      <c r="H803" s="61"/>
      <c r="I803" s="63"/>
      <c r="J803" s="63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spans="1:26" ht="15.75" customHeight="1" x14ac:dyDescent="0.3">
      <c r="A804" s="61"/>
      <c r="B804" s="61"/>
      <c r="C804" s="61"/>
      <c r="D804" s="61"/>
      <c r="E804" s="61"/>
      <c r="F804" s="62"/>
      <c r="G804" s="61"/>
      <c r="H804" s="61"/>
      <c r="I804" s="63"/>
      <c r="J804" s="63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spans="1:26" ht="15.75" customHeight="1" x14ac:dyDescent="0.3">
      <c r="A805" s="61"/>
      <c r="B805" s="61"/>
      <c r="C805" s="61"/>
      <c r="D805" s="61"/>
      <c r="E805" s="61"/>
      <c r="F805" s="62"/>
      <c r="G805" s="61"/>
      <c r="H805" s="61"/>
      <c r="I805" s="63"/>
      <c r="J805" s="63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spans="1:26" ht="15.75" customHeight="1" x14ac:dyDescent="0.3">
      <c r="A806" s="61"/>
      <c r="B806" s="61"/>
      <c r="C806" s="61"/>
      <c r="D806" s="61"/>
      <c r="E806" s="61"/>
      <c r="F806" s="62"/>
      <c r="G806" s="61"/>
      <c r="H806" s="61"/>
      <c r="I806" s="63"/>
      <c r="J806" s="63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spans="1:26" ht="15.75" customHeight="1" x14ac:dyDescent="0.3">
      <c r="A807" s="61"/>
      <c r="B807" s="61"/>
      <c r="C807" s="61"/>
      <c r="D807" s="61"/>
      <c r="E807" s="61"/>
      <c r="F807" s="62"/>
      <c r="G807" s="61"/>
      <c r="H807" s="61"/>
      <c r="I807" s="63"/>
      <c r="J807" s="63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spans="1:26" ht="15.75" customHeight="1" x14ac:dyDescent="0.3">
      <c r="A808" s="61"/>
      <c r="B808" s="61"/>
      <c r="C808" s="61"/>
      <c r="D808" s="61"/>
      <c r="E808" s="61"/>
      <c r="F808" s="62"/>
      <c r="G808" s="61"/>
      <c r="H808" s="61"/>
      <c r="I808" s="63"/>
      <c r="J808" s="63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spans="1:26" ht="15.75" customHeight="1" x14ac:dyDescent="0.3">
      <c r="A809" s="61"/>
      <c r="B809" s="61"/>
      <c r="C809" s="61"/>
      <c r="D809" s="61"/>
      <c r="E809" s="61"/>
      <c r="F809" s="62"/>
      <c r="G809" s="61"/>
      <c r="H809" s="61"/>
      <c r="I809" s="63"/>
      <c r="J809" s="63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spans="1:26" ht="15.75" customHeight="1" x14ac:dyDescent="0.3">
      <c r="A810" s="61"/>
      <c r="B810" s="61"/>
      <c r="C810" s="61"/>
      <c r="D810" s="61"/>
      <c r="E810" s="61"/>
      <c r="F810" s="62"/>
      <c r="G810" s="61"/>
      <c r="H810" s="61"/>
      <c r="I810" s="63"/>
      <c r="J810" s="63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spans="1:26" ht="15.75" customHeight="1" x14ac:dyDescent="0.3">
      <c r="A811" s="61"/>
      <c r="B811" s="61"/>
      <c r="C811" s="61"/>
      <c r="D811" s="61"/>
      <c r="E811" s="61"/>
      <c r="F811" s="62"/>
      <c r="G811" s="61"/>
      <c r="H811" s="61"/>
      <c r="I811" s="63"/>
      <c r="J811" s="63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spans="1:26" ht="15.75" customHeight="1" x14ac:dyDescent="0.3">
      <c r="A812" s="61"/>
      <c r="B812" s="61"/>
      <c r="C812" s="61"/>
      <c r="D812" s="61"/>
      <c r="E812" s="61"/>
      <c r="F812" s="62"/>
      <c r="G812" s="61"/>
      <c r="H812" s="61"/>
      <c r="I812" s="63"/>
      <c r="J812" s="63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spans="1:26" ht="15.75" customHeight="1" x14ac:dyDescent="0.3">
      <c r="A813" s="61"/>
      <c r="B813" s="61"/>
      <c r="C813" s="61"/>
      <c r="D813" s="61"/>
      <c r="E813" s="61"/>
      <c r="F813" s="62"/>
      <c r="G813" s="61"/>
      <c r="H813" s="61"/>
      <c r="I813" s="63"/>
      <c r="J813" s="63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spans="1:26" ht="15.75" customHeight="1" x14ac:dyDescent="0.3">
      <c r="A814" s="61"/>
      <c r="B814" s="61"/>
      <c r="C814" s="61"/>
      <c r="D814" s="61"/>
      <c r="E814" s="61"/>
      <c r="F814" s="62"/>
      <c r="G814" s="61"/>
      <c r="H814" s="61"/>
      <c r="I814" s="63"/>
      <c r="J814" s="63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spans="1:26" ht="15.75" customHeight="1" x14ac:dyDescent="0.3">
      <c r="A815" s="61"/>
      <c r="B815" s="61"/>
      <c r="C815" s="61"/>
      <c r="D815" s="61"/>
      <c r="E815" s="61"/>
      <c r="F815" s="62"/>
      <c r="G815" s="61"/>
      <c r="H815" s="61"/>
      <c r="I815" s="63"/>
      <c r="J815" s="63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spans="1:26" ht="15.75" customHeight="1" x14ac:dyDescent="0.3">
      <c r="A816" s="61"/>
      <c r="B816" s="61"/>
      <c r="C816" s="61"/>
      <c r="D816" s="61"/>
      <c r="E816" s="61"/>
      <c r="F816" s="62"/>
      <c r="G816" s="61"/>
      <c r="H816" s="61"/>
      <c r="I816" s="63"/>
      <c r="J816" s="63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spans="1:26" ht="15.75" customHeight="1" x14ac:dyDescent="0.3">
      <c r="A817" s="61"/>
      <c r="B817" s="61"/>
      <c r="C817" s="61"/>
      <c r="D817" s="61"/>
      <c r="E817" s="61"/>
      <c r="F817" s="62"/>
      <c r="G817" s="61"/>
      <c r="H817" s="61"/>
      <c r="I817" s="63"/>
      <c r="J817" s="63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spans="1:26" ht="15.75" customHeight="1" x14ac:dyDescent="0.3">
      <c r="A818" s="61"/>
      <c r="B818" s="61"/>
      <c r="C818" s="61"/>
      <c r="D818" s="61"/>
      <c r="E818" s="61"/>
      <c r="F818" s="62"/>
      <c r="G818" s="61"/>
      <c r="H818" s="61"/>
      <c r="I818" s="63"/>
      <c r="J818" s="63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spans="1:26" ht="15.75" customHeight="1" x14ac:dyDescent="0.3">
      <c r="A819" s="61"/>
      <c r="B819" s="61"/>
      <c r="C819" s="61"/>
      <c r="D819" s="61"/>
      <c r="E819" s="61"/>
      <c r="F819" s="62"/>
      <c r="G819" s="61"/>
      <c r="H819" s="61"/>
      <c r="I819" s="63"/>
      <c r="J819" s="63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spans="1:26" ht="15.75" customHeight="1" x14ac:dyDescent="0.3">
      <c r="A820" s="61"/>
      <c r="B820" s="61"/>
      <c r="C820" s="61"/>
      <c r="D820" s="61"/>
      <c r="E820" s="61"/>
      <c r="F820" s="62"/>
      <c r="G820" s="61"/>
      <c r="H820" s="61"/>
      <c r="I820" s="63"/>
      <c r="J820" s="63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spans="1:26" ht="15.75" customHeight="1" x14ac:dyDescent="0.3">
      <c r="A821" s="61"/>
      <c r="B821" s="61"/>
      <c r="C821" s="61"/>
      <c r="D821" s="61"/>
      <c r="E821" s="61"/>
      <c r="F821" s="62"/>
      <c r="G821" s="61"/>
      <c r="H821" s="61"/>
      <c r="I821" s="63"/>
      <c r="J821" s="63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spans="1:26" ht="15.75" customHeight="1" x14ac:dyDescent="0.3">
      <c r="A822" s="61"/>
      <c r="B822" s="61"/>
      <c r="C822" s="61"/>
      <c r="D822" s="61"/>
      <c r="E822" s="61"/>
      <c r="F822" s="62"/>
      <c r="G822" s="61"/>
      <c r="H822" s="61"/>
      <c r="I822" s="63"/>
      <c r="J822" s="63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spans="1:26" ht="15.75" customHeight="1" x14ac:dyDescent="0.3">
      <c r="A823" s="61"/>
      <c r="B823" s="61"/>
      <c r="C823" s="61"/>
      <c r="D823" s="61"/>
      <c r="E823" s="61"/>
      <c r="F823" s="62"/>
      <c r="G823" s="61"/>
      <c r="H823" s="61"/>
      <c r="I823" s="63"/>
      <c r="J823" s="63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spans="1:26" ht="15.75" customHeight="1" x14ac:dyDescent="0.3">
      <c r="A824" s="61"/>
      <c r="B824" s="61"/>
      <c r="C824" s="61"/>
      <c r="D824" s="61"/>
      <c r="E824" s="61"/>
      <c r="F824" s="62"/>
      <c r="G824" s="61"/>
      <c r="H824" s="61"/>
      <c r="I824" s="63"/>
      <c r="J824" s="63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spans="1:26" ht="15.75" customHeight="1" x14ac:dyDescent="0.3">
      <c r="A825" s="61"/>
      <c r="B825" s="61"/>
      <c r="C825" s="61"/>
      <c r="D825" s="61"/>
      <c r="E825" s="61"/>
      <c r="F825" s="62"/>
      <c r="G825" s="61"/>
      <c r="H825" s="61"/>
      <c r="I825" s="63"/>
      <c r="J825" s="63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spans="1:26" ht="15.75" customHeight="1" x14ac:dyDescent="0.3">
      <c r="A826" s="61"/>
      <c r="B826" s="61"/>
      <c r="C826" s="61"/>
      <c r="D826" s="61"/>
      <c r="E826" s="61"/>
      <c r="F826" s="62"/>
      <c r="G826" s="61"/>
      <c r="H826" s="61"/>
      <c r="I826" s="63"/>
      <c r="J826" s="63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spans="1:26" ht="15.75" customHeight="1" x14ac:dyDescent="0.3">
      <c r="A827" s="61"/>
      <c r="B827" s="61"/>
      <c r="C827" s="61"/>
      <c r="D827" s="61"/>
      <c r="E827" s="61"/>
      <c r="F827" s="62"/>
      <c r="G827" s="61"/>
      <c r="H827" s="61"/>
      <c r="I827" s="63"/>
      <c r="J827" s="63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spans="1:26" ht="15.75" customHeight="1" x14ac:dyDescent="0.3">
      <c r="A828" s="61"/>
      <c r="B828" s="61"/>
      <c r="C828" s="61"/>
      <c r="D828" s="61"/>
      <c r="E828" s="61"/>
      <c r="F828" s="62"/>
      <c r="G828" s="61"/>
      <c r="H828" s="61"/>
      <c r="I828" s="63"/>
      <c r="J828" s="63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spans="1:26" ht="15.75" customHeight="1" x14ac:dyDescent="0.3">
      <c r="A829" s="61"/>
      <c r="B829" s="61"/>
      <c r="C829" s="61"/>
      <c r="D829" s="61"/>
      <c r="E829" s="61"/>
      <c r="F829" s="62"/>
      <c r="G829" s="61"/>
      <c r="H829" s="61"/>
      <c r="I829" s="63"/>
      <c r="J829" s="63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spans="1:26" ht="15.75" customHeight="1" x14ac:dyDescent="0.3">
      <c r="A830" s="61"/>
      <c r="B830" s="61"/>
      <c r="C830" s="61"/>
      <c r="D830" s="61"/>
      <c r="E830" s="61"/>
      <c r="F830" s="62"/>
      <c r="G830" s="61"/>
      <c r="H830" s="61"/>
      <c r="I830" s="63"/>
      <c r="J830" s="63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spans="1:26" ht="15.75" customHeight="1" x14ac:dyDescent="0.3">
      <c r="A831" s="61"/>
      <c r="B831" s="61"/>
      <c r="C831" s="61"/>
      <c r="D831" s="61"/>
      <c r="E831" s="61"/>
      <c r="F831" s="62"/>
      <c r="G831" s="61"/>
      <c r="H831" s="61"/>
      <c r="I831" s="63"/>
      <c r="J831" s="63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spans="1:26" ht="15.75" customHeight="1" x14ac:dyDescent="0.3">
      <c r="A832" s="61"/>
      <c r="B832" s="61"/>
      <c r="C832" s="61"/>
      <c r="D832" s="61"/>
      <c r="E832" s="61"/>
      <c r="F832" s="62"/>
      <c r="G832" s="61"/>
      <c r="H832" s="61"/>
      <c r="I832" s="63"/>
      <c r="J832" s="63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spans="1:26" ht="15.75" customHeight="1" x14ac:dyDescent="0.3">
      <c r="A833" s="61"/>
      <c r="B833" s="61"/>
      <c r="C833" s="61"/>
      <c r="D833" s="61"/>
      <c r="E833" s="61"/>
      <c r="F833" s="62"/>
      <c r="G833" s="61"/>
      <c r="H833" s="61"/>
      <c r="I833" s="63"/>
      <c r="J833" s="63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spans="1:26" ht="15.75" customHeight="1" x14ac:dyDescent="0.3">
      <c r="A834" s="61"/>
      <c r="B834" s="61"/>
      <c r="C834" s="61"/>
      <c r="D834" s="61"/>
      <c r="E834" s="61"/>
      <c r="F834" s="62"/>
      <c r="G834" s="61"/>
      <c r="H834" s="61"/>
      <c r="I834" s="63"/>
      <c r="J834" s="63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spans="1:26" ht="15.75" customHeight="1" x14ac:dyDescent="0.3">
      <c r="A835" s="61"/>
      <c r="B835" s="61"/>
      <c r="C835" s="61"/>
      <c r="D835" s="61"/>
      <c r="E835" s="61"/>
      <c r="F835" s="62"/>
      <c r="G835" s="61"/>
      <c r="H835" s="61"/>
      <c r="I835" s="63"/>
      <c r="J835" s="63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spans="1:26" ht="15.75" customHeight="1" x14ac:dyDescent="0.3">
      <c r="A836" s="61"/>
      <c r="B836" s="61"/>
      <c r="C836" s="61"/>
      <c r="D836" s="61"/>
      <c r="E836" s="61"/>
      <c r="F836" s="62"/>
      <c r="G836" s="61"/>
      <c r="H836" s="61"/>
      <c r="I836" s="63"/>
      <c r="J836" s="63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spans="1:26" ht="15.75" customHeight="1" x14ac:dyDescent="0.3">
      <c r="A837" s="61"/>
      <c r="B837" s="61"/>
      <c r="C837" s="61"/>
      <c r="D837" s="61"/>
      <c r="E837" s="61"/>
      <c r="F837" s="62"/>
      <c r="G837" s="61"/>
      <c r="H837" s="61"/>
      <c r="I837" s="63"/>
      <c r="J837" s="63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spans="1:26" ht="15.75" customHeight="1" x14ac:dyDescent="0.3">
      <c r="A838" s="61"/>
      <c r="B838" s="61"/>
      <c r="C838" s="61"/>
      <c r="D838" s="61"/>
      <c r="E838" s="61"/>
      <c r="F838" s="62"/>
      <c r="G838" s="61"/>
      <c r="H838" s="61"/>
      <c r="I838" s="63"/>
      <c r="J838" s="63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spans="1:26" ht="15.75" customHeight="1" x14ac:dyDescent="0.3">
      <c r="A839" s="61"/>
      <c r="B839" s="61"/>
      <c r="C839" s="61"/>
      <c r="D839" s="61"/>
      <c r="E839" s="61"/>
      <c r="F839" s="62"/>
      <c r="G839" s="61"/>
      <c r="H839" s="61"/>
      <c r="I839" s="63"/>
      <c r="J839" s="63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spans="1:26" ht="15.75" customHeight="1" x14ac:dyDescent="0.3">
      <c r="A840" s="61"/>
      <c r="B840" s="61"/>
      <c r="C840" s="61"/>
      <c r="D840" s="61"/>
      <c r="E840" s="61"/>
      <c r="F840" s="62"/>
      <c r="G840" s="61"/>
      <c r="H840" s="61"/>
      <c r="I840" s="63"/>
      <c r="J840" s="63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spans="1:26" ht="15.75" customHeight="1" x14ac:dyDescent="0.3">
      <c r="A841" s="61"/>
      <c r="B841" s="61"/>
      <c r="C841" s="61"/>
      <c r="D841" s="61"/>
      <c r="E841" s="61"/>
      <c r="F841" s="62"/>
      <c r="G841" s="61"/>
      <c r="H841" s="61"/>
      <c r="I841" s="63"/>
      <c r="J841" s="63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spans="1:26" ht="15.75" customHeight="1" x14ac:dyDescent="0.3">
      <c r="A842" s="61"/>
      <c r="B842" s="61"/>
      <c r="C842" s="61"/>
      <c r="D842" s="61"/>
      <c r="E842" s="61"/>
      <c r="F842" s="62"/>
      <c r="G842" s="61"/>
      <c r="H842" s="61"/>
      <c r="I842" s="63"/>
      <c r="J842" s="63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spans="1:26" ht="15.75" customHeight="1" x14ac:dyDescent="0.3">
      <c r="A843" s="61"/>
      <c r="B843" s="61"/>
      <c r="C843" s="61"/>
      <c r="D843" s="61"/>
      <c r="E843" s="61"/>
      <c r="F843" s="62"/>
      <c r="G843" s="61"/>
      <c r="H843" s="61"/>
      <c r="I843" s="63"/>
      <c r="J843" s="63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spans="1:26" ht="15.75" customHeight="1" x14ac:dyDescent="0.3">
      <c r="A844" s="61"/>
      <c r="B844" s="61"/>
      <c r="C844" s="61"/>
      <c r="D844" s="61"/>
      <c r="E844" s="61"/>
      <c r="F844" s="62"/>
      <c r="G844" s="61"/>
      <c r="H844" s="61"/>
      <c r="I844" s="63"/>
      <c r="J844" s="63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spans="1:26" ht="15.75" customHeight="1" x14ac:dyDescent="0.3">
      <c r="A845" s="61"/>
      <c r="B845" s="61"/>
      <c r="C845" s="61"/>
      <c r="D845" s="61"/>
      <c r="E845" s="61"/>
      <c r="F845" s="62"/>
      <c r="G845" s="61"/>
      <c r="H845" s="61"/>
      <c r="I845" s="63"/>
      <c r="J845" s="63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spans="1:26" ht="15.75" customHeight="1" x14ac:dyDescent="0.3">
      <c r="A846" s="61"/>
      <c r="B846" s="61"/>
      <c r="C846" s="61"/>
      <c r="D846" s="61"/>
      <c r="E846" s="61"/>
      <c r="F846" s="62"/>
      <c r="G846" s="61"/>
      <c r="H846" s="61"/>
      <c r="I846" s="63"/>
      <c r="J846" s="63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spans="1:26" ht="15.75" customHeight="1" x14ac:dyDescent="0.3">
      <c r="A847" s="61"/>
      <c r="B847" s="61"/>
      <c r="C847" s="61"/>
      <c r="D847" s="61"/>
      <c r="E847" s="61"/>
      <c r="F847" s="62"/>
      <c r="G847" s="61"/>
      <c r="H847" s="61"/>
      <c r="I847" s="63"/>
      <c r="J847" s="63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spans="1:26" ht="15.75" customHeight="1" x14ac:dyDescent="0.3">
      <c r="A848" s="61"/>
      <c r="B848" s="61"/>
      <c r="C848" s="61"/>
      <c r="D848" s="61"/>
      <c r="E848" s="61"/>
      <c r="F848" s="62"/>
      <c r="G848" s="61"/>
      <c r="H848" s="61"/>
      <c r="I848" s="63"/>
      <c r="J848" s="63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spans="1:26" ht="15.75" customHeight="1" x14ac:dyDescent="0.3">
      <c r="A849" s="61"/>
      <c r="B849" s="61"/>
      <c r="C849" s="61"/>
      <c r="D849" s="61"/>
      <c r="E849" s="61"/>
      <c r="F849" s="62"/>
      <c r="G849" s="61"/>
      <c r="H849" s="61"/>
      <c r="I849" s="63"/>
      <c r="J849" s="63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spans="1:26" ht="15.75" customHeight="1" x14ac:dyDescent="0.3">
      <c r="A850" s="61"/>
      <c r="B850" s="61"/>
      <c r="C850" s="61"/>
      <c r="D850" s="61"/>
      <c r="E850" s="61"/>
      <c r="F850" s="62"/>
      <c r="G850" s="61"/>
      <c r="H850" s="61"/>
      <c r="I850" s="63"/>
      <c r="J850" s="63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spans="1:26" ht="15.75" customHeight="1" x14ac:dyDescent="0.3">
      <c r="A851" s="61"/>
      <c r="B851" s="61"/>
      <c r="C851" s="61"/>
      <c r="D851" s="61"/>
      <c r="E851" s="61"/>
      <c r="F851" s="62"/>
      <c r="G851" s="61"/>
      <c r="H851" s="61"/>
      <c r="I851" s="63"/>
      <c r="J851" s="63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spans="1:26" ht="15.75" customHeight="1" x14ac:dyDescent="0.3">
      <c r="A852" s="61"/>
      <c r="B852" s="61"/>
      <c r="C852" s="61"/>
      <c r="D852" s="61"/>
      <c r="E852" s="61"/>
      <c r="F852" s="62"/>
      <c r="G852" s="61"/>
      <c r="H852" s="61"/>
      <c r="I852" s="63"/>
      <c r="J852" s="63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spans="1:26" ht="15.75" customHeight="1" x14ac:dyDescent="0.3">
      <c r="A853" s="61"/>
      <c r="B853" s="61"/>
      <c r="C853" s="61"/>
      <c r="D853" s="61"/>
      <c r="E853" s="61"/>
      <c r="F853" s="62"/>
      <c r="G853" s="61"/>
      <c r="H853" s="61"/>
      <c r="I853" s="63"/>
      <c r="J853" s="63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spans="1:26" ht="15.75" customHeight="1" x14ac:dyDescent="0.3">
      <c r="A854" s="61"/>
      <c r="B854" s="61"/>
      <c r="C854" s="61"/>
      <c r="D854" s="61"/>
      <c r="E854" s="61"/>
      <c r="F854" s="62"/>
      <c r="G854" s="61"/>
      <c r="H854" s="61"/>
      <c r="I854" s="63"/>
      <c r="J854" s="63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spans="1:26" ht="15.75" customHeight="1" x14ac:dyDescent="0.3">
      <c r="A855" s="61"/>
      <c r="B855" s="61"/>
      <c r="C855" s="61"/>
      <c r="D855" s="61"/>
      <c r="E855" s="61"/>
      <c r="F855" s="62"/>
      <c r="G855" s="61"/>
      <c r="H855" s="61"/>
      <c r="I855" s="63"/>
      <c r="J855" s="63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spans="1:26" ht="15.75" customHeight="1" x14ac:dyDescent="0.3">
      <c r="A856" s="61"/>
      <c r="B856" s="61"/>
      <c r="C856" s="61"/>
      <c r="D856" s="61"/>
      <c r="E856" s="61"/>
      <c r="F856" s="62"/>
      <c r="G856" s="61"/>
      <c r="H856" s="61"/>
      <c r="I856" s="63"/>
      <c r="J856" s="63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spans="1:26" ht="15.75" customHeight="1" x14ac:dyDescent="0.3">
      <c r="A857" s="61"/>
      <c r="B857" s="61"/>
      <c r="C857" s="61"/>
      <c r="D857" s="61"/>
      <c r="E857" s="61"/>
      <c r="F857" s="62"/>
      <c r="G857" s="61"/>
      <c r="H857" s="61"/>
      <c r="I857" s="63"/>
      <c r="J857" s="63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spans="1:26" ht="15.75" customHeight="1" x14ac:dyDescent="0.3">
      <c r="A858" s="61"/>
      <c r="B858" s="61"/>
      <c r="C858" s="61"/>
      <c r="D858" s="61"/>
      <c r="E858" s="61"/>
      <c r="F858" s="62"/>
      <c r="G858" s="61"/>
      <c r="H858" s="61"/>
      <c r="I858" s="63"/>
      <c r="J858" s="63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spans="1:26" ht="15.75" customHeight="1" x14ac:dyDescent="0.3">
      <c r="A859" s="61"/>
      <c r="B859" s="61"/>
      <c r="C859" s="61"/>
      <c r="D859" s="61"/>
      <c r="E859" s="61"/>
      <c r="F859" s="62"/>
      <c r="G859" s="61"/>
      <c r="H859" s="61"/>
      <c r="I859" s="63"/>
      <c r="J859" s="63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spans="1:26" ht="15.75" customHeight="1" x14ac:dyDescent="0.3">
      <c r="A860" s="61"/>
      <c r="B860" s="61"/>
      <c r="C860" s="61"/>
      <c r="D860" s="61"/>
      <c r="E860" s="61"/>
      <c r="F860" s="62"/>
      <c r="G860" s="61"/>
      <c r="H860" s="61"/>
      <c r="I860" s="63"/>
      <c r="J860" s="63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spans="1:26" ht="15.75" customHeight="1" x14ac:dyDescent="0.3">
      <c r="A861" s="61"/>
      <c r="B861" s="61"/>
      <c r="C861" s="61"/>
      <c r="D861" s="61"/>
      <c r="E861" s="61"/>
      <c r="F861" s="62"/>
      <c r="G861" s="61"/>
      <c r="H861" s="61"/>
      <c r="I861" s="63"/>
      <c r="J861" s="63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spans="1:26" ht="15.75" customHeight="1" x14ac:dyDescent="0.3">
      <c r="A862" s="61"/>
      <c r="B862" s="61"/>
      <c r="C862" s="61"/>
      <c r="D862" s="61"/>
      <c r="E862" s="61"/>
      <c r="F862" s="62"/>
      <c r="G862" s="61"/>
      <c r="H862" s="61"/>
      <c r="I862" s="63"/>
      <c r="J862" s="63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spans="1:26" ht="15.75" customHeight="1" x14ac:dyDescent="0.3">
      <c r="A863" s="61"/>
      <c r="B863" s="61"/>
      <c r="C863" s="61"/>
      <c r="D863" s="61"/>
      <c r="E863" s="61"/>
      <c r="F863" s="62"/>
      <c r="G863" s="61"/>
      <c r="H863" s="61"/>
      <c r="I863" s="63"/>
      <c r="J863" s="63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spans="1:26" ht="15.75" customHeight="1" x14ac:dyDescent="0.3">
      <c r="A864" s="61"/>
      <c r="B864" s="61"/>
      <c r="C864" s="61"/>
      <c r="D864" s="61"/>
      <c r="E864" s="61"/>
      <c r="F864" s="62"/>
      <c r="G864" s="61"/>
      <c r="H864" s="61"/>
      <c r="I864" s="63"/>
      <c r="J864" s="63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spans="1:26" ht="15.75" customHeight="1" x14ac:dyDescent="0.3">
      <c r="A865" s="61"/>
      <c r="B865" s="61"/>
      <c r="C865" s="61"/>
      <c r="D865" s="61"/>
      <c r="E865" s="61"/>
      <c r="F865" s="62"/>
      <c r="G865" s="61"/>
      <c r="H865" s="61"/>
      <c r="I865" s="63"/>
      <c r="J865" s="63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spans="1:26" ht="15.75" customHeight="1" x14ac:dyDescent="0.3">
      <c r="A866" s="61"/>
      <c r="B866" s="61"/>
      <c r="C866" s="61"/>
      <c r="D866" s="61"/>
      <c r="E866" s="61"/>
      <c r="F866" s="62"/>
      <c r="G866" s="61"/>
      <c r="H866" s="61"/>
      <c r="I866" s="63"/>
      <c r="J866" s="63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spans="1:26" ht="15.75" customHeight="1" x14ac:dyDescent="0.3">
      <c r="A867" s="61"/>
      <c r="B867" s="61"/>
      <c r="C867" s="61"/>
      <c r="D867" s="61"/>
      <c r="E867" s="61"/>
      <c r="F867" s="62"/>
      <c r="G867" s="61"/>
      <c r="H867" s="61"/>
      <c r="I867" s="63"/>
      <c r="J867" s="63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spans="1:26" ht="15.75" customHeight="1" x14ac:dyDescent="0.3">
      <c r="A868" s="61"/>
      <c r="B868" s="61"/>
      <c r="C868" s="61"/>
      <c r="D868" s="61"/>
      <c r="E868" s="61"/>
      <c r="F868" s="62"/>
      <c r="G868" s="61"/>
      <c r="H868" s="61"/>
      <c r="I868" s="63"/>
      <c r="J868" s="63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spans="1:26" ht="15.75" customHeight="1" x14ac:dyDescent="0.3">
      <c r="A869" s="61"/>
      <c r="B869" s="61"/>
      <c r="C869" s="61"/>
      <c r="D869" s="61"/>
      <c r="E869" s="61"/>
      <c r="F869" s="62"/>
      <c r="G869" s="61"/>
      <c r="H869" s="61"/>
      <c r="I869" s="63"/>
      <c r="J869" s="63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spans="1:26" ht="15.75" customHeight="1" x14ac:dyDescent="0.3">
      <c r="A870" s="61"/>
      <c r="B870" s="61"/>
      <c r="C870" s="61"/>
      <c r="D870" s="61"/>
      <c r="E870" s="61"/>
      <c r="F870" s="62"/>
      <c r="G870" s="61"/>
      <c r="H870" s="61"/>
      <c r="I870" s="63"/>
      <c r="J870" s="63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spans="1:26" ht="15.75" customHeight="1" x14ac:dyDescent="0.3">
      <c r="A871" s="61"/>
      <c r="B871" s="61"/>
      <c r="C871" s="61"/>
      <c r="D871" s="61"/>
      <c r="E871" s="61"/>
      <c r="F871" s="62"/>
      <c r="G871" s="61"/>
      <c r="H871" s="61"/>
      <c r="I871" s="63"/>
      <c r="J871" s="63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spans="1:26" ht="15.75" customHeight="1" x14ac:dyDescent="0.3">
      <c r="A872" s="61"/>
      <c r="B872" s="61"/>
      <c r="C872" s="61"/>
      <c r="D872" s="61"/>
      <c r="E872" s="61"/>
      <c r="F872" s="62"/>
      <c r="G872" s="61"/>
      <c r="H872" s="61"/>
      <c r="I872" s="63"/>
      <c r="J872" s="63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spans="1:26" ht="15.75" customHeight="1" x14ac:dyDescent="0.3">
      <c r="A873" s="61"/>
      <c r="B873" s="61"/>
      <c r="C873" s="61"/>
      <c r="D873" s="61"/>
      <c r="E873" s="61"/>
      <c r="F873" s="62"/>
      <c r="G873" s="61"/>
      <c r="H873" s="61"/>
      <c r="I873" s="63"/>
      <c r="J873" s="63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spans="1:26" ht="15.75" customHeight="1" x14ac:dyDescent="0.3">
      <c r="A874" s="61"/>
      <c r="B874" s="61"/>
      <c r="C874" s="61"/>
      <c r="D874" s="61"/>
      <c r="E874" s="61"/>
      <c r="F874" s="62"/>
      <c r="G874" s="61"/>
      <c r="H874" s="61"/>
      <c r="I874" s="63"/>
      <c r="J874" s="63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spans="1:26" ht="15.75" customHeight="1" x14ac:dyDescent="0.3">
      <c r="A875" s="61"/>
      <c r="B875" s="61"/>
      <c r="C875" s="61"/>
      <c r="D875" s="61"/>
      <c r="E875" s="61"/>
      <c r="F875" s="62"/>
      <c r="G875" s="61"/>
      <c r="H875" s="61"/>
      <c r="I875" s="63"/>
      <c r="J875" s="63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spans="1:26" ht="15.75" customHeight="1" x14ac:dyDescent="0.3">
      <c r="A876" s="61"/>
      <c r="B876" s="61"/>
      <c r="C876" s="61"/>
      <c r="D876" s="61"/>
      <c r="E876" s="61"/>
      <c r="F876" s="62"/>
      <c r="G876" s="61"/>
      <c r="H876" s="61"/>
      <c r="I876" s="63"/>
      <c r="J876" s="63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spans="1:26" ht="15.75" customHeight="1" x14ac:dyDescent="0.3">
      <c r="A877" s="61"/>
      <c r="B877" s="61"/>
      <c r="C877" s="61"/>
      <c r="D877" s="61"/>
      <c r="E877" s="61"/>
      <c r="F877" s="62"/>
      <c r="G877" s="61"/>
      <c r="H877" s="61"/>
      <c r="I877" s="63"/>
      <c r="J877" s="63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spans="1:26" ht="15.75" customHeight="1" x14ac:dyDescent="0.3">
      <c r="A878" s="61"/>
      <c r="B878" s="61"/>
      <c r="C878" s="61"/>
      <c r="D878" s="61"/>
      <c r="E878" s="61"/>
      <c r="F878" s="62"/>
      <c r="G878" s="61"/>
      <c r="H878" s="61"/>
      <c r="I878" s="63"/>
      <c r="J878" s="63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spans="1:26" ht="15.75" customHeight="1" x14ac:dyDescent="0.3">
      <c r="A879" s="61"/>
      <c r="B879" s="61"/>
      <c r="C879" s="61"/>
      <c r="D879" s="61"/>
      <c r="E879" s="61"/>
      <c r="F879" s="62"/>
      <c r="G879" s="61"/>
      <c r="H879" s="61"/>
      <c r="I879" s="63"/>
      <c r="J879" s="63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spans="1:26" ht="15.75" customHeight="1" x14ac:dyDescent="0.3">
      <c r="A880" s="61"/>
      <c r="B880" s="61"/>
      <c r="C880" s="61"/>
      <c r="D880" s="61"/>
      <c r="E880" s="61"/>
      <c r="F880" s="62"/>
      <c r="G880" s="61"/>
      <c r="H880" s="61"/>
      <c r="I880" s="63"/>
      <c r="J880" s="63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spans="1:26" ht="15.75" customHeight="1" x14ac:dyDescent="0.3">
      <c r="A881" s="61"/>
      <c r="B881" s="61"/>
      <c r="C881" s="61"/>
      <c r="D881" s="61"/>
      <c r="E881" s="61"/>
      <c r="F881" s="62"/>
      <c r="G881" s="61"/>
      <c r="H881" s="61"/>
      <c r="I881" s="63"/>
      <c r="J881" s="63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spans="1:26" ht="15.75" customHeight="1" x14ac:dyDescent="0.3">
      <c r="A882" s="61"/>
      <c r="B882" s="61"/>
      <c r="C882" s="61"/>
      <c r="D882" s="61"/>
      <c r="E882" s="61"/>
      <c r="F882" s="62"/>
      <c r="G882" s="61"/>
      <c r="H882" s="61"/>
      <c r="I882" s="63"/>
      <c r="J882" s="63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spans="1:26" ht="15.75" customHeight="1" x14ac:dyDescent="0.3">
      <c r="A883" s="61"/>
      <c r="B883" s="61"/>
      <c r="C883" s="61"/>
      <c r="D883" s="61"/>
      <c r="E883" s="61"/>
      <c r="F883" s="62"/>
      <c r="G883" s="61"/>
      <c r="H883" s="61"/>
      <c r="I883" s="63"/>
      <c r="J883" s="63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spans="1:26" ht="15.75" customHeight="1" x14ac:dyDescent="0.3">
      <c r="A884" s="61"/>
      <c r="B884" s="61"/>
      <c r="C884" s="61"/>
      <c r="D884" s="61"/>
      <c r="E884" s="61"/>
      <c r="F884" s="62"/>
      <c r="G884" s="61"/>
      <c r="H884" s="61"/>
      <c r="I884" s="63"/>
      <c r="J884" s="63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spans="1:26" ht="15.75" customHeight="1" x14ac:dyDescent="0.3">
      <c r="A885" s="61"/>
      <c r="B885" s="61"/>
      <c r="C885" s="61"/>
      <c r="D885" s="61"/>
      <c r="E885" s="61"/>
      <c r="F885" s="62"/>
      <c r="G885" s="61"/>
      <c r="H885" s="61"/>
      <c r="I885" s="63"/>
      <c r="J885" s="63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spans="1:26" ht="15.75" customHeight="1" x14ac:dyDescent="0.3">
      <c r="A886" s="61"/>
      <c r="B886" s="61"/>
      <c r="C886" s="61"/>
      <c r="D886" s="61"/>
      <c r="E886" s="61"/>
      <c r="F886" s="62"/>
      <c r="G886" s="61"/>
      <c r="H886" s="61"/>
      <c r="I886" s="63"/>
      <c r="J886" s="63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spans="1:26" ht="15.75" customHeight="1" x14ac:dyDescent="0.3">
      <c r="A887" s="61"/>
      <c r="B887" s="61"/>
      <c r="C887" s="61"/>
      <c r="D887" s="61"/>
      <c r="E887" s="61"/>
      <c r="F887" s="62"/>
      <c r="G887" s="61"/>
      <c r="H887" s="61"/>
      <c r="I887" s="63"/>
      <c r="J887" s="63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spans="1:26" ht="15.75" customHeight="1" x14ac:dyDescent="0.3">
      <c r="A888" s="61"/>
      <c r="B888" s="61"/>
      <c r="C888" s="61"/>
      <c r="D888" s="61"/>
      <c r="E888" s="61"/>
      <c r="F888" s="62"/>
      <c r="G888" s="61"/>
      <c r="H888" s="61"/>
      <c r="I888" s="63"/>
      <c r="J888" s="63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spans="1:26" ht="15.75" customHeight="1" x14ac:dyDescent="0.3">
      <c r="A889" s="61"/>
      <c r="B889" s="61"/>
      <c r="C889" s="61"/>
      <c r="D889" s="61"/>
      <c r="E889" s="61"/>
      <c r="F889" s="62"/>
      <c r="G889" s="61"/>
      <c r="H889" s="61"/>
      <c r="I889" s="63"/>
      <c r="J889" s="63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spans="1:26" ht="15.75" customHeight="1" x14ac:dyDescent="0.3">
      <c r="A890" s="61"/>
      <c r="B890" s="61"/>
      <c r="C890" s="61"/>
      <c r="D890" s="61"/>
      <c r="E890" s="61"/>
      <c r="F890" s="62"/>
      <c r="G890" s="61"/>
      <c r="H890" s="61"/>
      <c r="I890" s="63"/>
      <c r="J890" s="63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spans="1:26" ht="15.75" customHeight="1" x14ac:dyDescent="0.3">
      <c r="A891" s="61"/>
      <c r="B891" s="61"/>
      <c r="C891" s="61"/>
      <c r="D891" s="61"/>
      <c r="E891" s="61"/>
      <c r="F891" s="62"/>
      <c r="G891" s="61"/>
      <c r="H891" s="61"/>
      <c r="I891" s="63"/>
      <c r="J891" s="63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spans="1:26" ht="15.75" customHeight="1" x14ac:dyDescent="0.3">
      <c r="A892" s="61"/>
      <c r="B892" s="61"/>
      <c r="C892" s="61"/>
      <c r="D892" s="61"/>
      <c r="E892" s="61"/>
      <c r="F892" s="62"/>
      <c r="G892" s="61"/>
      <c r="H892" s="61"/>
      <c r="I892" s="63"/>
      <c r="J892" s="63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spans="1:26" ht="15.75" customHeight="1" x14ac:dyDescent="0.3">
      <c r="A893" s="61"/>
      <c r="B893" s="61"/>
      <c r="C893" s="61"/>
      <c r="D893" s="61"/>
      <c r="E893" s="61"/>
      <c r="F893" s="62"/>
      <c r="G893" s="61"/>
      <c r="H893" s="61"/>
      <c r="I893" s="63"/>
      <c r="J893" s="63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spans="1:26" ht="15.75" customHeight="1" x14ac:dyDescent="0.3">
      <c r="A894" s="61"/>
      <c r="B894" s="61"/>
      <c r="C894" s="61"/>
      <c r="D894" s="61"/>
      <c r="E894" s="61"/>
      <c r="F894" s="62"/>
      <c r="G894" s="61"/>
      <c r="H894" s="61"/>
      <c r="I894" s="63"/>
      <c r="J894" s="63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spans="1:26" ht="15.75" customHeight="1" x14ac:dyDescent="0.3">
      <c r="A895" s="61"/>
      <c r="B895" s="61"/>
      <c r="C895" s="61"/>
      <c r="D895" s="61"/>
      <c r="E895" s="61"/>
      <c r="F895" s="62"/>
      <c r="G895" s="61"/>
      <c r="H895" s="61"/>
      <c r="I895" s="63"/>
      <c r="J895" s="63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spans="1:26" ht="15.75" customHeight="1" x14ac:dyDescent="0.3">
      <c r="A896" s="61"/>
      <c r="B896" s="61"/>
      <c r="C896" s="61"/>
      <c r="D896" s="61"/>
      <c r="E896" s="61"/>
      <c r="F896" s="62"/>
      <c r="G896" s="61"/>
      <c r="H896" s="61"/>
      <c r="I896" s="63"/>
      <c r="J896" s="63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spans="1:26" ht="15.75" customHeight="1" x14ac:dyDescent="0.3">
      <c r="A897" s="61"/>
      <c r="B897" s="61"/>
      <c r="C897" s="61"/>
      <c r="D897" s="61"/>
      <c r="E897" s="61"/>
      <c r="F897" s="62"/>
      <c r="G897" s="61"/>
      <c r="H897" s="61"/>
      <c r="I897" s="63"/>
      <c r="J897" s="63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spans="1:26" ht="15.75" customHeight="1" x14ac:dyDescent="0.3">
      <c r="A898" s="61"/>
      <c r="B898" s="61"/>
      <c r="C898" s="61"/>
      <c r="D898" s="61"/>
      <c r="E898" s="61"/>
      <c r="F898" s="62"/>
      <c r="G898" s="61"/>
      <c r="H898" s="61"/>
      <c r="I898" s="63"/>
      <c r="J898" s="63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spans="1:26" ht="15.75" customHeight="1" x14ac:dyDescent="0.3">
      <c r="A899" s="61"/>
      <c r="B899" s="61"/>
      <c r="C899" s="61"/>
      <c r="D899" s="61"/>
      <c r="E899" s="61"/>
      <c r="F899" s="62"/>
      <c r="G899" s="61"/>
      <c r="H899" s="61"/>
      <c r="I899" s="63"/>
      <c r="J899" s="63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spans="1:26" ht="15.75" customHeight="1" x14ac:dyDescent="0.3">
      <c r="A900" s="61"/>
      <c r="B900" s="61"/>
      <c r="C900" s="61"/>
      <c r="D900" s="61"/>
      <c r="E900" s="61"/>
      <c r="F900" s="62"/>
      <c r="G900" s="61"/>
      <c r="H900" s="61"/>
      <c r="I900" s="63"/>
      <c r="J900" s="63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spans="1:26" ht="15.75" customHeight="1" x14ac:dyDescent="0.3">
      <c r="A901" s="61"/>
      <c r="B901" s="61"/>
      <c r="C901" s="61"/>
      <c r="D901" s="61"/>
      <c r="E901" s="61"/>
      <c r="F901" s="62"/>
      <c r="G901" s="61"/>
      <c r="H901" s="61"/>
      <c r="I901" s="63"/>
      <c r="J901" s="63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spans="1:26" ht="15.75" customHeight="1" x14ac:dyDescent="0.3">
      <c r="A902" s="61"/>
      <c r="B902" s="61"/>
      <c r="C902" s="61"/>
      <c r="D902" s="61"/>
      <c r="E902" s="61"/>
      <c r="F902" s="62"/>
      <c r="G902" s="61"/>
      <c r="H902" s="61"/>
      <c r="I902" s="63"/>
      <c r="J902" s="63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spans="1:26" ht="15.75" customHeight="1" x14ac:dyDescent="0.3">
      <c r="A903" s="61"/>
      <c r="B903" s="61"/>
      <c r="C903" s="61"/>
      <c r="D903" s="61"/>
      <c r="E903" s="61"/>
      <c r="F903" s="62"/>
      <c r="G903" s="61"/>
      <c r="H903" s="61"/>
      <c r="I903" s="63"/>
      <c r="J903" s="63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spans="1:26" ht="15.75" customHeight="1" x14ac:dyDescent="0.3">
      <c r="A904" s="61"/>
      <c r="B904" s="61"/>
      <c r="C904" s="61"/>
      <c r="D904" s="61"/>
      <c r="E904" s="61"/>
      <c r="F904" s="62"/>
      <c r="G904" s="61"/>
      <c r="H904" s="61"/>
      <c r="I904" s="63"/>
      <c r="J904" s="63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spans="1:26" ht="15.75" customHeight="1" x14ac:dyDescent="0.3">
      <c r="A905" s="61"/>
      <c r="B905" s="61"/>
      <c r="C905" s="61"/>
      <c r="D905" s="61"/>
      <c r="E905" s="61"/>
      <c r="F905" s="62"/>
      <c r="G905" s="61"/>
      <c r="H905" s="61"/>
      <c r="I905" s="63"/>
      <c r="J905" s="63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spans="1:26" ht="15.75" customHeight="1" x14ac:dyDescent="0.3">
      <c r="A906" s="61"/>
      <c r="B906" s="61"/>
      <c r="C906" s="61"/>
      <c r="D906" s="61"/>
      <c r="E906" s="61"/>
      <c r="F906" s="62"/>
      <c r="G906" s="61"/>
      <c r="H906" s="61"/>
      <c r="I906" s="63"/>
      <c r="J906" s="63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spans="1:26" ht="15.75" customHeight="1" x14ac:dyDescent="0.3">
      <c r="A907" s="61"/>
      <c r="B907" s="61"/>
      <c r="C907" s="61"/>
      <c r="D907" s="61"/>
      <c r="E907" s="61"/>
      <c r="F907" s="62"/>
      <c r="G907" s="61"/>
      <c r="H907" s="61"/>
      <c r="I907" s="63"/>
      <c r="J907" s="63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spans="1:26" ht="15.75" customHeight="1" x14ac:dyDescent="0.3">
      <c r="A908" s="61"/>
      <c r="B908" s="61"/>
      <c r="C908" s="61"/>
      <c r="D908" s="61"/>
      <c r="E908" s="61"/>
      <c r="F908" s="62"/>
      <c r="G908" s="61"/>
      <c r="H908" s="61"/>
      <c r="I908" s="63"/>
      <c r="J908" s="63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spans="1:26" ht="15.75" customHeight="1" x14ac:dyDescent="0.3">
      <c r="A909" s="61"/>
      <c r="B909" s="61"/>
      <c r="C909" s="61"/>
      <c r="D909" s="61"/>
      <c r="E909" s="61"/>
      <c r="F909" s="62"/>
      <c r="G909" s="61"/>
      <c r="H909" s="61"/>
      <c r="I909" s="63"/>
      <c r="J909" s="63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spans="1:26" ht="15.75" customHeight="1" x14ac:dyDescent="0.3">
      <c r="A910" s="61"/>
      <c r="B910" s="61"/>
      <c r="C910" s="61"/>
      <c r="D910" s="61"/>
      <c r="E910" s="61"/>
      <c r="F910" s="62"/>
      <c r="G910" s="61"/>
      <c r="H910" s="61"/>
      <c r="I910" s="63"/>
      <c r="J910" s="63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spans="1:26" ht="15.75" customHeight="1" x14ac:dyDescent="0.3">
      <c r="A911" s="61"/>
      <c r="B911" s="61"/>
      <c r="C911" s="61"/>
      <c r="D911" s="61"/>
      <c r="E911" s="61"/>
      <c r="F911" s="62"/>
      <c r="G911" s="61"/>
      <c r="H911" s="61"/>
      <c r="I911" s="63"/>
      <c r="J911" s="63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spans="1:26" ht="15.75" customHeight="1" x14ac:dyDescent="0.3">
      <c r="A912" s="61"/>
      <c r="B912" s="61"/>
      <c r="C912" s="61"/>
      <c r="D912" s="61"/>
      <c r="E912" s="61"/>
      <c r="F912" s="62"/>
      <c r="G912" s="61"/>
      <c r="H912" s="61"/>
      <c r="I912" s="63"/>
      <c r="J912" s="63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spans="1:26" ht="15.75" customHeight="1" x14ac:dyDescent="0.3">
      <c r="A913" s="61"/>
      <c r="B913" s="61"/>
      <c r="C913" s="61"/>
      <c r="D913" s="61"/>
      <c r="E913" s="61"/>
      <c r="F913" s="62"/>
      <c r="G913" s="61"/>
      <c r="H913" s="61"/>
      <c r="I913" s="63"/>
      <c r="J913" s="63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spans="1:26" ht="15.75" customHeight="1" x14ac:dyDescent="0.3">
      <c r="A914" s="61"/>
      <c r="B914" s="61"/>
      <c r="C914" s="61"/>
      <c r="D914" s="61"/>
      <c r="E914" s="61"/>
      <c r="F914" s="62"/>
      <c r="G914" s="61"/>
      <c r="H914" s="61"/>
      <c r="I914" s="63"/>
      <c r="J914" s="63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spans="1:26" ht="15.75" customHeight="1" x14ac:dyDescent="0.3">
      <c r="A915" s="61"/>
      <c r="B915" s="61"/>
      <c r="C915" s="61"/>
      <c r="D915" s="61"/>
      <c r="E915" s="61"/>
      <c r="F915" s="62"/>
      <c r="G915" s="61"/>
      <c r="H915" s="61"/>
      <c r="I915" s="63"/>
      <c r="J915" s="63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spans="1:26" ht="15.75" customHeight="1" x14ac:dyDescent="0.3">
      <c r="A916" s="61"/>
      <c r="B916" s="61"/>
      <c r="C916" s="61"/>
      <c r="D916" s="61"/>
      <c r="E916" s="61"/>
      <c r="F916" s="62"/>
      <c r="G916" s="61"/>
      <c r="H916" s="61"/>
      <c r="I916" s="63"/>
      <c r="J916" s="63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spans="1:26" ht="15.75" customHeight="1" x14ac:dyDescent="0.3">
      <c r="A917" s="61"/>
      <c r="B917" s="61"/>
      <c r="C917" s="61"/>
      <c r="D917" s="61"/>
      <c r="E917" s="61"/>
      <c r="F917" s="62"/>
      <c r="G917" s="61"/>
      <c r="H917" s="61"/>
      <c r="I917" s="63"/>
      <c r="J917" s="63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spans="1:26" ht="15.75" customHeight="1" x14ac:dyDescent="0.3">
      <c r="A918" s="61"/>
      <c r="B918" s="61"/>
      <c r="C918" s="61"/>
      <c r="D918" s="61"/>
      <c r="E918" s="61"/>
      <c r="F918" s="62"/>
      <c r="G918" s="61"/>
      <c r="H918" s="61"/>
      <c r="I918" s="63"/>
      <c r="J918" s="63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spans="1:26" ht="15.75" customHeight="1" x14ac:dyDescent="0.3">
      <c r="A919" s="61"/>
      <c r="B919" s="61"/>
      <c r="C919" s="61"/>
      <c r="D919" s="61"/>
      <c r="E919" s="61"/>
      <c r="F919" s="62"/>
      <c r="G919" s="61"/>
      <c r="H919" s="61"/>
      <c r="I919" s="63"/>
      <c r="J919" s="63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spans="1:26" ht="15.75" customHeight="1" x14ac:dyDescent="0.3">
      <c r="A920" s="61"/>
      <c r="B920" s="61"/>
      <c r="C920" s="61"/>
      <c r="D920" s="61"/>
      <c r="E920" s="61"/>
      <c r="F920" s="62"/>
      <c r="G920" s="61"/>
      <c r="H920" s="61"/>
      <c r="I920" s="63"/>
      <c r="J920" s="63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spans="1:26" ht="15.75" customHeight="1" x14ac:dyDescent="0.3">
      <c r="A921" s="61"/>
      <c r="B921" s="61"/>
      <c r="C921" s="61"/>
      <c r="D921" s="61"/>
      <c r="E921" s="61"/>
      <c r="F921" s="62"/>
      <c r="G921" s="61"/>
      <c r="H921" s="61"/>
      <c r="I921" s="63"/>
      <c r="J921" s="63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spans="1:26" ht="15.75" customHeight="1" x14ac:dyDescent="0.3">
      <c r="A922" s="61"/>
      <c r="B922" s="61"/>
      <c r="C922" s="61"/>
      <c r="D922" s="61"/>
      <c r="E922" s="61"/>
      <c r="F922" s="62"/>
      <c r="G922" s="61"/>
      <c r="H922" s="61"/>
      <c r="I922" s="63"/>
      <c r="J922" s="63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spans="1:26" ht="15.75" customHeight="1" x14ac:dyDescent="0.3">
      <c r="A923" s="61"/>
      <c r="B923" s="61"/>
      <c r="C923" s="61"/>
      <c r="D923" s="61"/>
      <c r="E923" s="61"/>
      <c r="F923" s="62"/>
      <c r="G923" s="61"/>
      <c r="H923" s="61"/>
      <c r="I923" s="63"/>
      <c r="J923" s="63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spans="1:26" ht="15.75" customHeight="1" x14ac:dyDescent="0.3">
      <c r="A924" s="61"/>
      <c r="B924" s="61"/>
      <c r="C924" s="61"/>
      <c r="D924" s="61"/>
      <c r="E924" s="61"/>
      <c r="F924" s="62"/>
      <c r="G924" s="61"/>
      <c r="H924" s="61"/>
      <c r="I924" s="63"/>
      <c r="J924" s="63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spans="1:26" ht="15.75" customHeight="1" x14ac:dyDescent="0.3">
      <c r="A925" s="61"/>
      <c r="B925" s="61"/>
      <c r="C925" s="61"/>
      <c r="D925" s="61"/>
      <c r="E925" s="61"/>
      <c r="F925" s="62"/>
      <c r="G925" s="61"/>
      <c r="H925" s="61"/>
      <c r="I925" s="63"/>
      <c r="J925" s="63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spans="1:26" ht="15.75" customHeight="1" x14ac:dyDescent="0.3">
      <c r="A926" s="61"/>
      <c r="B926" s="61"/>
      <c r="C926" s="61"/>
      <c r="D926" s="61"/>
      <c r="E926" s="61"/>
      <c r="F926" s="62"/>
      <c r="G926" s="61"/>
      <c r="H926" s="61"/>
      <c r="I926" s="63"/>
      <c r="J926" s="63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spans="1:26" ht="15.75" customHeight="1" x14ac:dyDescent="0.3">
      <c r="A927" s="61"/>
      <c r="B927" s="61"/>
      <c r="C927" s="61"/>
      <c r="D927" s="61"/>
      <c r="E927" s="61"/>
      <c r="F927" s="62"/>
      <c r="G927" s="61"/>
      <c r="H927" s="61"/>
      <c r="I927" s="63"/>
      <c r="J927" s="63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spans="1:26" ht="15.75" customHeight="1" x14ac:dyDescent="0.3">
      <c r="A928" s="61"/>
      <c r="B928" s="61"/>
      <c r="C928" s="61"/>
      <c r="D928" s="61"/>
      <c r="E928" s="61"/>
      <c r="F928" s="62"/>
      <c r="G928" s="61"/>
      <c r="H928" s="61"/>
      <c r="I928" s="63"/>
      <c r="J928" s="63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spans="1:26" ht="15.75" customHeight="1" x14ac:dyDescent="0.3">
      <c r="A929" s="61"/>
      <c r="B929" s="61"/>
      <c r="C929" s="61"/>
      <c r="D929" s="61"/>
      <c r="E929" s="61"/>
      <c r="F929" s="62"/>
      <c r="G929" s="61"/>
      <c r="H929" s="61"/>
      <c r="I929" s="63"/>
      <c r="J929" s="63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spans="1:26" ht="15.75" customHeight="1" x14ac:dyDescent="0.3">
      <c r="A930" s="61"/>
      <c r="B930" s="61"/>
      <c r="C930" s="61"/>
      <c r="D930" s="61"/>
      <c r="E930" s="61"/>
      <c r="F930" s="62"/>
      <c r="G930" s="61"/>
      <c r="H930" s="61"/>
      <c r="I930" s="63"/>
      <c r="J930" s="63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spans="1:26" ht="15.75" customHeight="1" x14ac:dyDescent="0.3">
      <c r="A931" s="61"/>
      <c r="B931" s="61"/>
      <c r="C931" s="61"/>
      <c r="D931" s="61"/>
      <c r="E931" s="61"/>
      <c r="F931" s="62"/>
      <c r="G931" s="61"/>
      <c r="H931" s="61"/>
      <c r="I931" s="63"/>
      <c r="J931" s="63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spans="1:26" ht="15.75" customHeight="1" x14ac:dyDescent="0.3">
      <c r="A932" s="61"/>
      <c r="B932" s="61"/>
      <c r="C932" s="61"/>
      <c r="D932" s="61"/>
      <c r="E932" s="61"/>
      <c r="F932" s="62"/>
      <c r="G932" s="61"/>
      <c r="H932" s="61"/>
      <c r="I932" s="63"/>
      <c r="J932" s="63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spans="1:26" ht="15.75" customHeight="1" x14ac:dyDescent="0.3">
      <c r="A933" s="61"/>
      <c r="B933" s="61"/>
      <c r="C933" s="61"/>
      <c r="D933" s="61"/>
      <c r="E933" s="61"/>
      <c r="F933" s="62"/>
      <c r="G933" s="61"/>
      <c r="H933" s="61"/>
      <c r="I933" s="63"/>
      <c r="J933" s="63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spans="1:26" ht="15.75" customHeight="1" x14ac:dyDescent="0.3">
      <c r="A934" s="61"/>
      <c r="B934" s="61"/>
      <c r="C934" s="61"/>
      <c r="D934" s="61"/>
      <c r="E934" s="61"/>
      <c r="F934" s="62"/>
      <c r="G934" s="61"/>
      <c r="H934" s="61"/>
      <c r="I934" s="63"/>
      <c r="J934" s="63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spans="1:26" ht="15.75" customHeight="1" x14ac:dyDescent="0.3">
      <c r="A935" s="61"/>
      <c r="B935" s="61"/>
      <c r="C935" s="61"/>
      <c r="D935" s="61"/>
      <c r="E935" s="61"/>
      <c r="F935" s="62"/>
      <c r="G935" s="61"/>
      <c r="H935" s="61"/>
      <c r="I935" s="63"/>
      <c r="J935" s="63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spans="1:26" ht="15.75" customHeight="1" x14ac:dyDescent="0.3">
      <c r="A936" s="61"/>
      <c r="B936" s="61"/>
      <c r="C936" s="61"/>
      <c r="D936" s="61"/>
      <c r="E936" s="61"/>
      <c r="F936" s="62"/>
      <c r="G936" s="61"/>
      <c r="H936" s="61"/>
      <c r="I936" s="63"/>
      <c r="J936" s="63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spans="1:26" ht="15.75" customHeight="1" x14ac:dyDescent="0.3">
      <c r="A937" s="61"/>
      <c r="B937" s="61"/>
      <c r="C937" s="61"/>
      <c r="D937" s="61"/>
      <c r="E937" s="61"/>
      <c r="F937" s="62"/>
      <c r="G937" s="61"/>
      <c r="H937" s="61"/>
      <c r="I937" s="63"/>
      <c r="J937" s="63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spans="1:26" ht="15.75" customHeight="1" x14ac:dyDescent="0.3">
      <c r="A938" s="61"/>
      <c r="B938" s="61"/>
      <c r="C938" s="61"/>
      <c r="D938" s="61"/>
      <c r="E938" s="61"/>
      <c r="F938" s="62"/>
      <c r="G938" s="61"/>
      <c r="H938" s="61"/>
      <c r="I938" s="63"/>
      <c r="J938" s="63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spans="1:26" ht="15.75" customHeight="1" x14ac:dyDescent="0.3">
      <c r="A939" s="61"/>
      <c r="B939" s="61"/>
      <c r="C939" s="61"/>
      <c r="D939" s="61"/>
      <c r="E939" s="61"/>
      <c r="F939" s="62"/>
      <c r="G939" s="61"/>
      <c r="H939" s="61"/>
      <c r="I939" s="63"/>
      <c r="J939" s="63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spans="1:26" ht="15.75" customHeight="1" x14ac:dyDescent="0.3">
      <c r="A940" s="61"/>
      <c r="B940" s="61"/>
      <c r="C940" s="61"/>
      <c r="D940" s="61"/>
      <c r="E940" s="61"/>
      <c r="F940" s="62"/>
      <c r="G940" s="61"/>
      <c r="H940" s="61"/>
      <c r="I940" s="63"/>
      <c r="J940" s="63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spans="1:26" ht="15.75" customHeight="1" x14ac:dyDescent="0.3">
      <c r="A941" s="61"/>
      <c r="B941" s="61"/>
      <c r="C941" s="61"/>
      <c r="D941" s="61"/>
      <c r="E941" s="61"/>
      <c r="F941" s="62"/>
      <c r="G941" s="61"/>
      <c r="H941" s="61"/>
      <c r="I941" s="63"/>
      <c r="J941" s="63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spans="1:26" ht="15.75" customHeight="1" x14ac:dyDescent="0.3">
      <c r="A942" s="61"/>
      <c r="B942" s="61"/>
      <c r="C942" s="61"/>
      <c r="D942" s="61"/>
      <c r="E942" s="61"/>
      <c r="F942" s="62"/>
      <c r="G942" s="61"/>
      <c r="H942" s="61"/>
      <c r="I942" s="63"/>
      <c r="J942" s="63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spans="1:26" ht="15.75" customHeight="1" x14ac:dyDescent="0.3">
      <c r="A943" s="61"/>
      <c r="B943" s="61"/>
      <c r="C943" s="61"/>
      <c r="D943" s="61"/>
      <c r="E943" s="61"/>
      <c r="F943" s="62"/>
      <c r="G943" s="61"/>
      <c r="H943" s="61"/>
      <c r="I943" s="63"/>
      <c r="J943" s="63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spans="1:26" ht="15.75" customHeight="1" x14ac:dyDescent="0.3">
      <c r="A944" s="61"/>
      <c r="B944" s="61"/>
      <c r="C944" s="61"/>
      <c r="D944" s="61"/>
      <c r="E944" s="61"/>
      <c r="F944" s="62"/>
      <c r="G944" s="61"/>
      <c r="H944" s="61"/>
      <c r="I944" s="63"/>
      <c r="J944" s="63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spans="1:26" ht="15.75" customHeight="1" x14ac:dyDescent="0.3">
      <c r="A945" s="61"/>
      <c r="B945" s="61"/>
      <c r="C945" s="61"/>
      <c r="D945" s="61"/>
      <c r="E945" s="61"/>
      <c r="F945" s="62"/>
      <c r="G945" s="61"/>
      <c r="H945" s="61"/>
      <c r="I945" s="63"/>
      <c r="J945" s="63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spans="1:26" ht="15.75" customHeight="1" x14ac:dyDescent="0.3">
      <c r="A946" s="61"/>
      <c r="B946" s="61"/>
      <c r="C946" s="61"/>
      <c r="D946" s="61"/>
      <c r="E946" s="61"/>
      <c r="F946" s="62"/>
      <c r="G946" s="61"/>
      <c r="H946" s="61"/>
      <c r="I946" s="63"/>
      <c r="J946" s="63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spans="1:26" ht="15.75" customHeight="1" x14ac:dyDescent="0.3">
      <c r="A947" s="61"/>
      <c r="B947" s="61"/>
      <c r="C947" s="61"/>
      <c r="D947" s="61"/>
      <c r="E947" s="61"/>
      <c r="F947" s="62"/>
      <c r="G947" s="61"/>
      <c r="H947" s="61"/>
      <c r="I947" s="63"/>
      <c r="J947" s="63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spans="1:26" ht="15.75" customHeight="1" x14ac:dyDescent="0.3">
      <c r="A948" s="61"/>
      <c r="B948" s="61"/>
      <c r="C948" s="61"/>
      <c r="D948" s="61"/>
      <c r="E948" s="61"/>
      <c r="F948" s="62"/>
      <c r="G948" s="61"/>
      <c r="H948" s="61"/>
      <c r="I948" s="63"/>
      <c r="J948" s="63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spans="1:26" ht="15.75" customHeight="1" x14ac:dyDescent="0.3">
      <c r="A949" s="61"/>
      <c r="B949" s="61"/>
      <c r="C949" s="61"/>
      <c r="D949" s="61"/>
      <c r="E949" s="61"/>
      <c r="F949" s="62"/>
      <c r="G949" s="61"/>
      <c r="H949" s="61"/>
      <c r="I949" s="63"/>
      <c r="J949" s="63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spans="1:26" ht="15.75" customHeight="1" x14ac:dyDescent="0.3">
      <c r="A950" s="61"/>
      <c r="B950" s="61"/>
      <c r="C950" s="61"/>
      <c r="D950" s="61"/>
      <c r="E950" s="61"/>
      <c r="F950" s="62"/>
      <c r="G950" s="61"/>
      <c r="H950" s="61"/>
      <c r="I950" s="63"/>
      <c r="J950" s="63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spans="1:26" ht="15.75" customHeight="1" x14ac:dyDescent="0.3">
      <c r="A951" s="61"/>
      <c r="B951" s="61"/>
      <c r="C951" s="61"/>
      <c r="D951" s="61"/>
      <c r="E951" s="61"/>
      <c r="F951" s="62"/>
      <c r="G951" s="61"/>
      <c r="H951" s="61"/>
      <c r="I951" s="63"/>
      <c r="J951" s="63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spans="1:26" ht="15.75" customHeight="1" x14ac:dyDescent="0.3">
      <c r="A952" s="61"/>
      <c r="B952" s="61"/>
      <c r="C952" s="61"/>
      <c r="D952" s="61"/>
      <c r="E952" s="61"/>
      <c r="F952" s="62"/>
      <c r="G952" s="61"/>
      <c r="H952" s="61"/>
      <c r="I952" s="63"/>
      <c r="J952" s="63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spans="1:26" ht="15.75" customHeight="1" x14ac:dyDescent="0.3">
      <c r="A953" s="61"/>
      <c r="B953" s="61"/>
      <c r="C953" s="61"/>
      <c r="D953" s="61"/>
      <c r="E953" s="61"/>
      <c r="F953" s="62"/>
      <c r="G953" s="61"/>
      <c r="H953" s="61"/>
      <c r="I953" s="63"/>
      <c r="J953" s="63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spans="1:26" ht="15.75" customHeight="1" x14ac:dyDescent="0.3">
      <c r="A954" s="61"/>
      <c r="B954" s="61"/>
      <c r="C954" s="61"/>
      <c r="D954" s="61"/>
      <c r="E954" s="61"/>
      <c r="F954" s="62"/>
      <c r="G954" s="61"/>
      <c r="H954" s="61"/>
      <c r="I954" s="63"/>
      <c r="J954" s="63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spans="1:26" ht="15.75" customHeight="1" x14ac:dyDescent="0.3">
      <c r="A955" s="61"/>
      <c r="B955" s="61"/>
      <c r="C955" s="61"/>
      <c r="D955" s="61"/>
      <c r="E955" s="61"/>
      <c r="F955" s="62"/>
      <c r="G955" s="61"/>
      <c r="H955" s="61"/>
      <c r="I955" s="63"/>
      <c r="J955" s="63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spans="1:26" ht="15.75" customHeight="1" x14ac:dyDescent="0.3">
      <c r="A956" s="61"/>
      <c r="B956" s="61"/>
      <c r="C956" s="61"/>
      <c r="D956" s="61"/>
      <c r="E956" s="61"/>
      <c r="F956" s="62"/>
      <c r="G956" s="61"/>
      <c r="H956" s="61"/>
      <c r="I956" s="63"/>
      <c r="J956" s="63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spans="1:26" ht="15.75" customHeight="1" x14ac:dyDescent="0.3">
      <c r="A957" s="61"/>
      <c r="B957" s="61"/>
      <c r="C957" s="61"/>
      <c r="D957" s="61"/>
      <c r="E957" s="61"/>
      <c r="F957" s="62"/>
      <c r="G957" s="61"/>
      <c r="H957" s="61"/>
      <c r="I957" s="63"/>
      <c r="J957" s="63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spans="1:26" ht="15.75" customHeight="1" x14ac:dyDescent="0.3">
      <c r="A958" s="61"/>
      <c r="B958" s="61"/>
      <c r="C958" s="61"/>
      <c r="D958" s="61"/>
      <c r="E958" s="61"/>
      <c r="F958" s="62"/>
      <c r="G958" s="61"/>
      <c r="H958" s="61"/>
      <c r="I958" s="63"/>
      <c r="J958" s="63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spans="1:26" ht="15.75" customHeight="1" x14ac:dyDescent="0.3">
      <c r="A959" s="61"/>
      <c r="B959" s="61"/>
      <c r="C959" s="61"/>
      <c r="D959" s="61"/>
      <c r="E959" s="61"/>
      <c r="F959" s="62"/>
      <c r="G959" s="61"/>
      <c r="H959" s="61"/>
      <c r="I959" s="63"/>
      <c r="J959" s="63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spans="1:26" ht="15.75" customHeight="1" x14ac:dyDescent="0.3">
      <c r="A960" s="61"/>
      <c r="B960" s="61"/>
      <c r="C960" s="61"/>
      <c r="D960" s="61"/>
      <c r="E960" s="61"/>
      <c r="F960" s="62"/>
      <c r="G960" s="61"/>
      <c r="H960" s="61"/>
      <c r="I960" s="63"/>
      <c r="J960" s="63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spans="1:26" ht="15.75" customHeight="1" x14ac:dyDescent="0.3">
      <c r="A961" s="61"/>
      <c r="B961" s="61"/>
      <c r="C961" s="61"/>
      <c r="D961" s="61"/>
      <c r="E961" s="61"/>
      <c r="F961" s="62"/>
      <c r="G961" s="61"/>
      <c r="H961" s="61"/>
      <c r="I961" s="63"/>
      <c r="J961" s="63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spans="1:26" ht="15.75" customHeight="1" x14ac:dyDescent="0.3">
      <c r="A962" s="61"/>
      <c r="B962" s="61"/>
      <c r="C962" s="61"/>
      <c r="D962" s="61"/>
      <c r="E962" s="61"/>
      <c r="F962" s="62"/>
      <c r="G962" s="61"/>
      <c r="H962" s="61"/>
      <c r="I962" s="63"/>
      <c r="J962" s="63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spans="1:26" ht="15.75" customHeight="1" x14ac:dyDescent="0.3">
      <c r="A963" s="61"/>
      <c r="B963" s="61"/>
      <c r="C963" s="61"/>
      <c r="D963" s="61"/>
      <c r="E963" s="61"/>
      <c r="F963" s="62"/>
      <c r="G963" s="61"/>
      <c r="H963" s="61"/>
      <c r="I963" s="63"/>
      <c r="J963" s="63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spans="1:26" ht="15.75" customHeight="1" x14ac:dyDescent="0.3">
      <c r="A964" s="61"/>
      <c r="B964" s="61"/>
      <c r="C964" s="61"/>
      <c r="D964" s="61"/>
      <c r="E964" s="61"/>
      <c r="F964" s="62"/>
      <c r="G964" s="61"/>
      <c r="H964" s="61"/>
      <c r="I964" s="63"/>
      <c r="J964" s="63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spans="1:26" ht="15.75" customHeight="1" x14ac:dyDescent="0.3">
      <c r="A965" s="61"/>
      <c r="B965" s="61"/>
      <c r="C965" s="61"/>
      <c r="D965" s="61"/>
      <c r="E965" s="61"/>
      <c r="F965" s="62"/>
      <c r="G965" s="61"/>
      <c r="H965" s="61"/>
      <c r="I965" s="63"/>
      <c r="J965" s="63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spans="1:26" ht="15.75" customHeight="1" x14ac:dyDescent="0.3">
      <c r="A966" s="61"/>
      <c r="B966" s="61"/>
      <c r="C966" s="61"/>
      <c r="D966" s="61"/>
      <c r="E966" s="61"/>
      <c r="F966" s="62"/>
      <c r="G966" s="61"/>
      <c r="H966" s="61"/>
      <c r="I966" s="63"/>
      <c r="J966" s="63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spans="1:26" ht="15.75" customHeight="1" x14ac:dyDescent="0.3">
      <c r="A967" s="61"/>
      <c r="B967" s="61"/>
      <c r="C967" s="61"/>
      <c r="D967" s="61"/>
      <c r="E967" s="61"/>
      <c r="F967" s="62"/>
      <c r="G967" s="61"/>
      <c r="H967" s="61"/>
      <c r="I967" s="63"/>
      <c r="J967" s="63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spans="1:26" ht="15.75" customHeight="1" x14ac:dyDescent="0.3">
      <c r="A968" s="61"/>
      <c r="B968" s="61"/>
      <c r="C968" s="61"/>
      <c r="D968" s="61"/>
      <c r="E968" s="61"/>
      <c r="F968" s="62"/>
      <c r="G968" s="61"/>
      <c r="H968" s="61"/>
      <c r="I968" s="63"/>
      <c r="J968" s="63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spans="1:26" ht="15.75" customHeight="1" x14ac:dyDescent="0.3">
      <c r="A969" s="61"/>
      <c r="B969" s="61"/>
      <c r="C969" s="61"/>
      <c r="D969" s="61"/>
      <c r="E969" s="61"/>
      <c r="F969" s="62"/>
      <c r="G969" s="61"/>
      <c r="H969" s="61"/>
      <c r="I969" s="63"/>
      <c r="J969" s="63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spans="1:26" ht="15.75" customHeight="1" x14ac:dyDescent="0.3">
      <c r="A970" s="61"/>
      <c r="B970" s="61"/>
      <c r="C970" s="61"/>
      <c r="D970" s="61"/>
      <c r="E970" s="61"/>
      <c r="F970" s="62"/>
      <c r="G970" s="61"/>
      <c r="H970" s="61"/>
      <c r="I970" s="63"/>
      <c r="J970" s="63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spans="1:26" ht="15.75" customHeight="1" x14ac:dyDescent="0.3">
      <c r="A971" s="61"/>
      <c r="B971" s="61"/>
      <c r="C971" s="61"/>
      <c r="D971" s="61"/>
      <c r="E971" s="61"/>
      <c r="F971" s="62"/>
      <c r="G971" s="61"/>
      <c r="H971" s="61"/>
      <c r="I971" s="63"/>
      <c r="J971" s="63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spans="1:26" ht="15.75" customHeight="1" x14ac:dyDescent="0.3">
      <c r="A972" s="61"/>
      <c r="B972" s="61"/>
      <c r="C972" s="61"/>
      <c r="D972" s="61"/>
      <c r="E972" s="61"/>
      <c r="F972" s="62"/>
      <c r="G972" s="61"/>
      <c r="H972" s="61"/>
      <c r="I972" s="63"/>
      <c r="J972" s="63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spans="1:26" ht="15.75" customHeight="1" x14ac:dyDescent="0.3">
      <c r="A973" s="61"/>
      <c r="B973" s="61"/>
      <c r="C973" s="61"/>
      <c r="D973" s="61"/>
      <c r="E973" s="61"/>
      <c r="F973" s="62"/>
      <c r="G973" s="61"/>
      <c r="H973" s="61"/>
      <c r="I973" s="63"/>
      <c r="J973" s="63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spans="1:26" ht="15.75" customHeight="1" x14ac:dyDescent="0.3">
      <c r="A974" s="61"/>
      <c r="B974" s="61"/>
      <c r="C974" s="61"/>
      <c r="D974" s="61"/>
      <c r="E974" s="61"/>
      <c r="F974" s="62"/>
      <c r="G974" s="61"/>
      <c r="H974" s="61"/>
      <c r="I974" s="63"/>
      <c r="J974" s="63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spans="1:26" ht="15.75" customHeight="1" x14ac:dyDescent="0.3">
      <c r="A975" s="61"/>
      <c r="B975" s="61"/>
      <c r="C975" s="61"/>
      <c r="D975" s="61"/>
      <c r="E975" s="61"/>
      <c r="F975" s="62"/>
      <c r="G975" s="61"/>
      <c r="H975" s="61"/>
      <c r="I975" s="63"/>
      <c r="J975" s="63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spans="1:26" ht="15.75" customHeight="1" x14ac:dyDescent="0.3">
      <c r="A976" s="61"/>
      <c r="B976" s="61"/>
      <c r="C976" s="61"/>
      <c r="D976" s="61"/>
      <c r="E976" s="61"/>
      <c r="F976" s="62"/>
      <c r="G976" s="61"/>
      <c r="H976" s="61"/>
      <c r="I976" s="63"/>
      <c r="J976" s="63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spans="1:26" ht="15.75" customHeight="1" x14ac:dyDescent="0.3">
      <c r="A977" s="61"/>
      <c r="B977" s="61"/>
      <c r="C977" s="61"/>
      <c r="D977" s="61"/>
      <c r="E977" s="61"/>
      <c r="F977" s="62"/>
      <c r="G977" s="61"/>
      <c r="H977" s="61"/>
      <c r="I977" s="63"/>
      <c r="J977" s="63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spans="1:26" ht="15.75" customHeight="1" x14ac:dyDescent="0.3">
      <c r="A978" s="61"/>
      <c r="B978" s="61"/>
      <c r="C978" s="61"/>
      <c r="D978" s="61"/>
      <c r="E978" s="61"/>
      <c r="F978" s="62"/>
      <c r="G978" s="61"/>
      <c r="H978" s="61"/>
      <c r="I978" s="63"/>
      <c r="J978" s="63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spans="1:26" ht="15.75" customHeight="1" x14ac:dyDescent="0.3">
      <c r="A979" s="61"/>
      <c r="B979" s="61"/>
      <c r="C979" s="61"/>
      <c r="D979" s="61"/>
      <c r="E979" s="61"/>
      <c r="F979" s="62"/>
      <c r="G979" s="61"/>
      <c r="H979" s="61"/>
      <c r="I979" s="63"/>
      <c r="J979" s="63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spans="1:26" ht="15.75" customHeight="1" x14ac:dyDescent="0.3">
      <c r="A980" s="61"/>
      <c r="B980" s="61"/>
      <c r="C980" s="61"/>
      <c r="D980" s="61"/>
      <c r="E980" s="61"/>
      <c r="F980" s="62"/>
      <c r="G980" s="61"/>
      <c r="H980" s="61"/>
      <c r="I980" s="63"/>
      <c r="J980" s="63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spans="1:26" ht="15.75" customHeight="1" x14ac:dyDescent="0.3">
      <c r="A981" s="61"/>
      <c r="B981" s="61"/>
      <c r="C981" s="61"/>
      <c r="D981" s="61"/>
      <c r="E981" s="61"/>
      <c r="F981" s="62"/>
      <c r="G981" s="61"/>
      <c r="H981" s="61"/>
      <c r="I981" s="63"/>
      <c r="J981" s="63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spans="1:26" ht="15.75" customHeight="1" x14ac:dyDescent="0.3">
      <c r="A982" s="61"/>
      <c r="B982" s="61"/>
      <c r="C982" s="61"/>
      <c r="D982" s="61"/>
      <c r="E982" s="61"/>
      <c r="F982" s="62"/>
      <c r="G982" s="61"/>
      <c r="H982" s="61"/>
      <c r="I982" s="63"/>
      <c r="J982" s="63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spans="1:26" ht="15.75" customHeight="1" x14ac:dyDescent="0.3">
      <c r="A983" s="61"/>
      <c r="B983" s="61"/>
      <c r="C983" s="61"/>
      <c r="D983" s="61"/>
      <c r="E983" s="61"/>
      <c r="F983" s="62"/>
      <c r="G983" s="61"/>
      <c r="H983" s="61"/>
      <c r="I983" s="63"/>
      <c r="J983" s="63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spans="1:26" ht="15.75" customHeight="1" x14ac:dyDescent="0.3">
      <c r="A984" s="61"/>
      <c r="B984" s="61"/>
      <c r="C984" s="61"/>
      <c r="D984" s="61"/>
      <c r="E984" s="61"/>
      <c r="F984" s="62"/>
      <c r="G984" s="61"/>
      <c r="H984" s="61"/>
      <c r="I984" s="63"/>
      <c r="J984" s="63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spans="1:26" ht="15.75" customHeight="1" x14ac:dyDescent="0.3">
      <c r="A985" s="61"/>
      <c r="B985" s="61"/>
      <c r="C985" s="61"/>
      <c r="D985" s="61"/>
      <c r="E985" s="61"/>
      <c r="F985" s="62"/>
      <c r="G985" s="61"/>
      <c r="H985" s="61"/>
      <c r="I985" s="63"/>
      <c r="J985" s="63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spans="1:26" ht="15.75" customHeight="1" x14ac:dyDescent="0.3">
      <c r="A986" s="61"/>
      <c r="B986" s="61"/>
      <c r="C986" s="61"/>
      <c r="D986" s="61"/>
      <c r="E986" s="61"/>
      <c r="F986" s="62"/>
      <c r="G986" s="61"/>
      <c r="H986" s="61"/>
      <c r="I986" s="63"/>
      <c r="J986" s="63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spans="1:26" ht="15.75" customHeight="1" x14ac:dyDescent="0.3">
      <c r="A987" s="61"/>
      <c r="B987" s="61"/>
      <c r="C987" s="61"/>
      <c r="D987" s="61"/>
      <c r="E987" s="61"/>
      <c r="F987" s="62"/>
      <c r="G987" s="61"/>
      <c r="H987" s="61"/>
      <c r="I987" s="63"/>
      <c r="J987" s="63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spans="1:26" ht="15.75" customHeight="1" x14ac:dyDescent="0.3">
      <c r="A988" s="61"/>
      <c r="B988" s="61"/>
      <c r="C988" s="61"/>
      <c r="D988" s="61"/>
      <c r="E988" s="61"/>
      <c r="F988" s="62"/>
      <c r="G988" s="61"/>
      <c r="H988" s="61"/>
      <c r="I988" s="63"/>
      <c r="J988" s="63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spans="1:26" ht="15.75" customHeight="1" x14ac:dyDescent="0.3">
      <c r="A989" s="61"/>
      <c r="B989" s="61"/>
      <c r="C989" s="61"/>
      <c r="D989" s="61"/>
      <c r="E989" s="61"/>
      <c r="F989" s="62"/>
      <c r="G989" s="61"/>
      <c r="H989" s="61"/>
      <c r="I989" s="63"/>
      <c r="J989" s="63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spans="1:26" ht="15.75" customHeight="1" x14ac:dyDescent="0.3">
      <c r="A990" s="61"/>
      <c r="B990" s="61"/>
      <c r="C990" s="61"/>
      <c r="D990" s="61"/>
      <c r="E990" s="61"/>
      <c r="F990" s="62"/>
      <c r="G990" s="61"/>
      <c r="H990" s="61"/>
      <c r="I990" s="63"/>
      <c r="J990" s="63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spans="1:26" ht="15.75" customHeight="1" x14ac:dyDescent="0.3">
      <c r="A991" s="61"/>
      <c r="B991" s="61"/>
      <c r="C991" s="61"/>
      <c r="D991" s="61"/>
      <c r="E991" s="61"/>
      <c r="F991" s="62"/>
      <c r="G991" s="61"/>
      <c r="H991" s="61"/>
      <c r="I991" s="63"/>
      <c r="J991" s="63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spans="1:26" ht="15.6" x14ac:dyDescent="0.3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spans="1:26" ht="15.6" x14ac:dyDescent="0.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spans="1:26" ht="15.6" x14ac:dyDescent="0.3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spans="1:26" ht="15.6" x14ac:dyDescent="0.3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spans="1:26" ht="15.6" x14ac:dyDescent="0.3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spans="1:26" ht="15.6" x14ac:dyDescent="0.3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spans="1:26" ht="15.6" x14ac:dyDescent="0.3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spans="1:26" ht="15.6" x14ac:dyDescent="0.3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spans="1:26" ht="15.6" x14ac:dyDescent="0.3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  <row r="1001" spans="1:26" ht="15.6" x14ac:dyDescent="0.3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</row>
  </sheetData>
  <autoFilter ref="B3:N49" xr:uid="{00000000-0009-0000-0000-000007000000}">
    <sortState xmlns:xlrd2="http://schemas.microsoft.com/office/spreadsheetml/2017/richdata2" ref="B4:N49">
      <sortCondition ref="H3:H49"/>
    </sortState>
  </autoFilter>
  <pageMargins left="0.511811024" right="0.511811024" top="0.78740157499999996" bottom="0.78740157499999996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1000"/>
  <sheetViews>
    <sheetView showGridLines="0" workbookViewId="0"/>
  </sheetViews>
  <sheetFormatPr defaultColWidth="14.44140625" defaultRowHeight="15" customHeight="1" x14ac:dyDescent="0.3"/>
  <cols>
    <col min="1" max="1" width="8.6640625" customWidth="1"/>
    <col min="2" max="2" width="17.5546875" customWidth="1"/>
    <col min="3" max="3" width="13.88671875" customWidth="1"/>
    <col min="4" max="4" width="19" customWidth="1"/>
    <col min="5" max="5" width="12.109375" customWidth="1"/>
    <col min="6" max="6" width="8.6640625" customWidth="1"/>
    <col min="7" max="7" width="12" customWidth="1"/>
    <col min="8" max="8" width="8.6640625" customWidth="1"/>
    <col min="9" max="9" width="8" customWidth="1"/>
    <col min="10" max="26" width="8.6640625" customWidth="1"/>
  </cols>
  <sheetData>
    <row r="1" spans="2:5" ht="14.4" x14ac:dyDescent="0.3">
      <c r="B1" s="97" t="s">
        <v>506</v>
      </c>
    </row>
    <row r="3" spans="2:5" ht="14.4" x14ac:dyDescent="0.3">
      <c r="B3" s="97" t="s">
        <v>352</v>
      </c>
      <c r="C3" s="97" t="s">
        <v>507</v>
      </c>
      <c r="D3" s="97" t="s">
        <v>356</v>
      </c>
    </row>
    <row r="4" spans="2:5" ht="14.4" x14ac:dyDescent="0.3">
      <c r="B4" s="98" t="s">
        <v>508</v>
      </c>
      <c r="C4" s="99">
        <v>120</v>
      </c>
      <c r="D4" s="100">
        <v>1373.6163280000001</v>
      </c>
    </row>
    <row r="5" spans="2:5" ht="14.4" x14ac:dyDescent="0.3">
      <c r="B5" s="98" t="s">
        <v>508</v>
      </c>
      <c r="C5" s="99">
        <v>150</v>
      </c>
      <c r="D5" s="100">
        <v>1417.6163280000001</v>
      </c>
    </row>
    <row r="6" spans="2:5" ht="14.4" x14ac:dyDescent="0.3">
      <c r="B6" s="101"/>
      <c r="C6" s="102"/>
      <c r="D6" s="103"/>
    </row>
    <row r="7" spans="2:5" ht="14.4" x14ac:dyDescent="0.3">
      <c r="B7" s="97" t="s">
        <v>509</v>
      </c>
      <c r="C7" s="36">
        <f>AVERAGE(D4/C4,D5/C5)</f>
        <v>10.448789126666668</v>
      </c>
      <c r="D7" s="36">
        <v>0</v>
      </c>
    </row>
    <row r="10" spans="2:5" ht="14.4" x14ac:dyDescent="0.3">
      <c r="B10" s="97" t="s">
        <v>510</v>
      </c>
      <c r="C10" s="104">
        <v>1.4666999999999999</v>
      </c>
      <c r="D10" s="36">
        <v>1</v>
      </c>
    </row>
    <row r="11" spans="2:5" ht="14.4" x14ac:dyDescent="0.3">
      <c r="B11" s="97" t="s">
        <v>511</v>
      </c>
      <c r="C11" s="104">
        <v>1197.5999999999999</v>
      </c>
      <c r="D11" s="36">
        <v>1</v>
      </c>
    </row>
    <row r="13" spans="2:5" ht="14.4" x14ac:dyDescent="0.3">
      <c r="B13" s="97" t="s">
        <v>512</v>
      </c>
    </row>
    <row r="14" spans="2:5" ht="14.4" x14ac:dyDescent="0.3">
      <c r="B14" s="97" t="s">
        <v>296</v>
      </c>
      <c r="C14" s="97" t="s">
        <v>352</v>
      </c>
      <c r="D14" s="97" t="s">
        <v>507</v>
      </c>
      <c r="E14" s="97" t="s">
        <v>356</v>
      </c>
    </row>
    <row r="15" spans="2:5" ht="15.6" x14ac:dyDescent="0.3">
      <c r="B15" s="74" t="s">
        <v>513</v>
      </c>
      <c r="C15" s="98" t="s">
        <v>508</v>
      </c>
      <c r="D15" s="77">
        <v>20</v>
      </c>
      <c r="E15" s="104">
        <f t="shared" ref="E15:E26" si="0">D15*$C$10+$C$11</f>
        <v>1226.934</v>
      </c>
    </row>
    <row r="16" spans="2:5" ht="15.6" x14ac:dyDescent="0.3">
      <c r="B16" s="74" t="s">
        <v>514</v>
      </c>
      <c r="C16" s="98" t="s">
        <v>508</v>
      </c>
      <c r="D16" s="77">
        <v>30</v>
      </c>
      <c r="E16" s="104">
        <f t="shared" si="0"/>
        <v>1241.6009999999999</v>
      </c>
    </row>
    <row r="17" spans="2:8" ht="15.6" x14ac:dyDescent="0.3">
      <c r="B17" s="74" t="s">
        <v>515</v>
      </c>
      <c r="C17" s="98" t="s">
        <v>508</v>
      </c>
      <c r="D17" s="77">
        <v>40</v>
      </c>
      <c r="E17" s="104">
        <f t="shared" si="0"/>
        <v>1256.2679999999998</v>
      </c>
    </row>
    <row r="18" spans="2:8" ht="15.6" x14ac:dyDescent="0.3">
      <c r="B18" s="74" t="s">
        <v>516</v>
      </c>
      <c r="C18" s="98" t="s">
        <v>508</v>
      </c>
      <c r="D18" s="77">
        <v>50</v>
      </c>
      <c r="E18" s="104">
        <f t="shared" si="0"/>
        <v>1270.9349999999999</v>
      </c>
    </row>
    <row r="19" spans="2:8" ht="15.6" x14ac:dyDescent="0.3">
      <c r="B19" s="74" t="s">
        <v>517</v>
      </c>
      <c r="C19" s="98" t="s">
        <v>508</v>
      </c>
      <c r="D19" s="77">
        <v>60</v>
      </c>
      <c r="E19" s="104">
        <f t="shared" si="0"/>
        <v>1285.6019999999999</v>
      </c>
    </row>
    <row r="20" spans="2:8" ht="15.6" x14ac:dyDescent="0.3">
      <c r="B20" s="74" t="s">
        <v>518</v>
      </c>
      <c r="C20" s="98" t="s">
        <v>508</v>
      </c>
      <c r="D20" s="77">
        <v>70</v>
      </c>
      <c r="E20" s="104">
        <f t="shared" si="0"/>
        <v>1300.269</v>
      </c>
    </row>
    <row r="21" spans="2:8" ht="15.75" customHeight="1" x14ac:dyDescent="0.3">
      <c r="B21" s="74" t="s">
        <v>519</v>
      </c>
      <c r="C21" s="98" t="s">
        <v>508</v>
      </c>
      <c r="D21" s="77">
        <v>80</v>
      </c>
      <c r="E21" s="104">
        <f t="shared" si="0"/>
        <v>1314.9359999999999</v>
      </c>
    </row>
    <row r="22" spans="2:8" ht="15.75" customHeight="1" x14ac:dyDescent="0.3">
      <c r="B22" s="74" t="s">
        <v>520</v>
      </c>
      <c r="C22" s="98" t="s">
        <v>508</v>
      </c>
      <c r="D22" s="77">
        <v>90</v>
      </c>
      <c r="E22" s="104">
        <f t="shared" si="0"/>
        <v>1329.6029999999998</v>
      </c>
    </row>
    <row r="23" spans="2:8" ht="15.75" customHeight="1" x14ac:dyDescent="0.3">
      <c r="B23" s="74" t="s">
        <v>521</v>
      </c>
      <c r="C23" s="98" t="s">
        <v>508</v>
      </c>
      <c r="D23" s="77">
        <v>100</v>
      </c>
      <c r="E23" s="104">
        <f t="shared" si="0"/>
        <v>1344.27</v>
      </c>
    </row>
    <row r="24" spans="2:8" ht="15.75" customHeight="1" x14ac:dyDescent="0.3">
      <c r="B24" s="74" t="s">
        <v>522</v>
      </c>
      <c r="C24" s="98" t="s">
        <v>508</v>
      </c>
      <c r="D24" s="77">
        <v>120</v>
      </c>
      <c r="E24" s="104">
        <f t="shared" si="0"/>
        <v>1373.6039999999998</v>
      </c>
    </row>
    <row r="25" spans="2:8" ht="15.75" customHeight="1" x14ac:dyDescent="0.3">
      <c r="B25" s="74" t="s">
        <v>523</v>
      </c>
      <c r="C25" s="98" t="s">
        <v>508</v>
      </c>
      <c r="D25" s="77">
        <v>175</v>
      </c>
      <c r="E25" s="104">
        <f t="shared" si="0"/>
        <v>1454.2724999999998</v>
      </c>
    </row>
    <row r="26" spans="2:8" ht="15.75" customHeight="1" x14ac:dyDescent="0.3">
      <c r="B26" s="74" t="s">
        <v>524</v>
      </c>
      <c r="C26" s="98" t="s">
        <v>508</v>
      </c>
      <c r="D26" s="77">
        <v>200</v>
      </c>
      <c r="E26" s="104">
        <f t="shared" si="0"/>
        <v>1490.9399999999998</v>
      </c>
    </row>
    <row r="27" spans="2:8" ht="15.75" customHeight="1" x14ac:dyDescent="0.3"/>
    <row r="28" spans="2:8" ht="15.75" customHeight="1" x14ac:dyDescent="0.3"/>
    <row r="29" spans="2:8" ht="15.75" customHeight="1" x14ac:dyDescent="0.3">
      <c r="B29" s="97" t="s">
        <v>352</v>
      </c>
      <c r="C29" s="97" t="s">
        <v>507</v>
      </c>
      <c r="D29" s="97" t="s">
        <v>356</v>
      </c>
      <c r="E29" s="105" t="s">
        <v>525</v>
      </c>
    </row>
    <row r="30" spans="2:8" ht="15.75" customHeight="1" x14ac:dyDescent="0.3">
      <c r="B30" s="98" t="s">
        <v>526</v>
      </c>
      <c r="C30" s="99">
        <v>80</v>
      </c>
      <c r="D30" s="100">
        <v>960.08941199999992</v>
      </c>
      <c r="E30" s="77" t="s">
        <v>527</v>
      </c>
      <c r="F30" s="77">
        <v>80</v>
      </c>
      <c r="G30" s="106">
        <v>897</v>
      </c>
      <c r="H30" s="1">
        <f>G30/D30-1</f>
        <v>-6.5712017246993604E-2</v>
      </c>
    </row>
    <row r="31" spans="2:8" ht="15.75" customHeight="1" x14ac:dyDescent="0.3">
      <c r="B31" s="98" t="s">
        <v>526</v>
      </c>
      <c r="C31" s="99">
        <v>100</v>
      </c>
      <c r="D31" s="100">
        <v>987.00275999999997</v>
      </c>
      <c r="E31" s="77" t="s">
        <v>527</v>
      </c>
      <c r="F31" s="77">
        <v>100</v>
      </c>
      <c r="G31" s="106">
        <v>1058</v>
      </c>
      <c r="H31" s="1">
        <f>G31/D31-1</f>
        <v>7.1932159541276297E-2</v>
      </c>
    </row>
    <row r="32" spans="2:8" ht="15.75" customHeight="1" x14ac:dyDescent="0.3"/>
    <row r="33" spans="2:5" ht="15.75" customHeight="1" x14ac:dyDescent="0.3">
      <c r="B33" s="97" t="s">
        <v>509</v>
      </c>
      <c r="C33" s="36">
        <f>AVERAGE(D30/C30,D31/C31)</f>
        <v>10.935572624999999</v>
      </c>
      <c r="D33" s="36">
        <v>0</v>
      </c>
    </row>
    <row r="34" spans="2:5" ht="15.75" customHeight="1" x14ac:dyDescent="0.3"/>
    <row r="35" spans="2:5" ht="15.75" customHeight="1" x14ac:dyDescent="0.3"/>
    <row r="36" spans="2:5" ht="15.75" customHeight="1" x14ac:dyDescent="0.3">
      <c r="B36" s="97" t="s">
        <v>510</v>
      </c>
      <c r="C36" s="104">
        <v>1.3456999999999999</v>
      </c>
      <c r="D36" s="36">
        <v>1</v>
      </c>
    </row>
    <row r="37" spans="2:5" ht="15.75" customHeight="1" x14ac:dyDescent="0.3">
      <c r="B37" s="97" t="s">
        <v>511</v>
      </c>
      <c r="C37" s="104">
        <v>852.44</v>
      </c>
      <c r="D37" s="36">
        <v>1</v>
      </c>
    </row>
    <row r="38" spans="2:5" ht="15.75" customHeight="1" x14ac:dyDescent="0.3"/>
    <row r="39" spans="2:5" ht="15.75" customHeight="1" x14ac:dyDescent="0.3">
      <c r="B39" s="97" t="s">
        <v>512</v>
      </c>
    </row>
    <row r="40" spans="2:5" ht="15.75" customHeight="1" x14ac:dyDescent="0.3">
      <c r="B40" s="97" t="s">
        <v>296</v>
      </c>
      <c r="C40" s="97" t="s">
        <v>352</v>
      </c>
      <c r="D40" s="97" t="s">
        <v>507</v>
      </c>
      <c r="E40" s="97" t="s">
        <v>356</v>
      </c>
    </row>
    <row r="41" spans="2:5" ht="15.75" customHeight="1" x14ac:dyDescent="0.3">
      <c r="B41" s="74" t="s">
        <v>528</v>
      </c>
      <c r="C41" s="98" t="s">
        <v>526</v>
      </c>
      <c r="D41" s="77">
        <v>20</v>
      </c>
      <c r="E41" s="104">
        <f t="shared" ref="E41:E49" si="1">D41*$C$36+$C$37</f>
        <v>879.35400000000004</v>
      </c>
    </row>
    <row r="42" spans="2:5" ht="15.75" customHeight="1" x14ac:dyDescent="0.3">
      <c r="B42" s="74" t="s">
        <v>529</v>
      </c>
      <c r="C42" s="98" t="s">
        <v>526</v>
      </c>
      <c r="D42" s="77">
        <v>30</v>
      </c>
      <c r="E42" s="104">
        <f t="shared" si="1"/>
        <v>892.81100000000004</v>
      </c>
    </row>
    <row r="43" spans="2:5" ht="15.75" customHeight="1" x14ac:dyDescent="0.3">
      <c r="B43" s="74" t="s">
        <v>530</v>
      </c>
      <c r="C43" s="98" t="s">
        <v>526</v>
      </c>
      <c r="D43" s="77">
        <v>40</v>
      </c>
      <c r="E43" s="104">
        <f t="shared" si="1"/>
        <v>906.26800000000003</v>
      </c>
    </row>
    <row r="44" spans="2:5" ht="15.75" customHeight="1" x14ac:dyDescent="0.3">
      <c r="B44" s="74" t="s">
        <v>531</v>
      </c>
      <c r="C44" s="98" t="s">
        <v>526</v>
      </c>
      <c r="D44" s="77">
        <v>50</v>
      </c>
      <c r="E44" s="104">
        <f t="shared" si="1"/>
        <v>919.72500000000002</v>
      </c>
    </row>
    <row r="45" spans="2:5" ht="15.75" customHeight="1" x14ac:dyDescent="0.3">
      <c r="B45" s="74" t="s">
        <v>532</v>
      </c>
      <c r="C45" s="98" t="s">
        <v>526</v>
      </c>
      <c r="D45" s="77">
        <v>60</v>
      </c>
      <c r="E45" s="104">
        <f t="shared" si="1"/>
        <v>933.18200000000002</v>
      </c>
    </row>
    <row r="46" spans="2:5" ht="15.75" customHeight="1" x14ac:dyDescent="0.3">
      <c r="B46" s="74" t="s">
        <v>533</v>
      </c>
      <c r="C46" s="98" t="s">
        <v>526</v>
      </c>
      <c r="D46" s="77">
        <v>70</v>
      </c>
      <c r="E46" s="104">
        <f t="shared" si="1"/>
        <v>946.63900000000001</v>
      </c>
    </row>
    <row r="47" spans="2:5" ht="15.75" customHeight="1" x14ac:dyDescent="0.3">
      <c r="B47" s="74" t="s">
        <v>534</v>
      </c>
      <c r="C47" s="98" t="s">
        <v>526</v>
      </c>
      <c r="D47" s="77">
        <v>80</v>
      </c>
      <c r="E47" s="104">
        <f t="shared" si="1"/>
        <v>960.096</v>
      </c>
    </row>
    <row r="48" spans="2:5" ht="15.75" customHeight="1" x14ac:dyDescent="0.3">
      <c r="B48" s="74" t="s">
        <v>535</v>
      </c>
      <c r="C48" s="98" t="s">
        <v>526</v>
      </c>
      <c r="D48" s="77">
        <v>90</v>
      </c>
      <c r="E48" s="104">
        <f t="shared" si="1"/>
        <v>973.553</v>
      </c>
    </row>
    <row r="49" spans="2:5" ht="15.75" customHeight="1" x14ac:dyDescent="0.3">
      <c r="B49" s="74" t="s">
        <v>536</v>
      </c>
      <c r="C49" s="98" t="s">
        <v>526</v>
      </c>
      <c r="D49" s="77">
        <v>100</v>
      </c>
      <c r="E49" s="104">
        <f t="shared" si="1"/>
        <v>987.01</v>
      </c>
    </row>
    <row r="50" spans="2:5" ht="15.75" customHeight="1" x14ac:dyDescent="0.3"/>
    <row r="51" spans="2:5" ht="15.75" customHeight="1" x14ac:dyDescent="0.3"/>
    <row r="52" spans="2:5" ht="15.75" customHeight="1" x14ac:dyDescent="0.3"/>
    <row r="53" spans="2:5" ht="15.75" customHeight="1" x14ac:dyDescent="0.3"/>
    <row r="54" spans="2:5" ht="15.75" customHeight="1" x14ac:dyDescent="0.3"/>
    <row r="55" spans="2:5" ht="15.75" customHeight="1" x14ac:dyDescent="0.3">
      <c r="B55" s="97" t="s">
        <v>537</v>
      </c>
      <c r="C55" s="97" t="s">
        <v>507</v>
      </c>
      <c r="D55" s="97" t="s">
        <v>356</v>
      </c>
    </row>
    <row r="56" spans="2:5" ht="15.75" customHeight="1" x14ac:dyDescent="0.3">
      <c r="B56" s="36" t="s">
        <v>538</v>
      </c>
      <c r="C56" s="73">
        <v>51</v>
      </c>
      <c r="D56" s="81">
        <v>650.38</v>
      </c>
    </row>
    <row r="57" spans="2:5" ht="15.75" customHeight="1" x14ac:dyDescent="0.3">
      <c r="B57" s="36" t="s">
        <v>538</v>
      </c>
      <c r="C57" s="73">
        <v>101</v>
      </c>
      <c r="D57" s="81">
        <v>779.88</v>
      </c>
    </row>
    <row r="58" spans="2:5" ht="15.75" customHeight="1" x14ac:dyDescent="0.3">
      <c r="B58" s="36" t="s">
        <v>538</v>
      </c>
      <c r="C58" s="73">
        <v>110</v>
      </c>
      <c r="D58" s="81">
        <v>1143.46</v>
      </c>
    </row>
    <row r="59" spans="2:5" ht="15.75" customHeight="1" x14ac:dyDescent="0.3">
      <c r="B59" s="36" t="s">
        <v>538</v>
      </c>
      <c r="C59" s="73">
        <v>149</v>
      </c>
      <c r="D59" s="81">
        <v>919.11</v>
      </c>
    </row>
    <row r="60" spans="2:5" ht="15.75" customHeight="1" x14ac:dyDescent="0.3">
      <c r="B60" s="36" t="s">
        <v>538</v>
      </c>
      <c r="C60" s="73">
        <v>159</v>
      </c>
      <c r="D60" s="81">
        <v>1221.51</v>
      </c>
    </row>
    <row r="61" spans="2:5" ht="15.75" customHeight="1" x14ac:dyDescent="0.3">
      <c r="B61" s="36" t="s">
        <v>538</v>
      </c>
      <c r="C61" s="73">
        <v>194</v>
      </c>
      <c r="D61" s="81">
        <v>1202.21</v>
      </c>
    </row>
    <row r="62" spans="2:5" ht="15.75" customHeight="1" x14ac:dyDescent="0.3">
      <c r="B62" s="36" t="s">
        <v>538</v>
      </c>
      <c r="C62" s="73">
        <v>247</v>
      </c>
      <c r="D62" s="81">
        <v>1334.86</v>
      </c>
    </row>
    <row r="63" spans="2:5" ht="15.75" customHeight="1" x14ac:dyDescent="0.3"/>
    <row r="64" spans="2:5" ht="15.75" customHeight="1" x14ac:dyDescent="0.3">
      <c r="B64" s="97" t="s">
        <v>510</v>
      </c>
      <c r="C64" s="104">
        <v>3.379</v>
      </c>
      <c r="D64" s="36">
        <v>0</v>
      </c>
    </row>
    <row r="65" spans="2:11" ht="15.75" customHeight="1" x14ac:dyDescent="0.3">
      <c r="B65" s="97" t="s">
        <v>511</v>
      </c>
      <c r="C65" s="104">
        <v>547.9</v>
      </c>
      <c r="D65" s="36">
        <v>0</v>
      </c>
    </row>
    <row r="66" spans="2:11" ht="15.75" customHeight="1" x14ac:dyDescent="0.3"/>
    <row r="67" spans="2:11" ht="15.75" customHeight="1" x14ac:dyDescent="0.3"/>
    <row r="68" spans="2:11" ht="15.75" customHeight="1" x14ac:dyDescent="0.3">
      <c r="B68" s="74" t="s">
        <v>539</v>
      </c>
      <c r="C68" s="74" t="s">
        <v>9</v>
      </c>
      <c r="D68" s="73" t="s">
        <v>540</v>
      </c>
      <c r="E68" s="73">
        <v>29</v>
      </c>
      <c r="F68" s="85">
        <f t="shared" ref="F68:F77" si="2">E68*$C$64+$C$65</f>
        <v>645.89099999999996</v>
      </c>
      <c r="G68" s="73"/>
      <c r="H68" s="73"/>
      <c r="I68" s="73"/>
      <c r="J68" s="81"/>
      <c r="K68" s="81"/>
    </row>
    <row r="69" spans="2:11" ht="15.75" customHeight="1" x14ac:dyDescent="0.3">
      <c r="B69" s="74" t="s">
        <v>541</v>
      </c>
      <c r="C69" s="74" t="s">
        <v>9</v>
      </c>
      <c r="D69" s="73" t="s">
        <v>542</v>
      </c>
      <c r="E69" s="73">
        <v>59</v>
      </c>
      <c r="F69" s="85">
        <f t="shared" si="2"/>
        <v>747.26099999999997</v>
      </c>
      <c r="G69" s="73"/>
      <c r="H69" s="73"/>
      <c r="I69" s="73"/>
      <c r="J69" s="81"/>
      <c r="K69" s="81"/>
    </row>
    <row r="70" spans="2:11" ht="15.75" customHeight="1" x14ac:dyDescent="0.3">
      <c r="B70" s="107" t="s">
        <v>543</v>
      </c>
      <c r="C70" s="74" t="s">
        <v>9</v>
      </c>
      <c r="D70" s="73" t="s">
        <v>544</v>
      </c>
      <c r="E70" s="73">
        <v>76</v>
      </c>
      <c r="F70" s="85">
        <f t="shared" si="2"/>
        <v>804.70399999999995</v>
      </c>
      <c r="G70" s="73"/>
      <c r="H70" s="73"/>
      <c r="I70" s="73"/>
      <c r="J70" s="81"/>
      <c r="K70" s="81"/>
    </row>
    <row r="71" spans="2:11" ht="15.75" customHeight="1" x14ac:dyDescent="0.3">
      <c r="B71" s="74" t="s">
        <v>545</v>
      </c>
      <c r="C71" s="74" t="s">
        <v>9</v>
      </c>
      <c r="D71" s="73" t="s">
        <v>546</v>
      </c>
      <c r="E71" s="73">
        <v>89</v>
      </c>
      <c r="F71" s="85">
        <f t="shared" si="2"/>
        <v>848.63099999999997</v>
      </c>
      <c r="G71" s="73"/>
      <c r="H71" s="73"/>
      <c r="I71" s="73"/>
      <c r="J71" s="81"/>
      <c r="K71" s="81"/>
    </row>
    <row r="72" spans="2:11" ht="15.75" customHeight="1" x14ac:dyDescent="0.3">
      <c r="B72" s="74" t="s">
        <v>547</v>
      </c>
      <c r="C72" s="74" t="s">
        <v>9</v>
      </c>
      <c r="D72" s="73" t="s">
        <v>548</v>
      </c>
      <c r="E72" s="73">
        <v>92</v>
      </c>
      <c r="F72" s="85">
        <f t="shared" si="2"/>
        <v>858.76800000000003</v>
      </c>
      <c r="G72" s="73"/>
      <c r="H72" s="73"/>
      <c r="I72" s="73"/>
      <c r="J72" s="81"/>
      <c r="K72" s="81"/>
    </row>
    <row r="73" spans="2:11" ht="15.75" customHeight="1" x14ac:dyDescent="0.3">
      <c r="B73" s="74" t="s">
        <v>549</v>
      </c>
      <c r="C73" s="74" t="s">
        <v>9</v>
      </c>
      <c r="D73" s="73" t="s">
        <v>550</v>
      </c>
      <c r="E73" s="73">
        <v>139</v>
      </c>
      <c r="F73" s="85">
        <f t="shared" si="2"/>
        <v>1017.5809999999999</v>
      </c>
      <c r="G73" s="73"/>
      <c r="H73" s="73"/>
      <c r="I73" s="73"/>
      <c r="J73" s="81"/>
      <c r="K73" s="81"/>
    </row>
    <row r="74" spans="2:11" ht="15.75" customHeight="1" x14ac:dyDescent="0.3">
      <c r="B74" s="107" t="s">
        <v>551</v>
      </c>
      <c r="C74" s="74" t="s">
        <v>9</v>
      </c>
      <c r="D74" s="73" t="s">
        <v>552</v>
      </c>
      <c r="E74" s="73">
        <v>165</v>
      </c>
      <c r="F74" s="85">
        <f t="shared" si="2"/>
        <v>1105.4349999999999</v>
      </c>
      <c r="G74" s="73"/>
      <c r="H74" s="73"/>
      <c r="I74" s="73"/>
      <c r="J74" s="81"/>
      <c r="K74" s="81"/>
    </row>
    <row r="75" spans="2:11" ht="15.75" customHeight="1" x14ac:dyDescent="0.3">
      <c r="B75" s="74" t="s">
        <v>553</v>
      </c>
      <c r="C75" s="74" t="s">
        <v>9</v>
      </c>
      <c r="D75" s="73" t="s">
        <v>554</v>
      </c>
      <c r="E75" s="73">
        <v>168</v>
      </c>
      <c r="F75" s="85">
        <f t="shared" si="2"/>
        <v>1115.5720000000001</v>
      </c>
      <c r="G75" s="73"/>
      <c r="H75" s="73"/>
      <c r="I75" s="73"/>
      <c r="J75" s="81"/>
      <c r="K75" s="81"/>
    </row>
    <row r="76" spans="2:11" ht="15.75" customHeight="1" x14ac:dyDescent="0.3">
      <c r="B76" s="107" t="s">
        <v>555</v>
      </c>
      <c r="C76" s="74" t="s">
        <v>9</v>
      </c>
      <c r="D76" s="73" t="s">
        <v>556</v>
      </c>
      <c r="E76" s="73">
        <v>179</v>
      </c>
      <c r="F76" s="85">
        <f t="shared" si="2"/>
        <v>1152.741</v>
      </c>
      <c r="G76" s="73"/>
      <c r="H76" s="73"/>
      <c r="I76" s="73"/>
      <c r="J76" s="81"/>
      <c r="K76" s="81"/>
    </row>
    <row r="77" spans="2:11" ht="15.75" customHeight="1" x14ac:dyDescent="0.3">
      <c r="B77" s="74" t="s">
        <v>557</v>
      </c>
      <c r="C77" s="74" t="s">
        <v>9</v>
      </c>
      <c r="D77" s="73" t="s">
        <v>558</v>
      </c>
      <c r="E77" s="73">
        <v>217</v>
      </c>
      <c r="F77" s="85">
        <f t="shared" si="2"/>
        <v>1281.143</v>
      </c>
      <c r="G77" s="73"/>
      <c r="H77" s="73"/>
      <c r="I77" s="73"/>
      <c r="J77" s="81"/>
      <c r="K77" s="81"/>
    </row>
    <row r="78" spans="2:11" ht="15.75" customHeight="1" x14ac:dyDescent="0.3"/>
    <row r="79" spans="2:11" ht="15.75" customHeight="1" x14ac:dyDescent="0.3"/>
    <row r="80" spans="2:11" ht="15.75" customHeight="1" x14ac:dyDescent="0.3"/>
    <row r="81" spans="2:4" ht="15.75" customHeight="1" x14ac:dyDescent="0.3">
      <c r="B81" s="97" t="s">
        <v>537</v>
      </c>
      <c r="C81" s="97" t="s">
        <v>507</v>
      </c>
      <c r="D81" s="97" t="s">
        <v>356</v>
      </c>
    </row>
    <row r="82" spans="2:4" ht="15.75" customHeight="1" x14ac:dyDescent="0.3">
      <c r="B82" s="107" t="s">
        <v>559</v>
      </c>
      <c r="C82" s="73">
        <v>22</v>
      </c>
      <c r="D82" s="81">
        <v>486.71</v>
      </c>
    </row>
    <row r="83" spans="2:4" ht="15.75" customHeight="1" x14ac:dyDescent="0.3">
      <c r="B83" s="107" t="s">
        <v>559</v>
      </c>
      <c r="C83" s="73">
        <v>30</v>
      </c>
      <c r="D83" s="81">
        <v>494.63</v>
      </c>
    </row>
    <row r="84" spans="2:4" ht="15.75" customHeight="1" x14ac:dyDescent="0.3">
      <c r="B84" s="107" t="s">
        <v>559</v>
      </c>
      <c r="C84" s="73">
        <v>38</v>
      </c>
      <c r="D84" s="81">
        <v>494.63</v>
      </c>
    </row>
    <row r="85" spans="2:4" ht="15.75" customHeight="1" x14ac:dyDescent="0.3">
      <c r="B85" s="107" t="s">
        <v>559</v>
      </c>
      <c r="C85" s="73">
        <v>55</v>
      </c>
      <c r="D85" s="81">
        <v>508.35</v>
      </c>
    </row>
    <row r="86" spans="2:4" ht="15.75" customHeight="1" x14ac:dyDescent="0.3">
      <c r="B86" s="107" t="s">
        <v>559</v>
      </c>
      <c r="C86" s="73">
        <v>57</v>
      </c>
      <c r="D86" s="81">
        <v>486.05</v>
      </c>
    </row>
    <row r="87" spans="2:4" ht="15.75" customHeight="1" x14ac:dyDescent="0.3">
      <c r="B87" s="107" t="s">
        <v>559</v>
      </c>
      <c r="C87" s="73">
        <v>68</v>
      </c>
      <c r="D87" s="81">
        <v>508.38</v>
      </c>
    </row>
    <row r="88" spans="2:4" ht="15.75" customHeight="1" x14ac:dyDescent="0.3">
      <c r="B88" s="107" t="s">
        <v>559</v>
      </c>
      <c r="C88" s="73">
        <v>80</v>
      </c>
      <c r="D88" s="81">
        <v>832.54</v>
      </c>
    </row>
    <row r="89" spans="2:4" ht="15.75" customHeight="1" x14ac:dyDescent="0.3">
      <c r="B89" s="107" t="s">
        <v>559</v>
      </c>
      <c r="C89" s="73">
        <v>100</v>
      </c>
      <c r="D89" s="81">
        <v>835.22</v>
      </c>
    </row>
    <row r="90" spans="2:4" ht="15.75" customHeight="1" x14ac:dyDescent="0.3">
      <c r="B90" s="107" t="s">
        <v>559</v>
      </c>
      <c r="C90" s="73">
        <v>114</v>
      </c>
      <c r="D90" s="81">
        <v>996.32</v>
      </c>
    </row>
    <row r="91" spans="2:4" ht="15.75" customHeight="1" x14ac:dyDescent="0.3">
      <c r="B91" s="107" t="s">
        <v>559</v>
      </c>
      <c r="C91" s="73">
        <v>120</v>
      </c>
      <c r="D91" s="81">
        <v>772.09</v>
      </c>
    </row>
    <row r="92" spans="2:4" ht="15.75" customHeight="1" x14ac:dyDescent="0.3">
      <c r="B92" s="107" t="s">
        <v>559</v>
      </c>
      <c r="C92" s="73">
        <v>130</v>
      </c>
      <c r="D92" s="81">
        <v>1498.29</v>
      </c>
    </row>
    <row r="93" spans="2:4" ht="15.75" customHeight="1" x14ac:dyDescent="0.3">
      <c r="B93" s="107" t="s">
        <v>559</v>
      </c>
      <c r="C93" s="73">
        <v>170</v>
      </c>
      <c r="D93" s="81">
        <v>1280.6099999999999</v>
      </c>
    </row>
    <row r="94" spans="2:4" ht="15.75" customHeight="1" x14ac:dyDescent="0.3"/>
    <row r="95" spans="2:4" ht="15.75" customHeight="1" x14ac:dyDescent="0.3">
      <c r="B95" s="97" t="s">
        <v>510</v>
      </c>
      <c r="C95" s="104">
        <v>361.33</v>
      </c>
      <c r="D95" s="36">
        <v>0</v>
      </c>
    </row>
    <row r="96" spans="2:4" ht="15.75" customHeight="1" x14ac:dyDescent="0.3">
      <c r="B96" s="97" t="s">
        <v>511</v>
      </c>
      <c r="C96" s="104">
        <v>8.2000000000000007E-3</v>
      </c>
      <c r="D96" s="36">
        <v>0</v>
      </c>
    </row>
    <row r="97" spans="2:11" ht="15.75" customHeight="1" x14ac:dyDescent="0.3"/>
    <row r="98" spans="2:11" ht="15.75" customHeight="1" x14ac:dyDescent="0.3"/>
    <row r="99" spans="2:11" ht="15.75" customHeight="1" x14ac:dyDescent="0.3">
      <c r="B99" s="107" t="s">
        <v>152</v>
      </c>
      <c r="C99" s="107" t="s">
        <v>559</v>
      </c>
      <c r="D99" s="73" t="s">
        <v>560</v>
      </c>
      <c r="E99" s="73">
        <v>48</v>
      </c>
      <c r="F99" s="85">
        <f t="shared" ref="F99:F120" si="3">$C$95*EXP(E99*$C$96)</f>
        <v>535.60217153014901</v>
      </c>
      <c r="G99" s="73"/>
      <c r="H99" s="73"/>
      <c r="I99" s="73"/>
      <c r="J99" s="81"/>
      <c r="K99" s="81"/>
    </row>
    <row r="100" spans="2:11" ht="15.75" customHeight="1" x14ac:dyDescent="0.3">
      <c r="B100" s="107" t="s">
        <v>561</v>
      </c>
      <c r="C100" s="107" t="s">
        <v>559</v>
      </c>
      <c r="D100" s="73" t="s">
        <v>562</v>
      </c>
      <c r="E100" s="73">
        <v>60</v>
      </c>
      <c r="F100" s="85">
        <f t="shared" si="3"/>
        <v>590.98560979242939</v>
      </c>
      <c r="G100" s="73"/>
      <c r="H100" s="73"/>
      <c r="I100" s="73"/>
      <c r="J100" s="81"/>
      <c r="K100" s="81"/>
    </row>
    <row r="101" spans="2:11" ht="15.75" customHeight="1" x14ac:dyDescent="0.3">
      <c r="B101" s="107" t="s">
        <v>563</v>
      </c>
      <c r="C101" s="107" t="s">
        <v>559</v>
      </c>
      <c r="D101" s="73" t="s">
        <v>564</v>
      </c>
      <c r="E101" s="73">
        <v>60</v>
      </c>
      <c r="F101" s="85">
        <f t="shared" si="3"/>
        <v>590.98560979242939</v>
      </c>
      <c r="G101" s="73"/>
      <c r="H101" s="73"/>
      <c r="I101" s="73"/>
      <c r="J101" s="81"/>
      <c r="K101" s="81"/>
    </row>
    <row r="102" spans="2:11" ht="15.75" customHeight="1" x14ac:dyDescent="0.3">
      <c r="B102" s="107" t="s">
        <v>565</v>
      </c>
      <c r="C102" s="107" t="s">
        <v>559</v>
      </c>
      <c r="D102" s="73" t="s">
        <v>566</v>
      </c>
      <c r="E102" s="73">
        <v>60</v>
      </c>
      <c r="F102" s="85">
        <f t="shared" si="3"/>
        <v>590.98560979242939</v>
      </c>
      <c r="G102" s="73"/>
      <c r="H102" s="73"/>
      <c r="I102" s="73"/>
      <c r="J102" s="81"/>
      <c r="K102" s="81"/>
    </row>
    <row r="103" spans="2:11" ht="15.75" customHeight="1" x14ac:dyDescent="0.3">
      <c r="B103" s="107" t="s">
        <v>567</v>
      </c>
      <c r="C103" s="107" t="s">
        <v>559</v>
      </c>
      <c r="D103" s="73" t="s">
        <v>568</v>
      </c>
      <c r="E103" s="73">
        <v>70</v>
      </c>
      <c r="F103" s="85">
        <f t="shared" si="3"/>
        <v>641.48876367485127</v>
      </c>
      <c r="G103" s="73"/>
      <c r="H103" s="73"/>
      <c r="I103" s="73"/>
      <c r="J103" s="81"/>
      <c r="K103" s="81"/>
    </row>
    <row r="104" spans="2:11" ht="15.75" customHeight="1" x14ac:dyDescent="0.3">
      <c r="B104" s="107" t="s">
        <v>569</v>
      </c>
      <c r="C104" s="107" t="s">
        <v>559</v>
      </c>
      <c r="D104" s="73" t="s">
        <v>570</v>
      </c>
      <c r="E104" s="73">
        <v>88</v>
      </c>
      <c r="F104" s="85">
        <f t="shared" si="3"/>
        <v>743.51702805241518</v>
      </c>
      <c r="G104" s="73"/>
      <c r="H104" s="73"/>
      <c r="I104" s="73"/>
      <c r="J104" s="81"/>
      <c r="K104" s="81"/>
    </row>
    <row r="105" spans="2:11" ht="15.75" customHeight="1" x14ac:dyDescent="0.3">
      <c r="B105" s="108" t="s">
        <v>571</v>
      </c>
      <c r="C105" s="107" t="s">
        <v>559</v>
      </c>
      <c r="D105" s="73" t="s">
        <v>572</v>
      </c>
      <c r="E105" s="73">
        <v>90</v>
      </c>
      <c r="F105" s="85">
        <f t="shared" si="3"/>
        <v>755.81124433284208</v>
      </c>
      <c r="G105" s="73"/>
      <c r="H105" s="73"/>
      <c r="I105" s="73"/>
      <c r="J105" s="81"/>
      <c r="K105" s="81"/>
    </row>
    <row r="106" spans="2:11" ht="15.75" customHeight="1" x14ac:dyDescent="0.3">
      <c r="B106" s="107" t="s">
        <v>573</v>
      </c>
      <c r="C106" s="107" t="s">
        <v>559</v>
      </c>
      <c r="D106" s="73"/>
      <c r="E106" s="73">
        <v>140</v>
      </c>
      <c r="F106" s="85">
        <f t="shared" si="3"/>
        <v>1138.869825149003</v>
      </c>
      <c r="G106" s="73"/>
      <c r="H106" s="73"/>
      <c r="I106" s="73"/>
      <c r="J106" s="81"/>
      <c r="K106" s="81"/>
    </row>
    <row r="107" spans="2:11" ht="15.75" customHeight="1" x14ac:dyDescent="0.3">
      <c r="B107" s="109" t="s">
        <v>574</v>
      </c>
      <c r="C107" s="107" t="s">
        <v>559</v>
      </c>
      <c r="D107" s="73" t="s">
        <v>575</v>
      </c>
      <c r="E107" s="73">
        <v>150</v>
      </c>
      <c r="F107" s="85">
        <f t="shared" si="3"/>
        <v>1236.192868347548</v>
      </c>
      <c r="G107" s="73"/>
      <c r="H107" s="73"/>
      <c r="I107" s="73"/>
      <c r="J107" s="81"/>
      <c r="K107" s="81"/>
    </row>
    <row r="108" spans="2:11" ht="15.75" customHeight="1" x14ac:dyDescent="0.3">
      <c r="B108" s="110" t="s">
        <v>576</v>
      </c>
      <c r="C108" s="108" t="s">
        <v>559</v>
      </c>
      <c r="D108" s="73" t="s">
        <v>577</v>
      </c>
      <c r="E108" s="73">
        <v>150</v>
      </c>
      <c r="F108" s="85">
        <f t="shared" si="3"/>
        <v>1236.192868347548</v>
      </c>
      <c r="G108" s="73"/>
      <c r="H108" s="73"/>
      <c r="I108" s="73"/>
      <c r="J108" s="81"/>
      <c r="K108" s="81"/>
    </row>
    <row r="109" spans="2:11" ht="15.75" customHeight="1" x14ac:dyDescent="0.3">
      <c r="B109" s="109" t="s">
        <v>578</v>
      </c>
      <c r="C109" s="107" t="s">
        <v>559</v>
      </c>
      <c r="D109" s="73" t="s">
        <v>577</v>
      </c>
      <c r="E109" s="73">
        <v>150</v>
      </c>
      <c r="F109" s="85">
        <f t="shared" si="3"/>
        <v>1236.192868347548</v>
      </c>
    </row>
    <row r="110" spans="2:11" ht="15.75" customHeight="1" x14ac:dyDescent="0.3">
      <c r="B110" s="107" t="s">
        <v>579</v>
      </c>
      <c r="C110" s="107" t="s">
        <v>559</v>
      </c>
      <c r="D110" s="73" t="s">
        <v>580</v>
      </c>
      <c r="E110" s="73">
        <v>180</v>
      </c>
      <c r="F110" s="85">
        <f t="shared" si="3"/>
        <v>1580.9665321450173</v>
      </c>
    </row>
    <row r="111" spans="2:11" ht="15.75" customHeight="1" x14ac:dyDescent="0.3">
      <c r="B111" s="107" t="s">
        <v>581</v>
      </c>
      <c r="C111" s="107" t="s">
        <v>559</v>
      </c>
      <c r="D111" s="73" t="s">
        <v>582</v>
      </c>
      <c r="E111" s="73">
        <v>190</v>
      </c>
      <c r="F111" s="85">
        <f t="shared" si="3"/>
        <v>1716.0693074628832</v>
      </c>
    </row>
    <row r="112" spans="2:11" ht="15.75" customHeight="1" x14ac:dyDescent="0.3">
      <c r="B112" s="107" t="s">
        <v>583</v>
      </c>
      <c r="C112" s="107" t="s">
        <v>559</v>
      </c>
      <c r="D112" s="73" t="s">
        <v>584</v>
      </c>
      <c r="E112" s="73">
        <v>200</v>
      </c>
      <c r="F112" s="85">
        <f t="shared" si="3"/>
        <v>1862.7173998557575</v>
      </c>
    </row>
    <row r="113" spans="2:6" ht="15.75" customHeight="1" x14ac:dyDescent="0.3">
      <c r="B113" s="108" t="s">
        <v>585</v>
      </c>
      <c r="C113" s="107" t="s">
        <v>559</v>
      </c>
      <c r="D113" s="73" t="s">
        <v>586</v>
      </c>
      <c r="E113" s="73">
        <v>210</v>
      </c>
      <c r="F113" s="85">
        <f t="shared" si="3"/>
        <v>2021.8974237440234</v>
      </c>
    </row>
    <row r="114" spans="2:6" ht="15.75" customHeight="1" x14ac:dyDescent="0.3">
      <c r="B114" s="108" t="s">
        <v>587</v>
      </c>
      <c r="C114" s="107" t="s">
        <v>559</v>
      </c>
      <c r="D114" s="73" t="s">
        <v>586</v>
      </c>
      <c r="E114" s="73">
        <v>210</v>
      </c>
      <c r="F114" s="85">
        <f t="shared" si="3"/>
        <v>2021.8974237440234</v>
      </c>
    </row>
    <row r="115" spans="2:6" ht="15.75" customHeight="1" x14ac:dyDescent="0.3">
      <c r="B115" s="109" t="s">
        <v>588</v>
      </c>
      <c r="C115" s="107" t="s">
        <v>559</v>
      </c>
      <c r="D115" s="73" t="s">
        <v>589</v>
      </c>
      <c r="E115" s="73">
        <v>230</v>
      </c>
      <c r="F115" s="85">
        <f t="shared" si="3"/>
        <v>2382.2284883043039</v>
      </c>
    </row>
    <row r="116" spans="2:6" ht="15.75" customHeight="1" x14ac:dyDescent="0.3">
      <c r="B116" s="109" t="s">
        <v>587</v>
      </c>
      <c r="C116" s="107" t="s">
        <v>559</v>
      </c>
      <c r="D116" s="73" t="s">
        <v>590</v>
      </c>
      <c r="E116" s="73">
        <v>230</v>
      </c>
      <c r="F116" s="85">
        <f t="shared" si="3"/>
        <v>2382.2284883043039</v>
      </c>
    </row>
    <row r="117" spans="2:6" ht="15.75" customHeight="1" x14ac:dyDescent="0.3">
      <c r="B117" s="109" t="s">
        <v>591</v>
      </c>
      <c r="C117" s="107" t="s">
        <v>559</v>
      </c>
      <c r="D117" s="73" t="s">
        <v>590</v>
      </c>
      <c r="E117" s="73">
        <v>230</v>
      </c>
      <c r="F117" s="85">
        <f t="shared" si="3"/>
        <v>2382.2284883043039</v>
      </c>
    </row>
    <row r="118" spans="2:6" ht="15.75" customHeight="1" x14ac:dyDescent="0.3">
      <c r="B118" s="108" t="s">
        <v>592</v>
      </c>
      <c r="C118" s="107" t="s">
        <v>559</v>
      </c>
      <c r="D118" s="73" t="s">
        <v>593</v>
      </c>
      <c r="E118" s="73">
        <v>250</v>
      </c>
      <c r="F118" s="85">
        <f t="shared" si="3"/>
        <v>2806.7757067418265</v>
      </c>
    </row>
    <row r="119" spans="2:6" ht="15.75" customHeight="1" x14ac:dyDescent="0.3">
      <c r="B119" s="108" t="s">
        <v>594</v>
      </c>
      <c r="C119" s="107" t="s">
        <v>559</v>
      </c>
      <c r="D119" s="73" t="s">
        <v>593</v>
      </c>
      <c r="E119" s="73">
        <v>250</v>
      </c>
      <c r="F119" s="85">
        <f t="shared" si="3"/>
        <v>2806.7757067418265</v>
      </c>
    </row>
    <row r="120" spans="2:6" ht="15.75" customHeight="1" x14ac:dyDescent="0.3">
      <c r="B120" s="107" t="s">
        <v>595</v>
      </c>
      <c r="C120" s="107" t="s">
        <v>559</v>
      </c>
      <c r="D120" s="73" t="s">
        <v>596</v>
      </c>
      <c r="E120" s="73">
        <v>270</v>
      </c>
      <c r="F120" s="85">
        <f t="shared" si="3"/>
        <v>3306.9833169377112</v>
      </c>
    </row>
    <row r="121" spans="2:6" ht="15.75" customHeight="1" x14ac:dyDescent="0.3"/>
    <row r="122" spans="2:6" ht="15.75" customHeight="1" x14ac:dyDescent="0.3"/>
    <row r="123" spans="2:6" ht="15.75" customHeight="1" x14ac:dyDescent="0.3"/>
    <row r="124" spans="2:6" ht="15.75" customHeight="1" x14ac:dyDescent="0.3"/>
    <row r="125" spans="2:6" ht="15.75" customHeight="1" x14ac:dyDescent="0.3"/>
    <row r="126" spans="2:6" ht="15.75" customHeight="1" x14ac:dyDescent="0.3"/>
    <row r="127" spans="2:6" ht="15.75" customHeight="1" x14ac:dyDescent="0.3"/>
    <row r="128" spans="2:6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3:N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3" spans="3:14" ht="43.2" x14ac:dyDescent="0.3">
      <c r="C3" s="2" t="s">
        <v>122</v>
      </c>
      <c r="D3" s="111" t="s">
        <v>597</v>
      </c>
      <c r="E3" s="172" t="s">
        <v>598</v>
      </c>
      <c r="F3" s="173"/>
      <c r="G3" s="169"/>
      <c r="H3" s="2" t="s">
        <v>599</v>
      </c>
      <c r="I3" s="2" t="s">
        <v>600</v>
      </c>
      <c r="J3" s="2" t="s">
        <v>601</v>
      </c>
      <c r="K3" s="2" t="s">
        <v>602</v>
      </c>
      <c r="L3" s="2" t="s">
        <v>603</v>
      </c>
      <c r="M3" s="2" t="s">
        <v>604</v>
      </c>
      <c r="N3" s="2" t="s">
        <v>605</v>
      </c>
    </row>
    <row r="4" spans="3:14" ht="14.4" x14ac:dyDescent="0.3">
      <c r="C4" s="15">
        <v>1</v>
      </c>
      <c r="D4" s="15" t="s">
        <v>606</v>
      </c>
      <c r="E4" s="37" t="s">
        <v>5</v>
      </c>
      <c r="F4" s="37" t="s">
        <v>6</v>
      </c>
      <c r="G4" s="37" t="s">
        <v>130</v>
      </c>
      <c r="H4" s="37" t="s">
        <v>607</v>
      </c>
      <c r="I4" s="112">
        <v>35</v>
      </c>
      <c r="J4" s="113">
        <v>5</v>
      </c>
      <c r="K4" s="39">
        <v>6</v>
      </c>
      <c r="L4" s="39">
        <v>1</v>
      </c>
      <c r="M4" s="39">
        <v>2</v>
      </c>
      <c r="N4" s="39" t="s">
        <v>130</v>
      </c>
    </row>
    <row r="5" spans="3:14" ht="14.4" x14ac:dyDescent="0.3">
      <c r="C5" s="15">
        <v>2</v>
      </c>
      <c r="D5" s="15" t="s">
        <v>608</v>
      </c>
      <c r="E5" s="37" t="s">
        <v>3</v>
      </c>
      <c r="F5" s="37" t="s">
        <v>142</v>
      </c>
      <c r="G5" s="37" t="s">
        <v>5</v>
      </c>
      <c r="H5" s="37" t="s">
        <v>607</v>
      </c>
      <c r="I5" s="112">
        <v>25</v>
      </c>
      <c r="J5" s="113">
        <v>7</v>
      </c>
      <c r="K5" s="39">
        <v>8.4</v>
      </c>
      <c r="L5" s="39">
        <v>3.85</v>
      </c>
      <c r="M5" s="39">
        <v>2</v>
      </c>
      <c r="N5" s="39" t="s">
        <v>130</v>
      </c>
    </row>
    <row r="6" spans="3:14" ht="14.4" x14ac:dyDescent="0.3">
      <c r="C6" s="15">
        <v>3</v>
      </c>
      <c r="D6" s="15" t="s">
        <v>609</v>
      </c>
      <c r="E6" s="37" t="s">
        <v>2</v>
      </c>
      <c r="F6" s="37" t="s">
        <v>3</v>
      </c>
      <c r="G6" s="37" t="s">
        <v>142</v>
      </c>
      <c r="H6" s="37" t="s">
        <v>607</v>
      </c>
      <c r="I6" s="112">
        <v>45</v>
      </c>
      <c r="J6" s="113">
        <v>10</v>
      </c>
      <c r="K6" s="39">
        <v>8.8000001907348597</v>
      </c>
      <c r="L6" s="39">
        <v>3.85</v>
      </c>
      <c r="M6" s="39">
        <v>3</v>
      </c>
      <c r="N6" s="39" t="s">
        <v>130</v>
      </c>
    </row>
    <row r="7" spans="3:14" ht="14.4" x14ac:dyDescent="0.3">
      <c r="C7" s="15">
        <v>4</v>
      </c>
      <c r="D7" s="15" t="s">
        <v>606</v>
      </c>
      <c r="E7" s="37" t="s">
        <v>3</v>
      </c>
      <c r="F7" s="37" t="s">
        <v>142</v>
      </c>
      <c r="G7" s="37" t="s">
        <v>130</v>
      </c>
      <c r="H7" s="37" t="s">
        <v>610</v>
      </c>
      <c r="I7" s="112">
        <v>30</v>
      </c>
      <c r="J7" s="113">
        <v>9</v>
      </c>
      <c r="K7" s="39">
        <v>7.7</v>
      </c>
      <c r="L7" s="39">
        <v>2.0999999046325599</v>
      </c>
      <c r="M7" s="39">
        <v>3</v>
      </c>
      <c r="N7" s="39" t="s">
        <v>130</v>
      </c>
    </row>
    <row r="8" spans="3:14" ht="14.4" x14ac:dyDescent="0.3">
      <c r="C8" s="15">
        <v>5</v>
      </c>
      <c r="D8" s="15" t="s">
        <v>609</v>
      </c>
      <c r="E8" s="37" t="s">
        <v>2</v>
      </c>
      <c r="F8" s="37" t="s">
        <v>3</v>
      </c>
      <c r="G8" s="37" t="s">
        <v>130</v>
      </c>
      <c r="H8" s="37" t="s">
        <v>610</v>
      </c>
      <c r="I8" s="112">
        <v>45</v>
      </c>
      <c r="J8" s="113">
        <v>9</v>
      </c>
      <c r="K8" s="39">
        <v>8.4</v>
      </c>
      <c r="L8" s="39">
        <v>3.85</v>
      </c>
      <c r="M8" s="39">
        <v>3</v>
      </c>
      <c r="N8" s="39" t="s">
        <v>130</v>
      </c>
    </row>
    <row r="9" spans="3:14" ht="14.4" x14ac:dyDescent="0.3">
      <c r="C9" s="15">
        <v>6</v>
      </c>
      <c r="D9" s="15" t="s">
        <v>608</v>
      </c>
      <c r="E9" s="37" t="s">
        <v>2</v>
      </c>
      <c r="F9" s="37" t="s">
        <v>3</v>
      </c>
      <c r="G9" s="37" t="s">
        <v>130</v>
      </c>
      <c r="H9" s="37" t="s">
        <v>611</v>
      </c>
      <c r="I9" s="112">
        <v>40</v>
      </c>
      <c r="J9" s="113">
        <v>10</v>
      </c>
      <c r="K9" s="39">
        <v>8.4</v>
      </c>
      <c r="L9" s="39">
        <v>3.85</v>
      </c>
      <c r="M9" s="39">
        <v>3</v>
      </c>
      <c r="N9" s="39" t="s">
        <v>130</v>
      </c>
    </row>
    <row r="10" spans="3:14" ht="14.4" x14ac:dyDescent="0.3">
      <c r="C10" s="15">
        <v>7</v>
      </c>
      <c r="D10" s="15" t="s">
        <v>606</v>
      </c>
      <c r="E10" s="37" t="s">
        <v>142</v>
      </c>
      <c r="F10" s="37" t="s">
        <v>5</v>
      </c>
      <c r="G10" s="37" t="s">
        <v>6</v>
      </c>
      <c r="H10" s="37" t="s">
        <v>268</v>
      </c>
      <c r="I10" s="112">
        <v>25</v>
      </c>
      <c r="J10" s="113">
        <v>4</v>
      </c>
      <c r="K10" s="39">
        <v>7</v>
      </c>
      <c r="L10" s="39">
        <v>1.8</v>
      </c>
      <c r="M10" s="39">
        <v>1</v>
      </c>
      <c r="N10" s="39">
        <v>0.30000001192092801</v>
      </c>
    </row>
    <row r="11" spans="3:14" ht="14.4" x14ac:dyDescent="0.3">
      <c r="C11" s="15">
        <v>8</v>
      </c>
      <c r="D11" s="15" t="s">
        <v>608</v>
      </c>
      <c r="E11" s="37" t="s">
        <v>3</v>
      </c>
      <c r="F11" s="37" t="s">
        <v>142</v>
      </c>
      <c r="G11" s="37" t="s">
        <v>130</v>
      </c>
      <c r="H11" s="37" t="s">
        <v>268</v>
      </c>
      <c r="I11" s="112">
        <v>40</v>
      </c>
      <c r="J11" s="113">
        <v>6</v>
      </c>
      <c r="K11" s="39">
        <v>12</v>
      </c>
      <c r="L11" s="39">
        <v>0.5</v>
      </c>
      <c r="M11" s="39">
        <v>2</v>
      </c>
      <c r="N11" s="39">
        <v>1</v>
      </c>
    </row>
    <row r="12" spans="3:14" ht="14.4" x14ac:dyDescent="0.3">
      <c r="C12" s="15">
        <v>9</v>
      </c>
      <c r="D12" s="15" t="s">
        <v>609</v>
      </c>
      <c r="E12" s="37" t="s">
        <v>2</v>
      </c>
      <c r="F12" s="37" t="s">
        <v>3</v>
      </c>
      <c r="G12" s="37" t="s">
        <v>130</v>
      </c>
      <c r="H12" s="37" t="s">
        <v>268</v>
      </c>
      <c r="I12" s="112">
        <v>45</v>
      </c>
      <c r="J12" s="113">
        <v>13</v>
      </c>
      <c r="K12" s="39">
        <v>20</v>
      </c>
      <c r="L12" s="39">
        <v>0.5</v>
      </c>
      <c r="M12" s="39">
        <v>4</v>
      </c>
      <c r="N12" s="39">
        <v>2</v>
      </c>
    </row>
    <row r="13" spans="3:14" ht="14.4" x14ac:dyDescent="0.3">
      <c r="C13" s="15">
        <v>10</v>
      </c>
      <c r="D13" s="15" t="s">
        <v>608</v>
      </c>
      <c r="E13" s="37" t="s">
        <v>5</v>
      </c>
      <c r="F13" s="37" t="s">
        <v>6</v>
      </c>
      <c r="G13" s="37" t="s">
        <v>130</v>
      </c>
      <c r="H13" s="37" t="s">
        <v>612</v>
      </c>
      <c r="I13" s="112">
        <v>40</v>
      </c>
      <c r="J13" s="113">
        <v>6.4000000953674299</v>
      </c>
      <c r="K13" s="39">
        <v>6</v>
      </c>
      <c r="L13" s="39">
        <v>1</v>
      </c>
      <c r="M13" s="39">
        <v>2</v>
      </c>
      <c r="N13" s="39">
        <v>1</v>
      </c>
    </row>
    <row r="14" spans="3:14" ht="14.4" x14ac:dyDescent="0.3">
      <c r="C14" s="15">
        <v>11</v>
      </c>
      <c r="D14" s="15" t="s">
        <v>608</v>
      </c>
      <c r="E14" s="37" t="s">
        <v>142</v>
      </c>
      <c r="F14" s="37" t="s">
        <v>5</v>
      </c>
      <c r="G14" s="37" t="s">
        <v>130</v>
      </c>
      <c r="H14" s="37" t="s">
        <v>613</v>
      </c>
      <c r="I14" s="112">
        <v>40</v>
      </c>
      <c r="J14" s="113">
        <v>7</v>
      </c>
      <c r="K14" s="39">
        <v>8.3000000000000007</v>
      </c>
      <c r="L14" s="39">
        <v>3</v>
      </c>
      <c r="M14" s="39">
        <v>2</v>
      </c>
      <c r="N14" s="39">
        <v>2</v>
      </c>
    </row>
    <row r="15" spans="3:14" ht="14.4" x14ac:dyDescent="0.3">
      <c r="C15" s="15">
        <v>12</v>
      </c>
      <c r="D15" s="15" t="s">
        <v>606</v>
      </c>
      <c r="E15" s="37" t="s">
        <v>142</v>
      </c>
      <c r="F15" s="37" t="s">
        <v>5</v>
      </c>
      <c r="G15" s="37" t="s">
        <v>6</v>
      </c>
      <c r="H15" s="37" t="s">
        <v>614</v>
      </c>
      <c r="I15" s="112">
        <v>30</v>
      </c>
      <c r="J15" s="113">
        <v>6.8000001907348597</v>
      </c>
      <c r="K15" s="39">
        <v>7.5</v>
      </c>
      <c r="L15" s="39">
        <v>1</v>
      </c>
      <c r="M15" s="39">
        <v>2</v>
      </c>
      <c r="N15" s="39">
        <v>1</v>
      </c>
    </row>
    <row r="16" spans="3:14" ht="14.4" x14ac:dyDescent="0.3">
      <c r="C16" s="15">
        <v>13</v>
      </c>
      <c r="D16" s="15" t="s">
        <v>608</v>
      </c>
      <c r="E16" s="37" t="s">
        <v>3</v>
      </c>
      <c r="F16" s="37" t="s">
        <v>142</v>
      </c>
      <c r="G16" s="37" t="s">
        <v>130</v>
      </c>
      <c r="H16" s="37" t="s">
        <v>614</v>
      </c>
      <c r="I16" s="112">
        <v>35</v>
      </c>
      <c r="J16" s="113">
        <v>9</v>
      </c>
      <c r="K16" s="39">
        <v>7.5</v>
      </c>
      <c r="L16" s="39">
        <v>2.7999999523162802</v>
      </c>
      <c r="M16" s="39">
        <v>3</v>
      </c>
      <c r="N16" s="39">
        <v>2.4000000953674299</v>
      </c>
    </row>
    <row r="17" spans="3:14" ht="14.4" x14ac:dyDescent="0.3">
      <c r="C17" s="15">
        <v>14</v>
      </c>
      <c r="D17" s="15" t="s">
        <v>609</v>
      </c>
      <c r="E17" s="37" t="s">
        <v>2</v>
      </c>
      <c r="F17" s="37" t="s">
        <v>3</v>
      </c>
      <c r="G17" s="37" t="s">
        <v>142</v>
      </c>
      <c r="H17" s="37" t="s">
        <v>614</v>
      </c>
      <c r="I17" s="112">
        <v>40</v>
      </c>
      <c r="J17" s="113">
        <v>10</v>
      </c>
      <c r="K17" s="39">
        <v>8.4</v>
      </c>
      <c r="L17" s="39">
        <v>3.85</v>
      </c>
      <c r="M17" s="39">
        <v>3</v>
      </c>
      <c r="N17" s="39">
        <v>9.5</v>
      </c>
    </row>
    <row r="21" spans="3:14" ht="15.75" customHeight="1" x14ac:dyDescent="0.3"/>
    <row r="22" spans="3:14" ht="15.75" customHeight="1" x14ac:dyDescent="0.3"/>
    <row r="23" spans="3:14" ht="15.75" customHeight="1" x14ac:dyDescent="0.3"/>
    <row r="24" spans="3:14" ht="15.75" customHeight="1" x14ac:dyDescent="0.3"/>
    <row r="25" spans="3:14" ht="15.75" customHeight="1" x14ac:dyDescent="0.3"/>
    <row r="26" spans="3:14" ht="15.75" customHeight="1" x14ac:dyDescent="0.3"/>
    <row r="27" spans="3:14" ht="15.75" customHeight="1" x14ac:dyDescent="0.3"/>
    <row r="28" spans="3:14" ht="15.75" customHeight="1" x14ac:dyDescent="0.3"/>
    <row r="29" spans="3:14" ht="15.75" customHeight="1" x14ac:dyDescent="0.3"/>
    <row r="30" spans="3:14" ht="15.75" customHeight="1" x14ac:dyDescent="0.3"/>
    <row r="31" spans="3:14" ht="15.75" customHeight="1" x14ac:dyDescent="0.3"/>
    <row r="32" spans="3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E3:G3"/>
  </mergeCells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P1000"/>
  <sheetViews>
    <sheetView workbookViewId="0">
      <selection activeCell="J9" sqref="J9:M9"/>
    </sheetView>
  </sheetViews>
  <sheetFormatPr defaultColWidth="14.44140625" defaultRowHeight="15" customHeight="1" x14ac:dyDescent="0.3"/>
  <cols>
    <col min="1" max="1" width="5.6640625" customWidth="1"/>
    <col min="2" max="2" width="10.6640625" customWidth="1"/>
    <col min="3" max="3" width="14.6640625" customWidth="1"/>
    <col min="4" max="4" width="13.6640625" customWidth="1"/>
    <col min="5" max="5" width="14.6640625" customWidth="1"/>
    <col min="6" max="6" width="13.6640625" customWidth="1"/>
    <col min="7" max="7" width="8.6640625" customWidth="1"/>
    <col min="8" max="8" width="5.6640625" customWidth="1"/>
    <col min="9" max="9" width="10.6640625" customWidth="1"/>
    <col min="10" max="10" width="14.6640625" customWidth="1"/>
    <col min="11" max="11" width="13.6640625" customWidth="1"/>
    <col min="12" max="12" width="14.6640625" customWidth="1"/>
    <col min="13" max="13" width="13.6640625" customWidth="1"/>
    <col min="14" max="14" width="14.6640625" customWidth="1"/>
    <col min="15" max="17" width="8.6640625" customWidth="1"/>
  </cols>
  <sheetData>
    <row r="1" spans="1:16" ht="7.5" customHeight="1" x14ac:dyDescent="0.3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</row>
    <row r="2" spans="1:16" ht="14.4" x14ac:dyDescent="0.3">
      <c r="A2" s="114"/>
      <c r="B2" s="176" t="s">
        <v>615</v>
      </c>
      <c r="C2" s="173"/>
      <c r="D2" s="173"/>
      <c r="E2" s="169"/>
      <c r="H2" s="114"/>
      <c r="I2" s="177" t="s">
        <v>616</v>
      </c>
      <c r="J2" s="178"/>
      <c r="K2" s="178"/>
      <c r="L2" s="178"/>
      <c r="M2" s="178"/>
      <c r="N2" s="178"/>
      <c r="O2" s="178"/>
      <c r="P2" s="179"/>
    </row>
    <row r="3" spans="1:16" ht="57.6" x14ac:dyDescent="0.3">
      <c r="A3" s="115"/>
      <c r="B3" s="116" t="s">
        <v>617</v>
      </c>
      <c r="C3" s="116" t="s">
        <v>618</v>
      </c>
      <c r="D3" s="116" t="s">
        <v>88</v>
      </c>
      <c r="E3" s="116" t="s">
        <v>619</v>
      </c>
      <c r="H3" s="115"/>
      <c r="I3" s="116" t="s">
        <v>617</v>
      </c>
      <c r="J3" s="116" t="s">
        <v>618</v>
      </c>
      <c r="K3" s="116" t="s">
        <v>620</v>
      </c>
      <c r="L3" s="116" t="s">
        <v>621</v>
      </c>
      <c r="M3" s="116" t="s">
        <v>622</v>
      </c>
      <c r="N3" s="116" t="s">
        <v>623</v>
      </c>
      <c r="O3" s="116" t="s">
        <v>624</v>
      </c>
      <c r="P3" s="116" t="s">
        <v>625</v>
      </c>
    </row>
    <row r="4" spans="1:16" ht="14.4" x14ac:dyDescent="0.3">
      <c r="A4" s="114"/>
      <c r="B4" s="15" t="s">
        <v>626</v>
      </c>
      <c r="C4" s="37">
        <v>20</v>
      </c>
      <c r="D4" s="39">
        <v>4</v>
      </c>
      <c r="E4" s="39">
        <v>6</v>
      </c>
      <c r="H4" s="114"/>
      <c r="I4" s="15" t="s">
        <v>266</v>
      </c>
      <c r="J4" s="37">
        <v>50</v>
      </c>
      <c r="K4" s="37" t="s">
        <v>130</v>
      </c>
      <c r="L4" s="39" t="s">
        <v>130</v>
      </c>
      <c r="M4" s="37">
        <v>0.38</v>
      </c>
      <c r="N4" s="39" t="s">
        <v>130</v>
      </c>
      <c r="O4" s="39">
        <v>14</v>
      </c>
      <c r="P4" s="39" t="s">
        <v>130</v>
      </c>
    </row>
    <row r="5" spans="1:16" ht="14.4" x14ac:dyDescent="0.3">
      <c r="A5" s="114"/>
      <c r="B5" s="15" t="s">
        <v>627</v>
      </c>
      <c r="C5" s="37">
        <v>15</v>
      </c>
      <c r="D5" s="39">
        <v>3</v>
      </c>
      <c r="E5" s="39">
        <v>5</v>
      </c>
      <c r="H5" s="114"/>
      <c r="I5" s="15" t="s">
        <v>144</v>
      </c>
      <c r="J5" s="37">
        <v>30</v>
      </c>
      <c r="K5" s="37" t="s">
        <v>130</v>
      </c>
      <c r="L5" s="39" t="s">
        <v>130</v>
      </c>
      <c r="M5" s="37">
        <v>0.38</v>
      </c>
      <c r="N5" s="39" t="s">
        <v>130</v>
      </c>
      <c r="O5" s="39">
        <v>14</v>
      </c>
      <c r="P5" s="39" t="s">
        <v>130</v>
      </c>
    </row>
    <row r="6" spans="1:16" ht="14.4" x14ac:dyDescent="0.3">
      <c r="A6" s="114"/>
      <c r="B6" s="15" t="s">
        <v>148</v>
      </c>
      <c r="C6" s="37">
        <v>10</v>
      </c>
      <c r="D6" s="39">
        <v>2</v>
      </c>
      <c r="E6" s="39">
        <v>3</v>
      </c>
      <c r="H6" s="114"/>
      <c r="I6" s="15" t="s">
        <v>149</v>
      </c>
      <c r="J6" s="37">
        <v>20</v>
      </c>
      <c r="K6" s="37" t="s">
        <v>130</v>
      </c>
      <c r="L6" s="39" t="s">
        <v>130</v>
      </c>
      <c r="M6" s="37">
        <v>0.28000000000000003</v>
      </c>
      <c r="N6" s="39" t="s">
        <v>130</v>
      </c>
      <c r="O6" s="39">
        <v>14</v>
      </c>
      <c r="P6" s="39" t="s">
        <v>130</v>
      </c>
    </row>
    <row r="7" spans="1:16" ht="14.4" x14ac:dyDescent="0.3">
      <c r="A7" s="114"/>
      <c r="B7" s="15" t="s">
        <v>146</v>
      </c>
      <c r="C7" s="37">
        <v>7.5</v>
      </c>
      <c r="D7" s="39">
        <v>1.5</v>
      </c>
      <c r="E7" s="39">
        <v>2.5</v>
      </c>
      <c r="H7" s="114"/>
      <c r="I7" s="15" t="s">
        <v>143</v>
      </c>
      <c r="J7" s="37">
        <v>15</v>
      </c>
      <c r="K7" s="37" t="s">
        <v>130</v>
      </c>
      <c r="L7" s="39" t="s">
        <v>130</v>
      </c>
      <c r="M7" s="37">
        <v>0.18</v>
      </c>
      <c r="N7" s="39" t="s">
        <v>130</v>
      </c>
      <c r="O7" s="39">
        <v>15</v>
      </c>
      <c r="P7" s="39" t="s">
        <v>130</v>
      </c>
    </row>
    <row r="8" spans="1:16" ht="14.4" x14ac:dyDescent="0.3">
      <c r="A8" s="114"/>
      <c r="B8" s="15" t="s">
        <v>139</v>
      </c>
      <c r="C8" s="37">
        <v>5</v>
      </c>
      <c r="D8" s="39">
        <v>1</v>
      </c>
      <c r="E8" s="39">
        <v>1.5</v>
      </c>
      <c r="H8" s="114"/>
      <c r="I8" s="15" t="s">
        <v>137</v>
      </c>
      <c r="J8" s="37">
        <v>10</v>
      </c>
      <c r="K8" s="37" t="s">
        <v>130</v>
      </c>
      <c r="L8" s="39" t="s">
        <v>130</v>
      </c>
      <c r="M8" s="37">
        <v>0.18</v>
      </c>
      <c r="N8" s="39" t="s">
        <v>130</v>
      </c>
      <c r="O8" s="39">
        <v>16</v>
      </c>
      <c r="P8" s="39" t="s">
        <v>130</v>
      </c>
    </row>
    <row r="9" spans="1:16" ht="14.4" x14ac:dyDescent="0.3">
      <c r="A9" s="114"/>
      <c r="B9" s="15" t="s">
        <v>131</v>
      </c>
      <c r="C9" s="37">
        <v>3</v>
      </c>
      <c r="D9" s="39">
        <v>0.6</v>
      </c>
      <c r="E9" s="39">
        <v>1</v>
      </c>
      <c r="H9" s="114"/>
      <c r="I9" s="15" t="s">
        <v>129</v>
      </c>
      <c r="J9" s="37">
        <v>7.5</v>
      </c>
      <c r="K9" s="37" t="s">
        <v>130</v>
      </c>
      <c r="L9" s="39" t="s">
        <v>130</v>
      </c>
      <c r="M9" s="37">
        <v>0.18</v>
      </c>
      <c r="N9" s="39" t="s">
        <v>130</v>
      </c>
      <c r="O9" s="39">
        <v>16</v>
      </c>
      <c r="P9" s="39" t="s">
        <v>130</v>
      </c>
    </row>
    <row r="10" spans="1:16" ht="14.4" x14ac:dyDescent="0.3">
      <c r="A10" s="114"/>
      <c r="B10" s="180" t="s">
        <v>628</v>
      </c>
      <c r="C10" s="173"/>
      <c r="D10" s="173"/>
      <c r="E10" s="169"/>
      <c r="H10" s="114"/>
      <c r="I10" s="15" t="s">
        <v>130</v>
      </c>
      <c r="J10" s="37" t="s">
        <v>130</v>
      </c>
      <c r="K10" s="37" t="s">
        <v>130</v>
      </c>
      <c r="L10" s="39" t="s">
        <v>130</v>
      </c>
      <c r="M10" s="39" t="s">
        <v>130</v>
      </c>
      <c r="N10" s="39" t="s">
        <v>130</v>
      </c>
      <c r="O10" s="39" t="s">
        <v>130</v>
      </c>
      <c r="P10" s="39" t="s">
        <v>130</v>
      </c>
    </row>
    <row r="11" spans="1:16" ht="14.4" x14ac:dyDescent="0.3">
      <c r="A11" s="114"/>
      <c r="H11" s="114"/>
      <c r="I11" s="176" t="s">
        <v>629</v>
      </c>
      <c r="J11" s="173"/>
      <c r="K11" s="173"/>
      <c r="L11" s="173"/>
      <c r="M11" s="173"/>
      <c r="N11" s="173"/>
      <c r="O11" s="173"/>
      <c r="P11" s="169"/>
    </row>
    <row r="12" spans="1:16" ht="57.6" x14ac:dyDescent="0.3">
      <c r="A12" s="114"/>
      <c r="B12" s="114"/>
      <c r="C12" s="114"/>
      <c r="D12" s="114"/>
      <c r="E12" s="117"/>
      <c r="F12" s="117"/>
      <c r="G12" s="117"/>
      <c r="H12" s="114"/>
      <c r="I12" s="116" t="s">
        <v>617</v>
      </c>
      <c r="J12" s="116" t="s">
        <v>618</v>
      </c>
      <c r="K12" s="116" t="s">
        <v>620</v>
      </c>
      <c r="L12" s="116" t="s">
        <v>621</v>
      </c>
      <c r="M12" s="116" t="s">
        <v>622</v>
      </c>
      <c r="N12" s="116" t="s">
        <v>623</v>
      </c>
      <c r="O12" s="116" t="s">
        <v>624</v>
      </c>
      <c r="P12" s="116" t="s">
        <v>625</v>
      </c>
    </row>
    <row r="13" spans="1:16" ht="14.4" x14ac:dyDescent="0.3">
      <c r="A13" s="114"/>
      <c r="H13" s="114"/>
      <c r="I13" s="15" t="s">
        <v>130</v>
      </c>
      <c r="J13" s="37" t="s">
        <v>130</v>
      </c>
      <c r="K13" s="37" t="s">
        <v>130</v>
      </c>
      <c r="L13" s="39" t="s">
        <v>130</v>
      </c>
      <c r="M13" s="39" t="s">
        <v>130</v>
      </c>
      <c r="N13" s="39" t="s">
        <v>130</v>
      </c>
      <c r="O13" s="39" t="s">
        <v>130</v>
      </c>
      <c r="P13" s="39" t="s">
        <v>130</v>
      </c>
    </row>
    <row r="14" spans="1:16" ht="14.4" x14ac:dyDescent="0.3">
      <c r="A14" s="114"/>
      <c r="H14" s="114"/>
      <c r="I14" s="15" t="s">
        <v>630</v>
      </c>
      <c r="J14" s="37" t="s">
        <v>130</v>
      </c>
      <c r="K14" s="37" t="s">
        <v>130</v>
      </c>
      <c r="L14" s="39">
        <v>2</v>
      </c>
      <c r="M14" s="39">
        <v>0.4</v>
      </c>
      <c r="N14" s="39">
        <v>0.65</v>
      </c>
      <c r="O14" s="39">
        <v>14</v>
      </c>
      <c r="P14" s="39">
        <v>0.45</v>
      </c>
    </row>
    <row r="15" spans="1:16" ht="14.4" x14ac:dyDescent="0.3">
      <c r="A15" s="114"/>
      <c r="H15" s="114"/>
      <c r="I15" s="15" t="s">
        <v>631</v>
      </c>
      <c r="J15" s="37" t="s">
        <v>130</v>
      </c>
      <c r="K15" s="37" t="s">
        <v>130</v>
      </c>
      <c r="L15" s="39">
        <v>1.5</v>
      </c>
      <c r="M15" s="39">
        <v>0.4</v>
      </c>
      <c r="N15" s="39">
        <v>0.65</v>
      </c>
      <c r="O15" s="39">
        <v>14</v>
      </c>
      <c r="P15" s="39">
        <v>0.45</v>
      </c>
    </row>
    <row r="16" spans="1:16" ht="14.4" x14ac:dyDescent="0.3">
      <c r="A16" s="114"/>
      <c r="H16" s="114"/>
      <c r="I16" s="15" t="s">
        <v>632</v>
      </c>
      <c r="J16" s="37" t="s">
        <v>130</v>
      </c>
      <c r="K16" s="37" t="s">
        <v>130</v>
      </c>
      <c r="L16" s="39">
        <v>1</v>
      </c>
      <c r="M16" s="39">
        <v>0.4</v>
      </c>
      <c r="N16" s="39">
        <v>0.6</v>
      </c>
      <c r="O16" s="39">
        <v>15</v>
      </c>
      <c r="P16" s="39">
        <v>0.45</v>
      </c>
    </row>
    <row r="17" spans="1:16" ht="14.4" x14ac:dyDescent="0.3">
      <c r="A17" s="114"/>
      <c r="H17" s="114"/>
      <c r="I17" s="15" t="s">
        <v>633</v>
      </c>
      <c r="J17" s="37" t="s">
        <v>130</v>
      </c>
      <c r="K17" s="37" t="s">
        <v>130</v>
      </c>
      <c r="L17" s="39">
        <v>0.75</v>
      </c>
      <c r="M17" s="39">
        <v>0.4</v>
      </c>
      <c r="N17" s="39">
        <v>0.6</v>
      </c>
      <c r="O17" s="39">
        <v>16</v>
      </c>
      <c r="P17" s="39">
        <v>0.45</v>
      </c>
    </row>
    <row r="18" spans="1:16" ht="14.4" x14ac:dyDescent="0.3">
      <c r="A18" s="114"/>
      <c r="H18" s="114"/>
      <c r="I18" s="15" t="s">
        <v>634</v>
      </c>
      <c r="J18" s="37" t="s">
        <v>130</v>
      </c>
      <c r="K18" s="37" t="s">
        <v>130</v>
      </c>
      <c r="L18" s="39">
        <v>0.5</v>
      </c>
      <c r="M18" s="39">
        <v>0.35</v>
      </c>
      <c r="N18" s="39">
        <v>0.35</v>
      </c>
      <c r="O18" s="39">
        <v>16</v>
      </c>
      <c r="P18" s="39">
        <v>0.45</v>
      </c>
    </row>
    <row r="19" spans="1:16" ht="14.4" x14ac:dyDescent="0.3">
      <c r="A19" s="114"/>
      <c r="H19" s="114"/>
      <c r="I19" s="15" t="s">
        <v>267</v>
      </c>
      <c r="J19" s="37" t="s">
        <v>130</v>
      </c>
      <c r="K19" s="37" t="s">
        <v>130</v>
      </c>
      <c r="L19" s="39">
        <v>0.3</v>
      </c>
      <c r="M19" s="39">
        <v>0.35</v>
      </c>
      <c r="N19" s="39">
        <v>0.35</v>
      </c>
      <c r="O19" s="39">
        <v>16</v>
      </c>
      <c r="P19" s="39">
        <v>0.45</v>
      </c>
    </row>
    <row r="20" spans="1:16" ht="14.4" x14ac:dyDescent="0.3">
      <c r="A20" s="114"/>
      <c r="H20" s="114"/>
      <c r="I20" s="118" t="s">
        <v>635</v>
      </c>
      <c r="J20" s="40">
        <v>7.0000000000000007E-2</v>
      </c>
      <c r="K20" s="37" t="s">
        <v>636</v>
      </c>
      <c r="L20" s="117"/>
      <c r="M20" s="117"/>
      <c r="N20" s="117"/>
      <c r="O20" s="117"/>
      <c r="P20" s="117"/>
    </row>
    <row r="21" spans="1:16" ht="15.75" customHeight="1" x14ac:dyDescent="0.3">
      <c r="A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</row>
    <row r="22" spans="1:16" ht="57.6" x14ac:dyDescent="0.3">
      <c r="A22" s="114"/>
      <c r="B22" s="119"/>
      <c r="C22" s="119"/>
      <c r="D22" s="119"/>
      <c r="E22" s="119"/>
      <c r="F22" s="114"/>
      <c r="G22" s="114"/>
      <c r="H22" s="114"/>
      <c r="I22" s="116" t="s">
        <v>617</v>
      </c>
      <c r="J22" s="116" t="s">
        <v>618</v>
      </c>
      <c r="K22" s="116" t="s">
        <v>620</v>
      </c>
      <c r="L22" s="116" t="s">
        <v>621</v>
      </c>
      <c r="M22" s="116" t="s">
        <v>622</v>
      </c>
      <c r="N22" s="116" t="s">
        <v>623</v>
      </c>
      <c r="O22" s="116" t="s">
        <v>624</v>
      </c>
      <c r="P22" s="116" t="s">
        <v>625</v>
      </c>
    </row>
    <row r="23" spans="1:16" ht="41.25" customHeight="1" x14ac:dyDescent="0.3">
      <c r="A23" s="114"/>
      <c r="B23" s="114"/>
      <c r="C23" s="114"/>
      <c r="D23" s="114"/>
      <c r="E23" s="114"/>
      <c r="F23" s="114"/>
      <c r="G23" s="114"/>
      <c r="H23" s="114"/>
      <c r="I23" s="15" t="s">
        <v>626</v>
      </c>
      <c r="J23" s="37">
        <v>20</v>
      </c>
      <c r="K23" s="37" t="s">
        <v>130</v>
      </c>
      <c r="L23" s="39" t="s">
        <v>130</v>
      </c>
      <c r="M23" s="39" t="s">
        <v>130</v>
      </c>
      <c r="N23" s="39" t="s">
        <v>130</v>
      </c>
      <c r="O23" s="39" t="s">
        <v>130</v>
      </c>
      <c r="P23" s="39" t="s">
        <v>130</v>
      </c>
    </row>
    <row r="24" spans="1:16" ht="42.75" customHeight="1" x14ac:dyDescent="0.3">
      <c r="A24" s="114"/>
      <c r="B24" s="114"/>
      <c r="C24" s="114"/>
      <c r="D24" s="114"/>
      <c r="E24" s="114"/>
      <c r="F24" s="114"/>
      <c r="G24" s="114"/>
      <c r="H24" s="114"/>
      <c r="I24" s="15" t="s">
        <v>627</v>
      </c>
      <c r="J24" s="37">
        <v>15</v>
      </c>
      <c r="K24" s="37" t="s">
        <v>130</v>
      </c>
      <c r="L24" s="39" t="s">
        <v>130</v>
      </c>
      <c r="M24" s="39" t="s">
        <v>130</v>
      </c>
      <c r="N24" s="39" t="s">
        <v>130</v>
      </c>
      <c r="O24" s="39" t="s">
        <v>130</v>
      </c>
      <c r="P24" s="39" t="s">
        <v>130</v>
      </c>
    </row>
    <row r="25" spans="1:16" ht="15.75" customHeight="1" x14ac:dyDescent="0.3">
      <c r="A25" s="114"/>
      <c r="B25" s="114"/>
      <c r="C25" s="114"/>
      <c r="D25" s="114"/>
      <c r="E25" s="114"/>
      <c r="F25" s="114"/>
      <c r="G25" s="114"/>
      <c r="H25" s="114"/>
      <c r="I25" s="15" t="s">
        <v>148</v>
      </c>
      <c r="J25" s="37">
        <v>10</v>
      </c>
      <c r="K25" s="37" t="s">
        <v>130</v>
      </c>
      <c r="L25" s="39" t="s">
        <v>130</v>
      </c>
      <c r="M25" s="39" t="s">
        <v>130</v>
      </c>
      <c r="N25" s="39" t="s">
        <v>130</v>
      </c>
      <c r="O25" s="39" t="s">
        <v>130</v>
      </c>
      <c r="P25" s="39" t="s">
        <v>130</v>
      </c>
    </row>
    <row r="26" spans="1:16" ht="15.75" customHeight="1" x14ac:dyDescent="0.3">
      <c r="A26" s="114"/>
      <c r="B26" s="114"/>
      <c r="C26" s="114"/>
      <c r="D26" s="114"/>
      <c r="E26" s="114"/>
      <c r="F26" s="114"/>
      <c r="G26" s="114"/>
      <c r="H26" s="114"/>
      <c r="I26" s="15" t="s">
        <v>146</v>
      </c>
      <c r="J26" s="37">
        <v>7.5</v>
      </c>
      <c r="K26" s="37" t="s">
        <v>130</v>
      </c>
      <c r="L26" s="39" t="s">
        <v>130</v>
      </c>
      <c r="M26" s="39" t="s">
        <v>130</v>
      </c>
      <c r="N26" s="39" t="s">
        <v>130</v>
      </c>
      <c r="O26" s="39" t="s">
        <v>130</v>
      </c>
      <c r="P26" s="39" t="s">
        <v>130</v>
      </c>
    </row>
    <row r="27" spans="1:16" ht="15.75" customHeight="1" x14ac:dyDescent="0.3">
      <c r="A27" s="114"/>
      <c r="B27" s="114"/>
      <c r="C27" s="114"/>
      <c r="D27" s="114"/>
      <c r="E27" s="114"/>
      <c r="F27" s="114"/>
      <c r="G27" s="114"/>
      <c r="H27" s="114"/>
      <c r="I27" s="15" t="s">
        <v>139</v>
      </c>
      <c r="J27" s="37">
        <v>5</v>
      </c>
      <c r="K27" s="37" t="s">
        <v>130</v>
      </c>
      <c r="L27" s="39" t="s">
        <v>130</v>
      </c>
      <c r="M27" s="39" t="s">
        <v>130</v>
      </c>
      <c r="N27" s="39" t="s">
        <v>130</v>
      </c>
      <c r="O27" s="39" t="s">
        <v>130</v>
      </c>
      <c r="P27" s="39" t="s">
        <v>130</v>
      </c>
    </row>
    <row r="28" spans="1:16" ht="15.75" customHeight="1" x14ac:dyDescent="0.3">
      <c r="A28" s="114"/>
      <c r="B28" s="114"/>
      <c r="C28" s="114"/>
      <c r="D28" s="114"/>
      <c r="E28" s="114"/>
      <c r="F28" s="114"/>
      <c r="G28" s="114"/>
      <c r="H28" s="114"/>
      <c r="I28" s="15" t="s">
        <v>131</v>
      </c>
      <c r="J28" s="37">
        <v>3</v>
      </c>
      <c r="K28" s="37" t="s">
        <v>130</v>
      </c>
      <c r="L28" s="39" t="s">
        <v>130</v>
      </c>
      <c r="M28" s="39" t="s">
        <v>130</v>
      </c>
      <c r="N28" s="39" t="s">
        <v>130</v>
      </c>
      <c r="O28" s="39" t="s">
        <v>130</v>
      </c>
      <c r="P28" s="39" t="s">
        <v>130</v>
      </c>
    </row>
    <row r="29" spans="1:16" ht="15.75" customHeight="1" x14ac:dyDescent="0.3">
      <c r="A29" s="114"/>
      <c r="B29" s="114"/>
      <c r="C29" s="114"/>
      <c r="D29" s="114"/>
      <c r="E29" s="114"/>
      <c r="F29" s="114"/>
      <c r="G29" s="114"/>
      <c r="H29" s="114"/>
      <c r="I29" s="114"/>
      <c r="J29" s="37" t="s">
        <v>130</v>
      </c>
      <c r="K29" s="37" t="s">
        <v>130</v>
      </c>
      <c r="L29" s="39" t="s">
        <v>130</v>
      </c>
      <c r="M29" s="39" t="s">
        <v>130</v>
      </c>
      <c r="N29" s="39" t="s">
        <v>130</v>
      </c>
      <c r="O29" s="39" t="s">
        <v>130</v>
      </c>
      <c r="P29" s="39" t="s">
        <v>130</v>
      </c>
    </row>
    <row r="30" spans="1:16" ht="15.75" customHeight="1" x14ac:dyDescent="0.3">
      <c r="A30" s="114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 ht="15.75" customHeight="1" x14ac:dyDescent="0.3">
      <c r="A31" s="114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 ht="15.75" customHeight="1" x14ac:dyDescent="0.3">
      <c r="A32" s="114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 ht="15.75" customHeight="1" x14ac:dyDescent="0.3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 ht="15.75" customHeight="1" x14ac:dyDescent="0.3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 ht="15.75" customHeight="1" x14ac:dyDescent="0.3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 ht="15.75" customHeight="1" x14ac:dyDescent="0.3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 ht="15.75" customHeight="1" x14ac:dyDescent="0.3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 ht="15.75" customHeight="1" x14ac:dyDescent="0.3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ht="15.75" customHeight="1" x14ac:dyDescent="0.3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</row>
    <row r="40" spans="1:16" ht="15.75" customHeight="1" x14ac:dyDescent="0.3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</row>
    <row r="41" spans="1:16" ht="15.75" customHeight="1" x14ac:dyDescent="0.3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</row>
    <row r="42" spans="1:16" ht="15.75" customHeight="1" x14ac:dyDescent="0.3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</row>
    <row r="43" spans="1:16" ht="15.75" customHeight="1" x14ac:dyDescent="0.3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</row>
    <row r="44" spans="1:16" ht="15.75" customHeight="1" x14ac:dyDescent="0.3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</row>
    <row r="45" spans="1:16" ht="15.75" customHeight="1" x14ac:dyDescent="0.3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</row>
    <row r="46" spans="1:16" ht="15.75" customHeight="1" x14ac:dyDescent="0.3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</row>
    <row r="47" spans="1:16" ht="15.75" customHeight="1" x14ac:dyDescent="0.3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</row>
    <row r="48" spans="1:16" ht="15.75" customHeight="1" x14ac:dyDescent="0.3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</row>
    <row r="49" spans="1:16" ht="15.75" customHeight="1" x14ac:dyDescent="0.3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</row>
    <row r="50" spans="1:16" ht="15.75" customHeight="1" x14ac:dyDescent="0.3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</row>
    <row r="51" spans="1:16" ht="15.75" customHeight="1" x14ac:dyDescent="0.3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</row>
    <row r="52" spans="1:16" ht="15.75" customHeight="1" x14ac:dyDescent="0.3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</row>
    <row r="53" spans="1:16" ht="15.75" customHeight="1" x14ac:dyDescent="0.3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</row>
    <row r="54" spans="1:16" ht="15.75" customHeight="1" x14ac:dyDescent="0.3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</row>
    <row r="55" spans="1:16" ht="15.75" customHeight="1" x14ac:dyDescent="0.3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</row>
    <row r="56" spans="1:16" ht="15.75" customHeight="1" x14ac:dyDescent="0.3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</row>
    <row r="57" spans="1:16" ht="15.75" customHeight="1" x14ac:dyDescent="0.3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</row>
    <row r="58" spans="1:16" ht="15.75" customHeight="1" x14ac:dyDescent="0.3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</row>
    <row r="59" spans="1:16" ht="15.75" customHeight="1" x14ac:dyDescent="0.3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</row>
    <row r="60" spans="1:16" ht="15.75" customHeight="1" x14ac:dyDescent="0.3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</row>
    <row r="61" spans="1:16" ht="15.75" customHeight="1" x14ac:dyDescent="0.3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</row>
    <row r="62" spans="1:16" ht="15.75" customHeight="1" x14ac:dyDescent="0.3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</row>
    <row r="63" spans="1:16" ht="15.75" customHeight="1" x14ac:dyDescent="0.3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</row>
    <row r="64" spans="1:16" ht="15.75" customHeight="1" x14ac:dyDescent="0.3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</row>
    <row r="65" spans="1:16" ht="15.75" customHeight="1" x14ac:dyDescent="0.3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</row>
    <row r="66" spans="1:16" ht="15.75" customHeight="1" x14ac:dyDescent="0.3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</row>
    <row r="67" spans="1:16" ht="15.75" customHeight="1" x14ac:dyDescent="0.3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</row>
    <row r="68" spans="1:16" ht="15.75" customHeight="1" x14ac:dyDescent="0.3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</row>
    <row r="69" spans="1:16" ht="15.75" customHeight="1" x14ac:dyDescent="0.3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</row>
    <row r="70" spans="1:16" ht="15.75" customHeight="1" x14ac:dyDescent="0.3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</row>
    <row r="71" spans="1:16" ht="15.75" customHeight="1" x14ac:dyDescent="0.3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</row>
    <row r="72" spans="1:16" ht="15.75" customHeight="1" x14ac:dyDescent="0.3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</row>
    <row r="73" spans="1:16" ht="15.75" customHeight="1" x14ac:dyDescent="0.3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</row>
    <row r="74" spans="1:16" ht="15.75" customHeight="1" x14ac:dyDescent="0.3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</row>
    <row r="75" spans="1:16" ht="15.75" customHeight="1" x14ac:dyDescent="0.3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</row>
    <row r="76" spans="1:16" ht="15.75" customHeight="1" x14ac:dyDescent="0.3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</row>
    <row r="77" spans="1:16" ht="15.75" customHeight="1" x14ac:dyDescent="0.3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</row>
    <row r="78" spans="1:16" ht="15.75" customHeight="1" x14ac:dyDescent="0.3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</row>
    <row r="79" spans="1:16" ht="15.75" customHeight="1" x14ac:dyDescent="0.3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</row>
    <row r="80" spans="1:16" ht="15.75" customHeight="1" x14ac:dyDescent="0.3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</row>
    <row r="81" spans="1:16" ht="15.75" customHeight="1" x14ac:dyDescent="0.3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</row>
    <row r="82" spans="1:16" ht="15.75" customHeight="1" x14ac:dyDescent="0.3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</row>
    <row r="83" spans="1:16" ht="15.75" customHeight="1" x14ac:dyDescent="0.3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</row>
    <row r="84" spans="1:16" ht="15.75" customHeight="1" x14ac:dyDescent="0.3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</row>
    <row r="85" spans="1:16" ht="15.75" customHeight="1" x14ac:dyDescent="0.3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</row>
    <row r="86" spans="1:16" ht="15.75" customHeight="1" x14ac:dyDescent="0.3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</row>
    <row r="87" spans="1:16" ht="15.75" customHeight="1" x14ac:dyDescent="0.3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</row>
    <row r="88" spans="1:16" ht="15.75" customHeight="1" x14ac:dyDescent="0.3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</row>
    <row r="89" spans="1:16" ht="15.75" customHeight="1" x14ac:dyDescent="0.3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</row>
    <row r="90" spans="1:16" ht="15.75" customHeight="1" x14ac:dyDescent="0.3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</row>
    <row r="91" spans="1:16" ht="15.75" customHeight="1" x14ac:dyDescent="0.3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</row>
    <row r="92" spans="1:16" ht="15.75" customHeight="1" x14ac:dyDescent="0.3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</row>
    <row r="93" spans="1:16" ht="15.75" customHeight="1" x14ac:dyDescent="0.3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</row>
    <row r="94" spans="1:16" ht="15.75" customHeight="1" x14ac:dyDescent="0.3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</row>
    <row r="95" spans="1:16" ht="15.75" customHeight="1" x14ac:dyDescent="0.3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</row>
    <row r="96" spans="1:16" ht="15.75" customHeight="1" x14ac:dyDescent="0.3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</row>
    <row r="97" spans="1:16" ht="15.75" customHeight="1" x14ac:dyDescent="0.3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</row>
    <row r="98" spans="1:16" ht="15.75" customHeight="1" x14ac:dyDescent="0.3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</row>
    <row r="99" spans="1:16" ht="15.75" customHeight="1" x14ac:dyDescent="0.3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</row>
    <row r="100" spans="1:16" ht="15.75" customHeight="1" x14ac:dyDescent="0.3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</row>
    <row r="101" spans="1:16" ht="15.75" customHeight="1" x14ac:dyDescent="0.3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</row>
    <row r="102" spans="1:16" ht="15.75" customHeight="1" x14ac:dyDescent="0.3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</row>
    <row r="103" spans="1:16" ht="15.75" customHeight="1" x14ac:dyDescent="0.3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</row>
    <row r="104" spans="1:16" ht="15.75" customHeight="1" x14ac:dyDescent="0.3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</row>
    <row r="105" spans="1:16" ht="15.75" customHeight="1" x14ac:dyDescent="0.3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</row>
    <row r="106" spans="1:16" ht="15.75" customHeight="1" x14ac:dyDescent="0.3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</row>
    <row r="107" spans="1:16" ht="15.75" customHeight="1" x14ac:dyDescent="0.3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</row>
    <row r="108" spans="1:16" ht="15.75" customHeight="1" x14ac:dyDescent="0.3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</row>
    <row r="109" spans="1:16" ht="15.75" customHeight="1" x14ac:dyDescent="0.3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</row>
    <row r="110" spans="1:16" ht="15.75" customHeight="1" x14ac:dyDescent="0.3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</row>
    <row r="111" spans="1:16" ht="15.75" customHeight="1" x14ac:dyDescent="0.3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</row>
    <row r="112" spans="1:16" ht="15.75" customHeight="1" x14ac:dyDescent="0.3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</row>
    <row r="113" spans="1:16" ht="15.75" customHeight="1" x14ac:dyDescent="0.3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</row>
    <row r="114" spans="1:16" ht="15.75" customHeight="1" x14ac:dyDescent="0.3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</row>
    <row r="115" spans="1:16" ht="15.75" customHeight="1" x14ac:dyDescent="0.3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</row>
    <row r="116" spans="1:16" ht="15.75" customHeight="1" x14ac:dyDescent="0.3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</row>
    <row r="117" spans="1:16" ht="15.75" customHeight="1" x14ac:dyDescent="0.3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</row>
    <row r="118" spans="1:16" ht="15.75" customHeight="1" x14ac:dyDescent="0.3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</row>
    <row r="119" spans="1:16" ht="15.75" customHeight="1" x14ac:dyDescent="0.3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</row>
    <row r="120" spans="1:16" ht="15.75" customHeight="1" x14ac:dyDescent="0.3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</row>
    <row r="121" spans="1:16" ht="15.75" customHeight="1" x14ac:dyDescent="0.3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</row>
    <row r="122" spans="1:16" ht="15.75" customHeight="1" x14ac:dyDescent="0.3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</row>
    <row r="123" spans="1:16" ht="15.75" customHeight="1" x14ac:dyDescent="0.3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</row>
    <row r="124" spans="1:16" ht="15.75" customHeight="1" x14ac:dyDescent="0.3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</row>
    <row r="125" spans="1:16" ht="15.75" customHeight="1" x14ac:dyDescent="0.3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</row>
    <row r="126" spans="1:16" ht="15.75" customHeight="1" x14ac:dyDescent="0.3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</row>
    <row r="127" spans="1:16" ht="15.75" customHeight="1" x14ac:dyDescent="0.3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</row>
    <row r="128" spans="1:16" ht="15.75" customHeight="1" x14ac:dyDescent="0.3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</row>
    <row r="129" spans="1:16" ht="15.75" customHeight="1" x14ac:dyDescent="0.3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</row>
    <row r="130" spans="1:16" ht="15.75" customHeight="1" x14ac:dyDescent="0.3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</row>
    <row r="131" spans="1:16" ht="15.75" customHeight="1" x14ac:dyDescent="0.3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</row>
    <row r="132" spans="1:16" ht="15.75" customHeight="1" x14ac:dyDescent="0.3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</row>
    <row r="133" spans="1:16" ht="15.75" customHeight="1" x14ac:dyDescent="0.3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</row>
    <row r="134" spans="1:16" ht="15.75" customHeight="1" x14ac:dyDescent="0.3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</row>
    <row r="135" spans="1:16" ht="15.75" customHeight="1" x14ac:dyDescent="0.3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</row>
    <row r="136" spans="1:16" ht="15.75" customHeight="1" x14ac:dyDescent="0.3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</row>
    <row r="137" spans="1:16" ht="15.75" customHeight="1" x14ac:dyDescent="0.3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</row>
    <row r="138" spans="1:16" ht="15.75" customHeight="1" x14ac:dyDescent="0.3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</row>
    <row r="139" spans="1:16" ht="15.75" customHeight="1" x14ac:dyDescent="0.3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</row>
    <row r="140" spans="1:16" ht="15.75" customHeight="1" x14ac:dyDescent="0.3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</row>
    <row r="141" spans="1:16" ht="15.75" customHeight="1" x14ac:dyDescent="0.3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</row>
    <row r="142" spans="1:16" ht="15.75" customHeight="1" x14ac:dyDescent="0.3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</row>
    <row r="143" spans="1:16" ht="15.75" customHeight="1" x14ac:dyDescent="0.3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</row>
    <row r="144" spans="1:16" ht="15.75" customHeight="1" x14ac:dyDescent="0.3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</row>
    <row r="145" spans="1:16" ht="15.75" customHeight="1" x14ac:dyDescent="0.3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</row>
    <row r="146" spans="1:16" ht="15.75" customHeight="1" x14ac:dyDescent="0.3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</row>
    <row r="147" spans="1:16" ht="15.75" customHeight="1" x14ac:dyDescent="0.3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</row>
    <row r="148" spans="1:16" ht="15.75" customHeight="1" x14ac:dyDescent="0.3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</row>
    <row r="149" spans="1:16" ht="15.75" customHeight="1" x14ac:dyDescent="0.3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</row>
    <row r="150" spans="1:16" ht="15.75" customHeight="1" x14ac:dyDescent="0.3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</row>
    <row r="151" spans="1:16" ht="15.75" customHeight="1" x14ac:dyDescent="0.3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</row>
    <row r="152" spans="1:16" ht="15.75" customHeight="1" x14ac:dyDescent="0.3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</row>
    <row r="153" spans="1:16" ht="15.75" customHeight="1" x14ac:dyDescent="0.3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</row>
    <row r="154" spans="1:16" ht="15.75" customHeight="1" x14ac:dyDescent="0.3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</row>
    <row r="155" spans="1:16" ht="15.75" customHeight="1" x14ac:dyDescent="0.3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</row>
    <row r="156" spans="1:16" ht="15.75" customHeight="1" x14ac:dyDescent="0.3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</row>
    <row r="157" spans="1:16" ht="15.75" customHeight="1" x14ac:dyDescent="0.3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</row>
    <row r="158" spans="1:16" ht="15.75" customHeight="1" x14ac:dyDescent="0.3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</row>
    <row r="159" spans="1:16" ht="15.75" customHeight="1" x14ac:dyDescent="0.3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</row>
    <row r="160" spans="1:16" ht="15.75" customHeight="1" x14ac:dyDescent="0.3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</row>
    <row r="161" spans="1:16" ht="15.75" customHeight="1" x14ac:dyDescent="0.3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</row>
    <row r="162" spans="1:16" ht="15.75" customHeight="1" x14ac:dyDescent="0.3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</row>
    <row r="163" spans="1:16" ht="15.75" customHeight="1" x14ac:dyDescent="0.3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</row>
    <row r="164" spans="1:16" ht="15.75" customHeight="1" x14ac:dyDescent="0.3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</row>
    <row r="165" spans="1:16" ht="15.75" customHeight="1" x14ac:dyDescent="0.3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</row>
    <row r="166" spans="1:16" ht="15.75" customHeight="1" x14ac:dyDescent="0.3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</row>
    <row r="167" spans="1:16" ht="15.75" customHeight="1" x14ac:dyDescent="0.3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</row>
    <row r="168" spans="1:16" ht="15.75" customHeight="1" x14ac:dyDescent="0.3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</row>
    <row r="169" spans="1:16" ht="15.75" customHeight="1" x14ac:dyDescent="0.3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</row>
    <row r="170" spans="1:16" ht="15.75" customHeight="1" x14ac:dyDescent="0.3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</row>
    <row r="171" spans="1:16" ht="15.75" customHeight="1" x14ac:dyDescent="0.3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</row>
    <row r="172" spans="1:16" ht="15.75" customHeight="1" x14ac:dyDescent="0.3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</row>
    <row r="173" spans="1:16" ht="15.75" customHeight="1" x14ac:dyDescent="0.3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</row>
    <row r="174" spans="1:16" ht="15.75" customHeight="1" x14ac:dyDescent="0.3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</row>
    <row r="175" spans="1:16" ht="15.75" customHeight="1" x14ac:dyDescent="0.3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</row>
    <row r="176" spans="1:16" ht="15.75" customHeight="1" x14ac:dyDescent="0.3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</row>
    <row r="177" spans="1:16" ht="15.75" customHeight="1" x14ac:dyDescent="0.3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</row>
    <row r="178" spans="1:16" ht="15.75" customHeight="1" x14ac:dyDescent="0.3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</row>
    <row r="179" spans="1:16" ht="15.75" customHeight="1" x14ac:dyDescent="0.3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</row>
    <row r="180" spans="1:16" ht="15.75" customHeight="1" x14ac:dyDescent="0.3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</row>
    <row r="181" spans="1:16" ht="15.75" customHeight="1" x14ac:dyDescent="0.3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</row>
    <row r="182" spans="1:16" ht="15.75" customHeight="1" x14ac:dyDescent="0.3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</row>
    <row r="183" spans="1:16" ht="15.75" customHeight="1" x14ac:dyDescent="0.3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</row>
    <row r="184" spans="1:16" ht="15.75" customHeight="1" x14ac:dyDescent="0.3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</row>
    <row r="185" spans="1:16" ht="15.75" customHeight="1" x14ac:dyDescent="0.3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</row>
    <row r="186" spans="1:16" ht="15.75" customHeight="1" x14ac:dyDescent="0.3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</row>
    <row r="187" spans="1:16" ht="15.75" customHeight="1" x14ac:dyDescent="0.3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</row>
    <row r="188" spans="1:16" ht="15.75" customHeight="1" x14ac:dyDescent="0.3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</row>
    <row r="189" spans="1:16" ht="15.75" customHeight="1" x14ac:dyDescent="0.3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</row>
    <row r="190" spans="1:16" ht="15.75" customHeight="1" x14ac:dyDescent="0.3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</row>
    <row r="191" spans="1:16" ht="15.75" customHeight="1" x14ac:dyDescent="0.3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</row>
    <row r="192" spans="1:16" ht="15.75" customHeight="1" x14ac:dyDescent="0.3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</row>
    <row r="193" spans="1:16" ht="15.75" customHeight="1" x14ac:dyDescent="0.3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</row>
    <row r="194" spans="1:16" ht="15.75" customHeight="1" x14ac:dyDescent="0.3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</row>
    <row r="195" spans="1:16" ht="15.75" customHeight="1" x14ac:dyDescent="0.3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</row>
    <row r="196" spans="1:16" ht="15.75" customHeight="1" x14ac:dyDescent="0.3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</row>
    <row r="197" spans="1:16" ht="15.75" customHeight="1" x14ac:dyDescent="0.3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</row>
    <row r="198" spans="1:16" ht="15.75" customHeight="1" x14ac:dyDescent="0.3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</row>
    <row r="199" spans="1:16" ht="15.75" customHeight="1" x14ac:dyDescent="0.3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</row>
    <row r="200" spans="1:16" ht="15.75" customHeight="1" x14ac:dyDescent="0.3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</row>
    <row r="201" spans="1:16" ht="15.75" customHeight="1" x14ac:dyDescent="0.3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</row>
    <row r="202" spans="1:16" ht="15.75" customHeight="1" x14ac:dyDescent="0.3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</row>
    <row r="203" spans="1:16" ht="15.75" customHeight="1" x14ac:dyDescent="0.3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</row>
    <row r="204" spans="1:16" ht="15.75" customHeight="1" x14ac:dyDescent="0.3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</row>
    <row r="205" spans="1:16" ht="15.75" customHeight="1" x14ac:dyDescent="0.3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</row>
    <row r="206" spans="1:16" ht="15.75" customHeight="1" x14ac:dyDescent="0.3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</row>
    <row r="207" spans="1:16" ht="15.75" customHeight="1" x14ac:dyDescent="0.3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</row>
    <row r="208" spans="1:16" ht="15.75" customHeight="1" x14ac:dyDescent="0.3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</row>
    <row r="209" spans="1:16" ht="15.75" customHeight="1" x14ac:dyDescent="0.3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</row>
    <row r="210" spans="1:16" ht="15.75" customHeight="1" x14ac:dyDescent="0.3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</row>
    <row r="211" spans="1:16" ht="15.75" customHeight="1" x14ac:dyDescent="0.3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</row>
    <row r="212" spans="1:16" ht="15.75" customHeight="1" x14ac:dyDescent="0.3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</row>
    <row r="213" spans="1:16" ht="15.75" customHeight="1" x14ac:dyDescent="0.3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</row>
    <row r="214" spans="1:16" ht="15.75" customHeight="1" x14ac:dyDescent="0.3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</row>
    <row r="215" spans="1:16" ht="15.75" customHeight="1" x14ac:dyDescent="0.3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</row>
    <row r="216" spans="1:16" ht="15.75" customHeight="1" x14ac:dyDescent="0.3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</row>
    <row r="217" spans="1:16" ht="15.75" customHeight="1" x14ac:dyDescent="0.3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</row>
    <row r="218" spans="1:16" ht="15.75" customHeight="1" x14ac:dyDescent="0.3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</row>
    <row r="219" spans="1:16" ht="15.75" customHeight="1" x14ac:dyDescent="0.3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</row>
    <row r="220" spans="1:16" ht="15.75" customHeight="1" x14ac:dyDescent="0.3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</row>
    <row r="221" spans="1:16" ht="15.75" customHeight="1" x14ac:dyDescent="0.3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</row>
    <row r="222" spans="1:16" ht="15.75" customHeight="1" x14ac:dyDescent="0.3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</row>
    <row r="223" spans="1:16" ht="15.75" customHeight="1" x14ac:dyDescent="0.3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</row>
    <row r="224" spans="1:16" ht="15.75" customHeight="1" x14ac:dyDescent="0.3">
      <c r="A224" s="114"/>
      <c r="B224" s="114"/>
      <c r="C224" s="114"/>
      <c r="D224" s="114"/>
      <c r="E224" s="114"/>
      <c r="F224" s="114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</row>
    <row r="225" spans="1:16" ht="15.75" customHeight="1" x14ac:dyDescent="0.3">
      <c r="A225" s="114"/>
      <c r="B225" s="114"/>
      <c r="C225" s="114"/>
      <c r="D225" s="114"/>
      <c r="E225" s="114"/>
      <c r="F225" s="114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</row>
    <row r="226" spans="1:16" ht="15.75" customHeight="1" x14ac:dyDescent="0.3">
      <c r="A226" s="114"/>
      <c r="B226" s="114"/>
      <c r="C226" s="114"/>
      <c r="D226" s="114"/>
      <c r="E226" s="114"/>
      <c r="F226" s="114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</row>
    <row r="227" spans="1:16" ht="15.75" customHeight="1" x14ac:dyDescent="0.3">
      <c r="A227" s="114"/>
      <c r="B227" s="114"/>
      <c r="C227" s="114"/>
      <c r="D227" s="114"/>
      <c r="E227" s="114"/>
      <c r="F227" s="114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</row>
    <row r="228" spans="1:16" ht="15.75" customHeight="1" x14ac:dyDescent="0.3">
      <c r="A228" s="114"/>
      <c r="B228" s="114"/>
      <c r="C228" s="114"/>
      <c r="D228" s="114"/>
      <c r="E228" s="114"/>
      <c r="F228" s="114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</row>
    <row r="229" spans="1:16" ht="15.75" customHeight="1" x14ac:dyDescent="0.3">
      <c r="A229" s="114"/>
      <c r="B229" s="114"/>
      <c r="C229" s="114"/>
      <c r="D229" s="114"/>
      <c r="E229" s="114"/>
      <c r="F229" s="114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</row>
    <row r="230" spans="1:16" ht="15.75" customHeight="1" x14ac:dyDescent="0.3">
      <c r="A230" s="114"/>
      <c r="B230" s="114"/>
      <c r="C230" s="114"/>
      <c r="D230" s="114"/>
      <c r="E230" s="114"/>
      <c r="F230" s="114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</row>
    <row r="231" spans="1:16" ht="15.75" customHeight="1" x14ac:dyDescent="0.3">
      <c r="A231" s="114"/>
      <c r="B231" s="114"/>
      <c r="C231" s="114"/>
      <c r="D231" s="114"/>
      <c r="E231" s="114"/>
      <c r="F231" s="114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</row>
    <row r="232" spans="1:16" ht="15.75" customHeight="1" x14ac:dyDescent="0.3">
      <c r="A232" s="114"/>
      <c r="B232" s="114"/>
      <c r="C232" s="114"/>
      <c r="D232" s="114"/>
      <c r="E232" s="114"/>
      <c r="F232" s="114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</row>
    <row r="233" spans="1:16" ht="15.75" customHeight="1" x14ac:dyDescent="0.3">
      <c r="A233" s="114"/>
      <c r="B233" s="114"/>
      <c r="C233" s="114"/>
      <c r="D233" s="114"/>
      <c r="E233" s="114"/>
      <c r="F233" s="114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</row>
    <row r="234" spans="1:16" ht="15.75" customHeight="1" x14ac:dyDescent="0.3">
      <c r="A234" s="114"/>
      <c r="B234" s="114"/>
      <c r="C234" s="114"/>
      <c r="D234" s="114"/>
      <c r="E234" s="114"/>
      <c r="F234" s="114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</row>
    <row r="235" spans="1:16" ht="15.75" customHeight="1" x14ac:dyDescent="0.3">
      <c r="A235" s="114"/>
      <c r="B235" s="114"/>
      <c r="C235" s="114"/>
      <c r="D235" s="114"/>
      <c r="E235" s="114"/>
      <c r="F235" s="114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</row>
    <row r="236" spans="1:16" ht="15.75" customHeight="1" x14ac:dyDescent="0.3">
      <c r="A236" s="114"/>
      <c r="B236" s="114"/>
      <c r="C236" s="114"/>
      <c r="D236" s="114"/>
      <c r="E236" s="114"/>
      <c r="F236" s="114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</row>
    <row r="237" spans="1:16" ht="15.75" customHeight="1" x14ac:dyDescent="0.3">
      <c r="A237" s="114"/>
      <c r="B237" s="114"/>
      <c r="C237" s="114"/>
      <c r="D237" s="114"/>
      <c r="E237" s="114"/>
      <c r="F237" s="114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</row>
    <row r="238" spans="1:16" ht="15.75" customHeight="1" x14ac:dyDescent="0.3">
      <c r="A238" s="114"/>
      <c r="B238" s="114"/>
      <c r="C238" s="114"/>
      <c r="D238" s="114"/>
      <c r="E238" s="114"/>
      <c r="F238" s="114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</row>
    <row r="239" spans="1:16" ht="15.75" customHeight="1" x14ac:dyDescent="0.3">
      <c r="A239" s="114"/>
      <c r="B239" s="114"/>
      <c r="C239" s="114"/>
      <c r="D239" s="114"/>
      <c r="E239" s="114"/>
      <c r="F239" s="114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</row>
    <row r="240" spans="1:16" ht="15.75" customHeight="1" x14ac:dyDescent="0.3">
      <c r="A240" s="114"/>
      <c r="B240" s="114"/>
      <c r="C240" s="114"/>
      <c r="D240" s="114"/>
      <c r="E240" s="114"/>
      <c r="F240" s="114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</row>
    <row r="241" spans="1:16" ht="15.75" customHeight="1" x14ac:dyDescent="0.3">
      <c r="A241" s="114"/>
      <c r="B241" s="114"/>
      <c r="C241" s="114"/>
      <c r="D241" s="114"/>
      <c r="E241" s="114"/>
      <c r="F241" s="114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</row>
    <row r="242" spans="1:16" ht="15.75" customHeight="1" x14ac:dyDescent="0.3">
      <c r="A242" s="114"/>
      <c r="B242" s="114"/>
      <c r="C242" s="114"/>
      <c r="D242" s="114"/>
      <c r="E242" s="114"/>
      <c r="F242" s="114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</row>
    <row r="243" spans="1:16" ht="15.75" customHeight="1" x14ac:dyDescent="0.3">
      <c r="A243" s="114"/>
      <c r="B243" s="114"/>
      <c r="C243" s="114"/>
      <c r="D243" s="114"/>
      <c r="E243" s="114"/>
      <c r="F243" s="114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</row>
    <row r="244" spans="1:16" ht="15.75" customHeight="1" x14ac:dyDescent="0.3">
      <c r="A244" s="114"/>
      <c r="B244" s="114"/>
      <c r="C244" s="114"/>
      <c r="D244" s="114"/>
      <c r="E244" s="114"/>
      <c r="F244" s="114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</row>
    <row r="245" spans="1:16" ht="15.75" customHeight="1" x14ac:dyDescent="0.3">
      <c r="A245" s="114"/>
      <c r="B245" s="114"/>
      <c r="C245" s="114"/>
      <c r="D245" s="114"/>
      <c r="E245" s="114"/>
      <c r="F245" s="114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</row>
    <row r="246" spans="1:16" ht="15.75" customHeight="1" x14ac:dyDescent="0.3">
      <c r="A246" s="114"/>
      <c r="B246" s="114"/>
      <c r="C246" s="114"/>
      <c r="D246" s="114"/>
      <c r="E246" s="114"/>
      <c r="F246" s="114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</row>
    <row r="247" spans="1:16" ht="15.75" customHeight="1" x14ac:dyDescent="0.3">
      <c r="A247" s="114"/>
      <c r="B247" s="114"/>
      <c r="C247" s="114"/>
      <c r="D247" s="114"/>
      <c r="E247" s="114"/>
      <c r="F247" s="114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</row>
    <row r="248" spans="1:16" ht="15.75" customHeight="1" x14ac:dyDescent="0.3">
      <c r="A248" s="114"/>
      <c r="B248" s="114"/>
      <c r="C248" s="114"/>
      <c r="D248" s="114"/>
      <c r="E248" s="114"/>
      <c r="F248" s="114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</row>
    <row r="249" spans="1:16" ht="15.75" customHeight="1" x14ac:dyDescent="0.3">
      <c r="A249" s="114"/>
      <c r="B249" s="114"/>
      <c r="C249" s="114"/>
      <c r="D249" s="114"/>
      <c r="E249" s="114"/>
      <c r="F249" s="114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</row>
    <row r="250" spans="1:16" ht="15.75" customHeight="1" x14ac:dyDescent="0.3">
      <c r="A250" s="114"/>
      <c r="B250" s="114"/>
      <c r="C250" s="114"/>
      <c r="D250" s="114"/>
      <c r="E250" s="114"/>
      <c r="F250" s="114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</row>
    <row r="251" spans="1:16" ht="15.75" customHeight="1" x14ac:dyDescent="0.3">
      <c r="A251" s="114"/>
      <c r="B251" s="114"/>
      <c r="C251" s="114"/>
      <c r="D251" s="114"/>
      <c r="E251" s="114"/>
      <c r="F251" s="114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</row>
    <row r="252" spans="1:16" ht="15.75" customHeight="1" x14ac:dyDescent="0.3">
      <c r="A252" s="114"/>
      <c r="B252" s="114"/>
      <c r="C252" s="114"/>
      <c r="D252" s="114"/>
      <c r="E252" s="114"/>
      <c r="F252" s="114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</row>
    <row r="253" spans="1:16" ht="15.75" customHeight="1" x14ac:dyDescent="0.3">
      <c r="A253" s="114"/>
      <c r="B253" s="114"/>
      <c r="C253" s="114"/>
      <c r="D253" s="114"/>
      <c r="E253" s="114"/>
      <c r="F253" s="114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</row>
    <row r="254" spans="1:16" ht="15.75" customHeight="1" x14ac:dyDescent="0.3">
      <c r="A254" s="114"/>
      <c r="B254" s="114"/>
      <c r="C254" s="114"/>
      <c r="D254" s="114"/>
      <c r="E254" s="114"/>
      <c r="F254" s="114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</row>
    <row r="255" spans="1:16" ht="15.75" customHeight="1" x14ac:dyDescent="0.3">
      <c r="A255" s="114"/>
      <c r="B255" s="114"/>
      <c r="C255" s="114"/>
      <c r="D255" s="114"/>
      <c r="E255" s="114"/>
      <c r="F255" s="114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</row>
    <row r="256" spans="1:16" ht="15.75" customHeight="1" x14ac:dyDescent="0.3">
      <c r="A256" s="114"/>
      <c r="B256" s="114"/>
      <c r="C256" s="114"/>
      <c r="D256" s="114"/>
      <c r="E256" s="114"/>
      <c r="F256" s="114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</row>
    <row r="257" spans="1:16" ht="15.75" customHeight="1" x14ac:dyDescent="0.3">
      <c r="A257" s="114"/>
      <c r="B257" s="114"/>
      <c r="C257" s="114"/>
      <c r="D257" s="114"/>
      <c r="E257" s="114"/>
      <c r="F257" s="114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</row>
    <row r="258" spans="1:16" ht="15.75" customHeight="1" x14ac:dyDescent="0.3">
      <c r="A258" s="114"/>
      <c r="B258" s="114"/>
      <c r="C258" s="114"/>
      <c r="D258" s="114"/>
      <c r="E258" s="114"/>
      <c r="F258" s="114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</row>
    <row r="259" spans="1:16" ht="15.75" customHeight="1" x14ac:dyDescent="0.3">
      <c r="A259" s="114"/>
      <c r="B259" s="114"/>
      <c r="C259" s="114"/>
      <c r="D259" s="114"/>
      <c r="E259" s="114"/>
      <c r="F259" s="114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</row>
    <row r="260" spans="1:16" ht="15.75" customHeight="1" x14ac:dyDescent="0.3">
      <c r="A260" s="114"/>
      <c r="B260" s="114"/>
      <c r="C260" s="114"/>
      <c r="D260" s="114"/>
      <c r="E260" s="114"/>
      <c r="F260" s="114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</row>
    <row r="261" spans="1:16" ht="15.75" customHeight="1" x14ac:dyDescent="0.3">
      <c r="A261" s="114"/>
      <c r="B261" s="114"/>
      <c r="C261" s="114"/>
      <c r="D261" s="114"/>
      <c r="E261" s="114"/>
      <c r="F261" s="114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</row>
    <row r="262" spans="1:16" ht="15.75" customHeight="1" x14ac:dyDescent="0.3">
      <c r="A262" s="114"/>
      <c r="B262" s="114"/>
      <c r="C262" s="114"/>
      <c r="D262" s="114"/>
      <c r="E262" s="114"/>
      <c r="F262" s="114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</row>
    <row r="263" spans="1:16" ht="15.75" customHeight="1" x14ac:dyDescent="0.3">
      <c r="A263" s="114"/>
      <c r="B263" s="114"/>
      <c r="C263" s="114"/>
      <c r="D263" s="114"/>
      <c r="E263" s="114"/>
      <c r="F263" s="114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</row>
    <row r="264" spans="1:16" ht="15.75" customHeight="1" x14ac:dyDescent="0.3">
      <c r="A264" s="114"/>
      <c r="B264" s="114"/>
      <c r="C264" s="114"/>
      <c r="D264" s="114"/>
      <c r="E264" s="114"/>
      <c r="F264" s="114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</row>
    <row r="265" spans="1:16" ht="15.75" customHeight="1" x14ac:dyDescent="0.3">
      <c r="A265" s="114"/>
      <c r="B265" s="114"/>
      <c r="C265" s="114"/>
      <c r="D265" s="114"/>
      <c r="E265" s="114"/>
      <c r="F265" s="114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</row>
    <row r="266" spans="1:16" ht="15.75" customHeight="1" x14ac:dyDescent="0.3">
      <c r="A266" s="114"/>
      <c r="B266" s="114"/>
      <c r="C266" s="114"/>
      <c r="D266" s="114"/>
      <c r="E266" s="114"/>
      <c r="F266" s="114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</row>
    <row r="267" spans="1:16" ht="15.75" customHeight="1" x14ac:dyDescent="0.3">
      <c r="A267" s="114"/>
      <c r="B267" s="114"/>
      <c r="C267" s="114"/>
      <c r="D267" s="114"/>
      <c r="E267" s="114"/>
      <c r="F267" s="114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</row>
    <row r="268" spans="1:16" ht="15.75" customHeight="1" x14ac:dyDescent="0.3">
      <c r="A268" s="114"/>
      <c r="B268" s="114"/>
      <c r="C268" s="114"/>
      <c r="D268" s="114"/>
      <c r="E268" s="114"/>
      <c r="F268" s="114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</row>
    <row r="269" spans="1:16" ht="15.75" customHeight="1" x14ac:dyDescent="0.3">
      <c r="A269" s="114"/>
      <c r="B269" s="114"/>
      <c r="C269" s="114"/>
      <c r="D269" s="114"/>
      <c r="E269" s="114"/>
      <c r="F269" s="114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</row>
    <row r="270" spans="1:16" ht="15.75" customHeight="1" x14ac:dyDescent="0.3">
      <c r="A270" s="114"/>
      <c r="B270" s="114"/>
      <c r="C270" s="114"/>
      <c r="D270" s="114"/>
      <c r="E270" s="114"/>
      <c r="F270" s="114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</row>
    <row r="271" spans="1:16" ht="15.75" customHeight="1" x14ac:dyDescent="0.3">
      <c r="A271" s="114"/>
      <c r="B271" s="114"/>
      <c r="C271" s="114"/>
      <c r="D271" s="114"/>
      <c r="E271" s="114"/>
      <c r="F271" s="114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</row>
    <row r="272" spans="1:16" ht="15.75" customHeight="1" x14ac:dyDescent="0.3">
      <c r="A272" s="114"/>
      <c r="B272" s="114"/>
      <c r="C272" s="114"/>
      <c r="D272" s="114"/>
      <c r="E272" s="114"/>
      <c r="F272" s="114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</row>
    <row r="273" spans="1:16" ht="15.75" customHeight="1" x14ac:dyDescent="0.3">
      <c r="A273" s="114"/>
      <c r="B273" s="114"/>
      <c r="C273" s="114"/>
      <c r="D273" s="114"/>
      <c r="E273" s="114"/>
      <c r="F273" s="114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</row>
    <row r="274" spans="1:16" ht="15.75" customHeight="1" x14ac:dyDescent="0.3">
      <c r="A274" s="114"/>
      <c r="B274" s="114"/>
      <c r="C274" s="114"/>
      <c r="D274" s="114"/>
      <c r="E274" s="114"/>
      <c r="F274" s="114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</row>
    <row r="275" spans="1:16" ht="15.75" customHeight="1" x14ac:dyDescent="0.3">
      <c r="A275" s="114"/>
      <c r="B275" s="114"/>
      <c r="C275" s="114"/>
      <c r="D275" s="114"/>
      <c r="E275" s="114"/>
      <c r="F275" s="114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</row>
    <row r="276" spans="1:16" ht="15.75" customHeight="1" x14ac:dyDescent="0.3">
      <c r="A276" s="114"/>
      <c r="B276" s="114"/>
      <c r="C276" s="114"/>
      <c r="D276" s="114"/>
      <c r="E276" s="114"/>
      <c r="F276" s="114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</row>
    <row r="277" spans="1:16" ht="15.75" customHeight="1" x14ac:dyDescent="0.3">
      <c r="A277" s="114"/>
      <c r="B277" s="114"/>
      <c r="C277" s="114"/>
      <c r="D277" s="114"/>
      <c r="E277" s="114"/>
      <c r="F277" s="114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</row>
    <row r="278" spans="1:16" ht="15.75" customHeight="1" x14ac:dyDescent="0.3">
      <c r="A278" s="114"/>
      <c r="B278" s="114"/>
      <c r="C278" s="114"/>
      <c r="D278" s="114"/>
      <c r="E278" s="114"/>
      <c r="F278" s="114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</row>
    <row r="279" spans="1:16" ht="15.75" customHeight="1" x14ac:dyDescent="0.3">
      <c r="A279" s="114"/>
      <c r="B279" s="114"/>
      <c r="C279" s="114"/>
      <c r="D279" s="114"/>
      <c r="E279" s="114"/>
      <c r="F279" s="114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</row>
    <row r="280" spans="1:16" ht="15.75" customHeight="1" x14ac:dyDescent="0.3">
      <c r="A280" s="114"/>
      <c r="B280" s="114"/>
      <c r="C280" s="114"/>
      <c r="D280" s="114"/>
      <c r="E280" s="114"/>
      <c r="F280" s="114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</row>
    <row r="281" spans="1:16" ht="15.75" customHeight="1" x14ac:dyDescent="0.3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</row>
    <row r="282" spans="1:16" ht="15.75" customHeight="1" x14ac:dyDescent="0.3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</row>
    <row r="283" spans="1:16" ht="15.75" customHeight="1" x14ac:dyDescent="0.3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</row>
    <row r="284" spans="1:16" ht="15.75" customHeight="1" x14ac:dyDescent="0.3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</row>
    <row r="285" spans="1:16" ht="15.75" customHeight="1" x14ac:dyDescent="0.3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</row>
    <row r="286" spans="1:16" ht="15.75" customHeight="1" x14ac:dyDescent="0.3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</row>
    <row r="287" spans="1:16" ht="15.75" customHeight="1" x14ac:dyDescent="0.3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</row>
    <row r="288" spans="1:16" ht="15.75" customHeight="1" x14ac:dyDescent="0.3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</row>
    <row r="289" spans="1:16" ht="15.75" customHeight="1" x14ac:dyDescent="0.3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</row>
    <row r="290" spans="1:16" ht="15.75" customHeight="1" x14ac:dyDescent="0.3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</row>
    <row r="291" spans="1:16" ht="15.75" customHeight="1" x14ac:dyDescent="0.3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</row>
    <row r="292" spans="1:16" ht="15.75" customHeight="1" x14ac:dyDescent="0.3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</row>
    <row r="293" spans="1:16" ht="15.75" customHeight="1" x14ac:dyDescent="0.3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</row>
    <row r="294" spans="1:16" ht="15.75" customHeight="1" x14ac:dyDescent="0.3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</row>
    <row r="295" spans="1:16" ht="15.75" customHeight="1" x14ac:dyDescent="0.3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</row>
    <row r="296" spans="1:16" ht="15.75" customHeight="1" x14ac:dyDescent="0.3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</row>
    <row r="297" spans="1:16" ht="15.75" customHeight="1" x14ac:dyDescent="0.3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</row>
    <row r="298" spans="1:16" ht="15.75" customHeight="1" x14ac:dyDescent="0.3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</row>
    <row r="299" spans="1:16" ht="15.75" customHeight="1" x14ac:dyDescent="0.3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</row>
    <row r="300" spans="1:16" ht="15.75" customHeight="1" x14ac:dyDescent="0.3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</row>
    <row r="301" spans="1:16" ht="15.75" customHeight="1" x14ac:dyDescent="0.3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</row>
    <row r="302" spans="1:16" ht="15.75" customHeight="1" x14ac:dyDescent="0.3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</row>
    <row r="303" spans="1:16" ht="15.75" customHeight="1" x14ac:dyDescent="0.3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</row>
    <row r="304" spans="1:16" ht="15.75" customHeight="1" x14ac:dyDescent="0.3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</row>
    <row r="305" spans="1:16" ht="15.75" customHeight="1" x14ac:dyDescent="0.3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</row>
    <row r="306" spans="1:16" ht="15.75" customHeight="1" x14ac:dyDescent="0.3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</row>
    <row r="307" spans="1:16" ht="15.75" customHeight="1" x14ac:dyDescent="0.3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</row>
    <row r="308" spans="1:16" ht="15.75" customHeight="1" x14ac:dyDescent="0.3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</row>
    <row r="309" spans="1:16" ht="15.75" customHeight="1" x14ac:dyDescent="0.3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</row>
    <row r="310" spans="1:16" ht="15.75" customHeight="1" x14ac:dyDescent="0.3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</row>
    <row r="311" spans="1:16" ht="15.75" customHeight="1" x14ac:dyDescent="0.3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</row>
    <row r="312" spans="1:16" ht="15.75" customHeight="1" x14ac:dyDescent="0.3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</row>
    <row r="313" spans="1:16" ht="15.75" customHeight="1" x14ac:dyDescent="0.3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</row>
    <row r="314" spans="1:16" ht="15.75" customHeight="1" x14ac:dyDescent="0.3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</row>
    <row r="315" spans="1:16" ht="15.75" customHeight="1" x14ac:dyDescent="0.3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</row>
    <row r="316" spans="1:16" ht="15.75" customHeight="1" x14ac:dyDescent="0.3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</row>
    <row r="317" spans="1:16" ht="15.75" customHeight="1" x14ac:dyDescent="0.3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</row>
    <row r="318" spans="1:16" ht="15.75" customHeight="1" x14ac:dyDescent="0.3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</row>
    <row r="319" spans="1:16" ht="15.75" customHeight="1" x14ac:dyDescent="0.3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</row>
    <row r="320" spans="1:16" ht="15.75" customHeight="1" x14ac:dyDescent="0.3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</row>
    <row r="321" spans="1:16" ht="15.75" customHeight="1" x14ac:dyDescent="0.3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</row>
    <row r="322" spans="1:16" ht="15.75" customHeight="1" x14ac:dyDescent="0.3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</row>
    <row r="323" spans="1:16" ht="15.75" customHeight="1" x14ac:dyDescent="0.3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</row>
    <row r="324" spans="1:16" ht="15.75" customHeight="1" x14ac:dyDescent="0.3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</row>
    <row r="325" spans="1:16" ht="15.75" customHeight="1" x14ac:dyDescent="0.3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</row>
    <row r="326" spans="1:16" ht="15.75" customHeight="1" x14ac:dyDescent="0.3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</row>
    <row r="327" spans="1:16" ht="15.75" customHeight="1" x14ac:dyDescent="0.3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</row>
    <row r="328" spans="1:16" ht="15.75" customHeight="1" x14ac:dyDescent="0.3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</row>
    <row r="329" spans="1:16" ht="15.75" customHeight="1" x14ac:dyDescent="0.3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</row>
    <row r="330" spans="1:16" ht="15.75" customHeight="1" x14ac:dyDescent="0.3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</row>
    <row r="331" spans="1:16" ht="15.75" customHeight="1" x14ac:dyDescent="0.3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</row>
    <row r="332" spans="1:16" ht="15.75" customHeight="1" x14ac:dyDescent="0.3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</row>
    <row r="333" spans="1:16" ht="15.75" customHeight="1" x14ac:dyDescent="0.3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</row>
    <row r="334" spans="1:16" ht="15.75" customHeight="1" x14ac:dyDescent="0.3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</row>
    <row r="335" spans="1:16" ht="15.75" customHeight="1" x14ac:dyDescent="0.3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</row>
    <row r="336" spans="1:16" ht="15.75" customHeight="1" x14ac:dyDescent="0.3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</row>
    <row r="337" spans="1:16" ht="15.75" customHeight="1" x14ac:dyDescent="0.3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</row>
    <row r="338" spans="1:16" ht="15.75" customHeight="1" x14ac:dyDescent="0.3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</row>
    <row r="339" spans="1:16" ht="15.75" customHeight="1" x14ac:dyDescent="0.3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</row>
    <row r="340" spans="1:16" ht="15.75" customHeight="1" x14ac:dyDescent="0.3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</row>
    <row r="341" spans="1:16" ht="15.75" customHeight="1" x14ac:dyDescent="0.3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</row>
    <row r="342" spans="1:16" ht="15.75" customHeight="1" x14ac:dyDescent="0.3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</row>
    <row r="343" spans="1:16" ht="15.75" customHeight="1" x14ac:dyDescent="0.3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</row>
    <row r="344" spans="1:16" ht="15.75" customHeight="1" x14ac:dyDescent="0.3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</row>
    <row r="345" spans="1:16" ht="15.75" customHeight="1" x14ac:dyDescent="0.3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</row>
    <row r="346" spans="1:16" ht="15.75" customHeight="1" x14ac:dyDescent="0.3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</row>
    <row r="347" spans="1:16" ht="15.75" customHeight="1" x14ac:dyDescent="0.3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</row>
    <row r="348" spans="1:16" ht="15.75" customHeight="1" x14ac:dyDescent="0.3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</row>
    <row r="349" spans="1:16" ht="15.75" customHeight="1" x14ac:dyDescent="0.3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</row>
    <row r="350" spans="1:16" ht="15.75" customHeight="1" x14ac:dyDescent="0.3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</row>
    <row r="351" spans="1:16" ht="15.75" customHeight="1" x14ac:dyDescent="0.3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</row>
    <row r="352" spans="1:16" ht="15.75" customHeight="1" x14ac:dyDescent="0.3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</row>
    <row r="353" spans="1:16" ht="15.75" customHeight="1" x14ac:dyDescent="0.3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</row>
    <row r="354" spans="1:16" ht="15.75" customHeight="1" x14ac:dyDescent="0.3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</row>
    <row r="355" spans="1:16" ht="15.75" customHeight="1" x14ac:dyDescent="0.3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</row>
    <row r="356" spans="1:16" ht="15.75" customHeight="1" x14ac:dyDescent="0.3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</row>
    <row r="357" spans="1:16" ht="15.75" customHeight="1" x14ac:dyDescent="0.3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</row>
    <row r="358" spans="1:16" ht="15.75" customHeight="1" x14ac:dyDescent="0.3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</row>
    <row r="359" spans="1:16" ht="15.75" customHeight="1" x14ac:dyDescent="0.3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</row>
    <row r="360" spans="1:16" ht="15.75" customHeight="1" x14ac:dyDescent="0.3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</row>
    <row r="361" spans="1:16" ht="15.75" customHeight="1" x14ac:dyDescent="0.3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</row>
    <row r="362" spans="1:16" ht="15.75" customHeight="1" x14ac:dyDescent="0.3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</row>
    <row r="363" spans="1:16" ht="15.75" customHeight="1" x14ac:dyDescent="0.3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</row>
    <row r="364" spans="1:16" ht="15.75" customHeight="1" x14ac:dyDescent="0.3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</row>
    <row r="365" spans="1:16" ht="15.75" customHeight="1" x14ac:dyDescent="0.3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</row>
    <row r="366" spans="1:16" ht="15.75" customHeight="1" x14ac:dyDescent="0.3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</row>
    <row r="367" spans="1:16" ht="15.75" customHeight="1" x14ac:dyDescent="0.3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</row>
    <row r="368" spans="1:16" ht="15.75" customHeight="1" x14ac:dyDescent="0.3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</row>
    <row r="369" spans="1:16" ht="15.75" customHeight="1" x14ac:dyDescent="0.3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</row>
    <row r="370" spans="1:16" ht="15.75" customHeight="1" x14ac:dyDescent="0.3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</row>
    <row r="371" spans="1:16" ht="15.75" customHeight="1" x14ac:dyDescent="0.3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</row>
    <row r="372" spans="1:16" ht="15.75" customHeight="1" x14ac:dyDescent="0.3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</row>
    <row r="373" spans="1:16" ht="15.75" customHeight="1" x14ac:dyDescent="0.3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</row>
    <row r="374" spans="1:16" ht="15.75" customHeight="1" x14ac:dyDescent="0.3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</row>
    <row r="375" spans="1:16" ht="15.75" customHeight="1" x14ac:dyDescent="0.3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</row>
    <row r="376" spans="1:16" ht="15.75" customHeight="1" x14ac:dyDescent="0.3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</row>
    <row r="377" spans="1:16" ht="15.75" customHeight="1" x14ac:dyDescent="0.3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</row>
    <row r="378" spans="1:16" ht="15.75" customHeight="1" x14ac:dyDescent="0.3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</row>
    <row r="379" spans="1:16" ht="15.75" customHeight="1" x14ac:dyDescent="0.3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</row>
    <row r="380" spans="1:16" ht="15.75" customHeight="1" x14ac:dyDescent="0.3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</row>
    <row r="381" spans="1:16" ht="15.75" customHeight="1" x14ac:dyDescent="0.3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</row>
    <row r="382" spans="1:16" ht="15.75" customHeight="1" x14ac:dyDescent="0.3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</row>
    <row r="383" spans="1:16" ht="15.75" customHeight="1" x14ac:dyDescent="0.3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</row>
    <row r="384" spans="1:16" ht="15.75" customHeight="1" x14ac:dyDescent="0.3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</row>
    <row r="385" spans="1:16" ht="15.75" customHeight="1" x14ac:dyDescent="0.3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</row>
    <row r="386" spans="1:16" ht="15.75" customHeight="1" x14ac:dyDescent="0.3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</row>
    <row r="387" spans="1:16" ht="15.75" customHeight="1" x14ac:dyDescent="0.3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</row>
    <row r="388" spans="1:16" ht="15.75" customHeight="1" x14ac:dyDescent="0.3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</row>
    <row r="389" spans="1:16" ht="15.75" customHeight="1" x14ac:dyDescent="0.3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</row>
    <row r="390" spans="1:16" ht="15.75" customHeight="1" x14ac:dyDescent="0.3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</row>
    <row r="391" spans="1:16" ht="15.75" customHeight="1" x14ac:dyDescent="0.3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</row>
    <row r="392" spans="1:16" ht="15.75" customHeight="1" x14ac:dyDescent="0.3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</row>
    <row r="393" spans="1:16" ht="15.75" customHeight="1" x14ac:dyDescent="0.3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</row>
    <row r="394" spans="1:16" ht="15.75" customHeight="1" x14ac:dyDescent="0.3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</row>
    <row r="395" spans="1:16" ht="15.75" customHeight="1" x14ac:dyDescent="0.3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</row>
    <row r="396" spans="1:16" ht="15.75" customHeight="1" x14ac:dyDescent="0.3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</row>
    <row r="397" spans="1:16" ht="15.75" customHeight="1" x14ac:dyDescent="0.3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</row>
    <row r="398" spans="1:16" ht="15.75" customHeight="1" x14ac:dyDescent="0.3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</row>
    <row r="399" spans="1:16" ht="15.75" customHeight="1" x14ac:dyDescent="0.3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</row>
    <row r="400" spans="1:16" ht="15.75" customHeight="1" x14ac:dyDescent="0.3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</row>
    <row r="401" spans="1:16" ht="15.75" customHeight="1" x14ac:dyDescent="0.3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</row>
    <row r="402" spans="1:16" ht="15.75" customHeight="1" x14ac:dyDescent="0.3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</row>
    <row r="403" spans="1:16" ht="15.75" customHeight="1" x14ac:dyDescent="0.3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</row>
    <row r="404" spans="1:16" ht="15.75" customHeight="1" x14ac:dyDescent="0.3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</row>
    <row r="405" spans="1:16" ht="15.75" customHeight="1" x14ac:dyDescent="0.3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</row>
    <row r="406" spans="1:16" ht="15.75" customHeight="1" x14ac:dyDescent="0.3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</row>
    <row r="407" spans="1:16" ht="15.75" customHeight="1" x14ac:dyDescent="0.3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</row>
    <row r="408" spans="1:16" ht="15.75" customHeight="1" x14ac:dyDescent="0.3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</row>
    <row r="409" spans="1:16" ht="15.75" customHeight="1" x14ac:dyDescent="0.3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</row>
    <row r="410" spans="1:16" ht="15.75" customHeight="1" x14ac:dyDescent="0.3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</row>
    <row r="411" spans="1:16" ht="15.75" customHeight="1" x14ac:dyDescent="0.3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</row>
    <row r="412" spans="1:16" ht="15.75" customHeight="1" x14ac:dyDescent="0.3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</row>
    <row r="413" spans="1:16" ht="15.75" customHeight="1" x14ac:dyDescent="0.3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</row>
    <row r="414" spans="1:16" ht="15.75" customHeight="1" x14ac:dyDescent="0.3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</row>
    <row r="415" spans="1:16" ht="15.75" customHeight="1" x14ac:dyDescent="0.3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</row>
    <row r="416" spans="1:16" ht="15.75" customHeight="1" x14ac:dyDescent="0.3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</row>
    <row r="417" spans="1:16" ht="15.75" customHeight="1" x14ac:dyDescent="0.3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</row>
    <row r="418" spans="1:16" ht="15.75" customHeight="1" x14ac:dyDescent="0.3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</row>
    <row r="419" spans="1:16" ht="15.75" customHeight="1" x14ac:dyDescent="0.3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</row>
    <row r="420" spans="1:16" ht="15.75" customHeight="1" x14ac:dyDescent="0.3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</row>
    <row r="421" spans="1:16" ht="15.75" customHeight="1" x14ac:dyDescent="0.3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</row>
    <row r="422" spans="1:16" ht="15.75" customHeight="1" x14ac:dyDescent="0.3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</row>
    <row r="423" spans="1:16" ht="15.75" customHeight="1" x14ac:dyDescent="0.3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</row>
    <row r="424" spans="1:16" ht="15.75" customHeight="1" x14ac:dyDescent="0.3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</row>
    <row r="425" spans="1:16" ht="15.75" customHeight="1" x14ac:dyDescent="0.3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</row>
    <row r="426" spans="1:16" ht="15.75" customHeight="1" x14ac:dyDescent="0.3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</row>
    <row r="427" spans="1:16" ht="15.75" customHeight="1" x14ac:dyDescent="0.3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</row>
    <row r="428" spans="1:16" ht="15.75" customHeight="1" x14ac:dyDescent="0.3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</row>
    <row r="429" spans="1:16" ht="15.75" customHeight="1" x14ac:dyDescent="0.3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</row>
    <row r="430" spans="1:16" ht="15.75" customHeight="1" x14ac:dyDescent="0.3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</row>
    <row r="431" spans="1:16" ht="15.75" customHeight="1" x14ac:dyDescent="0.3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</row>
    <row r="432" spans="1:16" ht="15.75" customHeight="1" x14ac:dyDescent="0.3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</row>
    <row r="433" spans="1:16" ht="15.75" customHeight="1" x14ac:dyDescent="0.3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</row>
    <row r="434" spans="1:16" ht="15.75" customHeight="1" x14ac:dyDescent="0.3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</row>
    <row r="435" spans="1:16" ht="15.75" customHeight="1" x14ac:dyDescent="0.3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</row>
    <row r="436" spans="1:16" ht="15.75" customHeight="1" x14ac:dyDescent="0.3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</row>
    <row r="437" spans="1:16" ht="15.75" customHeight="1" x14ac:dyDescent="0.3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</row>
    <row r="438" spans="1:16" ht="15.75" customHeight="1" x14ac:dyDescent="0.3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</row>
    <row r="439" spans="1:16" ht="15.75" customHeight="1" x14ac:dyDescent="0.3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</row>
    <row r="440" spans="1:16" ht="15.75" customHeight="1" x14ac:dyDescent="0.3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</row>
    <row r="441" spans="1:16" ht="15.75" customHeight="1" x14ac:dyDescent="0.3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</row>
    <row r="442" spans="1:16" ht="15.75" customHeight="1" x14ac:dyDescent="0.3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</row>
    <row r="443" spans="1:16" ht="15.75" customHeight="1" x14ac:dyDescent="0.3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</row>
    <row r="444" spans="1:16" ht="15.75" customHeight="1" x14ac:dyDescent="0.3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</row>
    <row r="445" spans="1:16" ht="15.75" customHeight="1" x14ac:dyDescent="0.3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</row>
    <row r="446" spans="1:16" ht="15.75" customHeight="1" x14ac:dyDescent="0.3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</row>
    <row r="447" spans="1:16" ht="15.75" customHeight="1" x14ac:dyDescent="0.3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</row>
    <row r="448" spans="1:16" ht="15.75" customHeight="1" x14ac:dyDescent="0.3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</row>
    <row r="449" spans="1:16" ht="15.75" customHeight="1" x14ac:dyDescent="0.3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</row>
    <row r="450" spans="1:16" ht="15.75" customHeight="1" x14ac:dyDescent="0.3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</row>
    <row r="451" spans="1:16" ht="15.75" customHeight="1" x14ac:dyDescent="0.3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</row>
    <row r="452" spans="1:16" ht="15.75" customHeight="1" x14ac:dyDescent="0.3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</row>
    <row r="453" spans="1:16" ht="15.75" customHeight="1" x14ac:dyDescent="0.3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</row>
    <row r="454" spans="1:16" ht="15.75" customHeight="1" x14ac:dyDescent="0.3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</row>
    <row r="455" spans="1:16" ht="15.75" customHeight="1" x14ac:dyDescent="0.3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</row>
    <row r="456" spans="1:16" ht="15.75" customHeight="1" x14ac:dyDescent="0.3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</row>
    <row r="457" spans="1:16" ht="15.75" customHeight="1" x14ac:dyDescent="0.3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</row>
    <row r="458" spans="1:16" ht="15.75" customHeight="1" x14ac:dyDescent="0.3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</row>
    <row r="459" spans="1:16" ht="15.75" customHeight="1" x14ac:dyDescent="0.3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</row>
    <row r="460" spans="1:16" ht="15.75" customHeight="1" x14ac:dyDescent="0.3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</row>
    <row r="461" spans="1:16" ht="15.75" customHeight="1" x14ac:dyDescent="0.3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</row>
    <row r="462" spans="1:16" ht="15.75" customHeight="1" x14ac:dyDescent="0.3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</row>
    <row r="463" spans="1:16" ht="15.75" customHeight="1" x14ac:dyDescent="0.3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</row>
    <row r="464" spans="1:16" ht="15.75" customHeight="1" x14ac:dyDescent="0.3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</row>
    <row r="465" spans="1:16" ht="15.75" customHeight="1" x14ac:dyDescent="0.3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</row>
    <row r="466" spans="1:16" ht="15.75" customHeight="1" x14ac:dyDescent="0.3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</row>
    <row r="467" spans="1:16" ht="15.75" customHeight="1" x14ac:dyDescent="0.3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</row>
    <row r="468" spans="1:16" ht="15.75" customHeight="1" x14ac:dyDescent="0.3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</row>
    <row r="469" spans="1:16" ht="15.75" customHeight="1" x14ac:dyDescent="0.3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</row>
    <row r="470" spans="1:16" ht="15.75" customHeight="1" x14ac:dyDescent="0.3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</row>
    <row r="471" spans="1:16" ht="15.75" customHeight="1" x14ac:dyDescent="0.3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</row>
    <row r="472" spans="1:16" ht="15.75" customHeight="1" x14ac:dyDescent="0.3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</row>
    <row r="473" spans="1:16" ht="15.75" customHeight="1" x14ac:dyDescent="0.3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</row>
    <row r="474" spans="1:16" ht="15.75" customHeight="1" x14ac:dyDescent="0.3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</row>
    <row r="475" spans="1:16" ht="15.75" customHeight="1" x14ac:dyDescent="0.3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</row>
    <row r="476" spans="1:16" ht="15.75" customHeight="1" x14ac:dyDescent="0.3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</row>
    <row r="477" spans="1:16" ht="15.75" customHeight="1" x14ac:dyDescent="0.3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</row>
    <row r="478" spans="1:16" ht="15.75" customHeight="1" x14ac:dyDescent="0.3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</row>
    <row r="479" spans="1:16" ht="15.75" customHeight="1" x14ac:dyDescent="0.3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</row>
    <row r="480" spans="1:16" ht="15.75" customHeight="1" x14ac:dyDescent="0.3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</row>
    <row r="481" spans="1:16" ht="15.75" customHeight="1" x14ac:dyDescent="0.3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</row>
    <row r="482" spans="1:16" ht="15.75" customHeight="1" x14ac:dyDescent="0.3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</row>
    <row r="483" spans="1:16" ht="15.75" customHeight="1" x14ac:dyDescent="0.3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</row>
    <row r="484" spans="1:16" ht="15.75" customHeight="1" x14ac:dyDescent="0.3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</row>
    <row r="485" spans="1:16" ht="15.75" customHeight="1" x14ac:dyDescent="0.3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</row>
    <row r="486" spans="1:16" ht="15.75" customHeight="1" x14ac:dyDescent="0.3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</row>
    <row r="487" spans="1:16" ht="15.75" customHeight="1" x14ac:dyDescent="0.3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</row>
    <row r="488" spans="1:16" ht="15.75" customHeight="1" x14ac:dyDescent="0.3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</row>
    <row r="489" spans="1:16" ht="15.75" customHeight="1" x14ac:dyDescent="0.3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</row>
    <row r="490" spans="1:16" ht="15.75" customHeight="1" x14ac:dyDescent="0.3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</row>
    <row r="491" spans="1:16" ht="15.75" customHeight="1" x14ac:dyDescent="0.3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</row>
    <row r="492" spans="1:16" ht="15.75" customHeight="1" x14ac:dyDescent="0.3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</row>
    <row r="493" spans="1:16" ht="15.75" customHeight="1" x14ac:dyDescent="0.3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</row>
    <row r="494" spans="1:16" ht="15.75" customHeight="1" x14ac:dyDescent="0.3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</row>
    <row r="495" spans="1:16" ht="15.75" customHeight="1" x14ac:dyDescent="0.3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</row>
    <row r="496" spans="1:16" ht="15.75" customHeight="1" x14ac:dyDescent="0.3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</row>
    <row r="497" spans="1:16" ht="15.75" customHeight="1" x14ac:dyDescent="0.3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</row>
    <row r="498" spans="1:16" ht="15.75" customHeight="1" x14ac:dyDescent="0.3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</row>
    <row r="499" spans="1:16" ht="15.75" customHeight="1" x14ac:dyDescent="0.3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</row>
    <row r="500" spans="1:16" ht="15.75" customHeight="1" x14ac:dyDescent="0.3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</row>
    <row r="501" spans="1:16" ht="15.75" customHeight="1" x14ac:dyDescent="0.3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</row>
    <row r="502" spans="1:16" ht="15.75" customHeight="1" x14ac:dyDescent="0.3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</row>
    <row r="503" spans="1:16" ht="15.75" customHeight="1" x14ac:dyDescent="0.3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</row>
    <row r="504" spans="1:16" ht="15.75" customHeight="1" x14ac:dyDescent="0.3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</row>
    <row r="505" spans="1:16" ht="15.75" customHeight="1" x14ac:dyDescent="0.3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</row>
    <row r="506" spans="1:16" ht="15.75" customHeight="1" x14ac:dyDescent="0.3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</row>
    <row r="507" spans="1:16" ht="15.75" customHeight="1" x14ac:dyDescent="0.3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</row>
    <row r="508" spans="1:16" ht="15.75" customHeight="1" x14ac:dyDescent="0.3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</row>
    <row r="509" spans="1:16" ht="15.75" customHeight="1" x14ac:dyDescent="0.3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</row>
    <row r="510" spans="1:16" ht="15.75" customHeight="1" x14ac:dyDescent="0.3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</row>
    <row r="511" spans="1:16" ht="15.75" customHeight="1" x14ac:dyDescent="0.3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</row>
    <row r="512" spans="1:16" ht="15.75" customHeight="1" x14ac:dyDescent="0.3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</row>
    <row r="513" spans="1:16" ht="15.75" customHeight="1" x14ac:dyDescent="0.3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</row>
    <row r="514" spans="1:16" ht="15.75" customHeight="1" x14ac:dyDescent="0.3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</row>
    <row r="515" spans="1:16" ht="15.75" customHeight="1" x14ac:dyDescent="0.3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</row>
    <row r="516" spans="1:16" ht="15.75" customHeight="1" x14ac:dyDescent="0.3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</row>
    <row r="517" spans="1:16" ht="15.75" customHeight="1" x14ac:dyDescent="0.3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</row>
    <row r="518" spans="1:16" ht="15.75" customHeight="1" x14ac:dyDescent="0.3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</row>
    <row r="519" spans="1:16" ht="15.75" customHeight="1" x14ac:dyDescent="0.3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</row>
    <row r="520" spans="1:16" ht="15.75" customHeight="1" x14ac:dyDescent="0.3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</row>
    <row r="521" spans="1:16" ht="15.75" customHeight="1" x14ac:dyDescent="0.3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</row>
    <row r="522" spans="1:16" ht="15.75" customHeight="1" x14ac:dyDescent="0.3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</row>
    <row r="523" spans="1:16" ht="15.75" customHeight="1" x14ac:dyDescent="0.3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</row>
    <row r="524" spans="1:16" ht="15.75" customHeight="1" x14ac:dyDescent="0.3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</row>
    <row r="525" spans="1:16" ht="15.75" customHeight="1" x14ac:dyDescent="0.3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</row>
    <row r="526" spans="1:16" ht="15.75" customHeight="1" x14ac:dyDescent="0.3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</row>
    <row r="527" spans="1:16" ht="15.75" customHeight="1" x14ac:dyDescent="0.3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</row>
    <row r="528" spans="1:16" ht="15.75" customHeight="1" x14ac:dyDescent="0.3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</row>
    <row r="529" spans="1:16" ht="15.75" customHeight="1" x14ac:dyDescent="0.3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</row>
    <row r="530" spans="1:16" ht="15.75" customHeight="1" x14ac:dyDescent="0.3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</row>
    <row r="531" spans="1:16" ht="15.75" customHeight="1" x14ac:dyDescent="0.3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</row>
    <row r="532" spans="1:16" ht="15.75" customHeight="1" x14ac:dyDescent="0.3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</row>
    <row r="533" spans="1:16" ht="15.75" customHeight="1" x14ac:dyDescent="0.3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</row>
    <row r="534" spans="1:16" ht="15.75" customHeight="1" x14ac:dyDescent="0.3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</row>
    <row r="535" spans="1:16" ht="15.75" customHeight="1" x14ac:dyDescent="0.3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</row>
    <row r="536" spans="1:16" ht="15.75" customHeight="1" x14ac:dyDescent="0.3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</row>
    <row r="537" spans="1:16" ht="15.75" customHeight="1" x14ac:dyDescent="0.3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</row>
    <row r="538" spans="1:16" ht="15.75" customHeight="1" x14ac:dyDescent="0.3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</row>
    <row r="539" spans="1:16" ht="15.75" customHeight="1" x14ac:dyDescent="0.3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</row>
    <row r="540" spans="1:16" ht="15.75" customHeight="1" x14ac:dyDescent="0.3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</row>
    <row r="541" spans="1:16" ht="15.75" customHeight="1" x14ac:dyDescent="0.3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</row>
    <row r="542" spans="1:16" ht="15.75" customHeight="1" x14ac:dyDescent="0.3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</row>
    <row r="543" spans="1:16" ht="15.75" customHeight="1" x14ac:dyDescent="0.3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</row>
    <row r="544" spans="1:16" ht="15.75" customHeight="1" x14ac:dyDescent="0.3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</row>
    <row r="545" spans="1:16" ht="15.75" customHeight="1" x14ac:dyDescent="0.3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</row>
    <row r="546" spans="1:16" ht="15.75" customHeight="1" x14ac:dyDescent="0.3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</row>
    <row r="547" spans="1:16" ht="15.75" customHeight="1" x14ac:dyDescent="0.3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</row>
    <row r="548" spans="1:16" ht="15.75" customHeight="1" x14ac:dyDescent="0.3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</row>
    <row r="549" spans="1:16" ht="15.75" customHeight="1" x14ac:dyDescent="0.3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</row>
    <row r="550" spans="1:16" ht="15.75" customHeight="1" x14ac:dyDescent="0.3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</row>
    <row r="551" spans="1:16" ht="15.75" customHeight="1" x14ac:dyDescent="0.3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</row>
    <row r="552" spans="1:16" ht="15.75" customHeight="1" x14ac:dyDescent="0.3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</row>
    <row r="553" spans="1:16" ht="15.75" customHeight="1" x14ac:dyDescent="0.3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</row>
    <row r="554" spans="1:16" ht="15.75" customHeight="1" x14ac:dyDescent="0.3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</row>
    <row r="555" spans="1:16" ht="15.75" customHeight="1" x14ac:dyDescent="0.3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</row>
    <row r="556" spans="1:16" ht="15.75" customHeight="1" x14ac:dyDescent="0.3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</row>
    <row r="557" spans="1:16" ht="15.75" customHeight="1" x14ac:dyDescent="0.3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</row>
    <row r="558" spans="1:16" ht="15.75" customHeight="1" x14ac:dyDescent="0.3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</row>
    <row r="559" spans="1:16" ht="15.75" customHeight="1" x14ac:dyDescent="0.3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</row>
    <row r="560" spans="1:16" ht="15.75" customHeight="1" x14ac:dyDescent="0.3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</row>
    <row r="561" spans="1:16" ht="15.75" customHeight="1" x14ac:dyDescent="0.3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</row>
    <row r="562" spans="1:16" ht="15.75" customHeight="1" x14ac:dyDescent="0.3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</row>
    <row r="563" spans="1:16" ht="15.75" customHeight="1" x14ac:dyDescent="0.3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</row>
    <row r="564" spans="1:16" ht="15.75" customHeight="1" x14ac:dyDescent="0.3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</row>
    <row r="565" spans="1:16" ht="15.75" customHeight="1" x14ac:dyDescent="0.3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</row>
    <row r="566" spans="1:16" ht="15.75" customHeight="1" x14ac:dyDescent="0.3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</row>
    <row r="567" spans="1:16" ht="15.75" customHeight="1" x14ac:dyDescent="0.3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</row>
    <row r="568" spans="1:16" ht="15.75" customHeight="1" x14ac:dyDescent="0.3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</row>
    <row r="569" spans="1:16" ht="15.75" customHeight="1" x14ac:dyDescent="0.3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</row>
    <row r="570" spans="1:16" ht="15.75" customHeight="1" x14ac:dyDescent="0.3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</row>
    <row r="571" spans="1:16" ht="15.75" customHeight="1" x14ac:dyDescent="0.3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</row>
    <row r="572" spans="1:16" ht="15.75" customHeight="1" x14ac:dyDescent="0.3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</row>
    <row r="573" spans="1:16" ht="15.75" customHeight="1" x14ac:dyDescent="0.3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</row>
    <row r="574" spans="1:16" ht="15.75" customHeight="1" x14ac:dyDescent="0.3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</row>
    <row r="575" spans="1:16" ht="15.75" customHeight="1" x14ac:dyDescent="0.3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</row>
    <row r="576" spans="1:16" ht="15.75" customHeight="1" x14ac:dyDescent="0.3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</row>
    <row r="577" spans="1:16" ht="15.75" customHeight="1" x14ac:dyDescent="0.3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</row>
    <row r="578" spans="1:16" ht="15.75" customHeight="1" x14ac:dyDescent="0.3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</row>
    <row r="579" spans="1:16" ht="15.75" customHeight="1" x14ac:dyDescent="0.3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</row>
    <row r="580" spans="1:16" ht="15.75" customHeight="1" x14ac:dyDescent="0.3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</row>
    <row r="581" spans="1:16" ht="15.75" customHeight="1" x14ac:dyDescent="0.3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</row>
    <row r="582" spans="1:16" ht="15.75" customHeight="1" x14ac:dyDescent="0.3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</row>
    <row r="583" spans="1:16" ht="15.75" customHeight="1" x14ac:dyDescent="0.3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</row>
    <row r="584" spans="1:16" ht="15.75" customHeight="1" x14ac:dyDescent="0.3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</row>
    <row r="585" spans="1:16" ht="15.75" customHeight="1" x14ac:dyDescent="0.3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</row>
    <row r="586" spans="1:16" ht="15.75" customHeight="1" x14ac:dyDescent="0.3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</row>
    <row r="587" spans="1:16" ht="15.75" customHeight="1" x14ac:dyDescent="0.3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</row>
    <row r="588" spans="1:16" ht="15.75" customHeight="1" x14ac:dyDescent="0.3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</row>
    <row r="589" spans="1:16" ht="15.75" customHeight="1" x14ac:dyDescent="0.3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</row>
    <row r="590" spans="1:16" ht="15.75" customHeight="1" x14ac:dyDescent="0.3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</row>
    <row r="591" spans="1:16" ht="15.75" customHeight="1" x14ac:dyDescent="0.3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</row>
    <row r="592" spans="1:16" ht="15.75" customHeight="1" x14ac:dyDescent="0.3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</row>
    <row r="593" spans="1:16" ht="15.75" customHeight="1" x14ac:dyDescent="0.3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</row>
    <row r="594" spans="1:16" ht="15.75" customHeight="1" x14ac:dyDescent="0.3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</row>
    <row r="595" spans="1:16" ht="15.75" customHeight="1" x14ac:dyDescent="0.3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</row>
    <row r="596" spans="1:16" ht="15.75" customHeight="1" x14ac:dyDescent="0.3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</row>
    <row r="597" spans="1:16" ht="15.75" customHeight="1" x14ac:dyDescent="0.3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</row>
    <row r="598" spans="1:16" ht="15.75" customHeight="1" x14ac:dyDescent="0.3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</row>
    <row r="599" spans="1:16" ht="15.75" customHeight="1" x14ac:dyDescent="0.3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</row>
    <row r="600" spans="1:16" ht="15.75" customHeight="1" x14ac:dyDescent="0.3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</row>
    <row r="601" spans="1:16" ht="15.75" customHeight="1" x14ac:dyDescent="0.3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</row>
    <row r="602" spans="1:16" ht="15.75" customHeight="1" x14ac:dyDescent="0.3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</row>
    <row r="603" spans="1:16" ht="15.75" customHeight="1" x14ac:dyDescent="0.3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</row>
    <row r="604" spans="1:16" ht="15.75" customHeight="1" x14ac:dyDescent="0.3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</row>
    <row r="605" spans="1:16" ht="15.75" customHeight="1" x14ac:dyDescent="0.3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</row>
    <row r="606" spans="1:16" ht="15.75" customHeight="1" x14ac:dyDescent="0.3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</row>
    <row r="607" spans="1:16" ht="15.75" customHeight="1" x14ac:dyDescent="0.3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</row>
    <row r="608" spans="1:16" ht="15.75" customHeight="1" x14ac:dyDescent="0.3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</row>
    <row r="609" spans="1:16" ht="15.75" customHeight="1" x14ac:dyDescent="0.3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</row>
    <row r="610" spans="1:16" ht="15.75" customHeight="1" x14ac:dyDescent="0.3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</row>
    <row r="611" spans="1:16" ht="15.75" customHeight="1" x14ac:dyDescent="0.3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</row>
    <row r="612" spans="1:16" ht="15.75" customHeight="1" x14ac:dyDescent="0.3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</row>
    <row r="613" spans="1:16" ht="15.75" customHeight="1" x14ac:dyDescent="0.3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</row>
    <row r="614" spans="1:16" ht="15.75" customHeight="1" x14ac:dyDescent="0.3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</row>
    <row r="615" spans="1:16" ht="15.75" customHeight="1" x14ac:dyDescent="0.3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</row>
    <row r="616" spans="1:16" ht="15.75" customHeight="1" x14ac:dyDescent="0.3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</row>
    <row r="617" spans="1:16" ht="15.75" customHeight="1" x14ac:dyDescent="0.3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</row>
    <row r="618" spans="1:16" ht="15.75" customHeight="1" x14ac:dyDescent="0.3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</row>
    <row r="619" spans="1:16" ht="15.75" customHeight="1" x14ac:dyDescent="0.3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</row>
    <row r="620" spans="1:16" ht="15.75" customHeight="1" x14ac:dyDescent="0.3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</row>
    <row r="621" spans="1:16" ht="15.75" customHeight="1" x14ac:dyDescent="0.3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</row>
    <row r="622" spans="1:16" ht="15.75" customHeight="1" x14ac:dyDescent="0.3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</row>
    <row r="623" spans="1:16" ht="15.75" customHeight="1" x14ac:dyDescent="0.3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</row>
    <row r="624" spans="1:16" ht="15.75" customHeight="1" x14ac:dyDescent="0.3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</row>
    <row r="625" spans="1:16" ht="15.75" customHeight="1" x14ac:dyDescent="0.3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</row>
    <row r="626" spans="1:16" ht="15.75" customHeight="1" x14ac:dyDescent="0.3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</row>
    <row r="627" spans="1:16" ht="15.75" customHeight="1" x14ac:dyDescent="0.3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</row>
    <row r="628" spans="1:16" ht="15.75" customHeight="1" x14ac:dyDescent="0.3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</row>
    <row r="629" spans="1:16" ht="15.75" customHeight="1" x14ac:dyDescent="0.3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</row>
    <row r="630" spans="1:16" ht="15.75" customHeight="1" x14ac:dyDescent="0.3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</row>
    <row r="631" spans="1:16" ht="15.75" customHeight="1" x14ac:dyDescent="0.3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</row>
    <row r="632" spans="1:16" ht="15.75" customHeight="1" x14ac:dyDescent="0.3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</row>
    <row r="633" spans="1:16" ht="15.75" customHeight="1" x14ac:dyDescent="0.3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</row>
    <row r="634" spans="1:16" ht="15.75" customHeight="1" x14ac:dyDescent="0.3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</row>
    <row r="635" spans="1:16" ht="15.75" customHeight="1" x14ac:dyDescent="0.3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</row>
    <row r="636" spans="1:16" ht="15.75" customHeight="1" x14ac:dyDescent="0.3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</row>
    <row r="637" spans="1:16" ht="15.75" customHeight="1" x14ac:dyDescent="0.3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</row>
    <row r="638" spans="1:16" ht="15.75" customHeight="1" x14ac:dyDescent="0.3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</row>
    <row r="639" spans="1:16" ht="15.75" customHeight="1" x14ac:dyDescent="0.3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</row>
    <row r="640" spans="1:16" ht="15.75" customHeight="1" x14ac:dyDescent="0.3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</row>
    <row r="641" spans="1:16" ht="15.75" customHeight="1" x14ac:dyDescent="0.3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</row>
    <row r="642" spans="1:16" ht="15.75" customHeight="1" x14ac:dyDescent="0.3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</row>
    <row r="643" spans="1:16" ht="15.75" customHeight="1" x14ac:dyDescent="0.3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</row>
    <row r="644" spans="1:16" ht="15.75" customHeight="1" x14ac:dyDescent="0.3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</row>
    <row r="645" spans="1:16" ht="15.75" customHeight="1" x14ac:dyDescent="0.3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</row>
    <row r="646" spans="1:16" ht="15.75" customHeight="1" x14ac:dyDescent="0.3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</row>
    <row r="647" spans="1:16" ht="15.75" customHeight="1" x14ac:dyDescent="0.3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</row>
    <row r="648" spans="1:16" ht="15.75" customHeight="1" x14ac:dyDescent="0.3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</row>
    <row r="649" spans="1:16" ht="15.75" customHeight="1" x14ac:dyDescent="0.3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</row>
    <row r="650" spans="1:16" ht="15.75" customHeight="1" x14ac:dyDescent="0.3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</row>
    <row r="651" spans="1:16" ht="15.75" customHeight="1" x14ac:dyDescent="0.3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</row>
    <row r="652" spans="1:16" ht="15.75" customHeight="1" x14ac:dyDescent="0.3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</row>
    <row r="653" spans="1:16" ht="15.75" customHeight="1" x14ac:dyDescent="0.3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</row>
    <row r="654" spans="1:16" ht="15.75" customHeight="1" x14ac:dyDescent="0.3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</row>
    <row r="655" spans="1:16" ht="15.75" customHeight="1" x14ac:dyDescent="0.3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</row>
    <row r="656" spans="1:16" ht="15.75" customHeight="1" x14ac:dyDescent="0.3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</row>
    <row r="657" spans="1:16" ht="15.75" customHeight="1" x14ac:dyDescent="0.3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</row>
    <row r="658" spans="1:16" ht="15.75" customHeight="1" x14ac:dyDescent="0.3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</row>
    <row r="659" spans="1:16" ht="15.75" customHeight="1" x14ac:dyDescent="0.3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</row>
    <row r="660" spans="1:16" ht="15.75" customHeight="1" x14ac:dyDescent="0.3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</row>
    <row r="661" spans="1:16" ht="15.75" customHeight="1" x14ac:dyDescent="0.3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</row>
    <row r="662" spans="1:16" ht="15.75" customHeight="1" x14ac:dyDescent="0.3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</row>
    <row r="663" spans="1:16" ht="15.75" customHeight="1" x14ac:dyDescent="0.3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</row>
    <row r="664" spans="1:16" ht="15.75" customHeight="1" x14ac:dyDescent="0.3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</row>
    <row r="665" spans="1:16" ht="15.75" customHeight="1" x14ac:dyDescent="0.3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</row>
    <row r="666" spans="1:16" ht="15.75" customHeight="1" x14ac:dyDescent="0.3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</row>
    <row r="667" spans="1:16" ht="15.75" customHeight="1" x14ac:dyDescent="0.3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</row>
    <row r="668" spans="1:16" ht="15.75" customHeight="1" x14ac:dyDescent="0.3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</row>
    <row r="669" spans="1:16" ht="15.75" customHeight="1" x14ac:dyDescent="0.3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</row>
    <row r="670" spans="1:16" ht="15.75" customHeight="1" x14ac:dyDescent="0.3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</row>
    <row r="671" spans="1:16" ht="15.75" customHeight="1" x14ac:dyDescent="0.3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</row>
    <row r="672" spans="1:16" ht="15.75" customHeight="1" x14ac:dyDescent="0.3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</row>
    <row r="673" spans="1:16" ht="15.75" customHeight="1" x14ac:dyDescent="0.3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</row>
    <row r="674" spans="1:16" ht="15.75" customHeight="1" x14ac:dyDescent="0.3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</row>
    <row r="675" spans="1:16" ht="15.75" customHeight="1" x14ac:dyDescent="0.3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</row>
    <row r="676" spans="1:16" ht="15.75" customHeight="1" x14ac:dyDescent="0.3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</row>
    <row r="677" spans="1:16" ht="15.75" customHeight="1" x14ac:dyDescent="0.3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</row>
    <row r="678" spans="1:16" ht="15.75" customHeight="1" x14ac:dyDescent="0.3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</row>
    <row r="679" spans="1:16" ht="15.75" customHeight="1" x14ac:dyDescent="0.3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</row>
    <row r="680" spans="1:16" ht="15.75" customHeight="1" x14ac:dyDescent="0.3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</row>
    <row r="681" spans="1:16" ht="15.75" customHeight="1" x14ac:dyDescent="0.3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</row>
    <row r="682" spans="1:16" ht="15.75" customHeight="1" x14ac:dyDescent="0.3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</row>
    <row r="683" spans="1:16" ht="15.75" customHeight="1" x14ac:dyDescent="0.3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</row>
    <row r="684" spans="1:16" ht="15.75" customHeight="1" x14ac:dyDescent="0.3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</row>
    <row r="685" spans="1:16" ht="15.75" customHeight="1" x14ac:dyDescent="0.3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</row>
    <row r="686" spans="1:16" ht="15.75" customHeight="1" x14ac:dyDescent="0.3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</row>
    <row r="687" spans="1:16" ht="15.75" customHeight="1" x14ac:dyDescent="0.3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</row>
    <row r="688" spans="1:16" ht="15.75" customHeight="1" x14ac:dyDescent="0.3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</row>
    <row r="689" spans="1:16" ht="15.75" customHeight="1" x14ac:dyDescent="0.3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</row>
    <row r="690" spans="1:16" ht="15.75" customHeight="1" x14ac:dyDescent="0.3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</row>
    <row r="691" spans="1:16" ht="15.75" customHeight="1" x14ac:dyDescent="0.3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</row>
    <row r="692" spans="1:16" ht="15.75" customHeight="1" x14ac:dyDescent="0.3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</row>
    <row r="693" spans="1:16" ht="15.75" customHeight="1" x14ac:dyDescent="0.3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</row>
    <row r="694" spans="1:16" ht="15.75" customHeight="1" x14ac:dyDescent="0.3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</row>
    <row r="695" spans="1:16" ht="15.75" customHeight="1" x14ac:dyDescent="0.3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</row>
    <row r="696" spans="1:16" ht="15.75" customHeight="1" x14ac:dyDescent="0.3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</row>
    <row r="697" spans="1:16" ht="15.75" customHeight="1" x14ac:dyDescent="0.3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</row>
    <row r="698" spans="1:16" ht="15.75" customHeight="1" x14ac:dyDescent="0.3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</row>
    <row r="699" spans="1:16" ht="15.75" customHeight="1" x14ac:dyDescent="0.3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</row>
    <row r="700" spans="1:16" ht="15.75" customHeight="1" x14ac:dyDescent="0.3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</row>
    <row r="701" spans="1:16" ht="15.75" customHeight="1" x14ac:dyDescent="0.3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</row>
    <row r="702" spans="1:16" ht="15.75" customHeight="1" x14ac:dyDescent="0.3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</row>
    <row r="703" spans="1:16" ht="15.75" customHeight="1" x14ac:dyDescent="0.3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</row>
    <row r="704" spans="1:16" ht="15.75" customHeight="1" x14ac:dyDescent="0.3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</row>
    <row r="705" spans="1:16" ht="15.75" customHeight="1" x14ac:dyDescent="0.3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</row>
    <row r="706" spans="1:16" ht="15.75" customHeight="1" x14ac:dyDescent="0.3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</row>
    <row r="707" spans="1:16" ht="15.75" customHeight="1" x14ac:dyDescent="0.3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</row>
    <row r="708" spans="1:16" ht="15.75" customHeight="1" x14ac:dyDescent="0.3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</row>
    <row r="709" spans="1:16" ht="15.75" customHeight="1" x14ac:dyDescent="0.3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</row>
    <row r="710" spans="1:16" ht="15.75" customHeight="1" x14ac:dyDescent="0.3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</row>
    <row r="711" spans="1:16" ht="15.75" customHeight="1" x14ac:dyDescent="0.3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</row>
    <row r="712" spans="1:16" ht="15.75" customHeight="1" x14ac:dyDescent="0.3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</row>
    <row r="713" spans="1:16" ht="15.75" customHeight="1" x14ac:dyDescent="0.3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</row>
    <row r="714" spans="1:16" ht="15.75" customHeight="1" x14ac:dyDescent="0.3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</row>
    <row r="715" spans="1:16" ht="15.75" customHeight="1" x14ac:dyDescent="0.3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</row>
    <row r="716" spans="1:16" ht="15.75" customHeight="1" x14ac:dyDescent="0.3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</row>
    <row r="717" spans="1:16" ht="15.75" customHeight="1" x14ac:dyDescent="0.3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</row>
    <row r="718" spans="1:16" ht="15.75" customHeight="1" x14ac:dyDescent="0.3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</row>
    <row r="719" spans="1:16" ht="15.75" customHeight="1" x14ac:dyDescent="0.3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</row>
    <row r="720" spans="1:16" ht="15.75" customHeight="1" x14ac:dyDescent="0.3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</row>
    <row r="721" spans="1:16" ht="15.75" customHeight="1" x14ac:dyDescent="0.3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</row>
    <row r="722" spans="1:16" ht="15.75" customHeight="1" x14ac:dyDescent="0.3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</row>
    <row r="723" spans="1:16" ht="15.75" customHeight="1" x14ac:dyDescent="0.3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</row>
    <row r="724" spans="1:16" ht="15.75" customHeight="1" x14ac:dyDescent="0.3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</row>
    <row r="725" spans="1:16" ht="15.75" customHeight="1" x14ac:dyDescent="0.3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</row>
    <row r="726" spans="1:16" ht="15.75" customHeight="1" x14ac:dyDescent="0.3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</row>
    <row r="727" spans="1:16" ht="15.75" customHeight="1" x14ac:dyDescent="0.3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</row>
    <row r="728" spans="1:16" ht="15.75" customHeight="1" x14ac:dyDescent="0.3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</row>
    <row r="729" spans="1:16" ht="15.75" customHeight="1" x14ac:dyDescent="0.3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</row>
    <row r="730" spans="1:16" ht="15.75" customHeight="1" x14ac:dyDescent="0.3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</row>
    <row r="731" spans="1:16" ht="15.75" customHeight="1" x14ac:dyDescent="0.3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</row>
    <row r="732" spans="1:16" ht="15.75" customHeight="1" x14ac:dyDescent="0.3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</row>
    <row r="733" spans="1:16" ht="15.75" customHeight="1" x14ac:dyDescent="0.3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</row>
    <row r="734" spans="1:16" ht="15.75" customHeight="1" x14ac:dyDescent="0.3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</row>
    <row r="735" spans="1:16" ht="15.75" customHeight="1" x14ac:dyDescent="0.3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</row>
    <row r="736" spans="1:16" ht="15.75" customHeight="1" x14ac:dyDescent="0.3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</row>
    <row r="737" spans="1:16" ht="15.75" customHeight="1" x14ac:dyDescent="0.3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</row>
    <row r="738" spans="1:16" ht="15.75" customHeight="1" x14ac:dyDescent="0.3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</row>
    <row r="739" spans="1:16" ht="15.75" customHeight="1" x14ac:dyDescent="0.3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</row>
    <row r="740" spans="1:16" ht="15.75" customHeight="1" x14ac:dyDescent="0.3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</row>
    <row r="741" spans="1:16" ht="15.75" customHeight="1" x14ac:dyDescent="0.3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</row>
    <row r="742" spans="1:16" ht="15.75" customHeight="1" x14ac:dyDescent="0.3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</row>
    <row r="743" spans="1:16" ht="15.75" customHeight="1" x14ac:dyDescent="0.3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</row>
    <row r="744" spans="1:16" ht="15.75" customHeight="1" x14ac:dyDescent="0.3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</row>
    <row r="745" spans="1:16" ht="15.75" customHeight="1" x14ac:dyDescent="0.3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</row>
    <row r="746" spans="1:16" ht="15.75" customHeight="1" x14ac:dyDescent="0.3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</row>
    <row r="747" spans="1:16" ht="15.75" customHeight="1" x14ac:dyDescent="0.3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</row>
    <row r="748" spans="1:16" ht="15.75" customHeight="1" x14ac:dyDescent="0.3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</row>
    <row r="749" spans="1:16" ht="15.75" customHeight="1" x14ac:dyDescent="0.3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</row>
    <row r="750" spans="1:16" ht="15.75" customHeight="1" x14ac:dyDescent="0.3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</row>
    <row r="751" spans="1:16" ht="15.75" customHeight="1" x14ac:dyDescent="0.3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</row>
    <row r="752" spans="1:16" ht="15.75" customHeight="1" x14ac:dyDescent="0.3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</row>
    <row r="753" spans="1:16" ht="15.75" customHeight="1" x14ac:dyDescent="0.3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</row>
    <row r="754" spans="1:16" ht="15.75" customHeight="1" x14ac:dyDescent="0.3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</row>
    <row r="755" spans="1:16" ht="15.75" customHeight="1" x14ac:dyDescent="0.3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</row>
    <row r="756" spans="1:16" ht="15.75" customHeight="1" x14ac:dyDescent="0.3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</row>
    <row r="757" spans="1:16" ht="15.75" customHeight="1" x14ac:dyDescent="0.3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</row>
    <row r="758" spans="1:16" ht="15.75" customHeight="1" x14ac:dyDescent="0.3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</row>
    <row r="759" spans="1:16" ht="15.75" customHeight="1" x14ac:dyDescent="0.3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</row>
    <row r="760" spans="1:16" ht="15.75" customHeight="1" x14ac:dyDescent="0.3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</row>
    <row r="761" spans="1:16" ht="15.75" customHeight="1" x14ac:dyDescent="0.3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</row>
    <row r="762" spans="1:16" ht="15.75" customHeight="1" x14ac:dyDescent="0.3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</row>
    <row r="763" spans="1:16" ht="15.75" customHeight="1" x14ac:dyDescent="0.3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</row>
    <row r="764" spans="1:16" ht="15.75" customHeight="1" x14ac:dyDescent="0.3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</row>
    <row r="765" spans="1:16" ht="15.75" customHeight="1" x14ac:dyDescent="0.3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</row>
    <row r="766" spans="1:16" ht="15.75" customHeight="1" x14ac:dyDescent="0.3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</row>
    <row r="767" spans="1:16" ht="15.75" customHeight="1" x14ac:dyDescent="0.3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</row>
    <row r="768" spans="1:16" ht="15.75" customHeight="1" x14ac:dyDescent="0.3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</row>
    <row r="769" spans="1:16" ht="15.75" customHeight="1" x14ac:dyDescent="0.3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</row>
    <row r="770" spans="1:16" ht="15.75" customHeight="1" x14ac:dyDescent="0.3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</row>
    <row r="771" spans="1:16" ht="15.75" customHeight="1" x14ac:dyDescent="0.3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</row>
    <row r="772" spans="1:16" ht="15.75" customHeight="1" x14ac:dyDescent="0.3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</row>
    <row r="773" spans="1:16" ht="15.75" customHeight="1" x14ac:dyDescent="0.3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</row>
    <row r="774" spans="1:16" ht="15.75" customHeight="1" x14ac:dyDescent="0.3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</row>
    <row r="775" spans="1:16" ht="15.75" customHeight="1" x14ac:dyDescent="0.3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</row>
    <row r="776" spans="1:16" ht="15.75" customHeight="1" x14ac:dyDescent="0.3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</row>
    <row r="777" spans="1:16" ht="15.75" customHeight="1" x14ac:dyDescent="0.3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</row>
    <row r="778" spans="1:16" ht="15.75" customHeight="1" x14ac:dyDescent="0.3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</row>
    <row r="779" spans="1:16" ht="15.75" customHeight="1" x14ac:dyDescent="0.3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</row>
    <row r="780" spans="1:16" ht="15.75" customHeight="1" x14ac:dyDescent="0.3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</row>
    <row r="781" spans="1:16" ht="15.75" customHeight="1" x14ac:dyDescent="0.3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</row>
    <row r="782" spans="1:16" ht="15.75" customHeight="1" x14ac:dyDescent="0.3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</row>
    <row r="783" spans="1:16" ht="15.75" customHeight="1" x14ac:dyDescent="0.3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</row>
    <row r="784" spans="1:16" ht="15.75" customHeight="1" x14ac:dyDescent="0.3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</row>
    <row r="785" spans="1:16" ht="15.75" customHeight="1" x14ac:dyDescent="0.3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</row>
    <row r="786" spans="1:16" ht="15.75" customHeight="1" x14ac:dyDescent="0.3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</row>
    <row r="787" spans="1:16" ht="15.75" customHeight="1" x14ac:dyDescent="0.3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</row>
    <row r="788" spans="1:16" ht="15.75" customHeight="1" x14ac:dyDescent="0.3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</row>
    <row r="789" spans="1:16" ht="15.75" customHeight="1" x14ac:dyDescent="0.3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</row>
    <row r="790" spans="1:16" ht="15.75" customHeight="1" x14ac:dyDescent="0.3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</row>
    <row r="791" spans="1:16" ht="15.75" customHeight="1" x14ac:dyDescent="0.3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</row>
    <row r="792" spans="1:16" ht="15.75" customHeight="1" x14ac:dyDescent="0.3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</row>
    <row r="793" spans="1:16" ht="15.75" customHeight="1" x14ac:dyDescent="0.3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</row>
    <row r="794" spans="1:16" ht="15.75" customHeight="1" x14ac:dyDescent="0.3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</row>
    <row r="795" spans="1:16" ht="15.75" customHeight="1" x14ac:dyDescent="0.3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</row>
    <row r="796" spans="1:16" ht="15.75" customHeight="1" x14ac:dyDescent="0.3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</row>
    <row r="797" spans="1:16" ht="15.75" customHeight="1" x14ac:dyDescent="0.3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</row>
    <row r="798" spans="1:16" ht="15.75" customHeight="1" x14ac:dyDescent="0.3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</row>
    <row r="799" spans="1:16" ht="15.75" customHeight="1" x14ac:dyDescent="0.3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</row>
    <row r="800" spans="1:16" ht="15.75" customHeight="1" x14ac:dyDescent="0.3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</row>
    <row r="801" spans="1:16" ht="15.75" customHeight="1" x14ac:dyDescent="0.3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</row>
    <row r="802" spans="1:16" ht="15.75" customHeight="1" x14ac:dyDescent="0.3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</row>
    <row r="803" spans="1:16" ht="15.75" customHeight="1" x14ac:dyDescent="0.3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</row>
    <row r="804" spans="1:16" ht="15.75" customHeight="1" x14ac:dyDescent="0.3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</row>
    <row r="805" spans="1:16" ht="15.75" customHeight="1" x14ac:dyDescent="0.3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</row>
    <row r="806" spans="1:16" ht="15.75" customHeight="1" x14ac:dyDescent="0.3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</row>
    <row r="807" spans="1:16" ht="15.75" customHeight="1" x14ac:dyDescent="0.3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</row>
    <row r="808" spans="1:16" ht="15.75" customHeight="1" x14ac:dyDescent="0.3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</row>
    <row r="809" spans="1:16" ht="15.75" customHeight="1" x14ac:dyDescent="0.3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</row>
    <row r="810" spans="1:16" ht="15.75" customHeight="1" x14ac:dyDescent="0.3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</row>
    <row r="811" spans="1:16" ht="15.75" customHeight="1" x14ac:dyDescent="0.3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</row>
    <row r="812" spans="1:16" ht="15.75" customHeight="1" x14ac:dyDescent="0.3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</row>
    <row r="813" spans="1:16" ht="15.75" customHeight="1" x14ac:dyDescent="0.3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</row>
    <row r="814" spans="1:16" ht="15.75" customHeight="1" x14ac:dyDescent="0.3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</row>
    <row r="815" spans="1:16" ht="15.75" customHeight="1" x14ac:dyDescent="0.3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</row>
    <row r="816" spans="1:16" ht="15.75" customHeight="1" x14ac:dyDescent="0.3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</row>
    <row r="817" spans="1:16" ht="15.75" customHeight="1" x14ac:dyDescent="0.3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</row>
    <row r="818" spans="1:16" ht="15.75" customHeight="1" x14ac:dyDescent="0.3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</row>
    <row r="819" spans="1:16" ht="15.75" customHeight="1" x14ac:dyDescent="0.3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</row>
    <row r="820" spans="1:16" ht="15.75" customHeight="1" x14ac:dyDescent="0.3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</row>
    <row r="821" spans="1:16" ht="15.75" customHeight="1" x14ac:dyDescent="0.3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</row>
    <row r="822" spans="1:16" ht="15.75" customHeight="1" x14ac:dyDescent="0.3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</row>
    <row r="823" spans="1:16" ht="15.75" customHeight="1" x14ac:dyDescent="0.3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</row>
    <row r="824" spans="1:16" ht="15.75" customHeight="1" x14ac:dyDescent="0.3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</row>
    <row r="825" spans="1:16" ht="15.75" customHeight="1" x14ac:dyDescent="0.3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</row>
    <row r="826" spans="1:16" ht="15.75" customHeight="1" x14ac:dyDescent="0.3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</row>
    <row r="827" spans="1:16" ht="15.75" customHeight="1" x14ac:dyDescent="0.3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</row>
    <row r="828" spans="1:16" ht="15.75" customHeight="1" x14ac:dyDescent="0.3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</row>
    <row r="829" spans="1:16" ht="15.75" customHeight="1" x14ac:dyDescent="0.3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</row>
    <row r="830" spans="1:16" ht="15.75" customHeight="1" x14ac:dyDescent="0.3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</row>
    <row r="831" spans="1:16" ht="15.75" customHeight="1" x14ac:dyDescent="0.3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</row>
    <row r="832" spans="1:16" ht="15.75" customHeight="1" x14ac:dyDescent="0.3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</row>
    <row r="833" spans="1:16" ht="15.75" customHeight="1" x14ac:dyDescent="0.3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</row>
    <row r="834" spans="1:16" ht="15.75" customHeight="1" x14ac:dyDescent="0.3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</row>
    <row r="835" spans="1:16" ht="15.75" customHeight="1" x14ac:dyDescent="0.3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</row>
    <row r="836" spans="1:16" ht="15.75" customHeight="1" x14ac:dyDescent="0.3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</row>
    <row r="837" spans="1:16" ht="15.75" customHeight="1" x14ac:dyDescent="0.3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</row>
    <row r="838" spans="1:16" ht="15.75" customHeight="1" x14ac:dyDescent="0.3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</row>
    <row r="839" spans="1:16" ht="15.75" customHeight="1" x14ac:dyDescent="0.3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</row>
    <row r="840" spans="1:16" ht="15.75" customHeight="1" x14ac:dyDescent="0.3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</row>
    <row r="841" spans="1:16" ht="15.75" customHeight="1" x14ac:dyDescent="0.3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</row>
    <row r="842" spans="1:16" ht="15.75" customHeight="1" x14ac:dyDescent="0.3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</row>
    <row r="843" spans="1:16" ht="15.75" customHeight="1" x14ac:dyDescent="0.3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</row>
    <row r="844" spans="1:16" ht="15.75" customHeight="1" x14ac:dyDescent="0.3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</row>
    <row r="845" spans="1:16" ht="15.75" customHeight="1" x14ac:dyDescent="0.3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</row>
    <row r="846" spans="1:16" ht="15.75" customHeight="1" x14ac:dyDescent="0.3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</row>
    <row r="847" spans="1:16" ht="15.75" customHeight="1" x14ac:dyDescent="0.3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</row>
    <row r="848" spans="1:16" ht="15.75" customHeight="1" x14ac:dyDescent="0.3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</row>
    <row r="849" spans="1:16" ht="15.75" customHeight="1" x14ac:dyDescent="0.3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</row>
    <row r="850" spans="1:16" ht="15.75" customHeight="1" x14ac:dyDescent="0.3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</row>
    <row r="851" spans="1:16" ht="15.75" customHeight="1" x14ac:dyDescent="0.3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</row>
    <row r="852" spans="1:16" ht="15.75" customHeight="1" x14ac:dyDescent="0.3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</row>
    <row r="853" spans="1:16" ht="15.75" customHeight="1" x14ac:dyDescent="0.3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</row>
    <row r="854" spans="1:16" ht="15.75" customHeight="1" x14ac:dyDescent="0.3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</row>
    <row r="855" spans="1:16" ht="15.75" customHeight="1" x14ac:dyDescent="0.3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</row>
    <row r="856" spans="1:16" ht="15.75" customHeight="1" x14ac:dyDescent="0.3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</row>
    <row r="857" spans="1:16" ht="15.75" customHeight="1" x14ac:dyDescent="0.3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</row>
    <row r="858" spans="1:16" ht="15.75" customHeight="1" x14ac:dyDescent="0.3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</row>
    <row r="859" spans="1:16" ht="15.75" customHeight="1" x14ac:dyDescent="0.3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</row>
    <row r="860" spans="1:16" ht="15.75" customHeight="1" x14ac:dyDescent="0.3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</row>
    <row r="861" spans="1:16" ht="15.75" customHeight="1" x14ac:dyDescent="0.3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</row>
    <row r="862" spans="1:16" ht="15.75" customHeight="1" x14ac:dyDescent="0.3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</row>
    <row r="863" spans="1:16" ht="15.75" customHeight="1" x14ac:dyDescent="0.3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</row>
    <row r="864" spans="1:16" ht="15.75" customHeight="1" x14ac:dyDescent="0.3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</row>
    <row r="865" spans="1:16" ht="15.75" customHeight="1" x14ac:dyDescent="0.3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</row>
    <row r="866" spans="1:16" ht="15.75" customHeight="1" x14ac:dyDescent="0.3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</row>
    <row r="867" spans="1:16" ht="15.75" customHeight="1" x14ac:dyDescent="0.3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</row>
    <row r="868" spans="1:16" ht="15.75" customHeight="1" x14ac:dyDescent="0.3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</row>
    <row r="869" spans="1:16" ht="15.75" customHeight="1" x14ac:dyDescent="0.3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</row>
    <row r="870" spans="1:16" ht="15.75" customHeight="1" x14ac:dyDescent="0.3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</row>
    <row r="871" spans="1:16" ht="15.75" customHeight="1" x14ac:dyDescent="0.3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</row>
    <row r="872" spans="1:16" ht="15.75" customHeight="1" x14ac:dyDescent="0.3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</row>
    <row r="873" spans="1:16" ht="15.75" customHeight="1" x14ac:dyDescent="0.3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</row>
    <row r="874" spans="1:16" ht="15.75" customHeight="1" x14ac:dyDescent="0.3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</row>
    <row r="875" spans="1:16" ht="15.75" customHeight="1" x14ac:dyDescent="0.3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</row>
    <row r="876" spans="1:16" ht="15.75" customHeight="1" x14ac:dyDescent="0.3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</row>
    <row r="877" spans="1:16" ht="15.75" customHeight="1" x14ac:dyDescent="0.3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</row>
    <row r="878" spans="1:16" ht="15.75" customHeight="1" x14ac:dyDescent="0.3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</row>
    <row r="879" spans="1:16" ht="15.75" customHeight="1" x14ac:dyDescent="0.3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</row>
    <row r="880" spans="1:16" ht="15.75" customHeight="1" x14ac:dyDescent="0.3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</row>
    <row r="881" spans="1:16" ht="15.75" customHeight="1" x14ac:dyDescent="0.3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</row>
    <row r="882" spans="1:16" ht="15.75" customHeight="1" x14ac:dyDescent="0.3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</row>
    <row r="883" spans="1:16" ht="15.75" customHeight="1" x14ac:dyDescent="0.3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</row>
    <row r="884" spans="1:16" ht="15.75" customHeight="1" x14ac:dyDescent="0.3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</row>
    <row r="885" spans="1:16" ht="15.75" customHeight="1" x14ac:dyDescent="0.3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</row>
    <row r="886" spans="1:16" ht="15.75" customHeight="1" x14ac:dyDescent="0.3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</row>
    <row r="887" spans="1:16" ht="15.75" customHeight="1" x14ac:dyDescent="0.3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</row>
    <row r="888" spans="1:16" ht="15.75" customHeight="1" x14ac:dyDescent="0.3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</row>
    <row r="889" spans="1:16" ht="15.75" customHeight="1" x14ac:dyDescent="0.3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</row>
    <row r="890" spans="1:16" ht="15.75" customHeight="1" x14ac:dyDescent="0.3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</row>
    <row r="891" spans="1:16" ht="15.75" customHeight="1" x14ac:dyDescent="0.3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</row>
    <row r="892" spans="1:16" ht="15.75" customHeight="1" x14ac:dyDescent="0.3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</row>
    <row r="893" spans="1:16" ht="15.75" customHeight="1" x14ac:dyDescent="0.3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</row>
    <row r="894" spans="1:16" ht="15.75" customHeight="1" x14ac:dyDescent="0.3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</row>
    <row r="895" spans="1:16" ht="15.75" customHeight="1" x14ac:dyDescent="0.3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</row>
    <row r="896" spans="1:16" ht="15.75" customHeight="1" x14ac:dyDescent="0.3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</row>
    <row r="897" spans="1:16" ht="15.75" customHeight="1" x14ac:dyDescent="0.3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</row>
    <row r="898" spans="1:16" ht="15.75" customHeight="1" x14ac:dyDescent="0.3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</row>
    <row r="899" spans="1:16" ht="15.75" customHeight="1" x14ac:dyDescent="0.3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</row>
    <row r="900" spans="1:16" ht="15.75" customHeight="1" x14ac:dyDescent="0.3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</row>
    <row r="901" spans="1:16" ht="15.75" customHeight="1" x14ac:dyDescent="0.3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</row>
    <row r="902" spans="1:16" ht="15.75" customHeight="1" x14ac:dyDescent="0.3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</row>
    <row r="903" spans="1:16" ht="15.75" customHeight="1" x14ac:dyDescent="0.3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</row>
    <row r="904" spans="1:16" ht="15.75" customHeight="1" x14ac:dyDescent="0.3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</row>
    <row r="905" spans="1:16" ht="15.75" customHeight="1" x14ac:dyDescent="0.3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</row>
    <row r="906" spans="1:16" ht="15.75" customHeight="1" x14ac:dyDescent="0.3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</row>
    <row r="907" spans="1:16" ht="15.75" customHeight="1" x14ac:dyDescent="0.3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</row>
    <row r="908" spans="1:16" ht="15.75" customHeight="1" x14ac:dyDescent="0.3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</row>
    <row r="909" spans="1:16" ht="15.75" customHeight="1" x14ac:dyDescent="0.3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</row>
    <row r="910" spans="1:16" ht="15.75" customHeight="1" x14ac:dyDescent="0.3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</row>
    <row r="911" spans="1:16" ht="15.75" customHeight="1" x14ac:dyDescent="0.3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</row>
    <row r="912" spans="1:16" ht="15.75" customHeight="1" x14ac:dyDescent="0.3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</row>
    <row r="913" spans="1:16" ht="15.75" customHeight="1" x14ac:dyDescent="0.3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</row>
    <row r="914" spans="1:16" ht="15.75" customHeight="1" x14ac:dyDescent="0.3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</row>
    <row r="915" spans="1:16" ht="15.75" customHeight="1" x14ac:dyDescent="0.3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</row>
    <row r="916" spans="1:16" ht="15.75" customHeight="1" x14ac:dyDescent="0.3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</row>
    <row r="917" spans="1:16" ht="15.75" customHeight="1" x14ac:dyDescent="0.3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</row>
    <row r="918" spans="1:16" ht="15.75" customHeight="1" x14ac:dyDescent="0.3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</row>
    <row r="919" spans="1:16" ht="15.75" customHeight="1" x14ac:dyDescent="0.3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</row>
    <row r="920" spans="1:16" ht="15.75" customHeight="1" x14ac:dyDescent="0.3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</row>
    <row r="921" spans="1:16" ht="15.75" customHeight="1" x14ac:dyDescent="0.3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</row>
    <row r="922" spans="1:16" ht="15.75" customHeight="1" x14ac:dyDescent="0.3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</row>
    <row r="923" spans="1:16" ht="15.75" customHeight="1" x14ac:dyDescent="0.3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</row>
    <row r="924" spans="1:16" ht="15.75" customHeight="1" x14ac:dyDescent="0.3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</row>
    <row r="925" spans="1:16" ht="15.75" customHeight="1" x14ac:dyDescent="0.3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</row>
    <row r="926" spans="1:16" ht="15.75" customHeight="1" x14ac:dyDescent="0.3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</row>
    <row r="927" spans="1:16" ht="15.75" customHeight="1" x14ac:dyDescent="0.3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</row>
    <row r="928" spans="1:16" ht="15.75" customHeight="1" x14ac:dyDescent="0.3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</row>
    <row r="929" spans="1:16" ht="15.75" customHeight="1" x14ac:dyDescent="0.3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</row>
    <row r="930" spans="1:16" ht="15.75" customHeight="1" x14ac:dyDescent="0.3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</row>
    <row r="931" spans="1:16" ht="15.75" customHeight="1" x14ac:dyDescent="0.3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</row>
    <row r="932" spans="1:16" ht="15.75" customHeight="1" x14ac:dyDescent="0.3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</row>
    <row r="933" spans="1:16" ht="15.75" customHeight="1" x14ac:dyDescent="0.3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</row>
    <row r="934" spans="1:16" ht="15.75" customHeight="1" x14ac:dyDescent="0.3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</row>
    <row r="935" spans="1:16" ht="15.75" customHeight="1" x14ac:dyDescent="0.3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</row>
    <row r="936" spans="1:16" ht="15.75" customHeight="1" x14ac:dyDescent="0.3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</row>
    <row r="937" spans="1:16" ht="15.75" customHeight="1" x14ac:dyDescent="0.3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</row>
    <row r="938" spans="1:16" ht="15.75" customHeight="1" x14ac:dyDescent="0.3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</row>
    <row r="939" spans="1:16" ht="15.75" customHeight="1" x14ac:dyDescent="0.3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</row>
    <row r="940" spans="1:16" ht="15.75" customHeight="1" x14ac:dyDescent="0.3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</row>
    <row r="941" spans="1:16" ht="15.75" customHeight="1" x14ac:dyDescent="0.3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</row>
    <row r="942" spans="1:16" ht="15.75" customHeight="1" x14ac:dyDescent="0.3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</row>
    <row r="943" spans="1:16" ht="15.75" customHeight="1" x14ac:dyDescent="0.3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</row>
    <row r="944" spans="1:16" ht="15.75" customHeight="1" x14ac:dyDescent="0.3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</row>
    <row r="945" spans="1:16" ht="15.75" customHeight="1" x14ac:dyDescent="0.3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</row>
    <row r="946" spans="1:16" ht="15.75" customHeight="1" x14ac:dyDescent="0.3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</row>
    <row r="947" spans="1:16" ht="15.75" customHeight="1" x14ac:dyDescent="0.3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</row>
    <row r="948" spans="1:16" ht="15.75" customHeight="1" x14ac:dyDescent="0.3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</row>
    <row r="949" spans="1:16" ht="15.75" customHeight="1" x14ac:dyDescent="0.3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</row>
    <row r="950" spans="1:16" ht="15.75" customHeight="1" x14ac:dyDescent="0.3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</row>
    <row r="951" spans="1:16" ht="15.75" customHeight="1" x14ac:dyDescent="0.3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</row>
    <row r="952" spans="1:16" ht="15.75" customHeight="1" x14ac:dyDescent="0.3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</row>
    <row r="953" spans="1:16" ht="15.75" customHeight="1" x14ac:dyDescent="0.3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</row>
    <row r="954" spans="1:16" ht="15.75" customHeight="1" x14ac:dyDescent="0.3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</row>
    <row r="955" spans="1:16" ht="15.75" customHeight="1" x14ac:dyDescent="0.3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</row>
    <row r="956" spans="1:16" ht="15.75" customHeight="1" x14ac:dyDescent="0.3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</row>
    <row r="957" spans="1:16" ht="15.75" customHeight="1" x14ac:dyDescent="0.3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</row>
    <row r="958" spans="1:16" ht="15.75" customHeight="1" x14ac:dyDescent="0.3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</row>
    <row r="959" spans="1:16" ht="15.75" customHeight="1" x14ac:dyDescent="0.3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</row>
    <row r="960" spans="1:16" ht="15.75" customHeight="1" x14ac:dyDescent="0.3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</row>
    <row r="961" spans="1:16" ht="15.75" customHeight="1" x14ac:dyDescent="0.3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</row>
    <row r="962" spans="1:16" ht="15.75" customHeight="1" x14ac:dyDescent="0.3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</row>
    <row r="963" spans="1:16" ht="15.75" customHeight="1" x14ac:dyDescent="0.3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</row>
    <row r="964" spans="1:16" ht="15.75" customHeight="1" x14ac:dyDescent="0.3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</row>
    <row r="965" spans="1:16" ht="15.75" customHeight="1" x14ac:dyDescent="0.3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</row>
    <row r="966" spans="1:16" ht="15.75" customHeight="1" x14ac:dyDescent="0.3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</row>
    <row r="967" spans="1:16" ht="15.75" customHeight="1" x14ac:dyDescent="0.3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</row>
    <row r="968" spans="1:16" ht="15.75" customHeight="1" x14ac:dyDescent="0.3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</row>
    <row r="969" spans="1:16" ht="15.75" customHeight="1" x14ac:dyDescent="0.3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</row>
    <row r="970" spans="1:16" ht="15.75" customHeight="1" x14ac:dyDescent="0.3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</row>
    <row r="971" spans="1:16" ht="15.75" customHeight="1" x14ac:dyDescent="0.3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</row>
    <row r="972" spans="1:16" ht="15.75" customHeight="1" x14ac:dyDescent="0.3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</row>
    <row r="973" spans="1:16" ht="15.75" customHeight="1" x14ac:dyDescent="0.3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</row>
    <row r="974" spans="1:16" ht="15.75" customHeight="1" x14ac:dyDescent="0.3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</row>
    <row r="975" spans="1:16" ht="15.75" customHeight="1" x14ac:dyDescent="0.3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</row>
    <row r="976" spans="1:16" ht="15.75" customHeight="1" x14ac:dyDescent="0.3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</row>
    <row r="977" spans="1:16" ht="15.75" customHeight="1" x14ac:dyDescent="0.3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</row>
    <row r="978" spans="1:16" ht="15.75" customHeight="1" x14ac:dyDescent="0.3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</row>
    <row r="979" spans="1:16" ht="15.75" customHeight="1" x14ac:dyDescent="0.3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</row>
    <row r="980" spans="1:16" ht="15.75" customHeight="1" x14ac:dyDescent="0.3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</row>
    <row r="981" spans="1:16" ht="15.75" customHeight="1" x14ac:dyDescent="0.3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</row>
    <row r="982" spans="1:16" ht="15.75" customHeight="1" x14ac:dyDescent="0.3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</row>
    <row r="983" spans="1:16" ht="15.75" customHeight="1" x14ac:dyDescent="0.3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</row>
    <row r="984" spans="1:16" ht="15.75" customHeight="1" x14ac:dyDescent="0.3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</row>
    <row r="985" spans="1:16" ht="15.75" customHeight="1" x14ac:dyDescent="0.3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</row>
    <row r="986" spans="1:16" ht="15.75" customHeight="1" x14ac:dyDescent="0.3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</row>
    <row r="987" spans="1:16" ht="15.75" customHeight="1" x14ac:dyDescent="0.3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</row>
    <row r="988" spans="1:16" ht="15.75" customHeight="1" x14ac:dyDescent="0.3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</row>
    <row r="989" spans="1:16" ht="15.75" customHeight="1" x14ac:dyDescent="0.3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</row>
    <row r="990" spans="1:16" ht="15.75" customHeight="1" x14ac:dyDescent="0.3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</row>
    <row r="991" spans="1:16" ht="15.75" customHeight="1" x14ac:dyDescent="0.3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</row>
    <row r="992" spans="1:16" ht="15.75" customHeight="1" x14ac:dyDescent="0.3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</row>
    <row r="993" spans="1:16" ht="15.75" customHeight="1" x14ac:dyDescent="0.3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</row>
    <row r="994" spans="1:16" ht="15.75" customHeight="1" x14ac:dyDescent="0.3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</row>
    <row r="995" spans="1:16" ht="15.75" customHeight="1" x14ac:dyDescent="0.3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</row>
    <row r="996" spans="1:16" ht="15.75" customHeight="1" x14ac:dyDescent="0.3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</row>
    <row r="997" spans="1:16" ht="15.75" customHeight="1" x14ac:dyDescent="0.3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</row>
    <row r="998" spans="1:16" ht="15.75" customHeight="1" x14ac:dyDescent="0.3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</row>
    <row r="999" spans="1:16" ht="15.75" customHeight="1" x14ac:dyDescent="0.3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</row>
    <row r="1000" spans="1:16" ht="15.75" customHeight="1" x14ac:dyDescent="0.3">
      <c r="A1000" s="114"/>
      <c r="B1000" s="114"/>
      <c r="C1000" s="114"/>
      <c r="D1000" s="114"/>
      <c r="E1000" s="114"/>
      <c r="F1000" s="114"/>
      <c r="G1000" s="114"/>
      <c r="H1000" s="114"/>
      <c r="I1000" s="114"/>
      <c r="J1000" s="114"/>
      <c r="K1000" s="114"/>
      <c r="L1000" s="114"/>
      <c r="M1000" s="114"/>
      <c r="N1000" s="114"/>
      <c r="O1000" s="114"/>
      <c r="P1000" s="114"/>
    </row>
  </sheetData>
  <mergeCells count="4">
    <mergeCell ref="B2:E2"/>
    <mergeCell ref="I2:P2"/>
    <mergeCell ref="B10:E10"/>
    <mergeCell ref="I11:P11"/>
  </mergeCells>
  <dataValidations count="1">
    <dataValidation type="list" allowBlank="1" showErrorMessage="1" sqref="J20" xr:uid="{00000000-0002-0000-0A00-000000000000}">
      <formula1>"0.05,0.07,0.09"</formula1>
    </dataValidation>
  </dataValidations>
  <pageMargins left="0.511811024" right="0.511811024" top="0.78740157499999996" bottom="0.78740157499999996" header="0" footer="0"/>
  <pageSetup orientation="landscape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AD1000"/>
  <sheetViews>
    <sheetView workbookViewId="0">
      <selection activeCell="D5" sqref="D5"/>
    </sheetView>
  </sheetViews>
  <sheetFormatPr defaultColWidth="14.44140625" defaultRowHeight="15" customHeight="1" x14ac:dyDescent="0.3"/>
  <cols>
    <col min="1" max="1" width="11.109375" customWidth="1"/>
    <col min="2" max="13" width="9.109375" customWidth="1"/>
    <col min="14" max="26" width="15.6640625" customWidth="1"/>
    <col min="27" max="30" width="9.109375" customWidth="1"/>
  </cols>
  <sheetData>
    <row r="1" spans="1:30" ht="14.4" x14ac:dyDescent="0.3">
      <c r="A1" s="2" t="s">
        <v>96</v>
      </c>
      <c r="B1" s="2" t="s">
        <v>507</v>
      </c>
      <c r="C1" s="2" t="s">
        <v>267</v>
      </c>
      <c r="D1" s="2" t="s">
        <v>139</v>
      </c>
      <c r="E1" s="2" t="s">
        <v>131</v>
      </c>
      <c r="F1" s="2" t="s">
        <v>266</v>
      </c>
      <c r="G1" s="2" t="s">
        <v>144</v>
      </c>
      <c r="H1" s="2" t="s">
        <v>149</v>
      </c>
      <c r="I1" s="2" t="s">
        <v>143</v>
      </c>
      <c r="J1" s="2" t="s">
        <v>137</v>
      </c>
      <c r="K1" s="2" t="s">
        <v>129</v>
      </c>
      <c r="L1" s="120"/>
      <c r="M1" s="120"/>
      <c r="N1" s="121"/>
      <c r="O1" s="172" t="s">
        <v>637</v>
      </c>
      <c r="P1" s="173"/>
      <c r="Q1" s="173"/>
      <c r="R1" s="173"/>
      <c r="S1" s="169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</row>
    <row r="2" spans="1:30" ht="14.4" x14ac:dyDescent="0.3">
      <c r="A2" s="2" t="s">
        <v>17</v>
      </c>
      <c r="B2" s="15">
        <v>24</v>
      </c>
      <c r="C2" s="37">
        <f>COUNTIFS(Simulações!$K:$K,C$1,Simulações!$CL:$CL,$A2,Simulações!$CR:$CR,$B2)</f>
        <v>0</v>
      </c>
      <c r="D2" s="37">
        <f>COUNTIFS(Simulações!$K:$K,D$1,Simulações!$CL:$CL,$A2,Simulações!$CR:$CR,$B2)</f>
        <v>0</v>
      </c>
      <c r="E2" s="37">
        <f>COUNTIFS(Simulações!$K:$K,E$1,Simulações!$CL:$CL,$A2,Simulações!$CR:$CR,$B2)</f>
        <v>0</v>
      </c>
      <c r="F2" s="37">
        <f>COUNTIFS(Simulações!$K:$K,F$1,Simulações!$CL:$CL,$A2,Simulações!$CR:$CR,$B2)</f>
        <v>0</v>
      </c>
      <c r="G2" s="37">
        <f>COUNTIFS(Simulações!$K:$K,G$1,Simulações!$CL:$CL,$A2,Simulações!$CR:$CR,$B2)</f>
        <v>0</v>
      </c>
      <c r="H2" s="37">
        <f>COUNTIFS(Simulações!$K:$K,H$1,Simulações!$CL:$CL,$A2,Simulações!$CR:$CR,$B2)</f>
        <v>0</v>
      </c>
      <c r="I2" s="37">
        <f>COUNTIFS(Simulações!$K:$K,I$1,Simulações!$CL:$CL,$A2,Simulações!$CR:$CR,$B2)</f>
        <v>0</v>
      </c>
      <c r="J2" s="37">
        <f>COUNTIFS(Simulações!$K:$K,J$1,Simulações!$CL:$CL,$A2,Simulações!$CR:$CR,$B2)</f>
        <v>0</v>
      </c>
      <c r="K2" s="37">
        <f>COUNTIFS(Simulações!$K:$K,K$1,Simulações!$CL:$CL,$A2,Simulações!$CR:$CR,$B2)</f>
        <v>0</v>
      </c>
      <c r="L2" s="120"/>
      <c r="M2" s="120"/>
      <c r="N2" s="2" t="s">
        <v>96</v>
      </c>
      <c r="O2" s="2" t="s">
        <v>2</v>
      </c>
      <c r="P2" s="2" t="s">
        <v>3</v>
      </c>
      <c r="Q2" s="2" t="s">
        <v>142</v>
      </c>
      <c r="R2" s="2" t="s">
        <v>5</v>
      </c>
      <c r="S2" s="2" t="s">
        <v>6</v>
      </c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</row>
    <row r="3" spans="1:30" ht="14.4" x14ac:dyDescent="0.3">
      <c r="A3" s="2" t="s">
        <v>17</v>
      </c>
      <c r="B3" s="15">
        <v>27</v>
      </c>
      <c r="C3" s="37">
        <f>COUNTIFS(Simulações!$K:$K,C$1,Simulações!$CL:$CL,$A3,Simulações!$CR:$CR,$B3)</f>
        <v>0</v>
      </c>
      <c r="D3" s="37">
        <f>COUNTIFS(Simulações!$K:$K,D$1,Simulações!$CL:$CL,$A3,Simulações!$CR:$CR,$B3)</f>
        <v>0</v>
      </c>
      <c r="E3" s="37">
        <f>COUNTIFS(Simulações!$K:$K,E$1,Simulações!$CL:$CL,$A3,Simulações!$CR:$CR,$B3)</f>
        <v>0</v>
      </c>
      <c r="F3" s="37">
        <f>COUNTIFS(Simulações!$K:$K,F$1,Simulações!$CL:$CL,$A3,Simulações!$CR:$CR,$B3)</f>
        <v>0</v>
      </c>
      <c r="G3" s="37">
        <f>COUNTIFS(Simulações!$K:$K,G$1,Simulações!$CL:$CL,$A3,Simulações!$CR:$CR,$B3)</f>
        <v>0</v>
      </c>
      <c r="H3" s="37">
        <f>COUNTIFS(Simulações!$K:$K,H$1,Simulações!$CL:$CL,$A3,Simulações!$CR:$CR,$B3)</f>
        <v>0</v>
      </c>
      <c r="I3" s="37">
        <f>COUNTIFS(Simulações!$K:$K,I$1,Simulações!$CL:$CL,$A3,Simulações!$CR:$CR,$B3)</f>
        <v>0</v>
      </c>
      <c r="J3" s="37">
        <f>COUNTIFS(Simulações!$K:$K,J$1,Simulações!$CL:$CL,$A3,Simulações!$CR:$CR,$B3)</f>
        <v>0</v>
      </c>
      <c r="K3" s="37">
        <f>COUNTIFS(Simulações!$K:$K,K$1,Simulações!$CL:$CL,$A3,Simulações!$CR:$CR,$B3)</f>
        <v>0</v>
      </c>
      <c r="L3" s="120"/>
      <c r="M3" s="120"/>
      <c r="N3" s="2" t="s">
        <v>17</v>
      </c>
      <c r="O3" s="37"/>
      <c r="P3" s="37"/>
      <c r="Q3" s="37"/>
      <c r="R3" s="37"/>
      <c r="S3" s="37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</row>
    <row r="4" spans="1:30" ht="14.4" x14ac:dyDescent="0.3">
      <c r="A4" s="2" t="s">
        <v>17</v>
      </c>
      <c r="B4" s="15">
        <v>33</v>
      </c>
      <c r="C4" s="37">
        <f>COUNTIFS(Simulações!$K:$K,C$1,Simulações!$CL:$CL,$A4,Simulações!$CR:$CR,$B4)</f>
        <v>0</v>
      </c>
      <c r="D4" s="37">
        <f>COUNTIFS(Simulações!$K:$K,D$1,Simulações!$CL:$CL,$A4,Simulações!$CR:$CR,$B4)</f>
        <v>0</v>
      </c>
      <c r="E4" s="37">
        <f>COUNTIFS(Simulações!$K:$K,E$1,Simulações!$CL:$CL,$A4,Simulações!$CR:$CR,$B4)</f>
        <v>0</v>
      </c>
      <c r="F4" s="37">
        <f>COUNTIFS(Simulações!$K:$K,F$1,Simulações!$CL:$CL,$A4,Simulações!$CR:$CR,$B4)</f>
        <v>0</v>
      </c>
      <c r="G4" s="37">
        <f>COUNTIFS(Simulações!$K:$K,G$1,Simulações!$CL:$CL,$A4,Simulações!$CR:$CR,$B4)</f>
        <v>0</v>
      </c>
      <c r="H4" s="37">
        <f>COUNTIFS(Simulações!$K:$K,H$1,Simulações!$CL:$CL,$A4,Simulações!$CR:$CR,$B4)</f>
        <v>0</v>
      </c>
      <c r="I4" s="37">
        <f>COUNTIFS(Simulações!$K:$K,I$1,Simulações!$CL:$CL,$A4,Simulações!$CR:$CR,$B4)</f>
        <v>0</v>
      </c>
      <c r="J4" s="37">
        <f>COUNTIFS(Simulações!$K:$K,J$1,Simulações!$CL:$CL,$A4,Simulações!$CR:$CR,$B4)</f>
        <v>0</v>
      </c>
      <c r="K4" s="37">
        <f>COUNTIFS(Simulações!$K:$K,K$1,Simulações!$CL:$CL,$A4,Simulações!$CR:$CR,$B4)</f>
        <v>0</v>
      </c>
      <c r="L4" s="120"/>
      <c r="M4" s="120"/>
      <c r="N4" s="2" t="s">
        <v>23</v>
      </c>
      <c r="O4" s="37"/>
      <c r="P4" s="37"/>
      <c r="Q4" s="37"/>
      <c r="R4" s="37"/>
      <c r="S4" s="37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</row>
    <row r="5" spans="1:30" ht="14.4" x14ac:dyDescent="0.3">
      <c r="A5" s="2" t="s">
        <v>17</v>
      </c>
      <c r="B5" s="15">
        <v>41</v>
      </c>
      <c r="C5" s="37">
        <f>COUNTIFS(Simulações!$K:$K,C$1,Simulações!$CL:$CL,$A5,Simulações!$CR:$CR,$B5)</f>
        <v>0</v>
      </c>
      <c r="D5" s="37">
        <f>COUNTIFS(Simulações!$K:$K,D$1,Simulações!$CL:$CL,$A5,Simulações!$CR:$CR,$B5)</f>
        <v>0</v>
      </c>
      <c r="E5" s="37">
        <f>COUNTIFS(Simulações!$K:$K,E$1,Simulações!$CL:$CL,$A5,Simulações!$CR:$CR,$B5)</f>
        <v>0</v>
      </c>
      <c r="F5" s="37">
        <f>COUNTIFS(Simulações!$K:$K,F$1,Simulações!$CL:$CL,$A5,Simulações!$CR:$CR,$B5)</f>
        <v>0</v>
      </c>
      <c r="G5" s="37">
        <f>COUNTIFS(Simulações!$K:$K,G$1,Simulações!$CL:$CL,$A5,Simulações!$CR:$CR,$B5)</f>
        <v>0</v>
      </c>
      <c r="H5" s="37">
        <f>COUNTIFS(Simulações!$K:$K,H$1,Simulações!$CL:$CL,$A5,Simulações!$CR:$CR,$B5)</f>
        <v>0</v>
      </c>
      <c r="I5" s="37">
        <f>COUNTIFS(Simulações!$K:$K,I$1,Simulações!$CL:$CL,$A5,Simulações!$CR:$CR,$B5)</f>
        <v>0</v>
      </c>
      <c r="J5" s="37">
        <f>COUNTIFS(Simulações!$K:$K,J$1,Simulações!$CL:$CL,$A5,Simulações!$CR:$CR,$B5)</f>
        <v>0</v>
      </c>
      <c r="K5" s="37">
        <f>COUNTIFS(Simulações!$K:$K,K$1,Simulações!$CL:$CL,$A5,Simulações!$CR:$CR,$B5)</f>
        <v>0</v>
      </c>
      <c r="L5" s="120"/>
      <c r="M5" s="120"/>
      <c r="N5" s="2" t="s">
        <v>21</v>
      </c>
      <c r="O5" s="37"/>
      <c r="P5" s="37"/>
      <c r="Q5" s="37"/>
      <c r="R5" s="37"/>
      <c r="S5" s="37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</row>
    <row r="6" spans="1:30" ht="14.4" x14ac:dyDescent="0.3">
      <c r="A6" s="2" t="s">
        <v>17</v>
      </c>
      <c r="B6" s="15">
        <v>48</v>
      </c>
      <c r="C6" s="37">
        <f>COUNTIFS(Simulações!$K:$K,C$1,Simulações!$CL:$CL,$A6,Simulações!$CR:$CR,$B6)</f>
        <v>0</v>
      </c>
      <c r="D6" s="37">
        <f>COUNTIFS(Simulações!$K:$K,D$1,Simulações!$CL:$CL,$A6,Simulações!$CR:$CR,$B6)</f>
        <v>0</v>
      </c>
      <c r="E6" s="37">
        <f>COUNTIFS(Simulações!$K:$K,E$1,Simulações!$CL:$CL,$A6,Simulações!$CR:$CR,$B6)</f>
        <v>0</v>
      </c>
      <c r="F6" s="37">
        <f>COUNTIFS(Simulações!$K:$K,F$1,Simulações!$CL:$CL,$A6,Simulações!$CR:$CR,$B6)</f>
        <v>0</v>
      </c>
      <c r="G6" s="37">
        <f>COUNTIFS(Simulações!$K:$K,G$1,Simulações!$CL:$CL,$A6,Simulações!$CR:$CR,$B6)</f>
        <v>0</v>
      </c>
      <c r="H6" s="37">
        <f>COUNTIFS(Simulações!$K:$K,H$1,Simulações!$CL:$CL,$A6,Simulações!$CR:$CR,$B6)</f>
        <v>0</v>
      </c>
      <c r="I6" s="37">
        <f>COUNTIFS(Simulações!$K:$K,I$1,Simulações!$CL:$CL,$A6,Simulações!$CR:$CR,$B6)</f>
        <v>0</v>
      </c>
      <c r="J6" s="37">
        <f>COUNTIFS(Simulações!$K:$K,J$1,Simulações!$CL:$CL,$A6,Simulações!$CR:$CR,$B6)</f>
        <v>0</v>
      </c>
      <c r="K6" s="37">
        <f>COUNTIFS(Simulações!$K:$K,K$1,Simulações!$CL:$CL,$A6,Simulações!$CR:$CR,$B6)</f>
        <v>0</v>
      </c>
      <c r="L6" s="120"/>
      <c r="M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</row>
    <row r="7" spans="1:30" ht="14.4" x14ac:dyDescent="0.3">
      <c r="A7" s="2" t="s">
        <v>17</v>
      </c>
      <c r="B7" s="15">
        <v>55</v>
      </c>
      <c r="C7" s="37">
        <f>COUNTIFS(Simulações!$K:$K,C$1,Simulações!$CL:$CL,$A7,Simulações!$CR:$CR,$B7)</f>
        <v>0</v>
      </c>
      <c r="D7" s="37">
        <f>COUNTIFS(Simulações!$K:$K,D$1,Simulações!$CL:$CL,$A7,Simulações!$CR:$CR,$B7)</f>
        <v>0</v>
      </c>
      <c r="E7" s="37">
        <f>COUNTIFS(Simulações!$K:$K,E$1,Simulações!$CL:$CL,$A7,Simulações!$CR:$CR,$B7)</f>
        <v>0</v>
      </c>
      <c r="F7" s="37">
        <f>COUNTIFS(Simulações!$K:$K,F$1,Simulações!$CL:$CL,$A7,Simulações!$CR:$CR,$B7)</f>
        <v>0</v>
      </c>
      <c r="G7" s="37">
        <f>COUNTIFS(Simulações!$K:$K,G$1,Simulações!$CL:$CL,$A7,Simulações!$CR:$CR,$B7)</f>
        <v>0</v>
      </c>
      <c r="H7" s="37">
        <f>COUNTIFS(Simulações!$K:$K,H$1,Simulações!$CL:$CL,$A7,Simulações!$CR:$CR,$B7)</f>
        <v>0</v>
      </c>
      <c r="I7" s="37">
        <f>COUNTIFS(Simulações!$K:$K,I$1,Simulações!$CL:$CL,$A7,Simulações!$CR:$CR,$B7)</f>
        <v>0</v>
      </c>
      <c r="J7" s="37">
        <f>COUNTIFS(Simulações!$K:$K,J$1,Simulações!$CL:$CL,$A7,Simulações!$CR:$CR,$B7)</f>
        <v>0</v>
      </c>
      <c r="K7" s="37">
        <f>COUNTIFS(Simulações!$K:$K,K$1,Simulações!$CL:$CL,$A7,Simulações!$CR:$CR,$B7)</f>
        <v>0</v>
      </c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  <c r="AA7" s="120"/>
      <c r="AB7" s="120"/>
      <c r="AC7" s="120"/>
      <c r="AD7" s="120"/>
    </row>
    <row r="8" spans="1:30" ht="14.4" x14ac:dyDescent="0.3">
      <c r="A8" s="2" t="s">
        <v>17</v>
      </c>
      <c r="B8" s="15">
        <v>61</v>
      </c>
      <c r="C8" s="37">
        <f>COUNTIFS(Simulações!$K:$K,C$1,Simulações!$CL:$CL,$A8,Simulações!$CR:$CR,$B8)</f>
        <v>0</v>
      </c>
      <c r="D8" s="37">
        <f>COUNTIFS(Simulações!$K:$K,D$1,Simulações!$CL:$CL,$A8,Simulações!$CR:$CR,$B8)</f>
        <v>0</v>
      </c>
      <c r="E8" s="37">
        <f>COUNTIFS(Simulações!$K:$K,E$1,Simulações!$CL:$CL,$A8,Simulações!$CR:$CR,$B8)</f>
        <v>0</v>
      </c>
      <c r="F8" s="37">
        <f>COUNTIFS(Simulações!$K:$K,F$1,Simulações!$CL:$CL,$A8,Simulações!$CR:$CR,$B8)</f>
        <v>0</v>
      </c>
      <c r="G8" s="37">
        <f>COUNTIFS(Simulações!$K:$K,G$1,Simulações!$CL:$CL,$A8,Simulações!$CR:$CR,$B8)</f>
        <v>0</v>
      </c>
      <c r="H8" s="37">
        <f>COUNTIFS(Simulações!$K:$K,H$1,Simulações!$CL:$CL,$A8,Simulações!$CR:$CR,$B8)</f>
        <v>0</v>
      </c>
      <c r="I8" s="37">
        <f>COUNTIFS(Simulações!$K:$K,I$1,Simulações!$CL:$CL,$A8,Simulações!$CR:$CR,$B8)</f>
        <v>0</v>
      </c>
      <c r="J8" s="37">
        <f>COUNTIFS(Simulações!$K:$K,J$1,Simulações!$CL:$CL,$A8,Simulações!$CR:$CR,$B8)</f>
        <v>0</v>
      </c>
      <c r="K8" s="37">
        <f>COUNTIFS(Simulações!$K:$K,K$1,Simulações!$CL:$CL,$A8,Simulações!$CR:$CR,$B8)</f>
        <v>0</v>
      </c>
      <c r="L8" s="120"/>
      <c r="M8" s="120"/>
      <c r="N8" s="121"/>
      <c r="O8" s="172" t="s">
        <v>638</v>
      </c>
      <c r="P8" s="173"/>
      <c r="Q8" s="173"/>
      <c r="R8" s="173"/>
      <c r="S8" s="169"/>
      <c r="T8" s="120"/>
      <c r="U8" s="120"/>
      <c r="V8" s="120"/>
      <c r="W8" s="120"/>
      <c r="X8" s="120"/>
      <c r="Y8" s="120"/>
      <c r="Z8" s="120"/>
      <c r="AA8" s="120"/>
      <c r="AC8" s="120"/>
      <c r="AD8" s="120"/>
    </row>
    <row r="9" spans="1:30" ht="14.4" x14ac:dyDescent="0.3">
      <c r="A9" s="2" t="s">
        <v>17</v>
      </c>
      <c r="B9" s="15">
        <v>70</v>
      </c>
      <c r="C9" s="37">
        <f>COUNTIFS(Simulações!$K:$K,C$1,Simulações!$CL:$CL,$A9,Simulações!$CR:$CR,$B9)</f>
        <v>0</v>
      </c>
      <c r="D9" s="37">
        <f>COUNTIFS(Simulações!$K:$K,D$1,Simulações!$CL:$CL,$A9,Simulações!$CR:$CR,$B9)</f>
        <v>0</v>
      </c>
      <c r="E9" s="37">
        <f>COUNTIFS(Simulações!$K:$K,E$1,Simulações!$CL:$CL,$A9,Simulações!$CR:$CR,$B9)</f>
        <v>0</v>
      </c>
      <c r="F9" s="37">
        <f>COUNTIFS(Simulações!$K:$K,F$1,Simulações!$CL:$CL,$A9,Simulações!$CR:$CR,$B9)</f>
        <v>0</v>
      </c>
      <c r="G9" s="37">
        <f>COUNTIFS(Simulações!$K:$K,G$1,Simulações!$CL:$CL,$A9,Simulações!$CR:$CR,$B9)</f>
        <v>0</v>
      </c>
      <c r="H9" s="37">
        <f>COUNTIFS(Simulações!$K:$K,H$1,Simulações!$CL:$CL,$A9,Simulações!$CR:$CR,$B9)</f>
        <v>0</v>
      </c>
      <c r="I9" s="37">
        <f>COUNTIFS(Simulações!$K:$K,I$1,Simulações!$CL:$CL,$A9,Simulações!$CR:$CR,$B9)</f>
        <v>0</v>
      </c>
      <c r="J9" s="37">
        <f>COUNTIFS(Simulações!$K:$K,J$1,Simulações!$CL:$CL,$A9,Simulações!$CR:$CR,$B9)</f>
        <v>0</v>
      </c>
      <c r="K9" s="37">
        <f>COUNTIFS(Simulações!$K:$K,K$1,Simulações!$CL:$CL,$A9,Simulações!$CR:$CR,$B9)</f>
        <v>0</v>
      </c>
      <c r="L9" s="120"/>
      <c r="M9" s="120"/>
      <c r="N9" s="2" t="s">
        <v>96</v>
      </c>
      <c r="O9" s="2" t="s">
        <v>2</v>
      </c>
      <c r="P9" s="2" t="s">
        <v>3</v>
      </c>
      <c r="Q9" s="2" t="s">
        <v>142</v>
      </c>
      <c r="R9" s="2" t="s">
        <v>5</v>
      </c>
      <c r="S9" s="2" t="s">
        <v>6</v>
      </c>
      <c r="T9" s="120"/>
      <c r="U9" s="120"/>
      <c r="V9" s="120"/>
      <c r="W9" s="120"/>
      <c r="X9" s="120"/>
      <c r="Y9" s="120"/>
      <c r="Z9" s="120"/>
      <c r="AA9" s="120"/>
      <c r="AC9" s="120"/>
      <c r="AD9" s="120"/>
    </row>
    <row r="10" spans="1:30" ht="14.4" x14ac:dyDescent="0.3">
      <c r="A10" s="2" t="s">
        <v>17</v>
      </c>
      <c r="B10" s="15">
        <v>76</v>
      </c>
      <c r="C10" s="37">
        <f>COUNTIFS(Simulações!$K:$K,C$1,Simulações!$CL:$CL,$A10,Simulações!$CR:$CR,$B10)</f>
        <v>0</v>
      </c>
      <c r="D10" s="37">
        <f>COUNTIFS(Simulações!$K:$K,D$1,Simulações!$CL:$CL,$A10,Simulações!$CR:$CR,$B10)</f>
        <v>0</v>
      </c>
      <c r="E10" s="37">
        <f>COUNTIFS(Simulações!$K:$K,E$1,Simulações!$CL:$CL,$A10,Simulações!$CR:$CR,$B10)</f>
        <v>0</v>
      </c>
      <c r="F10" s="37">
        <f>COUNTIFS(Simulações!$K:$K,F$1,Simulações!$CL:$CL,$A10,Simulações!$CR:$CR,$B10)</f>
        <v>0</v>
      </c>
      <c r="G10" s="37">
        <f>COUNTIFS(Simulações!$K:$K,G$1,Simulações!$CL:$CL,$A10,Simulações!$CR:$CR,$B10)</f>
        <v>0</v>
      </c>
      <c r="H10" s="37">
        <f>COUNTIFS(Simulações!$K:$K,H$1,Simulações!$CL:$CL,$A10,Simulações!$CR:$CR,$B10)</f>
        <v>0</v>
      </c>
      <c r="I10" s="37">
        <f>COUNTIFS(Simulações!$K:$K,I$1,Simulações!$CL:$CL,$A10,Simulações!$CR:$CR,$B10)</f>
        <v>0</v>
      </c>
      <c r="J10" s="37">
        <f>COUNTIFS(Simulações!$K:$K,J$1,Simulações!$CL:$CL,$A10,Simulações!$CR:$CR,$B10)</f>
        <v>0</v>
      </c>
      <c r="K10" s="37">
        <f>COUNTIFS(Simulações!$K:$K,K$1,Simulações!$CL:$CL,$A10,Simulações!$CR:$CR,$B10)</f>
        <v>0</v>
      </c>
      <c r="L10" s="120"/>
      <c r="M10" s="120"/>
      <c r="N10" s="2" t="str">
        <f>N3</f>
        <v>Philips</v>
      </c>
      <c r="O10" s="39" t="e">
        <f>SUMPRODUCT($B$2:$B$20,G2:G20)/SUM(G4:G20)</f>
        <v>#DIV/0!</v>
      </c>
      <c r="P10" s="39" t="e">
        <f>SUMPRODUCT($B$2:$B$20,H2:H20)/SUM(H4:H20)</f>
        <v>#DIV/0!</v>
      </c>
      <c r="Q10" s="39" t="e">
        <f>SUMPRODUCT($B$2:$B$20,I2:I20)/SUM(I4:I20)</f>
        <v>#DIV/0!</v>
      </c>
      <c r="R10" s="39" t="e">
        <f>SUMPRODUCT($B$2:$B$20,J2:J20)/SUM(J4:J20)</f>
        <v>#DIV/0!</v>
      </c>
      <c r="S10" s="39" t="s">
        <v>130</v>
      </c>
      <c r="T10" s="120"/>
      <c r="U10" s="120"/>
      <c r="V10" s="120"/>
      <c r="W10" s="120"/>
      <c r="X10" s="120"/>
      <c r="Y10" s="120"/>
      <c r="Z10" s="120"/>
      <c r="AA10" s="120"/>
      <c r="AC10" s="120"/>
      <c r="AD10" s="120"/>
    </row>
    <row r="11" spans="1:30" ht="14.4" x14ac:dyDescent="0.3">
      <c r="A11" s="2" t="s">
        <v>17</v>
      </c>
      <c r="B11" s="15">
        <v>83</v>
      </c>
      <c r="C11" s="37">
        <f>COUNTIFS(Simulações!$K:$K,C$1,Simulações!$CL:$CL,$A11,Simulações!$CR:$CR,$B11)</f>
        <v>0</v>
      </c>
      <c r="D11" s="37">
        <f>COUNTIFS(Simulações!$K:$K,D$1,Simulações!$CL:$CL,$A11,Simulações!$CR:$CR,$B11)</f>
        <v>0</v>
      </c>
      <c r="E11" s="37">
        <f>COUNTIFS(Simulações!$K:$K,E$1,Simulações!$CL:$CL,$A11,Simulações!$CR:$CR,$B11)</f>
        <v>0</v>
      </c>
      <c r="F11" s="37">
        <f>COUNTIFS(Simulações!$K:$K,F$1,Simulações!$CL:$CL,$A11,Simulações!$CR:$CR,$B11)</f>
        <v>0</v>
      </c>
      <c r="G11" s="37">
        <f>COUNTIFS(Simulações!$K:$K,G$1,Simulações!$CL:$CL,$A11,Simulações!$CR:$CR,$B11)</f>
        <v>0</v>
      </c>
      <c r="H11" s="37">
        <f>COUNTIFS(Simulações!$K:$K,H$1,Simulações!$CL:$CL,$A11,Simulações!$CR:$CR,$B11)</f>
        <v>0</v>
      </c>
      <c r="I11" s="37">
        <f>COUNTIFS(Simulações!$K:$K,I$1,Simulações!$CL:$CL,$A11,Simulações!$CR:$CR,$B11)</f>
        <v>0</v>
      </c>
      <c r="J11" s="37">
        <f>COUNTIFS(Simulações!$K:$K,J$1,Simulações!$CL:$CL,$A11,Simulações!$CR:$CR,$B11)</f>
        <v>0</v>
      </c>
      <c r="K11" s="37">
        <f>COUNTIFS(Simulações!$K:$K,K$1,Simulações!$CL:$CL,$A11,Simulações!$CR:$CR,$B11)</f>
        <v>0</v>
      </c>
      <c r="L11" s="120"/>
      <c r="M11" s="120"/>
      <c r="N11" s="2" t="str">
        <f>N4</f>
        <v>Unicoba</v>
      </c>
      <c r="O11" s="39" t="e">
        <f>SUMPRODUCT($B$21:$B$33,G21:G33)/SUM(G21:G33)</f>
        <v>#DIV/0!</v>
      </c>
      <c r="P11" s="39" t="e">
        <f>SUMPRODUCT($B$21:$B$33,H21:H33)/SUM(H21:H33)</f>
        <v>#DIV/0!</v>
      </c>
      <c r="Q11" s="39" t="e">
        <f>SUMPRODUCT($B$21:$B$33,I21:I33)/SUM(I21:I33)</f>
        <v>#DIV/0!</v>
      </c>
      <c r="R11" s="39" t="e">
        <f>SUMPRODUCT($B$21:$B$33,J21:J33)/SUM(J21:J33)</f>
        <v>#DIV/0!</v>
      </c>
      <c r="S11" s="122" t="s">
        <v>130</v>
      </c>
      <c r="T11" s="120"/>
      <c r="U11" s="120"/>
      <c r="V11" s="120"/>
      <c r="W11" s="120"/>
      <c r="X11" s="120"/>
      <c r="Y11" s="120"/>
      <c r="Z11" s="120"/>
      <c r="AA11" s="120"/>
      <c r="AC11" s="120"/>
      <c r="AD11" s="120"/>
    </row>
    <row r="12" spans="1:30" ht="14.4" x14ac:dyDescent="0.3">
      <c r="A12" s="2" t="s">
        <v>17</v>
      </c>
      <c r="B12" s="15">
        <v>92</v>
      </c>
      <c r="C12" s="37">
        <f>COUNTIFS(Simulações!$K:$K,C$1,Simulações!$CL:$CL,$A12,Simulações!$CR:$CR,$B12)</f>
        <v>0</v>
      </c>
      <c r="D12" s="37">
        <f>COUNTIFS(Simulações!$K:$K,D$1,Simulações!$CL:$CL,$A12,Simulações!$CR:$CR,$B12)</f>
        <v>0</v>
      </c>
      <c r="E12" s="37">
        <f>COUNTIFS(Simulações!$K:$K,E$1,Simulações!$CL:$CL,$A12,Simulações!$CR:$CR,$B12)</f>
        <v>0</v>
      </c>
      <c r="F12" s="37">
        <f>COUNTIFS(Simulações!$K:$K,F$1,Simulações!$CL:$CL,$A12,Simulações!$CR:$CR,$B12)</f>
        <v>0</v>
      </c>
      <c r="G12" s="37">
        <f>COUNTIFS(Simulações!$K:$K,G$1,Simulações!$CL:$CL,$A12,Simulações!$CR:$CR,$B12)</f>
        <v>0</v>
      </c>
      <c r="H12" s="37">
        <f>COUNTIFS(Simulações!$K:$K,H$1,Simulações!$CL:$CL,$A12,Simulações!$CR:$CR,$B12)</f>
        <v>0</v>
      </c>
      <c r="I12" s="37">
        <f>COUNTIFS(Simulações!$K:$K,I$1,Simulações!$CL:$CL,$A12,Simulações!$CR:$CR,$B12)</f>
        <v>0</v>
      </c>
      <c r="J12" s="37">
        <f>COUNTIFS(Simulações!$K:$K,J$1,Simulações!$CL:$CL,$A12,Simulações!$CR:$CR,$B12)</f>
        <v>0</v>
      </c>
      <c r="K12" s="37">
        <f>COUNTIFS(Simulações!$K:$K,K$1,Simulações!$CL:$CL,$A12,Simulações!$CR:$CR,$B12)</f>
        <v>0</v>
      </c>
      <c r="L12" s="120"/>
      <c r="M12" s="120"/>
      <c r="N12" s="2" t="str">
        <f>N5</f>
        <v>Tecnowatt</v>
      </c>
      <c r="O12" s="39" t="e">
        <f>SUMPRODUCT($B$34:$B$46,G34:G46)/SUM(G34:G46)</f>
        <v>#DIV/0!</v>
      </c>
      <c r="P12" s="39">
        <f>SUMPRODUCT($B$34:$B$46,H34:H46)/SUM(H34:H46)</f>
        <v>68</v>
      </c>
      <c r="Q12" s="39" t="e">
        <f>SUMPRODUCT($B$34:$B$46,I34:I46)/SUM(I34:I46)</f>
        <v>#DIV/0!</v>
      </c>
      <c r="R12" s="39" t="e">
        <f>SUMPRODUCT($B$34:$B$46,J34:J46)/SUM(J34:J46)</f>
        <v>#DIV/0!</v>
      </c>
      <c r="S12" s="39" t="s">
        <v>130</v>
      </c>
      <c r="T12" s="120"/>
      <c r="U12" s="120"/>
      <c r="V12" s="120"/>
      <c r="W12" s="120"/>
      <c r="X12" s="120"/>
      <c r="Y12" s="120"/>
      <c r="Z12" s="120"/>
      <c r="AA12" s="120"/>
      <c r="AC12" s="120"/>
      <c r="AD12" s="120"/>
    </row>
    <row r="13" spans="1:30" ht="14.4" x14ac:dyDescent="0.3">
      <c r="A13" s="2" t="s">
        <v>17</v>
      </c>
      <c r="B13" s="15">
        <v>100</v>
      </c>
      <c r="C13" s="37">
        <f>COUNTIFS(Simulações!$K:$K,C$1,Simulações!$CL:$CL,$A13,Simulações!$CR:$CR,$B13)</f>
        <v>0</v>
      </c>
      <c r="D13" s="37">
        <f>COUNTIFS(Simulações!$K:$K,D$1,Simulações!$CL:$CL,$A13,Simulações!$CR:$CR,$B13)</f>
        <v>0</v>
      </c>
      <c r="E13" s="37">
        <f>COUNTIFS(Simulações!$K:$K,E$1,Simulações!$CL:$CL,$A13,Simulações!$CR:$CR,$B13)</f>
        <v>0</v>
      </c>
      <c r="F13" s="37">
        <f>COUNTIFS(Simulações!$K:$K,F$1,Simulações!$CL:$CL,$A13,Simulações!$CR:$CR,$B13)</f>
        <v>0</v>
      </c>
      <c r="G13" s="37">
        <f>COUNTIFS(Simulações!$K:$K,G$1,Simulações!$CL:$CL,$A13,Simulações!$CR:$CR,$B13)</f>
        <v>0</v>
      </c>
      <c r="H13" s="37">
        <f>COUNTIFS(Simulações!$K:$K,H$1,Simulações!$CL:$CL,$A13,Simulações!$CR:$CR,$B13)</f>
        <v>0</v>
      </c>
      <c r="I13" s="37">
        <f>COUNTIFS(Simulações!$K:$K,I$1,Simulações!$CL:$CL,$A13,Simulações!$CR:$CR,$B13)</f>
        <v>0</v>
      </c>
      <c r="J13" s="37">
        <f>COUNTIFS(Simulações!$K:$K,J$1,Simulações!$CL:$CL,$A13,Simulações!$CR:$CR,$B13)</f>
        <v>0</v>
      </c>
      <c r="K13" s="37">
        <f>COUNTIFS(Simulações!$K:$K,K$1,Simulações!$CL:$CL,$A13,Simulações!$CR:$CR,$B13)</f>
        <v>0</v>
      </c>
      <c r="L13" s="120"/>
      <c r="M13" s="120"/>
      <c r="T13" s="120"/>
      <c r="U13" s="120"/>
      <c r="V13" s="120"/>
      <c r="W13" s="120"/>
      <c r="X13" s="120"/>
      <c r="Y13" s="120"/>
      <c r="Z13" s="120"/>
      <c r="AA13" s="120"/>
      <c r="AC13" s="120"/>
      <c r="AD13" s="120"/>
    </row>
    <row r="14" spans="1:30" ht="14.4" x14ac:dyDescent="0.3">
      <c r="A14" s="2" t="s">
        <v>17</v>
      </c>
      <c r="B14" s="15">
        <v>105</v>
      </c>
      <c r="C14" s="37">
        <f>COUNTIFS(Simulações!$K:$K,C$1,Simulações!$CL:$CL,$A14,Simulações!$CR:$CR,$B14)</f>
        <v>0</v>
      </c>
      <c r="D14" s="37">
        <f>COUNTIFS(Simulações!$K:$K,D$1,Simulações!$CL:$CL,$A14,Simulações!$CR:$CR,$B14)</f>
        <v>0</v>
      </c>
      <c r="E14" s="37">
        <f>COUNTIFS(Simulações!$K:$K,E$1,Simulações!$CL:$CL,$A14,Simulações!$CR:$CR,$B14)</f>
        <v>0</v>
      </c>
      <c r="F14" s="37">
        <f>COUNTIFS(Simulações!$K:$K,F$1,Simulações!$CL:$CL,$A14,Simulações!$CR:$CR,$B14)</f>
        <v>0</v>
      </c>
      <c r="G14" s="37">
        <f>COUNTIFS(Simulações!$K:$K,G$1,Simulações!$CL:$CL,$A14,Simulações!$CR:$CR,$B14)</f>
        <v>0</v>
      </c>
      <c r="H14" s="37">
        <f>COUNTIFS(Simulações!$K:$K,H$1,Simulações!$CL:$CL,$A14,Simulações!$CR:$CR,$B14)</f>
        <v>0</v>
      </c>
      <c r="I14" s="37">
        <f>COUNTIFS(Simulações!$K:$K,I$1,Simulações!$CL:$CL,$A14,Simulações!$CR:$CR,$B14)</f>
        <v>0</v>
      </c>
      <c r="J14" s="37">
        <f>COUNTIFS(Simulações!$K:$K,J$1,Simulações!$CL:$CL,$A14,Simulações!$CR:$CR,$B14)</f>
        <v>0</v>
      </c>
      <c r="K14" s="37">
        <f>COUNTIFS(Simulações!$K:$K,K$1,Simulações!$CL:$CL,$A14,Simulações!$CR:$CR,$B14)</f>
        <v>0</v>
      </c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  <c r="AC14" s="120"/>
      <c r="AD14" s="120"/>
    </row>
    <row r="15" spans="1:30" ht="14.4" x14ac:dyDescent="0.3">
      <c r="A15" s="2" t="s">
        <v>17</v>
      </c>
      <c r="B15" s="15">
        <v>110</v>
      </c>
      <c r="C15" s="37">
        <f>COUNTIFS(Simulações!$K:$K,C$1,Simulações!$CL:$CL,$A15,Simulações!$CR:$CR,$B15)</f>
        <v>0</v>
      </c>
      <c r="D15" s="37">
        <f>COUNTIFS(Simulações!$K:$K,D$1,Simulações!$CL:$CL,$A15,Simulações!$CR:$CR,$B15)</f>
        <v>0</v>
      </c>
      <c r="E15" s="37">
        <f>COUNTIFS(Simulações!$K:$K,E$1,Simulações!$CL:$CL,$A15,Simulações!$CR:$CR,$B15)</f>
        <v>0</v>
      </c>
      <c r="F15" s="37">
        <f>COUNTIFS(Simulações!$K:$K,F$1,Simulações!$CL:$CL,$A15,Simulações!$CR:$CR,$B15)</f>
        <v>0</v>
      </c>
      <c r="G15" s="37">
        <f>COUNTIFS(Simulações!$K:$K,G$1,Simulações!$CL:$CL,$A15,Simulações!$CR:$CR,$B15)</f>
        <v>0</v>
      </c>
      <c r="H15" s="37">
        <f>COUNTIFS(Simulações!$K:$K,H$1,Simulações!$CL:$CL,$A15,Simulações!$CR:$CR,$B15)</f>
        <v>0</v>
      </c>
      <c r="I15" s="37">
        <f>COUNTIFS(Simulações!$K:$K,I$1,Simulações!$CL:$CL,$A15,Simulações!$CR:$CR,$B15)</f>
        <v>0</v>
      </c>
      <c r="J15" s="37">
        <f>COUNTIFS(Simulações!$K:$K,J$1,Simulações!$CL:$CL,$A15,Simulações!$CR:$CR,$B15)</f>
        <v>0</v>
      </c>
      <c r="K15" s="37">
        <f>COUNTIFS(Simulações!$K:$K,K$1,Simulações!$CL:$CL,$A15,Simulações!$CR:$CR,$B15)</f>
        <v>0</v>
      </c>
      <c r="L15" s="120"/>
      <c r="M15" s="120"/>
      <c r="N15" s="121"/>
      <c r="O15" s="172" t="s">
        <v>639</v>
      </c>
      <c r="P15" s="173"/>
      <c r="Q15" s="173"/>
      <c r="R15" s="173"/>
      <c r="S15" s="169"/>
      <c r="T15" s="120"/>
      <c r="U15" s="120"/>
      <c r="V15" s="120"/>
      <c r="W15" s="120"/>
      <c r="X15" s="120"/>
      <c r="Y15" s="120"/>
      <c r="Z15" s="120"/>
      <c r="AA15" s="120"/>
      <c r="AC15" s="120"/>
      <c r="AD15" s="120"/>
    </row>
    <row r="16" spans="1:30" ht="14.4" x14ac:dyDescent="0.3">
      <c r="A16" s="2" t="s">
        <v>17</v>
      </c>
      <c r="B16" s="15">
        <v>113</v>
      </c>
      <c r="C16" s="37">
        <f>COUNTIFS(Simulações!$K:$K,C$1,Simulações!$CL:$CL,$A16,Simulações!$CR:$CR,$B16)</f>
        <v>0</v>
      </c>
      <c r="D16" s="37">
        <f>COUNTIFS(Simulações!$K:$K,D$1,Simulações!$CL:$CL,$A16,Simulações!$CR:$CR,$B16)</f>
        <v>0</v>
      </c>
      <c r="E16" s="37">
        <f>COUNTIFS(Simulações!$K:$K,E$1,Simulações!$CL:$CL,$A16,Simulações!$CR:$CR,$B16)</f>
        <v>0</v>
      </c>
      <c r="F16" s="37">
        <f>COUNTIFS(Simulações!$K:$K,F$1,Simulações!$CL:$CL,$A16,Simulações!$CR:$CR,$B16)</f>
        <v>0</v>
      </c>
      <c r="G16" s="37">
        <f>COUNTIFS(Simulações!$K:$K,G$1,Simulações!$CL:$CL,$A16,Simulações!$CR:$CR,$B16)</f>
        <v>0</v>
      </c>
      <c r="H16" s="37">
        <f>COUNTIFS(Simulações!$K:$K,H$1,Simulações!$CL:$CL,$A16,Simulações!$CR:$CR,$B16)</f>
        <v>0</v>
      </c>
      <c r="I16" s="37">
        <f>COUNTIFS(Simulações!$K:$K,I$1,Simulações!$CL:$CL,$A16,Simulações!$CR:$CR,$B16)</f>
        <v>0</v>
      </c>
      <c r="J16" s="37">
        <f>COUNTIFS(Simulações!$K:$K,J$1,Simulações!$CL:$CL,$A16,Simulações!$CR:$CR,$B16)</f>
        <v>0</v>
      </c>
      <c r="K16" s="37">
        <f>COUNTIFS(Simulações!$K:$K,K$1,Simulações!$CL:$CL,$A16,Simulações!$CR:$CR,$B16)</f>
        <v>0</v>
      </c>
      <c r="L16" s="120"/>
      <c r="M16" s="120"/>
      <c r="N16" s="2" t="s">
        <v>96</v>
      </c>
      <c r="O16" s="2" t="s">
        <v>2</v>
      </c>
      <c r="P16" s="2" t="s">
        <v>3</v>
      </c>
      <c r="Q16" s="2" t="s">
        <v>142</v>
      </c>
      <c r="R16" s="2" t="s">
        <v>5</v>
      </c>
      <c r="S16" s="2" t="s">
        <v>6</v>
      </c>
      <c r="V16" s="120"/>
      <c r="Y16" s="120"/>
      <c r="Z16" s="120"/>
      <c r="AA16" s="120"/>
      <c r="AC16" s="120"/>
      <c r="AD16" s="120"/>
    </row>
    <row r="17" spans="1:30" ht="14.4" x14ac:dyDescent="0.3">
      <c r="A17" s="2" t="s">
        <v>17</v>
      </c>
      <c r="B17" s="15">
        <v>122</v>
      </c>
      <c r="C17" s="37">
        <f>COUNTIFS(Simulações!$K:$K,C$1,Simulações!$CL:$CL,$A17,Simulações!$CR:$CR,$B17)</f>
        <v>0</v>
      </c>
      <c r="D17" s="37">
        <f>COUNTIFS(Simulações!$K:$K,D$1,Simulações!$CL:$CL,$A17,Simulações!$CR:$CR,$B17)</f>
        <v>0</v>
      </c>
      <c r="E17" s="37">
        <f>COUNTIFS(Simulações!$K:$K,E$1,Simulações!$CL:$CL,$A17,Simulações!$CR:$CR,$B17)</f>
        <v>0</v>
      </c>
      <c r="F17" s="37">
        <f>COUNTIFS(Simulações!$K:$K,F$1,Simulações!$CL:$CL,$A17,Simulações!$CR:$CR,$B17)</f>
        <v>0</v>
      </c>
      <c r="G17" s="37">
        <f>COUNTIFS(Simulações!$K:$K,G$1,Simulações!$CL:$CL,$A17,Simulações!$CR:$CR,$B17)</f>
        <v>0</v>
      </c>
      <c r="H17" s="37">
        <f>COUNTIFS(Simulações!$K:$K,H$1,Simulações!$CL:$CL,$A17,Simulações!$CR:$CR,$B17)</f>
        <v>0</v>
      </c>
      <c r="I17" s="37">
        <f>COUNTIFS(Simulações!$K:$K,I$1,Simulações!$CL:$CL,$A17,Simulações!$CR:$CR,$B17)</f>
        <v>0</v>
      </c>
      <c r="J17" s="37">
        <f>COUNTIFS(Simulações!$K:$K,J$1,Simulações!$CL:$CL,$A17,Simulações!$CR:$CR,$B17)</f>
        <v>0</v>
      </c>
      <c r="K17" s="37">
        <f>COUNTIFS(Simulações!$K:$K,K$1,Simulações!$CL:$CL,$A17,Simulações!$CR:$CR,$B17)</f>
        <v>0</v>
      </c>
      <c r="L17" s="120"/>
      <c r="M17" s="120"/>
      <c r="N17" s="2" t="str">
        <f>N3</f>
        <v>Philips</v>
      </c>
      <c r="O17" s="37">
        <v>113</v>
      </c>
      <c r="P17" s="37">
        <v>83</v>
      </c>
      <c r="Q17" s="37">
        <v>61</v>
      </c>
      <c r="R17" s="37">
        <v>48</v>
      </c>
      <c r="S17" s="37" t="s">
        <v>130</v>
      </c>
      <c r="AA17" s="120"/>
      <c r="AC17" s="120"/>
      <c r="AD17" s="120"/>
    </row>
    <row r="18" spans="1:30" ht="14.4" x14ac:dyDescent="0.3">
      <c r="A18" s="2" t="s">
        <v>17</v>
      </c>
      <c r="B18" s="15">
        <v>136</v>
      </c>
      <c r="C18" s="37">
        <f>COUNTIFS(Simulações!$K:$K,C$1,Simulações!$CL:$CL,$A18,Simulações!$CR:$CR,$B18)</f>
        <v>0</v>
      </c>
      <c r="D18" s="37">
        <f>COUNTIFS(Simulações!$K:$K,D$1,Simulações!$CL:$CL,$A18,Simulações!$CR:$CR,$B18)</f>
        <v>0</v>
      </c>
      <c r="E18" s="37">
        <f>COUNTIFS(Simulações!$K:$K,E$1,Simulações!$CL:$CL,$A18,Simulações!$CR:$CR,$B18)</f>
        <v>0</v>
      </c>
      <c r="F18" s="37">
        <f>COUNTIFS(Simulações!$K:$K,F$1,Simulações!$CL:$CL,$A18,Simulações!$CR:$CR,$B18)</f>
        <v>0</v>
      </c>
      <c r="G18" s="37">
        <f>COUNTIFS(Simulações!$K:$K,G$1,Simulações!$CL:$CL,$A18,Simulações!$CR:$CR,$B18)</f>
        <v>0</v>
      </c>
      <c r="H18" s="37">
        <f>COUNTIFS(Simulações!$K:$K,H$1,Simulações!$CL:$CL,$A18,Simulações!$CR:$CR,$B18)</f>
        <v>0</v>
      </c>
      <c r="I18" s="37">
        <f>COUNTIFS(Simulações!$K:$K,I$1,Simulações!$CL:$CL,$A18,Simulações!$CR:$CR,$B18)</f>
        <v>0</v>
      </c>
      <c r="J18" s="37">
        <f>COUNTIFS(Simulações!$K:$K,J$1,Simulações!$CL:$CL,$A18,Simulações!$CR:$CR,$B18)</f>
        <v>0</v>
      </c>
      <c r="K18" s="37">
        <f>COUNTIFS(Simulações!$K:$K,K$1,Simulações!$CL:$CL,$A18,Simulações!$CR:$CR,$B18)</f>
        <v>0</v>
      </c>
      <c r="L18" s="120"/>
      <c r="M18" s="120"/>
      <c r="N18" s="2" t="str">
        <f>N4</f>
        <v>Unicoba</v>
      </c>
      <c r="O18" s="37">
        <v>141.5</v>
      </c>
      <c r="P18" s="37">
        <v>108.4</v>
      </c>
      <c r="Q18" s="37">
        <v>87.9</v>
      </c>
      <c r="R18" s="37">
        <v>52</v>
      </c>
      <c r="S18" s="37" t="s">
        <v>130</v>
      </c>
      <c r="Y18" s="1"/>
      <c r="Z18" s="1"/>
      <c r="AA18" s="120"/>
      <c r="AC18" s="120"/>
      <c r="AD18" s="120"/>
    </row>
    <row r="19" spans="1:30" ht="14.4" x14ac:dyDescent="0.3">
      <c r="A19" s="2" t="s">
        <v>17</v>
      </c>
      <c r="B19" s="15">
        <v>150</v>
      </c>
      <c r="C19" s="37">
        <f>COUNTIFS(Simulações!$K:$K,C$1,Simulações!$CL:$CL,$A19,Simulações!$CR:$CR,$B19)</f>
        <v>0</v>
      </c>
      <c r="D19" s="37">
        <f>COUNTIFS(Simulações!$K:$K,D$1,Simulações!$CL:$CL,$A19,Simulações!$CR:$CR,$B19)</f>
        <v>0</v>
      </c>
      <c r="E19" s="37">
        <f>COUNTIFS(Simulações!$K:$K,E$1,Simulações!$CL:$CL,$A19,Simulações!$CR:$CR,$B19)</f>
        <v>0</v>
      </c>
      <c r="F19" s="37">
        <f>COUNTIFS(Simulações!$K:$K,F$1,Simulações!$CL:$CL,$A19,Simulações!$CR:$CR,$B19)</f>
        <v>0</v>
      </c>
      <c r="G19" s="37">
        <f>COUNTIFS(Simulações!$K:$K,G$1,Simulações!$CL:$CL,$A19,Simulações!$CR:$CR,$B19)</f>
        <v>0</v>
      </c>
      <c r="H19" s="37">
        <f>COUNTIFS(Simulações!$K:$K,H$1,Simulações!$CL:$CL,$A19,Simulações!$CR:$CR,$B19)</f>
        <v>0</v>
      </c>
      <c r="I19" s="37">
        <f>COUNTIFS(Simulações!$K:$K,I$1,Simulações!$CL:$CL,$A19,Simulações!$CR:$CR,$B19)</f>
        <v>0</v>
      </c>
      <c r="J19" s="37">
        <f>COUNTIFS(Simulações!$K:$K,J$1,Simulações!$CL:$CL,$A19,Simulações!$CR:$CR,$B19)</f>
        <v>0</v>
      </c>
      <c r="K19" s="37">
        <f>COUNTIFS(Simulações!$K:$K,K$1,Simulações!$CL:$CL,$A19,Simulações!$CR:$CR,$B19)</f>
        <v>0</v>
      </c>
      <c r="L19" s="120"/>
      <c r="M19" s="120"/>
      <c r="N19" s="2" t="str">
        <f>N5</f>
        <v>Tecnowatt</v>
      </c>
      <c r="O19" s="37">
        <v>115</v>
      </c>
      <c r="P19" s="37">
        <v>115</v>
      </c>
      <c r="Q19" s="37">
        <v>68</v>
      </c>
      <c r="R19" s="37">
        <v>40</v>
      </c>
      <c r="S19" s="37" t="s">
        <v>130</v>
      </c>
      <c r="AA19" s="120"/>
      <c r="AC19" s="120"/>
      <c r="AD19" s="120"/>
    </row>
    <row r="20" spans="1:30" ht="14.4" x14ac:dyDescent="0.3">
      <c r="A20" s="2" t="s">
        <v>17</v>
      </c>
      <c r="B20" s="15">
        <v>165</v>
      </c>
      <c r="C20" s="37">
        <f>COUNTIFS(Simulações!$K:$K,C$1,Simulações!$CL:$CL,$A20,Simulações!$CR:$CR,$B20)</f>
        <v>0</v>
      </c>
      <c r="D20" s="37">
        <f>COUNTIFS(Simulações!$K:$K,D$1,Simulações!$CL:$CL,$A20,Simulações!$CR:$CR,$B20)</f>
        <v>0</v>
      </c>
      <c r="E20" s="37">
        <f>COUNTIFS(Simulações!$K:$K,E$1,Simulações!$CL:$CL,$A20,Simulações!$CR:$CR,$B20)</f>
        <v>0</v>
      </c>
      <c r="F20" s="37">
        <f>COUNTIFS(Simulações!$K:$K,F$1,Simulações!$CL:$CL,$A20,Simulações!$CR:$CR,$B20)</f>
        <v>0</v>
      </c>
      <c r="G20" s="37">
        <f>COUNTIFS(Simulações!$K:$K,G$1,Simulações!$CL:$CL,$A20,Simulações!$CR:$CR,$B20)</f>
        <v>0</v>
      </c>
      <c r="H20" s="37">
        <f>COUNTIFS(Simulações!$K:$K,H$1,Simulações!$CL:$CL,$A20,Simulações!$CR:$CR,$B20)</f>
        <v>0</v>
      </c>
      <c r="I20" s="37">
        <f>COUNTIFS(Simulações!$K:$K,I$1,Simulações!$CL:$CL,$A20,Simulações!$CR:$CR,$B20)</f>
        <v>0</v>
      </c>
      <c r="J20" s="37">
        <f>COUNTIFS(Simulações!$K:$K,J$1,Simulações!$CL:$CL,$A20,Simulações!$CR:$CR,$B20)</f>
        <v>0</v>
      </c>
      <c r="K20" s="37">
        <f>COUNTIFS(Simulações!$K:$K,K$1,Simulações!$CL:$CL,$A20,Simulações!$CR:$CR,$B20)</f>
        <v>0</v>
      </c>
      <c r="L20" s="120"/>
      <c r="M20" s="120"/>
      <c r="V20" s="120"/>
      <c r="Y20" s="120"/>
      <c r="Z20" s="120"/>
      <c r="AA20" s="120"/>
      <c r="AC20" s="120"/>
      <c r="AD20" s="120"/>
    </row>
    <row r="21" spans="1:30" ht="15.75" customHeight="1" x14ac:dyDescent="0.3">
      <c r="A21" s="2" t="s">
        <v>640</v>
      </c>
      <c r="B21" s="15">
        <v>20</v>
      </c>
      <c r="C21" s="37">
        <f>COUNTIFS(Simulações!$K:$K,C$1,Simulações!$CL:$CL,$A21,Simulações!$CR:$CR,$B21)</f>
        <v>0</v>
      </c>
      <c r="D21" s="37">
        <f>COUNTIFS(Simulações!$K:$K,D$1,Simulações!$CL:$CL,$A21,Simulações!$CR:$CR,$B21)</f>
        <v>0</v>
      </c>
      <c r="E21" s="37">
        <f>COUNTIFS(Simulações!$K:$K,E$1,Simulações!$CL:$CL,$A21,Simulações!$CR:$CR,$B21)</f>
        <v>0</v>
      </c>
      <c r="F21" s="37">
        <f>COUNTIFS(Simulações!$K:$K,F$1,Simulações!$CL:$CL,$A21,Simulações!$CR:$CR,$B21)</f>
        <v>0</v>
      </c>
      <c r="G21" s="37">
        <f>COUNTIFS(Simulações!$K:$K,G$1,Simulações!$CL:$CL,$A21,Simulações!$CR:$CR,$B21)</f>
        <v>0</v>
      </c>
      <c r="H21" s="37">
        <f>COUNTIFS(Simulações!$K:$K,H$1,Simulações!$CL:$CL,$A21,Simulações!$CR:$CR,$B21)</f>
        <v>0</v>
      </c>
      <c r="I21" s="37">
        <f>COUNTIFS(Simulações!$K:$K,I$1,Simulações!$CL:$CL,$A21,Simulações!$CR:$CR,$B21)</f>
        <v>0</v>
      </c>
      <c r="J21" s="37">
        <f>COUNTIFS(Simulações!$K:$K,J$1,Simulações!$CL:$CL,$A21,Simulações!$CR:$CR,$B21)</f>
        <v>0</v>
      </c>
      <c r="K21" s="37">
        <f>COUNTIFS(Simulações!$K:$K,K$1,Simulações!$CL:$CL,$A21,Simulações!$CR:$CR,$B21)</f>
        <v>0</v>
      </c>
      <c r="L21" s="120"/>
      <c r="M21" s="120"/>
      <c r="V21" s="120"/>
      <c r="Y21" s="120"/>
      <c r="Z21" s="120"/>
      <c r="AA21" s="120"/>
      <c r="AC21" s="120"/>
      <c r="AD21" s="120"/>
    </row>
    <row r="22" spans="1:30" ht="15.75" customHeight="1" x14ac:dyDescent="0.3">
      <c r="A22" s="2" t="s">
        <v>640</v>
      </c>
      <c r="B22" s="15">
        <v>30</v>
      </c>
      <c r="C22" s="37">
        <f>COUNTIFS(Simulações!$K:$K,C$1,Simulações!$CL:$CL,$A22,Simulações!$CR:$CR,$B22)</f>
        <v>0</v>
      </c>
      <c r="D22" s="37">
        <f>COUNTIFS(Simulações!$K:$K,D$1,Simulações!$CL:$CL,$A22,Simulações!$CR:$CR,$B22)</f>
        <v>0</v>
      </c>
      <c r="E22" s="37">
        <f>COUNTIFS(Simulações!$K:$K,E$1,Simulações!$CL:$CL,$A22,Simulações!$CR:$CR,$B22)</f>
        <v>0</v>
      </c>
      <c r="F22" s="37">
        <f>COUNTIFS(Simulações!$K:$K,F$1,Simulações!$CL:$CL,$A22,Simulações!$CR:$CR,$B22)</f>
        <v>0</v>
      </c>
      <c r="G22" s="37">
        <f>COUNTIFS(Simulações!$K:$K,G$1,Simulações!$CL:$CL,$A22,Simulações!$CR:$CR,$B22)</f>
        <v>0</v>
      </c>
      <c r="H22" s="37">
        <f>COUNTIFS(Simulações!$K:$K,H$1,Simulações!$CL:$CL,$A22,Simulações!$CR:$CR,$B22)</f>
        <v>0</v>
      </c>
      <c r="I22" s="37">
        <f>COUNTIFS(Simulações!$K:$K,I$1,Simulações!$CL:$CL,$A22,Simulações!$CR:$CR,$B22)</f>
        <v>0</v>
      </c>
      <c r="J22" s="37">
        <f>COUNTIFS(Simulações!$K:$K,J$1,Simulações!$CL:$CL,$A22,Simulações!$CR:$CR,$B22)</f>
        <v>0</v>
      </c>
      <c r="K22" s="37">
        <f>COUNTIFS(Simulações!$K:$K,K$1,Simulações!$CL:$CL,$A22,Simulações!$CR:$CR,$B22)</f>
        <v>0</v>
      </c>
      <c r="L22" s="120"/>
      <c r="M22" s="120"/>
      <c r="V22" s="120"/>
      <c r="Y22" s="120"/>
      <c r="Z22" s="120"/>
      <c r="AA22" s="120"/>
      <c r="AC22" s="120"/>
      <c r="AD22" s="120"/>
    </row>
    <row r="23" spans="1:30" ht="15.75" customHeight="1" x14ac:dyDescent="0.3">
      <c r="A23" s="2" t="s">
        <v>640</v>
      </c>
      <c r="B23" s="15">
        <v>35.6</v>
      </c>
      <c r="C23" s="37">
        <f>COUNTIFS(Simulações!$K:$K,C$1,Simulações!$CL:$CL,$A23,Simulações!$CR:$CR,$B23)</f>
        <v>0</v>
      </c>
      <c r="D23" s="37">
        <f>COUNTIFS(Simulações!$K:$K,D$1,Simulações!$CL:$CL,$A23,Simulações!$CR:$CR,$B23)</f>
        <v>0</v>
      </c>
      <c r="E23" s="37">
        <f>COUNTIFS(Simulações!$K:$K,E$1,Simulações!$CL:$CL,$A23,Simulações!$CR:$CR,$B23)</f>
        <v>0</v>
      </c>
      <c r="F23" s="37">
        <f>COUNTIFS(Simulações!$K:$K,F$1,Simulações!$CL:$CL,$A23,Simulações!$CR:$CR,$B23)</f>
        <v>0</v>
      </c>
      <c r="G23" s="37">
        <f>COUNTIFS(Simulações!$K:$K,G$1,Simulações!$CL:$CL,$A23,Simulações!$CR:$CR,$B23)</f>
        <v>0</v>
      </c>
      <c r="H23" s="37">
        <f>COUNTIFS(Simulações!$K:$K,H$1,Simulações!$CL:$CL,$A23,Simulações!$CR:$CR,$B23)</f>
        <v>0</v>
      </c>
      <c r="I23" s="37">
        <f>COUNTIFS(Simulações!$K:$K,I$1,Simulações!$CL:$CL,$A23,Simulações!$CR:$CR,$B23)</f>
        <v>0</v>
      </c>
      <c r="J23" s="37">
        <f>COUNTIFS(Simulações!$K:$K,J$1,Simulações!$CL:$CL,$A23,Simulações!$CR:$CR,$B23)</f>
        <v>0</v>
      </c>
      <c r="K23" s="37">
        <f>COUNTIFS(Simulações!$K:$K,K$1,Simulações!$CL:$CL,$A23,Simulações!$CR:$CR,$B23)</f>
        <v>0</v>
      </c>
      <c r="L23" s="120"/>
      <c r="M23" s="120"/>
      <c r="V23" s="120"/>
      <c r="Y23" s="120"/>
      <c r="Z23" s="120"/>
      <c r="AA23" s="120"/>
      <c r="AC23" s="120"/>
      <c r="AD23" s="120"/>
    </row>
    <row r="24" spans="1:30" ht="15.75" customHeight="1" x14ac:dyDescent="0.3">
      <c r="A24" s="2" t="s">
        <v>640</v>
      </c>
      <c r="B24" s="15">
        <v>46</v>
      </c>
      <c r="C24" s="37">
        <f>COUNTIFS(Simulações!$K:$K,C$1,Simulações!$CL:$CL,$A24,Simulações!$CR:$CR,$B24)</f>
        <v>0</v>
      </c>
      <c r="D24" s="37">
        <f>COUNTIFS(Simulações!$K:$K,D$1,Simulações!$CL:$CL,$A24,Simulações!$CR:$CR,$B24)</f>
        <v>0</v>
      </c>
      <c r="E24" s="37">
        <f>COUNTIFS(Simulações!$K:$K,E$1,Simulações!$CL:$CL,$A24,Simulações!$CR:$CR,$B24)</f>
        <v>0</v>
      </c>
      <c r="F24" s="37">
        <f>COUNTIFS(Simulações!$K:$K,F$1,Simulações!$CL:$CL,$A24,Simulações!$CR:$CR,$B24)</f>
        <v>0</v>
      </c>
      <c r="G24" s="37">
        <f>COUNTIFS(Simulações!$K:$K,G$1,Simulações!$CL:$CL,$A24,Simulações!$CR:$CR,$B24)</f>
        <v>0</v>
      </c>
      <c r="H24" s="37">
        <f>COUNTIFS(Simulações!$K:$K,H$1,Simulações!$CL:$CL,$A24,Simulações!$CR:$CR,$B24)</f>
        <v>0</v>
      </c>
      <c r="I24" s="37">
        <f>COUNTIFS(Simulações!$K:$K,I$1,Simulações!$CL:$CL,$A24,Simulações!$CR:$CR,$B24)</f>
        <v>0</v>
      </c>
      <c r="J24" s="37">
        <f>COUNTIFS(Simulações!$K:$K,J$1,Simulações!$CL:$CL,$A24,Simulações!$CR:$CR,$B24)</f>
        <v>0</v>
      </c>
      <c r="K24" s="37">
        <f>COUNTIFS(Simulações!$K:$K,K$1,Simulações!$CL:$CL,$A24,Simulações!$CR:$CR,$B24)</f>
        <v>0</v>
      </c>
      <c r="L24" s="120"/>
      <c r="M24" s="120"/>
      <c r="V24" s="120"/>
      <c r="Y24" s="120"/>
      <c r="Z24" s="120"/>
      <c r="AA24" s="120"/>
      <c r="AC24" s="120"/>
      <c r="AD24" s="120"/>
    </row>
    <row r="25" spans="1:30" ht="15.75" customHeight="1" x14ac:dyDescent="0.3">
      <c r="A25" s="2" t="s">
        <v>640</v>
      </c>
      <c r="B25" s="15">
        <v>46.5</v>
      </c>
      <c r="C25" s="37">
        <f>COUNTIFS(Simulações!$K:$K,C$1,Simulações!$CL:$CL,$A25,Simulações!$CR:$CR,$B25)</f>
        <v>0</v>
      </c>
      <c r="D25" s="37">
        <f>COUNTIFS(Simulações!$K:$K,D$1,Simulações!$CL:$CL,$A25,Simulações!$CR:$CR,$B25)</f>
        <v>0</v>
      </c>
      <c r="E25" s="37">
        <f>COUNTIFS(Simulações!$K:$K,E$1,Simulações!$CL:$CL,$A25,Simulações!$CR:$CR,$B25)</f>
        <v>0</v>
      </c>
      <c r="F25" s="37">
        <f>COUNTIFS(Simulações!$K:$K,F$1,Simulações!$CL:$CL,$A25,Simulações!$CR:$CR,$B25)</f>
        <v>0</v>
      </c>
      <c r="G25" s="37">
        <f>COUNTIFS(Simulações!$K:$K,G$1,Simulações!$CL:$CL,$A25,Simulações!$CR:$CR,$B25)</f>
        <v>0</v>
      </c>
      <c r="H25" s="37">
        <f>COUNTIFS(Simulações!$K:$K,H$1,Simulações!$CL:$CL,$A25,Simulações!$CR:$CR,$B25)</f>
        <v>0</v>
      </c>
      <c r="I25" s="37">
        <f>COUNTIFS(Simulações!$K:$K,I$1,Simulações!$CL:$CL,$A25,Simulações!$CR:$CR,$B25)</f>
        <v>0</v>
      </c>
      <c r="J25" s="37">
        <f>COUNTIFS(Simulações!$K:$K,J$1,Simulações!$CL:$CL,$A25,Simulações!$CR:$CR,$B25)</f>
        <v>0</v>
      </c>
      <c r="K25" s="37">
        <f>COUNTIFS(Simulações!$K:$K,K$1,Simulações!$CL:$CL,$A25,Simulações!$CR:$CR,$B25)</f>
        <v>0</v>
      </c>
      <c r="L25" s="120"/>
      <c r="M25" s="120"/>
      <c r="V25" s="120"/>
      <c r="Y25" s="120"/>
      <c r="Z25" s="120"/>
      <c r="AA25" s="120"/>
      <c r="AC25" s="120"/>
      <c r="AD25" s="120"/>
    </row>
    <row r="26" spans="1:30" ht="15.75" customHeight="1" x14ac:dyDescent="0.3">
      <c r="A26" s="2" t="s">
        <v>640</v>
      </c>
      <c r="B26" s="15">
        <v>52</v>
      </c>
      <c r="C26" s="37">
        <f>COUNTIFS(Simulações!$K:$K,C$1,Simulações!$CL:$CL,$A26,Simulações!$CR:$CR,$B26)</f>
        <v>0</v>
      </c>
      <c r="D26" s="37">
        <f>COUNTIFS(Simulações!$K:$K,D$1,Simulações!$CL:$CL,$A26,Simulações!$CR:$CR,$B26)</f>
        <v>0</v>
      </c>
      <c r="E26" s="37">
        <f>COUNTIFS(Simulações!$K:$K,E$1,Simulações!$CL:$CL,$A26,Simulações!$CR:$CR,$B26)</f>
        <v>0</v>
      </c>
      <c r="F26" s="37">
        <f>COUNTIFS(Simulações!$K:$K,F$1,Simulações!$CL:$CL,$A26,Simulações!$CR:$CR,$B26)</f>
        <v>0</v>
      </c>
      <c r="G26" s="37">
        <f>COUNTIFS(Simulações!$K:$K,G$1,Simulações!$CL:$CL,$A26,Simulações!$CR:$CR,$B26)</f>
        <v>0</v>
      </c>
      <c r="H26" s="37">
        <f>COUNTIFS(Simulações!$K:$K,H$1,Simulações!$CL:$CL,$A26,Simulações!$CR:$CR,$B26)</f>
        <v>0</v>
      </c>
      <c r="I26" s="37">
        <f>COUNTIFS(Simulações!$K:$K,I$1,Simulações!$CL:$CL,$A26,Simulações!$CR:$CR,$B26)</f>
        <v>0</v>
      </c>
      <c r="J26" s="37">
        <f>COUNTIFS(Simulações!$K:$K,J$1,Simulações!$CL:$CL,$A26,Simulações!$CR:$CR,$B26)</f>
        <v>0</v>
      </c>
      <c r="K26" s="37">
        <f>COUNTIFS(Simulações!$K:$K,K$1,Simulações!$CL:$CL,$A26,Simulações!$CR:$CR,$B26)</f>
        <v>0</v>
      </c>
      <c r="L26" s="120"/>
      <c r="M26" s="120"/>
      <c r="V26" s="120"/>
      <c r="Y26" s="120"/>
      <c r="Z26" s="120"/>
      <c r="AA26" s="120"/>
      <c r="AC26" s="120"/>
      <c r="AD26" s="120"/>
    </row>
    <row r="27" spans="1:30" ht="15.75" customHeight="1" x14ac:dyDescent="0.3">
      <c r="A27" s="2" t="s">
        <v>640</v>
      </c>
      <c r="B27" s="15">
        <v>55</v>
      </c>
      <c r="C27" s="37">
        <f>COUNTIFS(Simulações!$K:$K,C$1,Simulações!$CL:$CL,$A27,Simulações!$CR:$CR,$B27)</f>
        <v>0</v>
      </c>
      <c r="D27" s="37">
        <f>COUNTIFS(Simulações!$K:$K,D$1,Simulações!$CL:$CL,$A27,Simulações!$CR:$CR,$B27)</f>
        <v>0</v>
      </c>
      <c r="E27" s="37">
        <f>COUNTIFS(Simulações!$K:$K,E$1,Simulações!$CL:$CL,$A27,Simulações!$CR:$CR,$B27)</f>
        <v>0</v>
      </c>
      <c r="F27" s="37">
        <f>COUNTIFS(Simulações!$K:$K,F$1,Simulações!$CL:$CL,$A27,Simulações!$CR:$CR,$B27)</f>
        <v>0</v>
      </c>
      <c r="G27" s="37">
        <f>COUNTIFS(Simulações!$K:$K,G$1,Simulações!$CL:$CL,$A27,Simulações!$CR:$CR,$B27)</f>
        <v>0</v>
      </c>
      <c r="H27" s="37">
        <f>COUNTIFS(Simulações!$K:$K,H$1,Simulações!$CL:$CL,$A27,Simulações!$CR:$CR,$B27)</f>
        <v>0</v>
      </c>
      <c r="I27" s="37">
        <f>COUNTIFS(Simulações!$K:$K,I$1,Simulações!$CL:$CL,$A27,Simulações!$CR:$CR,$B27)</f>
        <v>0</v>
      </c>
      <c r="J27" s="37">
        <f>COUNTIFS(Simulações!$K:$K,J$1,Simulações!$CL:$CL,$A27,Simulações!$CR:$CR,$B27)</f>
        <v>0</v>
      </c>
      <c r="K27" s="37">
        <f>COUNTIFS(Simulações!$K:$K,K$1,Simulações!$CL:$CL,$A27,Simulações!$CR:$CR,$B27)</f>
        <v>0</v>
      </c>
      <c r="L27" s="120"/>
      <c r="M27" s="120"/>
      <c r="V27" s="120"/>
      <c r="Y27" s="120"/>
      <c r="Z27" s="120"/>
      <c r="AA27" s="120"/>
      <c r="AC27" s="120"/>
      <c r="AD27" s="120"/>
    </row>
    <row r="28" spans="1:30" ht="15.75" customHeight="1" x14ac:dyDescent="0.3">
      <c r="A28" s="2" t="s">
        <v>640</v>
      </c>
      <c r="B28" s="15">
        <v>71.5</v>
      </c>
      <c r="C28" s="37">
        <f>COUNTIFS(Simulações!$K:$K,C$1,Simulações!$CL:$CL,$A28,Simulações!$CR:$CR,$B28)</f>
        <v>0</v>
      </c>
      <c r="D28" s="37">
        <f>COUNTIFS(Simulações!$K:$K,D$1,Simulações!$CL:$CL,$A28,Simulações!$CR:$CR,$B28)</f>
        <v>0</v>
      </c>
      <c r="E28" s="37">
        <f>COUNTIFS(Simulações!$K:$K,E$1,Simulações!$CL:$CL,$A28,Simulações!$CR:$CR,$B28)</f>
        <v>0</v>
      </c>
      <c r="F28" s="37">
        <f>COUNTIFS(Simulações!$K:$K,F$1,Simulações!$CL:$CL,$A28,Simulações!$CR:$CR,$B28)</f>
        <v>0</v>
      </c>
      <c r="G28" s="37">
        <f>COUNTIFS(Simulações!$K:$K,G$1,Simulações!$CL:$CL,$A28,Simulações!$CR:$CR,$B28)</f>
        <v>0</v>
      </c>
      <c r="H28" s="37">
        <f>COUNTIFS(Simulações!$K:$K,H$1,Simulações!$CL:$CL,$A28,Simulações!$CR:$CR,$B28)</f>
        <v>0</v>
      </c>
      <c r="I28" s="37">
        <f>COUNTIFS(Simulações!$K:$K,I$1,Simulações!$CL:$CL,$A28,Simulações!$CR:$CR,$B28)</f>
        <v>0</v>
      </c>
      <c r="J28" s="37">
        <f>COUNTIFS(Simulações!$K:$K,J$1,Simulações!$CL:$CL,$A28,Simulações!$CR:$CR,$B28)</f>
        <v>0</v>
      </c>
      <c r="K28" s="37">
        <f>COUNTIFS(Simulações!$K:$K,K$1,Simulações!$CL:$CL,$A28,Simulações!$CR:$CR,$B28)</f>
        <v>0</v>
      </c>
      <c r="L28" s="120"/>
      <c r="M28" s="120"/>
      <c r="V28" s="120"/>
      <c r="Y28" s="120"/>
      <c r="Z28" s="120"/>
      <c r="AA28" s="120"/>
      <c r="AC28" s="120"/>
      <c r="AD28" s="120"/>
    </row>
    <row r="29" spans="1:30" ht="15.75" customHeight="1" x14ac:dyDescent="0.3">
      <c r="A29" s="2" t="s">
        <v>640</v>
      </c>
      <c r="B29" s="15">
        <v>80</v>
      </c>
      <c r="C29" s="37">
        <f>COUNTIFS(Simulações!$K:$K,C$1,Simulações!$CL:$CL,$A29,Simulações!$CR:$CR,$B29)</f>
        <v>0</v>
      </c>
      <c r="D29" s="37">
        <f>COUNTIFS(Simulações!$K:$K,D$1,Simulações!$CL:$CL,$A29,Simulações!$CR:$CR,$B29)</f>
        <v>0</v>
      </c>
      <c r="E29" s="37">
        <f>COUNTIFS(Simulações!$K:$K,E$1,Simulações!$CL:$CL,$A29,Simulações!$CR:$CR,$B29)</f>
        <v>0</v>
      </c>
      <c r="F29" s="37">
        <f>COUNTIFS(Simulações!$K:$K,F$1,Simulações!$CL:$CL,$A29,Simulações!$CR:$CR,$B29)</f>
        <v>0</v>
      </c>
      <c r="G29" s="37">
        <f>COUNTIFS(Simulações!$K:$K,G$1,Simulações!$CL:$CL,$A29,Simulações!$CR:$CR,$B29)</f>
        <v>0</v>
      </c>
      <c r="H29" s="37">
        <f>COUNTIFS(Simulações!$K:$K,H$1,Simulações!$CL:$CL,$A29,Simulações!$CR:$CR,$B29)</f>
        <v>0</v>
      </c>
      <c r="I29" s="37">
        <f>COUNTIFS(Simulações!$K:$K,I$1,Simulações!$CL:$CL,$A29,Simulações!$CR:$CR,$B29)</f>
        <v>0</v>
      </c>
      <c r="J29" s="37">
        <f>COUNTIFS(Simulações!$K:$K,J$1,Simulações!$CL:$CL,$A29,Simulações!$CR:$CR,$B29)</f>
        <v>0</v>
      </c>
      <c r="K29" s="37">
        <f>COUNTIFS(Simulações!$K:$K,K$1,Simulações!$CL:$CL,$A29,Simulações!$CR:$CR,$B29)</f>
        <v>0</v>
      </c>
      <c r="L29" s="120"/>
      <c r="M29" s="120"/>
      <c r="V29" s="120"/>
      <c r="Y29" s="120"/>
      <c r="Z29" s="120"/>
      <c r="AA29" s="120"/>
      <c r="AC29" s="120"/>
      <c r="AD29" s="120"/>
    </row>
    <row r="30" spans="1:30" ht="15.75" customHeight="1" x14ac:dyDescent="0.3">
      <c r="A30" s="2" t="s">
        <v>640</v>
      </c>
      <c r="B30" s="15">
        <v>87.9</v>
      </c>
      <c r="C30" s="37">
        <f>COUNTIFS(Simulações!$K:$K,C$1,Simulações!$CL:$CL,$A30,Simulações!$CR:$CR,$B30)</f>
        <v>0</v>
      </c>
      <c r="D30" s="37">
        <f>COUNTIFS(Simulações!$K:$K,D$1,Simulações!$CL:$CL,$A30,Simulações!$CR:$CR,$B30)</f>
        <v>0</v>
      </c>
      <c r="E30" s="37">
        <f>COUNTIFS(Simulações!$K:$K,E$1,Simulações!$CL:$CL,$A30,Simulações!$CR:$CR,$B30)</f>
        <v>0</v>
      </c>
      <c r="F30" s="37">
        <f>COUNTIFS(Simulações!$K:$K,F$1,Simulações!$CL:$CL,$A30,Simulações!$CR:$CR,$B30)</f>
        <v>0</v>
      </c>
      <c r="G30" s="37">
        <f>COUNTIFS(Simulações!$K:$K,G$1,Simulações!$CL:$CL,$A30,Simulações!$CR:$CR,$B30)</f>
        <v>0</v>
      </c>
      <c r="H30" s="37">
        <f>COUNTIFS(Simulações!$K:$K,H$1,Simulações!$CL:$CL,$A30,Simulações!$CR:$CR,$B30)</f>
        <v>0</v>
      </c>
      <c r="I30" s="37">
        <f>COUNTIFS(Simulações!$K:$K,I$1,Simulações!$CL:$CL,$A30,Simulações!$CR:$CR,$B30)</f>
        <v>0</v>
      </c>
      <c r="J30" s="37">
        <f>COUNTIFS(Simulações!$K:$K,J$1,Simulações!$CL:$CL,$A30,Simulações!$CR:$CR,$B30)</f>
        <v>0</v>
      </c>
      <c r="K30" s="37">
        <f>COUNTIFS(Simulações!$K:$K,K$1,Simulações!$CL:$CL,$A30,Simulações!$CR:$CR,$B30)</f>
        <v>0</v>
      </c>
      <c r="L30" s="120"/>
      <c r="M30" s="120"/>
      <c r="V30" s="120"/>
      <c r="Y30" s="120"/>
      <c r="Z30" s="120"/>
      <c r="AA30" s="120"/>
      <c r="AC30" s="120"/>
      <c r="AD30" s="120"/>
    </row>
    <row r="31" spans="1:30" ht="15.75" customHeight="1" x14ac:dyDescent="0.3">
      <c r="A31" s="2" t="s">
        <v>640</v>
      </c>
      <c r="B31" s="15">
        <v>108.4</v>
      </c>
      <c r="C31" s="37">
        <f>COUNTIFS(Simulações!$K:$K,C$1,Simulações!$CL:$CL,$A31,Simulações!$CR:$CR,$B31)</f>
        <v>0</v>
      </c>
      <c r="D31" s="37">
        <f>COUNTIFS(Simulações!$K:$K,D$1,Simulações!$CL:$CL,$A31,Simulações!$CR:$CR,$B31)</f>
        <v>0</v>
      </c>
      <c r="E31" s="37">
        <f>COUNTIFS(Simulações!$K:$K,E$1,Simulações!$CL:$CL,$A31,Simulações!$CR:$CR,$B31)</f>
        <v>0</v>
      </c>
      <c r="F31" s="37">
        <f>COUNTIFS(Simulações!$K:$K,F$1,Simulações!$CL:$CL,$A31,Simulações!$CR:$CR,$B31)</f>
        <v>0</v>
      </c>
      <c r="G31" s="37">
        <f>COUNTIFS(Simulações!$K:$K,G$1,Simulações!$CL:$CL,$A31,Simulações!$CR:$CR,$B31)</f>
        <v>0</v>
      </c>
      <c r="H31" s="37">
        <f>COUNTIFS(Simulações!$K:$K,H$1,Simulações!$CL:$CL,$A31,Simulações!$CR:$CR,$B31)</f>
        <v>0</v>
      </c>
      <c r="I31" s="37">
        <f>COUNTIFS(Simulações!$K:$K,I$1,Simulações!$CL:$CL,$A31,Simulações!$CR:$CR,$B31)</f>
        <v>0</v>
      </c>
      <c r="J31" s="37">
        <f>COUNTIFS(Simulações!$K:$K,J$1,Simulações!$CL:$CL,$A31,Simulações!$CR:$CR,$B31)</f>
        <v>0</v>
      </c>
      <c r="K31" s="37">
        <f>COUNTIFS(Simulações!$K:$K,K$1,Simulações!$CL:$CL,$A31,Simulações!$CR:$CR,$B31)</f>
        <v>0</v>
      </c>
      <c r="L31" s="120"/>
      <c r="M31" s="120"/>
      <c r="V31" s="120"/>
      <c r="Y31" s="120"/>
      <c r="Z31" s="120"/>
      <c r="AA31" s="120"/>
      <c r="AC31" s="120"/>
      <c r="AD31" s="120"/>
    </row>
    <row r="32" spans="1:30" ht="15.75" customHeight="1" x14ac:dyDescent="0.3">
      <c r="A32" s="2" t="s">
        <v>640</v>
      </c>
      <c r="B32" s="15">
        <v>141.5</v>
      </c>
      <c r="C32" s="37">
        <f>COUNTIFS(Simulações!$K:$K,C$1,Simulações!$CL:$CL,$A32,Simulações!$CR:$CR,$B32)</f>
        <v>0</v>
      </c>
      <c r="D32" s="37">
        <f>COUNTIFS(Simulações!$K:$K,D$1,Simulações!$CL:$CL,$A32,Simulações!$CR:$CR,$B32)</f>
        <v>0</v>
      </c>
      <c r="E32" s="37">
        <f>COUNTIFS(Simulações!$K:$K,E$1,Simulações!$CL:$CL,$A32,Simulações!$CR:$CR,$B32)</f>
        <v>0</v>
      </c>
      <c r="F32" s="37">
        <f>COUNTIFS(Simulações!$K:$K,F$1,Simulações!$CL:$CL,$A32,Simulações!$CR:$CR,$B32)</f>
        <v>0</v>
      </c>
      <c r="G32" s="37">
        <f>COUNTIFS(Simulações!$K:$K,G$1,Simulações!$CL:$CL,$A32,Simulações!$CR:$CR,$B32)</f>
        <v>0</v>
      </c>
      <c r="H32" s="37">
        <f>COUNTIFS(Simulações!$K:$K,H$1,Simulações!$CL:$CL,$A32,Simulações!$CR:$CR,$B32)</f>
        <v>0</v>
      </c>
      <c r="I32" s="37">
        <f>COUNTIFS(Simulações!$K:$K,I$1,Simulações!$CL:$CL,$A32,Simulações!$CR:$CR,$B32)</f>
        <v>0</v>
      </c>
      <c r="J32" s="37">
        <f>COUNTIFS(Simulações!$K:$K,J$1,Simulações!$CL:$CL,$A32,Simulações!$CR:$CR,$B32)</f>
        <v>0</v>
      </c>
      <c r="K32" s="37">
        <f>COUNTIFS(Simulações!$K:$K,K$1,Simulações!$CL:$CL,$A32,Simulações!$CR:$CR,$B32)</f>
        <v>0</v>
      </c>
      <c r="L32" s="120"/>
      <c r="M32" s="120"/>
      <c r="V32" s="120"/>
      <c r="Y32" s="120"/>
      <c r="Z32" s="120"/>
      <c r="AA32" s="120"/>
      <c r="AC32" s="120"/>
      <c r="AD32" s="120"/>
    </row>
    <row r="33" spans="1:30" ht="15.75" customHeight="1" x14ac:dyDescent="0.3">
      <c r="A33" s="2" t="s">
        <v>640</v>
      </c>
      <c r="B33" s="15">
        <v>160</v>
      </c>
      <c r="C33" s="37">
        <f>COUNTIFS(Simulações!$K:$K,C$1,Simulações!$CL:$CL,$A33,Simulações!$CR:$CR,$B33)</f>
        <v>0</v>
      </c>
      <c r="D33" s="37">
        <f>COUNTIFS(Simulações!$K:$K,D$1,Simulações!$CL:$CL,$A33,Simulações!$CR:$CR,$B33)</f>
        <v>0</v>
      </c>
      <c r="E33" s="37">
        <f>COUNTIFS(Simulações!$K:$K,E$1,Simulações!$CL:$CL,$A33,Simulações!$CR:$CR,$B33)</f>
        <v>0</v>
      </c>
      <c r="F33" s="37">
        <f>COUNTIFS(Simulações!$K:$K,F$1,Simulações!$CL:$CL,$A33,Simulações!$CR:$CR,$B33)</f>
        <v>0</v>
      </c>
      <c r="G33" s="37">
        <f>COUNTIFS(Simulações!$K:$K,G$1,Simulações!$CL:$CL,$A33,Simulações!$CR:$CR,$B33)</f>
        <v>0</v>
      </c>
      <c r="H33" s="37">
        <f>COUNTIFS(Simulações!$K:$K,H$1,Simulações!$CL:$CL,$A33,Simulações!$CR:$CR,$B33)</f>
        <v>0</v>
      </c>
      <c r="I33" s="37">
        <f>COUNTIFS(Simulações!$K:$K,I$1,Simulações!$CL:$CL,$A33,Simulações!$CR:$CR,$B33)</f>
        <v>0</v>
      </c>
      <c r="J33" s="37">
        <f>COUNTIFS(Simulações!$K:$K,J$1,Simulações!$CL:$CL,$A33,Simulações!$CR:$CR,$B33)</f>
        <v>0</v>
      </c>
      <c r="K33" s="37">
        <f>COUNTIFS(Simulações!$K:$K,K$1,Simulações!$CL:$CL,$A33,Simulações!$CR:$CR,$B33)</f>
        <v>0</v>
      </c>
      <c r="L33" s="120"/>
      <c r="M33" s="120"/>
      <c r="V33" s="120"/>
      <c r="Y33" s="120"/>
      <c r="Z33" s="120"/>
      <c r="AA33" s="120"/>
      <c r="AC33" s="120"/>
      <c r="AD33" s="120"/>
    </row>
    <row r="34" spans="1:30" ht="15.75" customHeight="1" x14ac:dyDescent="0.3">
      <c r="A34" s="2" t="s">
        <v>21</v>
      </c>
      <c r="B34" s="15">
        <v>22</v>
      </c>
      <c r="C34" s="37">
        <f>COUNTIFS(Simulações!$K:$K,C$1,Simulações!$CL:$CL,$A34,Simulações!$CR:$CR,$B34)</f>
        <v>0</v>
      </c>
      <c r="D34" s="37">
        <f>COUNTIFS(Simulações!$K:$K,D$1,Simulações!$CL:$CL,$A34,Simulações!$CR:$CR,$B34)</f>
        <v>0</v>
      </c>
      <c r="E34" s="37">
        <f>COUNTIFS(Simulações!$K:$K,E$1,Simulações!$CL:$CL,$A34,Simulações!$CR:$CR,$B34)</f>
        <v>0</v>
      </c>
      <c r="F34" s="37">
        <f>COUNTIFS(Simulações!$K:$K,F$1,Simulações!$CL:$CL,$A34,Simulações!$CR:$CR,$B34)</f>
        <v>0</v>
      </c>
      <c r="G34" s="37">
        <f>COUNTIFS(Simulações!$K:$K,G$1,Simulações!$CL:$CL,$A34,Simulações!$CR:$CR,$B34)</f>
        <v>0</v>
      </c>
      <c r="H34" s="37">
        <f>COUNTIFS(Simulações!$K:$K,H$1,Simulações!$CL:$CL,$A34,Simulações!$CR:$CR,$B34)</f>
        <v>0</v>
      </c>
      <c r="I34" s="37">
        <f>COUNTIFS(Simulações!$K:$K,I$1,Simulações!$CL:$CL,$A34,Simulações!$CR:$CR,$B34)</f>
        <v>0</v>
      </c>
      <c r="J34" s="37">
        <f>COUNTIFS(Simulações!$K:$K,J$1,Simulações!$CL:$CL,$A34,Simulações!$CR:$CR,$B34)</f>
        <v>0</v>
      </c>
      <c r="K34" s="37">
        <f>COUNTIFS(Simulações!$K:$K,K$1,Simulações!$CL:$CL,$A34,Simulações!$CR:$CR,$B34)</f>
        <v>0</v>
      </c>
      <c r="L34" s="120"/>
      <c r="M34" s="120"/>
      <c r="V34" s="120"/>
      <c r="Y34" s="120"/>
      <c r="Z34" s="120"/>
      <c r="AA34" s="120"/>
      <c r="AC34" s="120"/>
      <c r="AD34" s="120"/>
    </row>
    <row r="35" spans="1:30" ht="15.75" customHeight="1" x14ac:dyDescent="0.3">
      <c r="A35" s="2" t="s">
        <v>21</v>
      </c>
      <c r="B35" s="15">
        <v>30</v>
      </c>
      <c r="C35" s="37">
        <f>COUNTIFS(Simulações!$K:$K,C$1,Simulações!$CL:$CL,$A35,Simulações!$CR:$CR,$B35)</f>
        <v>0</v>
      </c>
      <c r="D35" s="37">
        <f>COUNTIFS(Simulações!$K:$K,D$1,Simulações!$CL:$CL,$A35,Simulações!$CR:$CR,$B35)</f>
        <v>0</v>
      </c>
      <c r="E35" s="37">
        <f>COUNTIFS(Simulações!$K:$K,E$1,Simulações!$CL:$CL,$A35,Simulações!$CR:$CR,$B35)</f>
        <v>0</v>
      </c>
      <c r="F35" s="37">
        <f>COUNTIFS(Simulações!$K:$K,F$1,Simulações!$CL:$CL,$A35,Simulações!$CR:$CR,$B35)</f>
        <v>0</v>
      </c>
      <c r="G35" s="37">
        <f>COUNTIFS(Simulações!$K:$K,G$1,Simulações!$CL:$CL,$A35,Simulações!$CR:$CR,$B35)</f>
        <v>0</v>
      </c>
      <c r="H35" s="37">
        <f>COUNTIFS(Simulações!$K:$K,H$1,Simulações!$CL:$CL,$A35,Simulações!$CR:$CR,$B35)</f>
        <v>0</v>
      </c>
      <c r="I35" s="37">
        <f>COUNTIFS(Simulações!$K:$K,I$1,Simulações!$CL:$CL,$A35,Simulações!$CR:$CR,$B35)</f>
        <v>0</v>
      </c>
      <c r="J35" s="37">
        <f>COUNTIFS(Simulações!$K:$K,J$1,Simulações!$CL:$CL,$A35,Simulações!$CR:$CR,$B35)</f>
        <v>0</v>
      </c>
      <c r="K35" s="37">
        <f>COUNTIFS(Simulações!$K:$K,K$1,Simulações!$CL:$CL,$A35,Simulações!$CR:$CR,$B35)</f>
        <v>0</v>
      </c>
      <c r="L35" s="120"/>
      <c r="M35" s="120"/>
      <c r="V35" s="120"/>
      <c r="Y35" s="120"/>
      <c r="Z35" s="120"/>
      <c r="AA35" s="120"/>
      <c r="AC35" s="120"/>
      <c r="AD35" s="120"/>
    </row>
    <row r="36" spans="1:30" ht="15.75" customHeight="1" x14ac:dyDescent="0.3">
      <c r="A36" s="2" t="s">
        <v>21</v>
      </c>
      <c r="B36" s="15">
        <v>36</v>
      </c>
      <c r="C36" s="37">
        <f>COUNTIFS(Simulações!$K:$K,C$1,Simulações!$CL:$CL,$A36,Simulações!$CR:$CR,$B36)</f>
        <v>0</v>
      </c>
      <c r="D36" s="37">
        <f>COUNTIFS(Simulações!$K:$K,D$1,Simulações!$CL:$CL,$A36,Simulações!$CR:$CR,$B36)</f>
        <v>0</v>
      </c>
      <c r="E36" s="37">
        <f>COUNTIFS(Simulações!$K:$K,E$1,Simulações!$CL:$CL,$A36,Simulações!$CR:$CR,$B36)</f>
        <v>0</v>
      </c>
      <c r="F36" s="37">
        <f>COUNTIFS(Simulações!$K:$K,F$1,Simulações!$CL:$CL,$A36,Simulações!$CR:$CR,$B36)</f>
        <v>0</v>
      </c>
      <c r="G36" s="37">
        <f>COUNTIFS(Simulações!$K:$K,G$1,Simulações!$CL:$CL,$A36,Simulações!$CR:$CR,$B36)</f>
        <v>0</v>
      </c>
      <c r="H36" s="37">
        <f>COUNTIFS(Simulações!$K:$K,H$1,Simulações!$CL:$CL,$A36,Simulações!$CR:$CR,$B36)</f>
        <v>0</v>
      </c>
      <c r="I36" s="37">
        <f>COUNTIFS(Simulações!$K:$K,I$1,Simulações!$CL:$CL,$A36,Simulações!$CR:$CR,$B36)</f>
        <v>0</v>
      </c>
      <c r="J36" s="37">
        <f>COUNTIFS(Simulações!$K:$K,J$1,Simulações!$CL:$CL,$A36,Simulações!$CR:$CR,$B36)</f>
        <v>0</v>
      </c>
      <c r="K36" s="37">
        <f>COUNTIFS(Simulações!$K:$K,K$1,Simulações!$CL:$CL,$A36,Simulações!$CR:$CR,$B36)</f>
        <v>0</v>
      </c>
      <c r="L36" s="120"/>
      <c r="M36" s="120"/>
      <c r="V36" s="120"/>
      <c r="Y36" s="120"/>
      <c r="Z36" s="120"/>
      <c r="AA36" s="120"/>
      <c r="AC36" s="120"/>
      <c r="AD36" s="120"/>
    </row>
    <row r="37" spans="1:30" ht="15.75" customHeight="1" x14ac:dyDescent="0.3">
      <c r="A37" s="2" t="s">
        <v>21</v>
      </c>
      <c r="B37" s="15">
        <v>40</v>
      </c>
      <c r="C37" s="37">
        <f>COUNTIFS(Simulações!$K:$K,C$1,Simulações!$CL:$CL,$A37,Simulações!$CR:$CR,$B37)</f>
        <v>0</v>
      </c>
      <c r="D37" s="37">
        <f>COUNTIFS(Simulações!$K:$K,D$1,Simulações!$CL:$CL,$A37,Simulações!$CR:$CR,$B37)</f>
        <v>0</v>
      </c>
      <c r="E37" s="37">
        <f>COUNTIFS(Simulações!$K:$K,E$1,Simulações!$CL:$CL,$A37,Simulações!$CR:$CR,$B37)</f>
        <v>0</v>
      </c>
      <c r="F37" s="37">
        <f>COUNTIFS(Simulações!$K:$K,F$1,Simulações!$CL:$CL,$A37,Simulações!$CR:$CR,$B37)</f>
        <v>0</v>
      </c>
      <c r="G37" s="37">
        <f>COUNTIFS(Simulações!$K:$K,G$1,Simulações!$CL:$CL,$A37,Simulações!$CR:$CR,$B37)</f>
        <v>0</v>
      </c>
      <c r="H37" s="37">
        <f>COUNTIFS(Simulações!$K:$K,H$1,Simulações!$CL:$CL,$A37,Simulações!$CR:$CR,$B37)</f>
        <v>0</v>
      </c>
      <c r="I37" s="37">
        <f>COUNTIFS(Simulações!$K:$K,I$1,Simulações!$CL:$CL,$A37,Simulações!$CR:$CR,$B37)</f>
        <v>0</v>
      </c>
      <c r="J37" s="37">
        <f>COUNTIFS(Simulações!$K:$K,J$1,Simulações!$CL:$CL,$A37,Simulações!$CR:$CR,$B37)</f>
        <v>0</v>
      </c>
      <c r="K37" s="37">
        <f>COUNTIFS(Simulações!$K:$K,K$1,Simulações!$CL:$CL,$A37,Simulações!$CR:$CR,$B37)</f>
        <v>0</v>
      </c>
      <c r="L37" s="120"/>
      <c r="M37" s="120"/>
      <c r="V37" s="120"/>
      <c r="Y37" s="120"/>
      <c r="Z37" s="120"/>
      <c r="AA37" s="120"/>
      <c r="AC37" s="120"/>
      <c r="AD37" s="120"/>
    </row>
    <row r="38" spans="1:30" ht="15.75" customHeight="1" x14ac:dyDescent="0.3">
      <c r="A38" s="2" t="s">
        <v>21</v>
      </c>
      <c r="B38" s="15">
        <v>51</v>
      </c>
      <c r="C38" s="37">
        <f>COUNTIFS(Simulações!$K:$K,C$1,Simulações!$CL:$CL,$A38,Simulações!$CR:$CR,$B38)</f>
        <v>0</v>
      </c>
      <c r="D38" s="37">
        <f>COUNTIFS(Simulações!$K:$K,D$1,Simulações!$CL:$CL,$A38,Simulações!$CR:$CR,$B38)</f>
        <v>0</v>
      </c>
      <c r="E38" s="37">
        <f>COUNTIFS(Simulações!$K:$K,E$1,Simulações!$CL:$CL,$A38,Simulações!$CR:$CR,$B38)</f>
        <v>0</v>
      </c>
      <c r="F38" s="37">
        <f>COUNTIFS(Simulações!$K:$K,F$1,Simulações!$CL:$CL,$A38,Simulações!$CR:$CR,$B38)</f>
        <v>0</v>
      </c>
      <c r="G38" s="37">
        <f>COUNTIFS(Simulações!$K:$K,G$1,Simulações!$CL:$CL,$A38,Simulações!$CR:$CR,$B38)</f>
        <v>0</v>
      </c>
      <c r="H38" s="37">
        <f>COUNTIFS(Simulações!$K:$K,H$1,Simulações!$CL:$CL,$A38,Simulações!$CR:$CR,$B38)</f>
        <v>0</v>
      </c>
      <c r="I38" s="37">
        <f>COUNTIFS(Simulações!$K:$K,I$1,Simulações!$CL:$CL,$A38,Simulações!$CR:$CR,$B38)</f>
        <v>0</v>
      </c>
      <c r="J38" s="37">
        <f>COUNTIFS(Simulações!$K:$K,J$1,Simulações!$CL:$CL,$A38,Simulações!$CR:$CR,$B38)</f>
        <v>0</v>
      </c>
      <c r="K38" s="37">
        <f>COUNTIFS(Simulações!$K:$K,K$1,Simulações!$CL:$CL,$A38,Simulações!$CR:$CR,$B38)</f>
        <v>0</v>
      </c>
      <c r="L38" s="120"/>
      <c r="M38" s="120"/>
      <c r="V38" s="120"/>
      <c r="Y38" s="120"/>
      <c r="Z38" s="120"/>
      <c r="AA38" s="120"/>
      <c r="AC38" s="120"/>
      <c r="AD38" s="120"/>
    </row>
    <row r="39" spans="1:30" ht="15.75" customHeight="1" x14ac:dyDescent="0.3">
      <c r="A39" s="2" t="s">
        <v>21</v>
      </c>
      <c r="B39" s="15">
        <v>60</v>
      </c>
      <c r="C39" s="37">
        <f>COUNTIFS(Simulações!$K:$K,C$1,Simulações!$CL:$CL,$A39,Simulações!$CR:$CR,$B39)</f>
        <v>0</v>
      </c>
      <c r="D39" s="37">
        <f>COUNTIFS(Simulações!$K:$K,D$1,Simulações!$CL:$CL,$A39,Simulações!$CR:$CR,$B39)</f>
        <v>0</v>
      </c>
      <c r="E39" s="37">
        <f>COUNTIFS(Simulações!$K:$K,E$1,Simulações!$CL:$CL,$A39,Simulações!$CR:$CR,$B39)</f>
        <v>0</v>
      </c>
      <c r="F39" s="37">
        <f>COUNTIFS(Simulações!$K:$K,F$1,Simulações!$CL:$CL,$A39,Simulações!$CR:$CR,$B39)</f>
        <v>0</v>
      </c>
      <c r="G39" s="37">
        <f>COUNTIFS(Simulações!$K:$K,G$1,Simulações!$CL:$CL,$A39,Simulações!$CR:$CR,$B39)</f>
        <v>0</v>
      </c>
      <c r="H39" s="37">
        <f>COUNTIFS(Simulações!$K:$K,H$1,Simulações!$CL:$CL,$A39,Simulações!$CR:$CR,$B39)</f>
        <v>0</v>
      </c>
      <c r="I39" s="37">
        <f>COUNTIFS(Simulações!$K:$K,I$1,Simulações!$CL:$CL,$A39,Simulações!$CR:$CR,$B39)</f>
        <v>0</v>
      </c>
      <c r="J39" s="37">
        <f>COUNTIFS(Simulações!$K:$K,J$1,Simulações!$CL:$CL,$A39,Simulações!$CR:$CR,$B39)</f>
        <v>0</v>
      </c>
      <c r="K39" s="37">
        <f>COUNTIFS(Simulações!$K:$K,K$1,Simulações!$CL:$CL,$A39,Simulações!$CR:$CR,$B39)</f>
        <v>0</v>
      </c>
      <c r="L39" s="120"/>
      <c r="M39" s="120"/>
      <c r="V39" s="120"/>
      <c r="Y39" s="120"/>
      <c r="Z39" s="120"/>
      <c r="AA39" s="120"/>
      <c r="AC39" s="120"/>
      <c r="AD39" s="120"/>
    </row>
    <row r="40" spans="1:30" ht="15.75" customHeight="1" x14ac:dyDescent="0.3">
      <c r="A40" s="2" t="s">
        <v>21</v>
      </c>
      <c r="B40" s="15">
        <v>68</v>
      </c>
      <c r="C40" s="37">
        <f>COUNTIFS(Simulações!$K:$K,C$1,Simulações!$CL:$CL,$A40,Simulações!$CR:$CR,$B40)</f>
        <v>0</v>
      </c>
      <c r="D40" s="37">
        <f>COUNTIFS(Simulações!$K:$K,D$1,Simulações!$CL:$CL,$A40,Simulações!$CR:$CR,$B40)</f>
        <v>0</v>
      </c>
      <c r="E40" s="37">
        <f>COUNTIFS(Simulações!$K:$K,E$1,Simulações!$CL:$CL,$A40,Simulações!$CR:$CR,$B40)</f>
        <v>0</v>
      </c>
      <c r="F40" s="37">
        <f>COUNTIFS(Simulações!$K:$K,F$1,Simulações!$CL:$CL,$A40,Simulações!$CR:$CR,$B40)</f>
        <v>0</v>
      </c>
      <c r="G40" s="37">
        <f>COUNTIFS(Simulações!$K:$K,G$1,Simulações!$CL:$CL,$A40,Simulações!$CR:$CR,$B40)</f>
        <v>0</v>
      </c>
      <c r="H40" s="37">
        <f>COUNTIFS(Simulações!$K:$K,H$1,Simulações!$CL:$CL,$A40,Simulações!$CR:$CR,$B40)</f>
        <v>2</v>
      </c>
      <c r="I40" s="37">
        <f>COUNTIFS(Simulações!$K:$K,I$1,Simulações!$CL:$CL,$A40,Simulações!$CR:$CR,$B40)</f>
        <v>0</v>
      </c>
      <c r="J40" s="37">
        <f>COUNTIFS(Simulações!$K:$K,J$1,Simulações!$CL:$CL,$A40,Simulações!$CR:$CR,$B40)</f>
        <v>0</v>
      </c>
      <c r="K40" s="37">
        <f>COUNTIFS(Simulações!$K:$K,K$1,Simulações!$CL:$CL,$A40,Simulações!$CR:$CR,$B40)</f>
        <v>0</v>
      </c>
      <c r="L40" s="120"/>
      <c r="M40" s="120"/>
      <c r="V40" s="120"/>
      <c r="Y40" s="120"/>
      <c r="Z40" s="120"/>
      <c r="AA40" s="120"/>
      <c r="AC40" s="120"/>
      <c r="AD40" s="120"/>
    </row>
    <row r="41" spans="1:30" ht="15.75" customHeight="1" x14ac:dyDescent="0.3">
      <c r="A41" s="2" t="s">
        <v>21</v>
      </c>
      <c r="B41" s="15">
        <v>80</v>
      </c>
      <c r="C41" s="37">
        <f>COUNTIFS(Simulações!$K:$K,C$1,Simulações!$CL:$CL,$A41,Simulações!$CR:$CR,$B41)</f>
        <v>0</v>
      </c>
      <c r="D41" s="37">
        <f>COUNTIFS(Simulações!$K:$K,D$1,Simulações!$CL:$CL,$A41,Simulações!$CR:$CR,$B41)</f>
        <v>0</v>
      </c>
      <c r="E41" s="37">
        <f>COUNTIFS(Simulações!$K:$K,E$1,Simulações!$CL:$CL,$A41,Simulações!$CR:$CR,$B41)</f>
        <v>0</v>
      </c>
      <c r="F41" s="37">
        <f>COUNTIFS(Simulações!$K:$K,F$1,Simulações!$CL:$CL,$A41,Simulações!$CR:$CR,$B41)</f>
        <v>0</v>
      </c>
      <c r="G41" s="37">
        <f>COUNTIFS(Simulações!$K:$K,G$1,Simulações!$CL:$CL,$A41,Simulações!$CR:$CR,$B41)</f>
        <v>0</v>
      </c>
      <c r="H41" s="37">
        <f>COUNTIFS(Simulações!$K:$K,H$1,Simulações!$CL:$CL,$A41,Simulações!$CR:$CR,$B41)</f>
        <v>0</v>
      </c>
      <c r="I41" s="37">
        <f>COUNTIFS(Simulações!$K:$K,I$1,Simulações!$CL:$CL,$A41,Simulações!$CR:$CR,$B41)</f>
        <v>0</v>
      </c>
      <c r="J41" s="37">
        <f>COUNTIFS(Simulações!$K:$K,J$1,Simulações!$CL:$CL,$A41,Simulações!$CR:$CR,$B41)</f>
        <v>0</v>
      </c>
      <c r="K41" s="37">
        <f>COUNTIFS(Simulações!$K:$K,K$1,Simulações!$CL:$CL,$A41,Simulações!$CR:$CR,$B41)</f>
        <v>0</v>
      </c>
      <c r="L41" s="120"/>
      <c r="M41" s="120"/>
      <c r="V41" s="120"/>
      <c r="Y41" s="120"/>
      <c r="Z41" s="120"/>
      <c r="AA41" s="120"/>
      <c r="AC41" s="120"/>
      <c r="AD41" s="120"/>
    </row>
    <row r="42" spans="1:30" ht="15.75" customHeight="1" x14ac:dyDescent="0.3">
      <c r="A42" s="2" t="s">
        <v>21</v>
      </c>
      <c r="B42" s="15">
        <v>82</v>
      </c>
      <c r="C42" s="37">
        <f>COUNTIFS(Simulações!$K:$K,C$1,Simulações!$CL:$CL,$A42,Simulações!$CR:$CR,$B42)</f>
        <v>0</v>
      </c>
      <c r="D42" s="37">
        <f>COUNTIFS(Simulações!$K:$K,D$1,Simulações!$CL:$CL,$A42,Simulações!$CR:$CR,$B42)</f>
        <v>0</v>
      </c>
      <c r="E42" s="37">
        <f>COUNTIFS(Simulações!$K:$K,E$1,Simulações!$CL:$CL,$A42,Simulações!$CR:$CR,$B42)</f>
        <v>0</v>
      </c>
      <c r="F42" s="37">
        <f>COUNTIFS(Simulações!$K:$K,F$1,Simulações!$CL:$CL,$A42,Simulações!$CR:$CR,$B42)</f>
        <v>0</v>
      </c>
      <c r="G42" s="37">
        <f>COUNTIFS(Simulações!$K:$K,G$1,Simulações!$CL:$CL,$A42,Simulações!$CR:$CR,$B42)</f>
        <v>0</v>
      </c>
      <c r="H42" s="37">
        <f>COUNTIFS(Simulações!$K:$K,H$1,Simulações!$CL:$CL,$A42,Simulações!$CR:$CR,$B42)</f>
        <v>0</v>
      </c>
      <c r="I42" s="37">
        <f>COUNTIFS(Simulações!$K:$K,I$1,Simulações!$CL:$CL,$A42,Simulações!$CR:$CR,$B42)</f>
        <v>0</v>
      </c>
      <c r="J42" s="37">
        <f>COUNTIFS(Simulações!$K:$K,J$1,Simulações!$CL:$CL,$A42,Simulações!$CR:$CR,$B42)</f>
        <v>0</v>
      </c>
      <c r="K42" s="37">
        <f>COUNTIFS(Simulações!$K:$K,K$1,Simulações!$CL:$CL,$A42,Simulações!$CR:$CR,$B42)</f>
        <v>0</v>
      </c>
      <c r="L42" s="120"/>
      <c r="M42" s="120"/>
      <c r="V42" s="120"/>
      <c r="Y42" s="120"/>
      <c r="Z42" s="120"/>
      <c r="AA42" s="120"/>
      <c r="AC42" s="120"/>
      <c r="AD42" s="120"/>
    </row>
    <row r="43" spans="1:30" ht="15.75" customHeight="1" x14ac:dyDescent="0.3">
      <c r="A43" s="2" t="s">
        <v>21</v>
      </c>
      <c r="B43" s="15">
        <v>89</v>
      </c>
      <c r="C43" s="37">
        <f>COUNTIFS(Simulações!$K:$K,C$1,Simulações!$CL:$CL,$A43,Simulações!$CR:$CR,$B43)</f>
        <v>0</v>
      </c>
      <c r="D43" s="37">
        <f>COUNTIFS(Simulações!$K:$K,D$1,Simulações!$CL:$CL,$A43,Simulações!$CR:$CR,$B43)</f>
        <v>0</v>
      </c>
      <c r="E43" s="37">
        <f>COUNTIFS(Simulações!$K:$K,E$1,Simulações!$CL:$CL,$A43,Simulações!$CR:$CR,$B43)</f>
        <v>0</v>
      </c>
      <c r="F43" s="37">
        <f>COUNTIFS(Simulações!$K:$K,F$1,Simulações!$CL:$CL,$A43,Simulações!$CR:$CR,$B43)</f>
        <v>0</v>
      </c>
      <c r="G43" s="37">
        <f>COUNTIFS(Simulações!$K:$K,G$1,Simulações!$CL:$CL,$A43,Simulações!$CR:$CR,$B43)</f>
        <v>0</v>
      </c>
      <c r="H43" s="37">
        <f>COUNTIFS(Simulações!$K:$K,H$1,Simulações!$CL:$CL,$A43,Simulações!$CR:$CR,$B43)</f>
        <v>0</v>
      </c>
      <c r="I43" s="37">
        <f>COUNTIFS(Simulações!$K:$K,I$1,Simulações!$CL:$CL,$A43,Simulações!$CR:$CR,$B43)</f>
        <v>0</v>
      </c>
      <c r="J43" s="37">
        <f>COUNTIFS(Simulações!$K:$K,J$1,Simulações!$CL:$CL,$A43,Simulações!$CR:$CR,$B43)</f>
        <v>0</v>
      </c>
      <c r="K43" s="37">
        <f>COUNTIFS(Simulações!$K:$K,K$1,Simulações!$CL:$CL,$A43,Simulações!$CR:$CR,$B43)</f>
        <v>0</v>
      </c>
      <c r="L43" s="120"/>
      <c r="M43" s="120"/>
      <c r="V43" s="120"/>
      <c r="Y43" s="120"/>
      <c r="Z43" s="120"/>
      <c r="AA43" s="120"/>
      <c r="AC43" s="120"/>
      <c r="AD43" s="120"/>
    </row>
    <row r="44" spans="1:30" ht="15.75" customHeight="1" x14ac:dyDescent="0.3">
      <c r="A44" s="2" t="s">
        <v>21</v>
      </c>
      <c r="B44" s="15">
        <v>115</v>
      </c>
      <c r="C44" s="37">
        <f>COUNTIFS(Simulações!$K:$K,C$1,Simulações!$CL:$CL,$A44,Simulações!$CR:$CR,$B44)</f>
        <v>0</v>
      </c>
      <c r="D44" s="37">
        <f>COUNTIFS(Simulações!$K:$K,D$1,Simulações!$CL:$CL,$A44,Simulações!$CR:$CR,$B44)</f>
        <v>0</v>
      </c>
      <c r="E44" s="37">
        <f>COUNTIFS(Simulações!$K:$K,E$1,Simulações!$CL:$CL,$A44,Simulações!$CR:$CR,$B44)</f>
        <v>0</v>
      </c>
      <c r="F44" s="37">
        <f>COUNTIFS(Simulações!$K:$K,F$1,Simulações!$CL:$CL,$A44,Simulações!$CR:$CR,$B44)</f>
        <v>0</v>
      </c>
      <c r="G44" s="37">
        <f>COUNTIFS(Simulações!$K:$K,G$1,Simulações!$CL:$CL,$A44,Simulações!$CR:$CR,$B44)</f>
        <v>0</v>
      </c>
      <c r="H44" s="37">
        <f>COUNTIFS(Simulações!$K:$K,H$1,Simulações!$CL:$CL,$A44,Simulações!$CR:$CR,$B44)</f>
        <v>0</v>
      </c>
      <c r="I44" s="37">
        <f>COUNTIFS(Simulações!$K:$K,I$1,Simulações!$CL:$CL,$A44,Simulações!$CR:$CR,$B44)</f>
        <v>0</v>
      </c>
      <c r="J44" s="37">
        <f>COUNTIFS(Simulações!$K:$K,J$1,Simulações!$CL:$CL,$A44,Simulações!$CR:$CR,$B44)</f>
        <v>0</v>
      </c>
      <c r="K44" s="37">
        <f>COUNTIFS(Simulações!$K:$K,K$1,Simulações!$CL:$CL,$A44,Simulações!$CR:$CR,$B44)</f>
        <v>0</v>
      </c>
      <c r="L44" s="120"/>
      <c r="M44" s="120"/>
      <c r="V44" s="120"/>
      <c r="Y44" s="120"/>
      <c r="Z44" s="120"/>
      <c r="AA44" s="120"/>
      <c r="AC44" s="120"/>
      <c r="AD44" s="120"/>
    </row>
    <row r="45" spans="1:30" ht="15.75" customHeight="1" x14ac:dyDescent="0.3">
      <c r="A45" s="2" t="s">
        <v>21</v>
      </c>
      <c r="B45" s="15">
        <v>140</v>
      </c>
      <c r="C45" s="37">
        <f>COUNTIFS(Simulações!$K:$K,C$1,Simulações!$CL:$CL,$A45,Simulações!$CR:$CR,$B45)</f>
        <v>0</v>
      </c>
      <c r="D45" s="37">
        <f>COUNTIFS(Simulações!$K:$K,D$1,Simulações!$CL:$CL,$A45,Simulações!$CR:$CR,$B45)</f>
        <v>0</v>
      </c>
      <c r="E45" s="37">
        <f>COUNTIFS(Simulações!$K:$K,E$1,Simulações!$CL:$CL,$A45,Simulações!$CR:$CR,$B45)</f>
        <v>0</v>
      </c>
      <c r="F45" s="37">
        <f>COUNTIFS(Simulações!$K:$K,F$1,Simulações!$CL:$CL,$A45,Simulações!$CR:$CR,$B45)</f>
        <v>0</v>
      </c>
      <c r="G45" s="37">
        <f>COUNTIFS(Simulações!$K:$K,G$1,Simulações!$CL:$CL,$A45,Simulações!$CR:$CR,$B45)</f>
        <v>0</v>
      </c>
      <c r="H45" s="37">
        <f>COUNTIFS(Simulações!$K:$K,H$1,Simulações!$CL:$CL,$A45,Simulações!$CR:$CR,$B45)</f>
        <v>0</v>
      </c>
      <c r="I45" s="37">
        <f>COUNTIFS(Simulações!$K:$K,I$1,Simulações!$CL:$CL,$A45,Simulações!$CR:$CR,$B45)</f>
        <v>0</v>
      </c>
      <c r="J45" s="37">
        <f>COUNTIFS(Simulações!$K:$K,J$1,Simulações!$CL:$CL,$A45,Simulações!$CR:$CR,$B45)</f>
        <v>0</v>
      </c>
      <c r="K45" s="37">
        <f>COUNTIFS(Simulações!$K:$K,K$1,Simulações!$CL:$CL,$A45,Simulações!$CR:$CR,$B45)</f>
        <v>0</v>
      </c>
      <c r="L45" s="120"/>
      <c r="M45" s="120"/>
      <c r="V45" s="120"/>
      <c r="Y45" s="120"/>
      <c r="Z45" s="120"/>
      <c r="AA45" s="120"/>
      <c r="AC45" s="120"/>
      <c r="AD45" s="120"/>
    </row>
    <row r="46" spans="1:30" ht="15.75" customHeight="1" x14ac:dyDescent="0.3">
      <c r="A46" s="2" t="s">
        <v>21</v>
      </c>
      <c r="B46" s="15">
        <v>200</v>
      </c>
      <c r="C46" s="37">
        <f>COUNTIFS(Simulações!$K:$K,C$1,Simulações!$CL:$CL,$A46,Simulações!$CR:$CR,$B46)</f>
        <v>0</v>
      </c>
      <c r="D46" s="37">
        <f>COUNTIFS(Simulações!$K:$K,D$1,Simulações!$CL:$CL,$A46,Simulações!$CR:$CR,$B46)</f>
        <v>0</v>
      </c>
      <c r="E46" s="37">
        <f>COUNTIFS(Simulações!$K:$K,E$1,Simulações!$CL:$CL,$A46,Simulações!$CR:$CR,$B46)</f>
        <v>0</v>
      </c>
      <c r="F46" s="37">
        <f>COUNTIFS(Simulações!$K:$K,F$1,Simulações!$CL:$CL,$A46,Simulações!$CR:$CR,$B46)</f>
        <v>0</v>
      </c>
      <c r="G46" s="37">
        <f>COUNTIFS(Simulações!$K:$K,G$1,Simulações!$CL:$CL,$A46,Simulações!$CR:$CR,$B46)</f>
        <v>0</v>
      </c>
      <c r="H46" s="37">
        <f>COUNTIFS(Simulações!$K:$K,H$1,Simulações!$CL:$CL,$A46,Simulações!$CR:$CR,$B46)</f>
        <v>0</v>
      </c>
      <c r="I46" s="37">
        <f>COUNTIFS(Simulações!$K:$K,I$1,Simulações!$CL:$CL,$A46,Simulações!$CR:$CR,$B46)</f>
        <v>0</v>
      </c>
      <c r="J46" s="37">
        <f>COUNTIFS(Simulações!$K:$K,J$1,Simulações!$CL:$CL,$A46,Simulações!$CR:$CR,$B46)</f>
        <v>0</v>
      </c>
      <c r="K46" s="37">
        <f>COUNTIFS(Simulações!$K:$K,K$1,Simulações!$CL:$CL,$A46,Simulações!$CR:$CR,$B46)</f>
        <v>0</v>
      </c>
      <c r="L46" s="120"/>
      <c r="M46" s="120"/>
      <c r="V46" s="120"/>
      <c r="Y46" s="120"/>
      <c r="Z46" s="120"/>
      <c r="AA46" s="120"/>
      <c r="AC46" s="120"/>
      <c r="AD46" s="120"/>
    </row>
    <row r="47" spans="1:30" ht="15.75" customHeight="1" x14ac:dyDescent="0.3">
      <c r="A47" s="120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V47" s="120"/>
      <c r="Y47" s="120"/>
      <c r="Z47" s="120"/>
      <c r="AA47" s="120"/>
      <c r="AC47" s="120"/>
      <c r="AD47" s="120"/>
    </row>
    <row r="48" spans="1:30" ht="15.75" customHeight="1" x14ac:dyDescent="0.3">
      <c r="A48" s="120"/>
      <c r="B48" s="120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V48" s="120"/>
      <c r="Y48" s="120"/>
      <c r="Z48" s="120"/>
      <c r="AA48" s="120"/>
      <c r="AC48" s="120"/>
      <c r="AD48" s="120"/>
    </row>
    <row r="49" spans="1:30" ht="15.75" customHeight="1" x14ac:dyDescent="0.3">
      <c r="A49" s="120"/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V49" s="120"/>
      <c r="Y49" s="120"/>
      <c r="Z49" s="120"/>
      <c r="AA49" s="120"/>
      <c r="AC49" s="120"/>
      <c r="AD49" s="120"/>
    </row>
    <row r="50" spans="1:30" ht="15.75" customHeight="1" x14ac:dyDescent="0.3">
      <c r="A50" s="120"/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V50" s="120"/>
      <c r="Y50" s="120"/>
      <c r="Z50" s="120"/>
      <c r="AA50" s="120"/>
      <c r="AC50" s="120"/>
      <c r="AD50" s="120"/>
    </row>
    <row r="51" spans="1:30" ht="15.75" customHeight="1" x14ac:dyDescent="0.3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V51" s="120"/>
      <c r="Y51" s="120"/>
      <c r="Z51" s="120"/>
      <c r="AA51" s="120"/>
      <c r="AC51" s="120"/>
      <c r="AD51" s="120"/>
    </row>
    <row r="52" spans="1:30" ht="15.75" customHeight="1" x14ac:dyDescent="0.3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V52" s="120"/>
      <c r="Y52" s="120"/>
      <c r="Z52" s="120"/>
      <c r="AA52" s="120"/>
      <c r="AC52" s="120"/>
      <c r="AD52" s="120"/>
    </row>
    <row r="53" spans="1:30" ht="15.75" customHeight="1" x14ac:dyDescent="0.3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V53" s="120"/>
      <c r="W53" s="120"/>
      <c r="X53" s="120"/>
      <c r="Y53" s="120"/>
      <c r="Z53" s="120"/>
      <c r="AA53" s="120"/>
      <c r="AC53" s="120"/>
      <c r="AD53" s="120"/>
    </row>
    <row r="54" spans="1:30" ht="15.75" customHeight="1" x14ac:dyDescent="0.3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T54" s="120"/>
      <c r="U54" s="120"/>
      <c r="V54" s="120"/>
      <c r="W54" s="120"/>
      <c r="X54" s="120"/>
      <c r="Y54" s="120"/>
      <c r="Z54" s="120"/>
      <c r="AA54" s="120"/>
      <c r="AC54" s="120"/>
      <c r="AD54" s="120"/>
    </row>
    <row r="55" spans="1:30" ht="15.75" customHeight="1" x14ac:dyDescent="0.3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T55" s="120"/>
      <c r="U55" s="120"/>
      <c r="V55" s="120"/>
      <c r="W55" s="120"/>
      <c r="X55" s="120"/>
      <c r="Y55" s="120"/>
      <c r="Z55" s="120"/>
      <c r="AA55" s="120"/>
      <c r="AC55" s="120"/>
      <c r="AD55" s="120"/>
    </row>
    <row r="56" spans="1:30" ht="15.75" customHeight="1" x14ac:dyDescent="0.3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T56" s="120"/>
      <c r="U56" s="120"/>
      <c r="V56" s="120"/>
      <c r="W56" s="120"/>
      <c r="X56" s="120"/>
      <c r="Y56" s="120"/>
      <c r="Z56" s="120"/>
      <c r="AA56" s="120"/>
      <c r="AB56" s="120"/>
      <c r="AC56" s="120"/>
      <c r="AD56" s="120"/>
    </row>
    <row r="57" spans="1:30" ht="15.75" customHeight="1" x14ac:dyDescent="0.3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T57" s="120"/>
      <c r="U57" s="120"/>
      <c r="V57" s="120"/>
      <c r="W57" s="120"/>
      <c r="X57" s="120"/>
      <c r="Y57" s="120"/>
      <c r="Z57" s="120"/>
      <c r="AA57" s="120"/>
      <c r="AB57" s="120"/>
      <c r="AC57" s="120"/>
      <c r="AD57" s="120"/>
    </row>
    <row r="58" spans="1:30" ht="15.75" customHeight="1" x14ac:dyDescent="0.3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T58" s="120"/>
      <c r="U58" s="120"/>
      <c r="V58" s="120"/>
      <c r="W58" s="120"/>
      <c r="X58" s="120"/>
      <c r="Y58" s="120"/>
      <c r="Z58" s="120"/>
      <c r="AA58" s="120"/>
      <c r="AB58" s="120"/>
      <c r="AC58" s="120"/>
      <c r="AD58" s="120"/>
    </row>
    <row r="59" spans="1:30" ht="15.75" customHeight="1" x14ac:dyDescent="0.3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T59" s="120"/>
      <c r="U59" s="120"/>
      <c r="V59" s="120"/>
      <c r="W59" s="120"/>
      <c r="X59" s="120"/>
      <c r="Y59" s="120"/>
      <c r="Z59" s="120"/>
      <c r="AA59" s="120"/>
      <c r="AB59" s="120"/>
      <c r="AC59" s="120"/>
      <c r="AD59" s="120"/>
    </row>
    <row r="60" spans="1:30" ht="15.75" customHeight="1" x14ac:dyDescent="0.3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0"/>
    </row>
    <row r="61" spans="1:30" ht="15.75" customHeight="1" x14ac:dyDescent="0.3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0"/>
    </row>
    <row r="62" spans="1:30" ht="15.75" customHeight="1" x14ac:dyDescent="0.3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</row>
    <row r="63" spans="1:30" ht="15.75" customHeight="1" x14ac:dyDescent="0.3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</row>
    <row r="64" spans="1:30" ht="15.75" customHeight="1" x14ac:dyDescent="0.3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</row>
    <row r="65" spans="1:30" ht="15.75" customHeight="1" x14ac:dyDescent="0.3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</row>
    <row r="66" spans="1:30" ht="15.75" customHeight="1" x14ac:dyDescent="0.3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</row>
    <row r="67" spans="1:30" ht="15.75" customHeight="1" x14ac:dyDescent="0.3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T67" s="120"/>
      <c r="U67" s="120"/>
      <c r="V67" s="120"/>
      <c r="W67" s="120"/>
      <c r="X67" s="120"/>
      <c r="Y67" s="120"/>
      <c r="Z67" s="120"/>
      <c r="AA67" s="120"/>
      <c r="AB67" s="120"/>
      <c r="AC67" s="120"/>
      <c r="AD67" s="120"/>
    </row>
    <row r="68" spans="1:30" ht="15.75" customHeight="1" x14ac:dyDescent="0.3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T68" s="120"/>
      <c r="U68" s="120"/>
      <c r="V68" s="120"/>
      <c r="W68" s="120"/>
      <c r="X68" s="120"/>
      <c r="Y68" s="120"/>
      <c r="Z68" s="120"/>
      <c r="AA68" s="120"/>
      <c r="AB68" s="120"/>
      <c r="AC68" s="120"/>
      <c r="AD68" s="120"/>
    </row>
    <row r="69" spans="1:30" ht="15.75" customHeight="1" x14ac:dyDescent="0.3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T69" s="120"/>
      <c r="U69" s="120"/>
      <c r="V69" s="120"/>
      <c r="W69" s="120"/>
      <c r="X69" s="120"/>
      <c r="Y69" s="120"/>
      <c r="Z69" s="120"/>
      <c r="AA69" s="120"/>
      <c r="AB69" s="120"/>
      <c r="AC69" s="120"/>
      <c r="AD69" s="120"/>
    </row>
    <row r="70" spans="1:30" ht="15.75" customHeight="1" x14ac:dyDescent="0.3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T70" s="120"/>
      <c r="U70" s="120"/>
      <c r="V70" s="120"/>
      <c r="W70" s="120"/>
      <c r="X70" s="120"/>
      <c r="Y70" s="120"/>
      <c r="Z70" s="120"/>
      <c r="AA70" s="120"/>
      <c r="AB70" s="120"/>
      <c r="AC70" s="120"/>
      <c r="AD70" s="120"/>
    </row>
    <row r="71" spans="1:30" ht="15.75" customHeight="1" x14ac:dyDescent="0.3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T71" s="120"/>
      <c r="U71" s="120"/>
      <c r="V71" s="120"/>
      <c r="W71" s="120"/>
      <c r="X71" s="120"/>
      <c r="Y71" s="120"/>
      <c r="Z71" s="120"/>
      <c r="AA71" s="120"/>
      <c r="AB71" s="120"/>
      <c r="AC71" s="120"/>
      <c r="AD71" s="120"/>
    </row>
    <row r="72" spans="1:30" ht="15.75" customHeight="1" x14ac:dyDescent="0.3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T72" s="120"/>
      <c r="U72" s="120"/>
      <c r="V72" s="120"/>
      <c r="W72" s="120"/>
      <c r="X72" s="120"/>
      <c r="Y72" s="120"/>
      <c r="Z72" s="120"/>
      <c r="AA72" s="120"/>
      <c r="AB72" s="120"/>
      <c r="AC72" s="120"/>
      <c r="AD72" s="120"/>
    </row>
    <row r="73" spans="1:30" ht="15.75" customHeight="1" x14ac:dyDescent="0.3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</row>
    <row r="74" spans="1:30" ht="15.75" customHeight="1" x14ac:dyDescent="0.3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T74" s="120"/>
      <c r="U74" s="120"/>
      <c r="V74" s="120"/>
      <c r="W74" s="120"/>
      <c r="X74" s="120"/>
      <c r="Y74" s="120"/>
      <c r="Z74" s="120"/>
      <c r="AA74" s="120"/>
      <c r="AB74" s="120"/>
      <c r="AC74" s="120"/>
      <c r="AD74" s="120"/>
    </row>
    <row r="75" spans="1:30" ht="15.75" customHeight="1" x14ac:dyDescent="0.3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T75" s="120"/>
      <c r="U75" s="120"/>
      <c r="V75" s="120"/>
      <c r="W75" s="120"/>
      <c r="X75" s="120"/>
      <c r="Y75" s="120"/>
      <c r="Z75" s="120"/>
      <c r="AA75" s="120"/>
      <c r="AB75" s="120"/>
      <c r="AC75" s="120"/>
      <c r="AD75" s="120"/>
    </row>
    <row r="76" spans="1:30" ht="15.75" customHeight="1" x14ac:dyDescent="0.3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T76" s="120"/>
      <c r="U76" s="120"/>
      <c r="V76" s="120"/>
      <c r="W76" s="120"/>
      <c r="X76" s="120"/>
      <c r="Y76" s="120"/>
      <c r="Z76" s="120"/>
      <c r="AA76" s="120"/>
      <c r="AB76" s="120"/>
      <c r="AC76" s="120"/>
      <c r="AD76" s="120"/>
    </row>
    <row r="77" spans="1:30" ht="15.75" customHeight="1" x14ac:dyDescent="0.3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T77" s="120"/>
      <c r="U77" s="120"/>
      <c r="V77" s="120"/>
      <c r="W77" s="120"/>
      <c r="X77" s="120"/>
      <c r="Y77" s="120"/>
      <c r="Z77" s="120"/>
      <c r="AA77" s="120"/>
      <c r="AB77" s="120"/>
      <c r="AC77" s="120"/>
      <c r="AD77" s="120"/>
    </row>
    <row r="78" spans="1:30" ht="15.75" customHeight="1" x14ac:dyDescent="0.3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T78" s="120"/>
      <c r="U78" s="120"/>
      <c r="V78" s="120"/>
      <c r="W78" s="120"/>
      <c r="X78" s="120"/>
      <c r="Y78" s="120"/>
      <c r="Z78" s="120"/>
      <c r="AA78" s="120"/>
      <c r="AB78" s="120"/>
      <c r="AC78" s="120"/>
      <c r="AD78" s="120"/>
    </row>
    <row r="79" spans="1:30" ht="15.75" customHeight="1" x14ac:dyDescent="0.3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T79" s="120"/>
      <c r="U79" s="120"/>
      <c r="V79" s="120"/>
      <c r="W79" s="120"/>
      <c r="X79" s="120"/>
      <c r="Y79" s="120"/>
      <c r="Z79" s="120"/>
      <c r="AA79" s="120"/>
      <c r="AB79" s="120"/>
      <c r="AC79" s="120"/>
      <c r="AD79" s="120"/>
    </row>
    <row r="80" spans="1:30" ht="15.75" customHeight="1" x14ac:dyDescent="0.3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</row>
    <row r="81" spans="1:30" ht="15.75" customHeight="1" x14ac:dyDescent="0.3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T81" s="120"/>
      <c r="U81" s="120"/>
      <c r="V81" s="120"/>
      <c r="W81" s="120"/>
      <c r="X81" s="120"/>
      <c r="Y81" s="120"/>
      <c r="Z81" s="120"/>
      <c r="AA81" s="120"/>
      <c r="AB81" s="120"/>
      <c r="AC81" s="120"/>
      <c r="AD81" s="120"/>
    </row>
    <row r="82" spans="1:30" ht="15.75" customHeight="1" x14ac:dyDescent="0.3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T82" s="120"/>
      <c r="U82" s="120"/>
      <c r="V82" s="120"/>
      <c r="W82" s="120"/>
      <c r="X82" s="120"/>
      <c r="Y82" s="120"/>
      <c r="Z82" s="120"/>
      <c r="AA82" s="120"/>
      <c r="AB82" s="120"/>
      <c r="AC82" s="120"/>
      <c r="AD82" s="120"/>
    </row>
    <row r="83" spans="1:30" ht="15.75" customHeight="1" x14ac:dyDescent="0.3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T83" s="120"/>
      <c r="U83" s="120"/>
      <c r="V83" s="120"/>
      <c r="W83" s="120"/>
      <c r="X83" s="120"/>
      <c r="Y83" s="120"/>
      <c r="Z83" s="120"/>
      <c r="AA83" s="120"/>
      <c r="AB83" s="120"/>
      <c r="AC83" s="120"/>
      <c r="AD83" s="120"/>
    </row>
    <row r="84" spans="1:30" ht="15.75" customHeight="1" x14ac:dyDescent="0.3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T84" s="120"/>
      <c r="U84" s="120"/>
      <c r="V84" s="120"/>
      <c r="W84" s="120"/>
      <c r="X84" s="120"/>
      <c r="Y84" s="120"/>
      <c r="Z84" s="120"/>
      <c r="AA84" s="120"/>
      <c r="AB84" s="120"/>
      <c r="AC84" s="120"/>
      <c r="AD84" s="120"/>
    </row>
    <row r="85" spans="1:30" ht="15.75" customHeight="1" x14ac:dyDescent="0.3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</row>
    <row r="86" spans="1:30" ht="15.75" customHeight="1" x14ac:dyDescent="0.3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T86" s="120"/>
      <c r="U86" s="120"/>
      <c r="V86" s="120"/>
      <c r="W86" s="120"/>
      <c r="X86" s="120"/>
      <c r="Y86" s="120"/>
      <c r="Z86" s="120"/>
      <c r="AA86" s="120"/>
      <c r="AB86" s="120"/>
      <c r="AC86" s="120"/>
      <c r="AD86" s="120"/>
    </row>
    <row r="87" spans="1:30" ht="15.75" customHeight="1" x14ac:dyDescent="0.3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</row>
    <row r="88" spans="1:30" ht="15.75" customHeight="1" x14ac:dyDescent="0.3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</row>
    <row r="89" spans="1:30" ht="15.75" customHeight="1" x14ac:dyDescent="0.3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T89" s="120"/>
      <c r="U89" s="120"/>
      <c r="V89" s="120"/>
      <c r="W89" s="120"/>
      <c r="X89" s="120"/>
      <c r="Y89" s="120"/>
      <c r="Z89" s="120"/>
      <c r="AA89" s="120"/>
      <c r="AB89" s="120"/>
      <c r="AC89" s="120"/>
      <c r="AD89" s="120"/>
    </row>
    <row r="90" spans="1:30" ht="15.75" customHeight="1" x14ac:dyDescent="0.3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</row>
    <row r="91" spans="1:30" ht="15.75" customHeight="1" x14ac:dyDescent="0.3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T91" s="120"/>
      <c r="U91" s="120"/>
      <c r="V91" s="120"/>
      <c r="W91" s="120"/>
      <c r="X91" s="120"/>
      <c r="Y91" s="120"/>
      <c r="Z91" s="120"/>
      <c r="AA91" s="120"/>
      <c r="AB91" s="120"/>
      <c r="AC91" s="120"/>
      <c r="AD91" s="120"/>
    </row>
    <row r="92" spans="1:30" ht="15.75" customHeight="1" x14ac:dyDescent="0.3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</row>
    <row r="93" spans="1:30" ht="15.75" customHeight="1" x14ac:dyDescent="0.3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T93" s="120"/>
      <c r="U93" s="120"/>
      <c r="V93" s="120"/>
      <c r="W93" s="120"/>
      <c r="X93" s="120"/>
      <c r="Y93" s="120"/>
      <c r="Z93" s="120"/>
      <c r="AA93" s="120"/>
      <c r="AB93" s="120"/>
      <c r="AC93" s="120"/>
      <c r="AD93" s="120"/>
    </row>
    <row r="94" spans="1:30" ht="15.75" customHeight="1" x14ac:dyDescent="0.3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T94" s="120"/>
      <c r="U94" s="120"/>
      <c r="V94" s="120"/>
      <c r="W94" s="120"/>
      <c r="X94" s="120"/>
      <c r="Y94" s="120"/>
      <c r="Z94" s="120"/>
      <c r="AA94" s="120"/>
      <c r="AB94" s="120"/>
      <c r="AC94" s="120"/>
      <c r="AD94" s="120"/>
    </row>
    <row r="95" spans="1:30" ht="15.75" customHeight="1" x14ac:dyDescent="0.3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</row>
    <row r="96" spans="1:30" ht="15.75" customHeight="1" x14ac:dyDescent="0.3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T96" s="120"/>
      <c r="U96" s="120"/>
      <c r="V96" s="120"/>
      <c r="W96" s="120"/>
      <c r="X96" s="120"/>
      <c r="Y96" s="120"/>
      <c r="Z96" s="120"/>
      <c r="AA96" s="120"/>
      <c r="AB96" s="120"/>
      <c r="AC96" s="120"/>
      <c r="AD96" s="120"/>
    </row>
    <row r="97" spans="1:30" ht="15.75" customHeight="1" x14ac:dyDescent="0.3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T97" s="120"/>
      <c r="U97" s="120"/>
      <c r="V97" s="120"/>
      <c r="W97" s="120"/>
      <c r="X97" s="120"/>
      <c r="Y97" s="120"/>
      <c r="Z97" s="120"/>
      <c r="AA97" s="120"/>
      <c r="AB97" s="120"/>
      <c r="AC97" s="120"/>
      <c r="AD97" s="120"/>
    </row>
    <row r="98" spans="1:30" ht="15.75" customHeight="1" x14ac:dyDescent="0.3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T98" s="120"/>
      <c r="U98" s="120"/>
      <c r="V98" s="120"/>
      <c r="W98" s="120"/>
      <c r="X98" s="120"/>
      <c r="Y98" s="120"/>
      <c r="Z98" s="120"/>
      <c r="AA98" s="120"/>
      <c r="AB98" s="120"/>
      <c r="AC98" s="120"/>
      <c r="AD98" s="120"/>
    </row>
    <row r="99" spans="1:30" ht="15.75" customHeight="1" x14ac:dyDescent="0.3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  <c r="AC99" s="120"/>
      <c r="AD99" s="120"/>
    </row>
    <row r="100" spans="1:30" ht="15.75" customHeight="1" x14ac:dyDescent="0.3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  <c r="AC100" s="120"/>
      <c r="AD100" s="120"/>
    </row>
    <row r="101" spans="1:30" ht="15.75" customHeight="1" x14ac:dyDescent="0.3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  <c r="AC101" s="120"/>
      <c r="AD101" s="120"/>
    </row>
    <row r="102" spans="1:30" ht="15.75" customHeight="1" x14ac:dyDescent="0.3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  <c r="AC102" s="120"/>
      <c r="AD102" s="120"/>
    </row>
    <row r="103" spans="1:30" ht="15.75" customHeight="1" x14ac:dyDescent="0.3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  <c r="AC103" s="120"/>
      <c r="AD103" s="120"/>
    </row>
    <row r="104" spans="1:30" ht="15.75" customHeight="1" x14ac:dyDescent="0.3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  <c r="AC104" s="120"/>
      <c r="AD104" s="120"/>
    </row>
    <row r="105" spans="1:30" ht="15.75" customHeight="1" x14ac:dyDescent="0.3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  <c r="AC105" s="120"/>
      <c r="AD105" s="120"/>
    </row>
    <row r="106" spans="1:30" ht="15.75" customHeight="1" x14ac:dyDescent="0.3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  <c r="AC106" s="120"/>
      <c r="AD106" s="120"/>
    </row>
    <row r="107" spans="1:30" ht="15.75" customHeight="1" x14ac:dyDescent="0.3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  <c r="AC107" s="120"/>
      <c r="AD107" s="120"/>
    </row>
    <row r="108" spans="1:30" ht="15.75" customHeight="1" x14ac:dyDescent="0.3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  <c r="AC108" s="120"/>
      <c r="AD108" s="120"/>
    </row>
    <row r="109" spans="1:30" ht="15.75" customHeight="1" x14ac:dyDescent="0.3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  <c r="AC109" s="120"/>
      <c r="AD109" s="120"/>
    </row>
    <row r="110" spans="1:30" ht="15.75" customHeight="1" x14ac:dyDescent="0.3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  <c r="AC110" s="120"/>
      <c r="AD110" s="120"/>
    </row>
    <row r="111" spans="1:30" ht="15.75" customHeight="1" x14ac:dyDescent="0.3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  <c r="AC111" s="120"/>
      <c r="AD111" s="120"/>
    </row>
    <row r="112" spans="1:30" ht="15.75" customHeight="1" x14ac:dyDescent="0.3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  <c r="AC112" s="120"/>
      <c r="AD112" s="120"/>
    </row>
    <row r="113" spans="1:30" ht="15.75" customHeight="1" x14ac:dyDescent="0.3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  <c r="AC113" s="120"/>
      <c r="AD113" s="120"/>
    </row>
    <row r="114" spans="1:30" ht="15.75" customHeight="1" x14ac:dyDescent="0.3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  <c r="AC114" s="120"/>
      <c r="AD114" s="120"/>
    </row>
    <row r="115" spans="1:30" ht="15.75" customHeight="1" x14ac:dyDescent="0.3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  <c r="AC115" s="120"/>
      <c r="AD115" s="120"/>
    </row>
    <row r="116" spans="1:30" ht="15.75" customHeight="1" x14ac:dyDescent="0.3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  <c r="AC116" s="120"/>
      <c r="AD116" s="120"/>
    </row>
    <row r="117" spans="1:30" ht="15.75" customHeight="1" x14ac:dyDescent="0.3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  <c r="AC117" s="120"/>
      <c r="AD117" s="120"/>
    </row>
    <row r="118" spans="1:30" ht="15.75" customHeight="1" x14ac:dyDescent="0.3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  <c r="AC118" s="120"/>
      <c r="AD118" s="120"/>
    </row>
    <row r="119" spans="1:30" ht="15.75" customHeight="1" x14ac:dyDescent="0.3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  <c r="AC119" s="120"/>
      <c r="AD119" s="120"/>
    </row>
    <row r="120" spans="1:30" ht="15.75" customHeight="1" x14ac:dyDescent="0.3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  <c r="AC120" s="120"/>
      <c r="AD120" s="120"/>
    </row>
    <row r="121" spans="1:30" ht="15.75" customHeight="1" x14ac:dyDescent="0.3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  <c r="AC121" s="120"/>
      <c r="AD121" s="120"/>
    </row>
    <row r="122" spans="1:30" ht="15.75" customHeight="1" x14ac:dyDescent="0.3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  <c r="AC122" s="120"/>
      <c r="AD122" s="120"/>
    </row>
    <row r="123" spans="1:30" ht="15.75" customHeight="1" x14ac:dyDescent="0.3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</row>
    <row r="124" spans="1:30" ht="15.75" customHeight="1" x14ac:dyDescent="0.3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  <c r="AC124" s="120"/>
      <c r="AD124" s="120"/>
    </row>
    <row r="125" spans="1:30" ht="15.75" customHeight="1" x14ac:dyDescent="0.3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  <c r="AC125" s="120"/>
      <c r="AD125" s="120"/>
    </row>
    <row r="126" spans="1:30" ht="15.75" customHeight="1" x14ac:dyDescent="0.3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  <c r="AC126" s="120"/>
      <c r="AD126" s="120"/>
    </row>
    <row r="127" spans="1:30" ht="15.75" customHeight="1" x14ac:dyDescent="0.3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  <c r="AC127" s="120"/>
      <c r="AD127" s="120"/>
    </row>
    <row r="128" spans="1:30" ht="15.75" customHeight="1" x14ac:dyDescent="0.3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  <c r="AC128" s="120"/>
      <c r="AD128" s="120"/>
    </row>
    <row r="129" spans="1:30" ht="15.75" customHeight="1" x14ac:dyDescent="0.3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  <c r="AC129" s="120"/>
      <c r="AD129" s="120"/>
    </row>
    <row r="130" spans="1:30" ht="15.75" customHeight="1" x14ac:dyDescent="0.3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  <c r="AC130" s="120"/>
      <c r="AD130" s="120"/>
    </row>
    <row r="131" spans="1:30" ht="15.75" customHeight="1" x14ac:dyDescent="0.3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  <c r="AC131" s="120"/>
      <c r="AD131" s="120"/>
    </row>
    <row r="132" spans="1:30" ht="15.75" customHeight="1" x14ac:dyDescent="0.3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  <c r="AC132" s="120"/>
      <c r="AD132" s="120"/>
    </row>
    <row r="133" spans="1:30" ht="15.75" customHeight="1" x14ac:dyDescent="0.3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</row>
    <row r="134" spans="1:30" ht="15.75" customHeight="1" x14ac:dyDescent="0.3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  <c r="AC134" s="120"/>
      <c r="AD134" s="120"/>
    </row>
    <row r="135" spans="1:30" ht="15.75" customHeight="1" x14ac:dyDescent="0.3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  <c r="AC135" s="120"/>
      <c r="AD135" s="120"/>
    </row>
    <row r="136" spans="1:30" ht="15.75" customHeight="1" x14ac:dyDescent="0.3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  <c r="AC136" s="120"/>
      <c r="AD136" s="120"/>
    </row>
    <row r="137" spans="1:30" ht="15.75" customHeight="1" x14ac:dyDescent="0.3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</row>
    <row r="138" spans="1:30" ht="15.75" customHeight="1" x14ac:dyDescent="0.3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</row>
    <row r="139" spans="1:30" ht="15.75" customHeight="1" x14ac:dyDescent="0.3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  <c r="AC139" s="120"/>
      <c r="AD139" s="120"/>
    </row>
    <row r="140" spans="1:30" ht="15.75" customHeight="1" x14ac:dyDescent="0.3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  <c r="AC140" s="120"/>
      <c r="AD140" s="120"/>
    </row>
    <row r="141" spans="1:30" ht="15.75" customHeight="1" x14ac:dyDescent="0.3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  <c r="AC141" s="120"/>
      <c r="AD141" s="120"/>
    </row>
    <row r="142" spans="1:30" ht="15.75" customHeight="1" x14ac:dyDescent="0.3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  <c r="AC142" s="120"/>
      <c r="AD142" s="120"/>
    </row>
    <row r="143" spans="1:30" ht="15.75" customHeight="1" x14ac:dyDescent="0.3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  <c r="AC143" s="120"/>
      <c r="AD143" s="120"/>
    </row>
    <row r="144" spans="1:30" ht="15.75" customHeight="1" x14ac:dyDescent="0.3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  <c r="AC144" s="120"/>
      <c r="AD144" s="120"/>
    </row>
    <row r="145" spans="1:30" ht="15.75" customHeight="1" x14ac:dyDescent="0.3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  <c r="AC145" s="120"/>
      <c r="AD145" s="120"/>
    </row>
    <row r="146" spans="1:30" ht="15.75" customHeight="1" x14ac:dyDescent="0.3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  <c r="AC146" s="120"/>
      <c r="AD146" s="120"/>
    </row>
    <row r="147" spans="1:30" ht="15.75" customHeight="1" x14ac:dyDescent="0.3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  <c r="AC147" s="120"/>
      <c r="AD147" s="120"/>
    </row>
    <row r="148" spans="1:30" ht="15.75" customHeight="1" x14ac:dyDescent="0.3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  <c r="AC148" s="120"/>
      <c r="AD148" s="120"/>
    </row>
    <row r="149" spans="1:30" ht="15.75" customHeight="1" x14ac:dyDescent="0.3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  <c r="AC149" s="120"/>
      <c r="AD149" s="120"/>
    </row>
    <row r="150" spans="1:30" ht="15.75" customHeight="1" x14ac:dyDescent="0.3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  <c r="AC150" s="120"/>
      <c r="AD150" s="120"/>
    </row>
    <row r="151" spans="1:30" ht="15.75" customHeight="1" x14ac:dyDescent="0.3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  <c r="AC151" s="120"/>
      <c r="AD151" s="120"/>
    </row>
    <row r="152" spans="1:30" ht="15.75" customHeight="1" x14ac:dyDescent="0.3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  <c r="AC152" s="120"/>
      <c r="AD152" s="120"/>
    </row>
    <row r="153" spans="1:30" ht="15.75" customHeight="1" x14ac:dyDescent="0.3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  <c r="AC153" s="120"/>
      <c r="AD153" s="120"/>
    </row>
    <row r="154" spans="1:30" ht="15.75" customHeight="1" x14ac:dyDescent="0.3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  <c r="AC154" s="120"/>
      <c r="AD154" s="120"/>
    </row>
    <row r="155" spans="1:30" ht="15.75" customHeight="1" x14ac:dyDescent="0.3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  <c r="AC155" s="120"/>
      <c r="AD155" s="120"/>
    </row>
    <row r="156" spans="1:30" ht="15.75" customHeight="1" x14ac:dyDescent="0.3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  <c r="AC156" s="120"/>
      <c r="AD156" s="120"/>
    </row>
    <row r="157" spans="1:30" ht="15.75" customHeight="1" x14ac:dyDescent="0.3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  <c r="AC157" s="120"/>
      <c r="AD157" s="120"/>
    </row>
    <row r="158" spans="1:30" ht="15.75" customHeight="1" x14ac:dyDescent="0.3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  <c r="AC158" s="120"/>
      <c r="AD158" s="120"/>
    </row>
    <row r="159" spans="1:30" ht="15.75" customHeight="1" x14ac:dyDescent="0.3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  <c r="AC159" s="120"/>
      <c r="AD159" s="120"/>
    </row>
    <row r="160" spans="1:30" ht="15.75" customHeight="1" x14ac:dyDescent="0.3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  <c r="AC160" s="120"/>
      <c r="AD160" s="120"/>
    </row>
    <row r="161" spans="1:30" ht="15.75" customHeight="1" x14ac:dyDescent="0.3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  <c r="AC161" s="120"/>
      <c r="AD161" s="120"/>
    </row>
    <row r="162" spans="1:30" ht="15.75" customHeight="1" x14ac:dyDescent="0.3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  <c r="AC162" s="120"/>
      <c r="AD162" s="120"/>
    </row>
    <row r="163" spans="1:30" ht="15.75" customHeight="1" x14ac:dyDescent="0.3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  <c r="AC163" s="120"/>
      <c r="AD163" s="120"/>
    </row>
    <row r="164" spans="1:30" ht="15.75" customHeight="1" x14ac:dyDescent="0.3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  <c r="AC164" s="120"/>
      <c r="AD164" s="120"/>
    </row>
    <row r="165" spans="1:30" ht="15.75" customHeight="1" x14ac:dyDescent="0.3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  <c r="AC165" s="120"/>
      <c r="AD165" s="120"/>
    </row>
    <row r="166" spans="1:30" ht="15.75" customHeight="1" x14ac:dyDescent="0.3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  <c r="AC166" s="120"/>
      <c r="AD166" s="120"/>
    </row>
    <row r="167" spans="1:30" ht="15.75" customHeight="1" x14ac:dyDescent="0.3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  <c r="AB167" s="120"/>
      <c r="AC167" s="120"/>
      <c r="AD167" s="120"/>
    </row>
    <row r="168" spans="1:30" ht="15.75" customHeight="1" x14ac:dyDescent="0.3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  <c r="AC168" s="120"/>
      <c r="AD168" s="120"/>
    </row>
    <row r="169" spans="1:30" ht="15.75" customHeight="1" x14ac:dyDescent="0.3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  <c r="AC169" s="120"/>
      <c r="AD169" s="120"/>
    </row>
    <row r="170" spans="1:30" ht="15.75" customHeight="1" x14ac:dyDescent="0.3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  <c r="AC170" s="120"/>
      <c r="AD170" s="120"/>
    </row>
    <row r="171" spans="1:30" ht="15.75" customHeight="1" x14ac:dyDescent="0.3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  <c r="AC171" s="120"/>
      <c r="AD171" s="120"/>
    </row>
    <row r="172" spans="1:30" ht="15.75" customHeight="1" x14ac:dyDescent="0.3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  <c r="AC172" s="120"/>
      <c r="AD172" s="120"/>
    </row>
    <row r="173" spans="1:30" ht="15.75" customHeight="1" x14ac:dyDescent="0.3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  <c r="AC173" s="120"/>
      <c r="AD173" s="120"/>
    </row>
    <row r="174" spans="1:30" ht="15.75" customHeight="1" x14ac:dyDescent="0.3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  <c r="AC174" s="120"/>
      <c r="AD174" s="120"/>
    </row>
    <row r="175" spans="1:30" ht="15.75" customHeight="1" x14ac:dyDescent="0.3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  <c r="AC175" s="120"/>
      <c r="AD175" s="120"/>
    </row>
    <row r="176" spans="1:30" ht="15.75" customHeight="1" x14ac:dyDescent="0.3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  <c r="AA176" s="120"/>
      <c r="AB176" s="120"/>
      <c r="AC176" s="120"/>
      <c r="AD176" s="120"/>
    </row>
    <row r="177" spans="1:30" ht="15.75" customHeight="1" x14ac:dyDescent="0.3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  <c r="AA177" s="120"/>
      <c r="AB177" s="120"/>
      <c r="AC177" s="120"/>
      <c r="AD177" s="120"/>
    </row>
    <row r="178" spans="1:30" ht="15.75" customHeight="1" x14ac:dyDescent="0.3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  <c r="AA178" s="120"/>
      <c r="AB178" s="120"/>
      <c r="AC178" s="120"/>
      <c r="AD178" s="120"/>
    </row>
    <row r="179" spans="1:30" ht="15.75" customHeight="1" x14ac:dyDescent="0.3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  <c r="AC179" s="120"/>
      <c r="AD179" s="120"/>
    </row>
    <row r="180" spans="1:30" ht="15.75" customHeight="1" x14ac:dyDescent="0.3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  <c r="AA180" s="120"/>
      <c r="AB180" s="120"/>
      <c r="AC180" s="120"/>
      <c r="AD180" s="120"/>
    </row>
    <row r="181" spans="1:30" ht="15.75" customHeight="1" x14ac:dyDescent="0.3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  <c r="AA181" s="120"/>
      <c r="AB181" s="120"/>
      <c r="AC181" s="120"/>
      <c r="AD181" s="120"/>
    </row>
    <row r="182" spans="1:30" ht="15.75" customHeight="1" x14ac:dyDescent="0.3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20"/>
      <c r="AB182" s="120"/>
      <c r="AC182" s="120"/>
      <c r="AD182" s="120"/>
    </row>
    <row r="183" spans="1:30" ht="15.75" customHeight="1" x14ac:dyDescent="0.3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  <c r="AB183" s="120"/>
      <c r="AC183" s="120"/>
      <c r="AD183" s="120"/>
    </row>
    <row r="184" spans="1:30" ht="15.75" customHeight="1" x14ac:dyDescent="0.3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  <c r="AC184" s="120"/>
      <c r="AD184" s="120"/>
    </row>
    <row r="185" spans="1:30" ht="15.75" customHeight="1" x14ac:dyDescent="0.3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  <c r="AC185" s="120"/>
      <c r="AD185" s="120"/>
    </row>
    <row r="186" spans="1:30" ht="15.75" customHeight="1" x14ac:dyDescent="0.3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  <c r="AA186" s="120"/>
      <c r="AB186" s="120"/>
      <c r="AC186" s="120"/>
      <c r="AD186" s="120"/>
    </row>
    <row r="187" spans="1:30" ht="15.75" customHeight="1" x14ac:dyDescent="0.3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  <c r="AC187" s="120"/>
      <c r="AD187" s="120"/>
    </row>
    <row r="188" spans="1:30" ht="15.75" customHeight="1" x14ac:dyDescent="0.3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  <c r="AC188" s="120"/>
      <c r="AD188" s="120"/>
    </row>
    <row r="189" spans="1:30" ht="15.75" customHeight="1" x14ac:dyDescent="0.3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  <c r="AA189" s="120"/>
      <c r="AB189" s="120"/>
      <c r="AC189" s="120"/>
      <c r="AD189" s="120"/>
    </row>
    <row r="190" spans="1:30" ht="15.75" customHeight="1" x14ac:dyDescent="0.3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  <c r="AC190" s="120"/>
      <c r="AD190" s="120"/>
    </row>
    <row r="191" spans="1:30" ht="15.75" customHeight="1" x14ac:dyDescent="0.3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  <c r="AC191" s="120"/>
      <c r="AD191" s="120"/>
    </row>
    <row r="192" spans="1:30" ht="15.75" customHeight="1" x14ac:dyDescent="0.3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  <c r="AC192" s="120"/>
      <c r="AD192" s="120"/>
    </row>
    <row r="193" spans="1:30" ht="15.75" customHeight="1" x14ac:dyDescent="0.3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  <c r="AC193" s="120"/>
      <c r="AD193" s="120"/>
    </row>
    <row r="194" spans="1:30" ht="15.75" customHeight="1" x14ac:dyDescent="0.3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  <c r="AC194" s="120"/>
      <c r="AD194" s="120"/>
    </row>
    <row r="195" spans="1:30" ht="15.75" customHeight="1" x14ac:dyDescent="0.3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  <c r="AC195" s="120"/>
      <c r="AD195" s="120"/>
    </row>
    <row r="196" spans="1:30" ht="15.75" customHeight="1" x14ac:dyDescent="0.3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  <c r="AC196" s="120"/>
      <c r="AD196" s="120"/>
    </row>
    <row r="197" spans="1:30" ht="15.75" customHeight="1" x14ac:dyDescent="0.3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  <c r="AC197" s="120"/>
      <c r="AD197" s="120"/>
    </row>
    <row r="198" spans="1:30" ht="15.75" customHeight="1" x14ac:dyDescent="0.3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</row>
    <row r="199" spans="1:30" ht="15.75" customHeight="1" x14ac:dyDescent="0.3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</row>
    <row r="200" spans="1:30" ht="15.75" customHeight="1" x14ac:dyDescent="0.3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</row>
    <row r="201" spans="1:30" ht="15.75" customHeight="1" x14ac:dyDescent="0.3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</row>
    <row r="202" spans="1:30" ht="15.75" customHeight="1" x14ac:dyDescent="0.3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</row>
    <row r="203" spans="1:30" ht="15.75" customHeight="1" x14ac:dyDescent="0.3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20"/>
      <c r="AB203" s="120"/>
      <c r="AC203" s="120"/>
      <c r="AD203" s="120"/>
    </row>
    <row r="204" spans="1:30" ht="15.75" customHeight="1" x14ac:dyDescent="0.3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  <c r="AC204" s="120"/>
      <c r="AD204" s="120"/>
    </row>
    <row r="205" spans="1:30" ht="15.75" customHeight="1" x14ac:dyDescent="0.3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  <c r="AB205" s="120"/>
      <c r="AC205" s="120"/>
      <c r="AD205" s="120"/>
    </row>
    <row r="206" spans="1:30" ht="15.75" customHeight="1" x14ac:dyDescent="0.3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  <c r="AC206" s="120"/>
      <c r="AD206" s="120"/>
    </row>
    <row r="207" spans="1:30" ht="15.75" customHeight="1" x14ac:dyDescent="0.3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  <c r="AC207" s="120"/>
      <c r="AD207" s="120"/>
    </row>
    <row r="208" spans="1:30" ht="15.75" customHeight="1" x14ac:dyDescent="0.3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  <c r="AC208" s="120"/>
      <c r="AD208" s="120"/>
    </row>
    <row r="209" spans="1:30" ht="15.75" customHeight="1" x14ac:dyDescent="0.3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  <c r="AA209" s="120"/>
      <c r="AB209" s="120"/>
      <c r="AC209" s="120"/>
      <c r="AD209" s="120"/>
    </row>
    <row r="210" spans="1:30" ht="15.75" customHeight="1" x14ac:dyDescent="0.3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  <c r="AC210" s="120"/>
      <c r="AD210" s="120"/>
    </row>
    <row r="211" spans="1:30" ht="15.75" customHeight="1" x14ac:dyDescent="0.3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  <c r="AC211" s="120"/>
      <c r="AD211" s="120"/>
    </row>
    <row r="212" spans="1:30" ht="15.75" customHeight="1" x14ac:dyDescent="0.3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  <c r="AC212" s="120"/>
      <c r="AD212" s="120"/>
    </row>
    <row r="213" spans="1:30" ht="15.75" customHeight="1" x14ac:dyDescent="0.3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  <c r="AC213" s="120"/>
      <c r="AD213" s="120"/>
    </row>
    <row r="214" spans="1:30" ht="15.75" customHeight="1" x14ac:dyDescent="0.3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  <c r="AC214" s="120"/>
      <c r="AD214" s="120"/>
    </row>
    <row r="215" spans="1:30" ht="15.75" customHeight="1" x14ac:dyDescent="0.3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  <c r="AA215" s="120"/>
      <c r="AB215" s="120"/>
      <c r="AC215" s="120"/>
      <c r="AD215" s="120"/>
    </row>
    <row r="216" spans="1:30" ht="15.75" customHeight="1" x14ac:dyDescent="0.3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  <c r="AC216" s="120"/>
      <c r="AD216" s="120"/>
    </row>
    <row r="217" spans="1:30" ht="15.75" customHeight="1" x14ac:dyDescent="0.3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  <c r="AB217" s="120"/>
      <c r="AC217" s="120"/>
      <c r="AD217" s="120"/>
    </row>
    <row r="218" spans="1:30" ht="15.75" customHeight="1" x14ac:dyDescent="0.3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  <c r="AC218" s="120"/>
      <c r="AD218" s="120"/>
    </row>
    <row r="219" spans="1:30" ht="15.75" customHeight="1" x14ac:dyDescent="0.3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  <c r="AA219" s="120"/>
      <c r="AB219" s="120"/>
      <c r="AC219" s="120"/>
      <c r="AD219" s="120"/>
    </row>
    <row r="220" spans="1:30" ht="15.75" customHeight="1" x14ac:dyDescent="0.3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  <c r="AA220" s="120"/>
      <c r="AB220" s="120"/>
      <c r="AC220" s="120"/>
      <c r="AD220" s="120"/>
    </row>
    <row r="221" spans="1:30" ht="15.75" customHeight="1" x14ac:dyDescent="0.3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  <c r="AA221" s="120"/>
      <c r="AB221" s="120"/>
      <c r="AC221" s="120"/>
      <c r="AD221" s="120"/>
    </row>
    <row r="222" spans="1:30" ht="15.75" customHeight="1" x14ac:dyDescent="0.3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  <c r="AC222" s="120"/>
      <c r="AD222" s="120"/>
    </row>
    <row r="223" spans="1:30" ht="15.75" customHeight="1" x14ac:dyDescent="0.3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  <c r="AA223" s="120"/>
      <c r="AB223" s="120"/>
      <c r="AC223" s="120"/>
      <c r="AD223" s="120"/>
    </row>
    <row r="224" spans="1:30" ht="15.75" customHeight="1" x14ac:dyDescent="0.3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  <c r="AA224" s="120"/>
      <c r="AB224" s="120"/>
      <c r="AC224" s="120"/>
      <c r="AD224" s="120"/>
    </row>
    <row r="225" spans="1:30" ht="15.75" customHeight="1" x14ac:dyDescent="0.3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  <c r="AA225" s="120"/>
      <c r="AB225" s="120"/>
      <c r="AC225" s="120"/>
      <c r="AD225" s="120"/>
    </row>
    <row r="226" spans="1:30" ht="15.75" customHeight="1" x14ac:dyDescent="0.3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  <c r="AC226" s="120"/>
      <c r="AD226" s="120"/>
    </row>
    <row r="227" spans="1:30" ht="15.75" customHeight="1" x14ac:dyDescent="0.3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  <c r="AA227" s="120"/>
      <c r="AB227" s="120"/>
      <c r="AC227" s="120"/>
      <c r="AD227" s="120"/>
    </row>
    <row r="228" spans="1:30" ht="15.75" customHeight="1" x14ac:dyDescent="0.3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  <c r="AA228" s="120"/>
      <c r="AB228" s="120"/>
      <c r="AC228" s="120"/>
      <c r="AD228" s="120"/>
    </row>
    <row r="229" spans="1:30" ht="15.75" customHeight="1" x14ac:dyDescent="0.3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  <c r="AC229" s="120"/>
      <c r="AD229" s="120"/>
    </row>
    <row r="230" spans="1:30" ht="15.75" customHeight="1" x14ac:dyDescent="0.3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  <c r="AA230" s="120"/>
      <c r="AB230" s="120"/>
      <c r="AC230" s="120"/>
      <c r="AD230" s="120"/>
    </row>
    <row r="231" spans="1:30" ht="15.75" customHeight="1" x14ac:dyDescent="0.3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  <c r="AA231" s="120"/>
      <c r="AB231" s="120"/>
      <c r="AC231" s="120"/>
      <c r="AD231" s="120"/>
    </row>
    <row r="232" spans="1:30" ht="15.75" customHeight="1" x14ac:dyDescent="0.3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  <c r="AA232" s="120"/>
      <c r="AB232" s="120"/>
      <c r="AC232" s="120"/>
      <c r="AD232" s="120"/>
    </row>
    <row r="233" spans="1:30" ht="15.75" customHeight="1" x14ac:dyDescent="0.3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  <c r="AA233" s="120"/>
      <c r="AB233" s="120"/>
      <c r="AC233" s="120"/>
      <c r="AD233" s="120"/>
    </row>
    <row r="234" spans="1:30" ht="15.75" customHeight="1" x14ac:dyDescent="0.3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  <c r="AA234" s="120"/>
      <c r="AB234" s="120"/>
      <c r="AC234" s="120"/>
      <c r="AD234" s="120"/>
    </row>
    <row r="235" spans="1:30" ht="15.75" customHeight="1" x14ac:dyDescent="0.3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  <c r="AA235" s="120"/>
      <c r="AB235" s="120"/>
      <c r="AC235" s="120"/>
      <c r="AD235" s="120"/>
    </row>
    <row r="236" spans="1:30" ht="15.75" customHeight="1" x14ac:dyDescent="0.3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  <c r="AC236" s="120"/>
      <c r="AD236" s="120"/>
    </row>
    <row r="237" spans="1:30" ht="15.75" customHeight="1" x14ac:dyDescent="0.3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  <c r="AA237" s="120"/>
      <c r="AB237" s="120"/>
      <c r="AC237" s="120"/>
      <c r="AD237" s="120"/>
    </row>
    <row r="238" spans="1:30" ht="15.75" customHeight="1" x14ac:dyDescent="0.3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  <c r="AB238" s="120"/>
      <c r="AC238" s="120"/>
      <c r="AD238" s="120"/>
    </row>
    <row r="239" spans="1:30" ht="15.75" customHeight="1" x14ac:dyDescent="0.3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  <c r="AA239" s="120"/>
      <c r="AB239" s="120"/>
      <c r="AC239" s="120"/>
      <c r="AD239" s="120"/>
    </row>
    <row r="240" spans="1:30" ht="15.75" customHeight="1" x14ac:dyDescent="0.3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  <c r="AA240" s="120"/>
      <c r="AB240" s="120"/>
      <c r="AC240" s="120"/>
      <c r="AD240" s="120"/>
    </row>
    <row r="241" spans="1:30" ht="15.75" customHeight="1" x14ac:dyDescent="0.3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  <c r="AA241" s="120"/>
      <c r="AB241" s="120"/>
      <c r="AC241" s="120"/>
      <c r="AD241" s="120"/>
    </row>
    <row r="242" spans="1:30" ht="15.75" customHeight="1" x14ac:dyDescent="0.3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  <c r="AC242" s="120"/>
      <c r="AD242" s="120"/>
    </row>
    <row r="243" spans="1:30" ht="15.75" customHeight="1" x14ac:dyDescent="0.3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  <c r="AA243" s="120"/>
      <c r="AB243" s="120"/>
      <c r="AC243" s="120"/>
      <c r="AD243" s="120"/>
    </row>
    <row r="244" spans="1:30" ht="15.75" customHeight="1" x14ac:dyDescent="0.3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  <c r="AA244" s="120"/>
      <c r="AB244" s="120"/>
      <c r="AC244" s="120"/>
      <c r="AD244" s="120"/>
    </row>
    <row r="245" spans="1:30" ht="15.75" customHeight="1" x14ac:dyDescent="0.3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  <c r="AA245" s="120"/>
      <c r="AB245" s="120"/>
      <c r="AC245" s="120"/>
      <c r="AD245" s="120"/>
    </row>
    <row r="246" spans="1:30" ht="15.75" customHeight="1" x14ac:dyDescent="0.3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  <c r="AA246" s="120"/>
      <c r="AB246" s="120"/>
      <c r="AC246" s="120"/>
      <c r="AD246" s="120"/>
    </row>
    <row r="247" spans="1:30" ht="15.75" customHeight="1" x14ac:dyDescent="0.3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  <c r="AC247" s="120"/>
      <c r="AD247" s="120"/>
    </row>
    <row r="248" spans="1:30" ht="15.75" customHeight="1" x14ac:dyDescent="0.3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  <c r="AA248" s="120"/>
      <c r="AB248" s="120"/>
      <c r="AC248" s="120"/>
      <c r="AD248" s="120"/>
    </row>
    <row r="249" spans="1:30" ht="15.75" customHeight="1" x14ac:dyDescent="0.3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  <c r="AC249" s="120"/>
      <c r="AD249" s="120"/>
    </row>
    <row r="250" spans="1:30" ht="15.75" customHeight="1" x14ac:dyDescent="0.3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  <c r="AB250" s="120"/>
      <c r="AC250" s="120"/>
      <c r="AD250" s="120"/>
    </row>
    <row r="251" spans="1:30" ht="15.75" customHeight="1" x14ac:dyDescent="0.3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20"/>
      <c r="AC251" s="120"/>
      <c r="AD251" s="120"/>
    </row>
    <row r="252" spans="1:30" ht="15.75" customHeight="1" x14ac:dyDescent="0.3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  <c r="AA252" s="120"/>
      <c r="AB252" s="120"/>
      <c r="AC252" s="120"/>
      <c r="AD252" s="120"/>
    </row>
    <row r="253" spans="1:30" ht="15.75" customHeight="1" x14ac:dyDescent="0.3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  <c r="AA253" s="120"/>
      <c r="AB253" s="120"/>
      <c r="AC253" s="120"/>
      <c r="AD253" s="120"/>
    </row>
    <row r="254" spans="1:30" ht="15.75" customHeight="1" x14ac:dyDescent="0.3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  <c r="AA254" s="120"/>
      <c r="AB254" s="120"/>
      <c r="AC254" s="120"/>
      <c r="AD254" s="120"/>
    </row>
    <row r="255" spans="1:30" ht="15.75" customHeight="1" x14ac:dyDescent="0.3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  <c r="AA255" s="120"/>
      <c r="AB255" s="120"/>
      <c r="AC255" s="120"/>
      <c r="AD255" s="120"/>
    </row>
    <row r="256" spans="1:30" ht="15.75" customHeight="1" x14ac:dyDescent="0.3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  <c r="AA256" s="120"/>
      <c r="AB256" s="120"/>
      <c r="AC256" s="120"/>
      <c r="AD256" s="120"/>
    </row>
    <row r="257" spans="1:30" ht="15.75" customHeight="1" x14ac:dyDescent="0.3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  <c r="AA257" s="120"/>
      <c r="AB257" s="120"/>
      <c r="AC257" s="120"/>
      <c r="AD257" s="120"/>
    </row>
    <row r="258" spans="1:30" ht="15.75" customHeight="1" x14ac:dyDescent="0.3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  <c r="AA258" s="120"/>
      <c r="AB258" s="120"/>
      <c r="AC258" s="120"/>
      <c r="AD258" s="120"/>
    </row>
    <row r="259" spans="1:30" ht="15.75" customHeight="1" x14ac:dyDescent="0.3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  <c r="AA259" s="120"/>
      <c r="AB259" s="120"/>
      <c r="AC259" s="120"/>
      <c r="AD259" s="120"/>
    </row>
    <row r="260" spans="1:30" ht="15.75" customHeight="1" x14ac:dyDescent="0.3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  <c r="AA260" s="120"/>
      <c r="AB260" s="120"/>
      <c r="AC260" s="120"/>
      <c r="AD260" s="120"/>
    </row>
    <row r="261" spans="1:30" ht="15.75" customHeight="1" x14ac:dyDescent="0.3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  <c r="AA261" s="120"/>
      <c r="AB261" s="120"/>
      <c r="AC261" s="120"/>
      <c r="AD261" s="120"/>
    </row>
    <row r="262" spans="1:30" ht="15.75" customHeight="1" x14ac:dyDescent="0.3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  <c r="AA262" s="120"/>
      <c r="AB262" s="120"/>
      <c r="AC262" s="120"/>
      <c r="AD262" s="120"/>
    </row>
    <row r="263" spans="1:30" ht="15.75" customHeight="1" x14ac:dyDescent="0.3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  <c r="AA263" s="120"/>
      <c r="AB263" s="120"/>
      <c r="AC263" s="120"/>
      <c r="AD263" s="120"/>
    </row>
    <row r="264" spans="1:30" ht="15.75" customHeight="1" x14ac:dyDescent="0.3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  <c r="AA264" s="120"/>
      <c r="AB264" s="120"/>
      <c r="AC264" s="120"/>
      <c r="AD264" s="120"/>
    </row>
    <row r="265" spans="1:30" ht="15.75" customHeight="1" x14ac:dyDescent="0.3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  <c r="AA265" s="120"/>
      <c r="AB265" s="120"/>
      <c r="AC265" s="120"/>
      <c r="AD265" s="120"/>
    </row>
    <row r="266" spans="1:30" ht="15.75" customHeight="1" x14ac:dyDescent="0.3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  <c r="AA266" s="120"/>
      <c r="AB266" s="120"/>
      <c r="AC266" s="120"/>
      <c r="AD266" s="120"/>
    </row>
    <row r="267" spans="1:30" ht="15.75" customHeight="1" x14ac:dyDescent="0.3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  <c r="AA267" s="120"/>
      <c r="AB267" s="120"/>
      <c r="AC267" s="120"/>
      <c r="AD267" s="120"/>
    </row>
    <row r="268" spans="1:30" ht="15.75" customHeight="1" x14ac:dyDescent="0.3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  <c r="AA268" s="120"/>
      <c r="AB268" s="120"/>
      <c r="AC268" s="120"/>
      <c r="AD268" s="120"/>
    </row>
    <row r="269" spans="1:30" ht="15.75" customHeight="1" x14ac:dyDescent="0.3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  <c r="AA269" s="120"/>
      <c r="AB269" s="120"/>
      <c r="AC269" s="120"/>
      <c r="AD269" s="120"/>
    </row>
    <row r="270" spans="1:30" ht="15.75" customHeight="1" x14ac:dyDescent="0.3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  <c r="AA270" s="120"/>
      <c r="AB270" s="120"/>
      <c r="AC270" s="120"/>
      <c r="AD270" s="120"/>
    </row>
    <row r="271" spans="1:30" ht="15.75" customHeight="1" x14ac:dyDescent="0.3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  <c r="AA271" s="120"/>
      <c r="AB271" s="120"/>
      <c r="AC271" s="120"/>
      <c r="AD271" s="120"/>
    </row>
    <row r="272" spans="1:30" ht="15.75" customHeight="1" x14ac:dyDescent="0.3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  <c r="AA272" s="120"/>
      <c r="AB272" s="120"/>
      <c r="AC272" s="120"/>
      <c r="AD272" s="120"/>
    </row>
    <row r="273" spans="1:30" ht="15.75" customHeight="1" x14ac:dyDescent="0.3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  <c r="AA273" s="120"/>
      <c r="AB273" s="120"/>
      <c r="AC273" s="120"/>
      <c r="AD273" s="120"/>
    </row>
    <row r="274" spans="1:30" ht="15.75" customHeight="1" x14ac:dyDescent="0.3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  <c r="AA274" s="120"/>
      <c r="AB274" s="120"/>
      <c r="AC274" s="120"/>
      <c r="AD274" s="120"/>
    </row>
    <row r="275" spans="1:30" ht="15.75" customHeight="1" x14ac:dyDescent="0.3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  <c r="AC275" s="120"/>
      <c r="AD275" s="120"/>
    </row>
    <row r="276" spans="1:30" ht="15.75" customHeight="1" x14ac:dyDescent="0.3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  <c r="AC276" s="120"/>
      <c r="AD276" s="120"/>
    </row>
    <row r="277" spans="1:30" ht="15.75" customHeight="1" x14ac:dyDescent="0.3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  <c r="AC277" s="120"/>
      <c r="AD277" s="120"/>
    </row>
    <row r="278" spans="1:30" ht="15.75" customHeight="1" x14ac:dyDescent="0.3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  <c r="AC278" s="120"/>
      <c r="AD278" s="120"/>
    </row>
    <row r="279" spans="1:30" ht="15.75" customHeight="1" x14ac:dyDescent="0.3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</row>
    <row r="280" spans="1:30" ht="15.75" customHeight="1" x14ac:dyDescent="0.3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</row>
    <row r="281" spans="1:30" ht="15.75" customHeight="1" x14ac:dyDescent="0.3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</row>
    <row r="282" spans="1:30" ht="15.75" customHeight="1" x14ac:dyDescent="0.3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</row>
    <row r="283" spans="1:30" ht="15.75" customHeight="1" x14ac:dyDescent="0.3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</row>
    <row r="284" spans="1:30" ht="15.75" customHeight="1" x14ac:dyDescent="0.3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</row>
    <row r="285" spans="1:30" ht="15.75" customHeight="1" x14ac:dyDescent="0.3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</row>
    <row r="286" spans="1:30" ht="15.75" customHeight="1" x14ac:dyDescent="0.3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0"/>
      <c r="AD286" s="120"/>
    </row>
    <row r="287" spans="1:30" ht="15.75" customHeight="1" x14ac:dyDescent="0.3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0"/>
      <c r="AD287" s="120"/>
    </row>
    <row r="288" spans="1:30" ht="15.75" customHeight="1" x14ac:dyDescent="0.3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0"/>
      <c r="AD288" s="120"/>
    </row>
    <row r="289" spans="1:30" ht="15.75" customHeight="1" x14ac:dyDescent="0.3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  <c r="AC289" s="120"/>
      <c r="AD289" s="120"/>
    </row>
    <row r="290" spans="1:30" ht="15.75" customHeight="1" x14ac:dyDescent="0.3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  <c r="AC290" s="120"/>
      <c r="AD290" s="120"/>
    </row>
    <row r="291" spans="1:30" ht="15.75" customHeight="1" x14ac:dyDescent="0.3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  <c r="AC291" s="120"/>
      <c r="AD291" s="120"/>
    </row>
    <row r="292" spans="1:30" ht="15.75" customHeight="1" x14ac:dyDescent="0.3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  <c r="AC292" s="120"/>
      <c r="AD292" s="120"/>
    </row>
    <row r="293" spans="1:30" ht="15.75" customHeight="1" x14ac:dyDescent="0.3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  <c r="AA293" s="120"/>
      <c r="AB293" s="120"/>
      <c r="AC293" s="120"/>
      <c r="AD293" s="120"/>
    </row>
    <row r="294" spans="1:30" ht="15.75" customHeight="1" x14ac:dyDescent="0.3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  <c r="AA294" s="120"/>
      <c r="AB294" s="120"/>
      <c r="AC294" s="120"/>
      <c r="AD294" s="120"/>
    </row>
    <row r="295" spans="1:30" ht="15.75" customHeight="1" x14ac:dyDescent="0.3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  <c r="AA295" s="120"/>
      <c r="AB295" s="120"/>
      <c r="AC295" s="120"/>
      <c r="AD295" s="120"/>
    </row>
    <row r="296" spans="1:30" ht="15.75" customHeight="1" x14ac:dyDescent="0.3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  <c r="AA296" s="120"/>
      <c r="AB296" s="120"/>
      <c r="AC296" s="120"/>
      <c r="AD296" s="120"/>
    </row>
    <row r="297" spans="1:30" ht="15.75" customHeight="1" x14ac:dyDescent="0.3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  <c r="AA297" s="120"/>
      <c r="AB297" s="120"/>
      <c r="AC297" s="120"/>
      <c r="AD297" s="120"/>
    </row>
    <row r="298" spans="1:30" ht="15.75" customHeight="1" x14ac:dyDescent="0.3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  <c r="AA298" s="120"/>
      <c r="AB298" s="120"/>
      <c r="AC298" s="120"/>
      <c r="AD298" s="120"/>
    </row>
    <row r="299" spans="1:30" ht="15.75" customHeight="1" x14ac:dyDescent="0.3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  <c r="AA299" s="120"/>
      <c r="AB299" s="120"/>
      <c r="AC299" s="120"/>
      <c r="AD299" s="120"/>
    </row>
    <row r="300" spans="1:30" ht="15.75" customHeight="1" x14ac:dyDescent="0.3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  <c r="AA300" s="120"/>
      <c r="AB300" s="120"/>
      <c r="AC300" s="120"/>
      <c r="AD300" s="120"/>
    </row>
    <row r="301" spans="1:30" ht="15.75" customHeight="1" x14ac:dyDescent="0.3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  <c r="AA301" s="120"/>
      <c r="AB301" s="120"/>
      <c r="AC301" s="120"/>
      <c r="AD301" s="120"/>
    </row>
    <row r="302" spans="1:30" ht="15.75" customHeight="1" x14ac:dyDescent="0.3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  <c r="AA302" s="120"/>
      <c r="AB302" s="120"/>
      <c r="AC302" s="120"/>
      <c r="AD302" s="120"/>
    </row>
    <row r="303" spans="1:30" ht="15.75" customHeight="1" x14ac:dyDescent="0.3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  <c r="AA303" s="120"/>
      <c r="AB303" s="120"/>
      <c r="AC303" s="120"/>
      <c r="AD303" s="120"/>
    </row>
    <row r="304" spans="1:30" ht="15.75" customHeight="1" x14ac:dyDescent="0.3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  <c r="AA304" s="120"/>
      <c r="AB304" s="120"/>
      <c r="AC304" s="120"/>
      <c r="AD304" s="120"/>
    </row>
    <row r="305" spans="1:30" ht="15.75" customHeight="1" x14ac:dyDescent="0.3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  <c r="AA305" s="120"/>
      <c r="AB305" s="120"/>
      <c r="AC305" s="120"/>
      <c r="AD305" s="120"/>
    </row>
    <row r="306" spans="1:30" ht="15.75" customHeight="1" x14ac:dyDescent="0.3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  <c r="AA306" s="120"/>
      <c r="AB306" s="120"/>
      <c r="AC306" s="120"/>
      <c r="AD306" s="120"/>
    </row>
    <row r="307" spans="1:30" ht="15.75" customHeight="1" x14ac:dyDescent="0.3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  <c r="AA307" s="120"/>
      <c r="AB307" s="120"/>
      <c r="AC307" s="120"/>
      <c r="AD307" s="120"/>
    </row>
    <row r="308" spans="1:30" ht="15.75" customHeight="1" x14ac:dyDescent="0.3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  <c r="AA308" s="120"/>
      <c r="AB308" s="120"/>
      <c r="AC308" s="120"/>
      <c r="AD308" s="120"/>
    </row>
    <row r="309" spans="1:30" ht="15.75" customHeight="1" x14ac:dyDescent="0.3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  <c r="AA309" s="120"/>
      <c r="AB309" s="120"/>
      <c r="AC309" s="120"/>
      <c r="AD309" s="120"/>
    </row>
    <row r="310" spans="1:30" ht="15.75" customHeight="1" x14ac:dyDescent="0.3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  <c r="AA310" s="120"/>
      <c r="AB310" s="120"/>
      <c r="AC310" s="120"/>
      <c r="AD310" s="120"/>
    </row>
    <row r="311" spans="1:30" ht="15.75" customHeight="1" x14ac:dyDescent="0.3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  <c r="AA311" s="120"/>
      <c r="AB311" s="120"/>
      <c r="AC311" s="120"/>
      <c r="AD311" s="120"/>
    </row>
    <row r="312" spans="1:30" ht="15.75" customHeight="1" x14ac:dyDescent="0.3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  <c r="AA312" s="120"/>
      <c r="AB312" s="120"/>
      <c r="AC312" s="120"/>
      <c r="AD312" s="120"/>
    </row>
    <row r="313" spans="1:30" ht="15.75" customHeight="1" x14ac:dyDescent="0.3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  <c r="AA313" s="120"/>
      <c r="AB313" s="120"/>
      <c r="AC313" s="120"/>
      <c r="AD313" s="120"/>
    </row>
    <row r="314" spans="1:30" ht="15.75" customHeight="1" x14ac:dyDescent="0.3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  <c r="AA314" s="120"/>
      <c r="AB314" s="120"/>
      <c r="AC314" s="120"/>
      <c r="AD314" s="120"/>
    </row>
    <row r="315" spans="1:30" ht="15.75" customHeight="1" x14ac:dyDescent="0.3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  <c r="AA315" s="120"/>
      <c r="AB315" s="120"/>
      <c r="AC315" s="120"/>
      <c r="AD315" s="120"/>
    </row>
    <row r="316" spans="1:30" ht="15.75" customHeight="1" x14ac:dyDescent="0.3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  <c r="AA316" s="120"/>
      <c r="AB316" s="120"/>
      <c r="AC316" s="120"/>
      <c r="AD316" s="120"/>
    </row>
    <row r="317" spans="1:30" ht="15.75" customHeight="1" x14ac:dyDescent="0.3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  <c r="AA317" s="120"/>
      <c r="AB317" s="120"/>
      <c r="AC317" s="120"/>
      <c r="AD317" s="120"/>
    </row>
    <row r="318" spans="1:30" ht="15.75" customHeight="1" x14ac:dyDescent="0.3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  <c r="AA318" s="120"/>
      <c r="AB318" s="120"/>
      <c r="AC318" s="120"/>
      <c r="AD318" s="120"/>
    </row>
    <row r="319" spans="1:30" ht="15.75" customHeight="1" x14ac:dyDescent="0.3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  <c r="AA319" s="120"/>
      <c r="AB319" s="120"/>
      <c r="AC319" s="120"/>
      <c r="AD319" s="120"/>
    </row>
    <row r="320" spans="1:30" ht="15.75" customHeight="1" x14ac:dyDescent="0.3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  <c r="AA320" s="120"/>
      <c r="AB320" s="120"/>
      <c r="AC320" s="120"/>
      <c r="AD320" s="120"/>
    </row>
    <row r="321" spans="1:30" ht="15.75" customHeight="1" x14ac:dyDescent="0.3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  <c r="AA321" s="120"/>
      <c r="AB321" s="120"/>
      <c r="AC321" s="120"/>
      <c r="AD321" s="120"/>
    </row>
    <row r="322" spans="1:30" ht="15.75" customHeight="1" x14ac:dyDescent="0.3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  <c r="AA322" s="120"/>
      <c r="AB322" s="120"/>
      <c r="AC322" s="120"/>
      <c r="AD322" s="120"/>
    </row>
    <row r="323" spans="1:30" ht="15.75" customHeight="1" x14ac:dyDescent="0.3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  <c r="AA323" s="120"/>
      <c r="AB323" s="120"/>
      <c r="AC323" s="120"/>
      <c r="AD323" s="120"/>
    </row>
    <row r="324" spans="1:30" ht="15.75" customHeight="1" x14ac:dyDescent="0.3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  <c r="AA324" s="120"/>
      <c r="AB324" s="120"/>
      <c r="AC324" s="120"/>
      <c r="AD324" s="120"/>
    </row>
    <row r="325" spans="1:30" ht="15.75" customHeight="1" x14ac:dyDescent="0.3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  <c r="AA325" s="120"/>
      <c r="AB325" s="120"/>
      <c r="AC325" s="120"/>
      <c r="AD325" s="120"/>
    </row>
    <row r="326" spans="1:30" ht="15.75" customHeight="1" x14ac:dyDescent="0.3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  <c r="AA326" s="120"/>
      <c r="AB326" s="120"/>
      <c r="AC326" s="120"/>
      <c r="AD326" s="120"/>
    </row>
    <row r="327" spans="1:30" ht="15.75" customHeight="1" x14ac:dyDescent="0.3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  <c r="AA327" s="120"/>
      <c r="AB327" s="120"/>
      <c r="AC327" s="120"/>
      <c r="AD327" s="120"/>
    </row>
    <row r="328" spans="1:30" ht="15.75" customHeight="1" x14ac:dyDescent="0.3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  <c r="AA328" s="120"/>
      <c r="AB328" s="120"/>
      <c r="AC328" s="120"/>
      <c r="AD328" s="120"/>
    </row>
    <row r="329" spans="1:30" ht="15.75" customHeight="1" x14ac:dyDescent="0.3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  <c r="AA329" s="120"/>
      <c r="AB329" s="120"/>
      <c r="AC329" s="120"/>
      <c r="AD329" s="120"/>
    </row>
    <row r="330" spans="1:30" ht="15.75" customHeight="1" x14ac:dyDescent="0.3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  <c r="AA330" s="120"/>
      <c r="AB330" s="120"/>
      <c r="AC330" s="120"/>
      <c r="AD330" s="120"/>
    </row>
    <row r="331" spans="1:30" ht="15.75" customHeight="1" x14ac:dyDescent="0.3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  <c r="AB331" s="120"/>
      <c r="AC331" s="120"/>
      <c r="AD331" s="120"/>
    </row>
    <row r="332" spans="1:30" ht="15.75" customHeight="1" x14ac:dyDescent="0.3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  <c r="AA332" s="120"/>
      <c r="AB332" s="120"/>
      <c r="AC332" s="120"/>
      <c r="AD332" s="120"/>
    </row>
    <row r="333" spans="1:30" ht="15.75" customHeight="1" x14ac:dyDescent="0.3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  <c r="AA333" s="120"/>
      <c r="AB333" s="120"/>
      <c r="AC333" s="120"/>
      <c r="AD333" s="120"/>
    </row>
    <row r="334" spans="1:30" ht="15.75" customHeight="1" x14ac:dyDescent="0.3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  <c r="AA334" s="120"/>
      <c r="AB334" s="120"/>
      <c r="AC334" s="120"/>
      <c r="AD334" s="120"/>
    </row>
    <row r="335" spans="1:30" ht="15.75" customHeight="1" x14ac:dyDescent="0.3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  <c r="AA335" s="120"/>
      <c r="AB335" s="120"/>
      <c r="AC335" s="120"/>
      <c r="AD335" s="120"/>
    </row>
    <row r="336" spans="1:30" ht="15.75" customHeight="1" x14ac:dyDescent="0.3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  <c r="AA336" s="120"/>
      <c r="AB336" s="120"/>
      <c r="AC336" s="120"/>
      <c r="AD336" s="120"/>
    </row>
    <row r="337" spans="1:30" ht="15.75" customHeight="1" x14ac:dyDescent="0.3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  <c r="AA337" s="120"/>
      <c r="AB337" s="120"/>
      <c r="AC337" s="120"/>
      <c r="AD337" s="120"/>
    </row>
    <row r="338" spans="1:30" ht="15.75" customHeight="1" x14ac:dyDescent="0.3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  <c r="AA338" s="120"/>
      <c r="AB338" s="120"/>
      <c r="AC338" s="120"/>
      <c r="AD338" s="120"/>
    </row>
    <row r="339" spans="1:30" ht="15.75" customHeight="1" x14ac:dyDescent="0.3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  <c r="AA339" s="120"/>
      <c r="AB339" s="120"/>
      <c r="AC339" s="120"/>
      <c r="AD339" s="120"/>
    </row>
    <row r="340" spans="1:30" ht="15.75" customHeight="1" x14ac:dyDescent="0.3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  <c r="AA340" s="120"/>
      <c r="AB340" s="120"/>
      <c r="AC340" s="120"/>
      <c r="AD340" s="120"/>
    </row>
    <row r="341" spans="1:30" ht="15.75" customHeight="1" x14ac:dyDescent="0.3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  <c r="AA341" s="120"/>
      <c r="AB341" s="120"/>
      <c r="AC341" s="120"/>
      <c r="AD341" s="120"/>
    </row>
    <row r="342" spans="1:30" ht="15.75" customHeight="1" x14ac:dyDescent="0.3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  <c r="AA342" s="120"/>
      <c r="AB342" s="120"/>
      <c r="AC342" s="120"/>
      <c r="AD342" s="120"/>
    </row>
    <row r="343" spans="1:30" ht="15.75" customHeight="1" x14ac:dyDescent="0.3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  <c r="AA343" s="120"/>
      <c r="AB343" s="120"/>
      <c r="AC343" s="120"/>
      <c r="AD343" s="120"/>
    </row>
    <row r="344" spans="1:30" ht="15.75" customHeight="1" x14ac:dyDescent="0.3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  <c r="AA344" s="120"/>
      <c r="AB344" s="120"/>
      <c r="AC344" s="120"/>
      <c r="AD344" s="120"/>
    </row>
    <row r="345" spans="1:30" ht="15.75" customHeight="1" x14ac:dyDescent="0.3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  <c r="AA345" s="120"/>
      <c r="AB345" s="120"/>
      <c r="AC345" s="120"/>
      <c r="AD345" s="120"/>
    </row>
    <row r="346" spans="1:30" ht="15.75" customHeight="1" x14ac:dyDescent="0.3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  <c r="AA346" s="120"/>
      <c r="AB346" s="120"/>
      <c r="AC346" s="120"/>
      <c r="AD346" s="120"/>
    </row>
    <row r="347" spans="1:30" ht="15.75" customHeight="1" x14ac:dyDescent="0.3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  <c r="AA347" s="120"/>
      <c r="AB347" s="120"/>
      <c r="AC347" s="120"/>
      <c r="AD347" s="120"/>
    </row>
    <row r="348" spans="1:30" ht="15.75" customHeight="1" x14ac:dyDescent="0.3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  <c r="AA348" s="120"/>
      <c r="AB348" s="120"/>
      <c r="AC348" s="120"/>
      <c r="AD348" s="120"/>
    </row>
    <row r="349" spans="1:30" ht="15.75" customHeight="1" x14ac:dyDescent="0.3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  <c r="AA349" s="120"/>
      <c r="AB349" s="120"/>
      <c r="AC349" s="120"/>
      <c r="AD349" s="120"/>
    </row>
    <row r="350" spans="1:30" ht="15.75" customHeight="1" x14ac:dyDescent="0.3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  <c r="AA350" s="120"/>
      <c r="AB350" s="120"/>
      <c r="AC350" s="120"/>
      <c r="AD350" s="120"/>
    </row>
    <row r="351" spans="1:30" ht="15.75" customHeight="1" x14ac:dyDescent="0.3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  <c r="AA351" s="120"/>
      <c r="AB351" s="120"/>
      <c r="AC351" s="120"/>
      <c r="AD351" s="120"/>
    </row>
    <row r="352" spans="1:30" ht="15.75" customHeight="1" x14ac:dyDescent="0.3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  <c r="AA352" s="120"/>
      <c r="AB352" s="120"/>
      <c r="AC352" s="120"/>
      <c r="AD352" s="120"/>
    </row>
    <row r="353" spans="1:30" ht="15.75" customHeight="1" x14ac:dyDescent="0.3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  <c r="AA353" s="120"/>
      <c r="AB353" s="120"/>
      <c r="AC353" s="120"/>
      <c r="AD353" s="120"/>
    </row>
    <row r="354" spans="1:30" ht="15.75" customHeight="1" x14ac:dyDescent="0.3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  <c r="AA354" s="120"/>
      <c r="AB354" s="120"/>
      <c r="AC354" s="120"/>
      <c r="AD354" s="120"/>
    </row>
    <row r="355" spans="1:30" ht="15.75" customHeight="1" x14ac:dyDescent="0.3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  <c r="AA355" s="120"/>
      <c r="AB355" s="120"/>
      <c r="AC355" s="120"/>
      <c r="AD355" s="120"/>
    </row>
    <row r="356" spans="1:30" ht="15.75" customHeight="1" x14ac:dyDescent="0.3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  <c r="AA356" s="120"/>
      <c r="AB356" s="120"/>
      <c r="AC356" s="120"/>
      <c r="AD356" s="120"/>
    </row>
    <row r="357" spans="1:30" ht="15.75" customHeight="1" x14ac:dyDescent="0.3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  <c r="AA357" s="120"/>
      <c r="AB357" s="120"/>
      <c r="AC357" s="120"/>
      <c r="AD357" s="120"/>
    </row>
    <row r="358" spans="1:30" ht="15.75" customHeight="1" x14ac:dyDescent="0.3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  <c r="AA358" s="120"/>
      <c r="AB358" s="120"/>
      <c r="AC358" s="120"/>
      <c r="AD358" s="120"/>
    </row>
    <row r="359" spans="1:30" ht="15.75" customHeight="1" x14ac:dyDescent="0.3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  <c r="AA359" s="120"/>
      <c r="AB359" s="120"/>
      <c r="AC359" s="120"/>
      <c r="AD359" s="120"/>
    </row>
    <row r="360" spans="1:30" ht="15.75" customHeight="1" x14ac:dyDescent="0.3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  <c r="AA360" s="120"/>
      <c r="AB360" s="120"/>
      <c r="AC360" s="120"/>
      <c r="AD360" s="120"/>
    </row>
    <row r="361" spans="1:30" ht="15.75" customHeight="1" x14ac:dyDescent="0.3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  <c r="AA361" s="120"/>
      <c r="AB361" s="120"/>
      <c r="AC361" s="120"/>
      <c r="AD361" s="120"/>
    </row>
    <row r="362" spans="1:30" ht="15.75" customHeight="1" x14ac:dyDescent="0.3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  <c r="AA362" s="120"/>
      <c r="AB362" s="120"/>
      <c r="AC362" s="120"/>
      <c r="AD362" s="120"/>
    </row>
    <row r="363" spans="1:30" ht="15.75" customHeight="1" x14ac:dyDescent="0.3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  <c r="AA363" s="120"/>
      <c r="AB363" s="120"/>
      <c r="AC363" s="120"/>
      <c r="AD363" s="120"/>
    </row>
    <row r="364" spans="1:30" ht="15.75" customHeight="1" x14ac:dyDescent="0.3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  <c r="AA364" s="120"/>
      <c r="AB364" s="120"/>
      <c r="AC364" s="120"/>
      <c r="AD364" s="120"/>
    </row>
    <row r="365" spans="1:30" ht="15.75" customHeight="1" x14ac:dyDescent="0.3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  <c r="AA365" s="120"/>
      <c r="AB365" s="120"/>
      <c r="AC365" s="120"/>
      <c r="AD365" s="120"/>
    </row>
    <row r="366" spans="1:30" ht="15.75" customHeight="1" x14ac:dyDescent="0.3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  <c r="AA366" s="120"/>
      <c r="AB366" s="120"/>
      <c r="AC366" s="120"/>
      <c r="AD366" s="120"/>
    </row>
    <row r="367" spans="1:30" ht="15.75" customHeight="1" x14ac:dyDescent="0.3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  <c r="AA367" s="120"/>
      <c r="AB367" s="120"/>
      <c r="AC367" s="120"/>
      <c r="AD367" s="120"/>
    </row>
    <row r="368" spans="1:30" ht="15.75" customHeight="1" x14ac:dyDescent="0.3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  <c r="AA368" s="120"/>
      <c r="AB368" s="120"/>
      <c r="AC368" s="120"/>
      <c r="AD368" s="120"/>
    </row>
    <row r="369" spans="1:30" ht="15.75" customHeight="1" x14ac:dyDescent="0.3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  <c r="AA369" s="120"/>
      <c r="AB369" s="120"/>
      <c r="AC369" s="120"/>
      <c r="AD369" s="120"/>
    </row>
    <row r="370" spans="1:30" ht="15.75" customHeight="1" x14ac:dyDescent="0.3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  <c r="AA370" s="120"/>
      <c r="AB370" s="120"/>
      <c r="AC370" s="120"/>
      <c r="AD370" s="120"/>
    </row>
    <row r="371" spans="1:30" ht="15.75" customHeight="1" x14ac:dyDescent="0.3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  <c r="AA371" s="120"/>
      <c r="AB371" s="120"/>
      <c r="AC371" s="120"/>
      <c r="AD371" s="120"/>
    </row>
    <row r="372" spans="1:30" ht="15.75" customHeight="1" x14ac:dyDescent="0.3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  <c r="AA372" s="120"/>
      <c r="AB372" s="120"/>
      <c r="AC372" s="120"/>
      <c r="AD372" s="120"/>
    </row>
    <row r="373" spans="1:30" ht="15.75" customHeight="1" x14ac:dyDescent="0.3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  <c r="AA373" s="120"/>
      <c r="AB373" s="120"/>
      <c r="AC373" s="120"/>
      <c r="AD373" s="120"/>
    </row>
    <row r="374" spans="1:30" ht="15.75" customHeight="1" x14ac:dyDescent="0.3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  <c r="AA374" s="120"/>
      <c r="AB374" s="120"/>
      <c r="AC374" s="120"/>
      <c r="AD374" s="120"/>
    </row>
    <row r="375" spans="1:30" ht="15.75" customHeight="1" x14ac:dyDescent="0.3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  <c r="AA375" s="120"/>
      <c r="AB375" s="120"/>
      <c r="AC375" s="120"/>
      <c r="AD375" s="120"/>
    </row>
    <row r="376" spans="1:30" ht="15.75" customHeight="1" x14ac:dyDescent="0.3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  <c r="AB376" s="120"/>
      <c r="AC376" s="120"/>
      <c r="AD376" s="120"/>
    </row>
    <row r="377" spans="1:30" ht="15.75" customHeight="1" x14ac:dyDescent="0.3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  <c r="AA377" s="120"/>
      <c r="AB377" s="120"/>
      <c r="AC377" s="120"/>
      <c r="AD377" s="120"/>
    </row>
    <row r="378" spans="1:30" ht="15.75" customHeight="1" x14ac:dyDescent="0.3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  <c r="AA378" s="120"/>
      <c r="AB378" s="120"/>
      <c r="AC378" s="120"/>
      <c r="AD378" s="120"/>
    </row>
    <row r="379" spans="1:30" ht="15.75" customHeight="1" x14ac:dyDescent="0.3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  <c r="AA379" s="120"/>
      <c r="AB379" s="120"/>
      <c r="AC379" s="120"/>
      <c r="AD379" s="120"/>
    </row>
    <row r="380" spans="1:30" ht="15.75" customHeight="1" x14ac:dyDescent="0.3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  <c r="AA380" s="120"/>
      <c r="AB380" s="120"/>
      <c r="AC380" s="120"/>
      <c r="AD380" s="120"/>
    </row>
    <row r="381" spans="1:30" ht="15.75" customHeight="1" x14ac:dyDescent="0.3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  <c r="AA381" s="120"/>
      <c r="AB381" s="120"/>
      <c r="AC381" s="120"/>
      <c r="AD381" s="120"/>
    </row>
    <row r="382" spans="1:30" ht="15.75" customHeight="1" x14ac:dyDescent="0.3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  <c r="AA382" s="120"/>
      <c r="AB382" s="120"/>
      <c r="AC382" s="120"/>
      <c r="AD382" s="120"/>
    </row>
    <row r="383" spans="1:30" ht="15.75" customHeight="1" x14ac:dyDescent="0.3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  <c r="AA383" s="120"/>
      <c r="AB383" s="120"/>
      <c r="AC383" s="120"/>
      <c r="AD383" s="120"/>
    </row>
    <row r="384" spans="1:30" ht="15.75" customHeight="1" x14ac:dyDescent="0.3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  <c r="AA384" s="120"/>
      <c r="AB384" s="120"/>
      <c r="AC384" s="120"/>
      <c r="AD384" s="120"/>
    </row>
    <row r="385" spans="1:30" ht="15.75" customHeight="1" x14ac:dyDescent="0.3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  <c r="AA385" s="120"/>
      <c r="AB385" s="120"/>
      <c r="AC385" s="120"/>
      <c r="AD385" s="120"/>
    </row>
    <row r="386" spans="1:30" ht="15.75" customHeight="1" x14ac:dyDescent="0.3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  <c r="AA386" s="120"/>
      <c r="AB386" s="120"/>
      <c r="AC386" s="120"/>
      <c r="AD386" s="120"/>
    </row>
    <row r="387" spans="1:30" ht="15.75" customHeight="1" x14ac:dyDescent="0.3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  <c r="AA387" s="120"/>
      <c r="AB387" s="120"/>
      <c r="AC387" s="120"/>
      <c r="AD387" s="120"/>
    </row>
    <row r="388" spans="1:30" ht="15.75" customHeight="1" x14ac:dyDescent="0.3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  <c r="AA388" s="120"/>
      <c r="AB388" s="120"/>
      <c r="AC388" s="120"/>
      <c r="AD388" s="120"/>
    </row>
    <row r="389" spans="1:30" ht="15.75" customHeight="1" x14ac:dyDescent="0.3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  <c r="AA389" s="120"/>
      <c r="AB389" s="120"/>
      <c r="AC389" s="120"/>
      <c r="AD389" s="120"/>
    </row>
    <row r="390" spans="1:30" ht="15.75" customHeight="1" x14ac:dyDescent="0.3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  <c r="AA390" s="120"/>
      <c r="AB390" s="120"/>
      <c r="AC390" s="120"/>
      <c r="AD390" s="120"/>
    </row>
    <row r="391" spans="1:30" ht="15.75" customHeight="1" x14ac:dyDescent="0.3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  <c r="AA391" s="120"/>
      <c r="AB391" s="120"/>
      <c r="AC391" s="120"/>
      <c r="AD391" s="120"/>
    </row>
    <row r="392" spans="1:30" ht="15.75" customHeight="1" x14ac:dyDescent="0.3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  <c r="AA392" s="120"/>
      <c r="AB392" s="120"/>
      <c r="AC392" s="120"/>
      <c r="AD392" s="120"/>
    </row>
    <row r="393" spans="1:30" ht="15.75" customHeight="1" x14ac:dyDescent="0.3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  <c r="AA393" s="120"/>
      <c r="AB393" s="120"/>
      <c r="AC393" s="120"/>
      <c r="AD393" s="120"/>
    </row>
    <row r="394" spans="1:30" ht="15.75" customHeight="1" x14ac:dyDescent="0.3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  <c r="AA394" s="120"/>
      <c r="AB394" s="120"/>
      <c r="AC394" s="120"/>
      <c r="AD394" s="120"/>
    </row>
    <row r="395" spans="1:30" ht="15.75" customHeight="1" x14ac:dyDescent="0.3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  <c r="AA395" s="120"/>
      <c r="AB395" s="120"/>
      <c r="AC395" s="120"/>
      <c r="AD395" s="120"/>
    </row>
    <row r="396" spans="1:30" ht="15.75" customHeight="1" x14ac:dyDescent="0.3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  <c r="AA396" s="120"/>
      <c r="AB396" s="120"/>
      <c r="AC396" s="120"/>
      <c r="AD396" s="120"/>
    </row>
    <row r="397" spans="1:30" ht="15.75" customHeight="1" x14ac:dyDescent="0.3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  <c r="AA397" s="120"/>
      <c r="AB397" s="120"/>
      <c r="AC397" s="120"/>
      <c r="AD397" s="120"/>
    </row>
    <row r="398" spans="1:30" ht="15.75" customHeight="1" x14ac:dyDescent="0.3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  <c r="AA398" s="120"/>
      <c r="AB398" s="120"/>
      <c r="AC398" s="120"/>
      <c r="AD398" s="120"/>
    </row>
    <row r="399" spans="1:30" ht="15.75" customHeight="1" x14ac:dyDescent="0.3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  <c r="AA399" s="120"/>
      <c r="AB399" s="120"/>
      <c r="AC399" s="120"/>
      <c r="AD399" s="120"/>
    </row>
    <row r="400" spans="1:30" ht="15.75" customHeight="1" x14ac:dyDescent="0.3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  <c r="AA400" s="120"/>
      <c r="AB400" s="120"/>
      <c r="AC400" s="120"/>
      <c r="AD400" s="120"/>
    </row>
    <row r="401" spans="1:30" ht="15.75" customHeight="1" x14ac:dyDescent="0.3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  <c r="AA401" s="120"/>
      <c r="AB401" s="120"/>
      <c r="AC401" s="120"/>
      <c r="AD401" s="120"/>
    </row>
    <row r="402" spans="1:30" ht="15.75" customHeight="1" x14ac:dyDescent="0.3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  <c r="AA402" s="120"/>
      <c r="AB402" s="120"/>
      <c r="AC402" s="120"/>
      <c r="AD402" s="120"/>
    </row>
    <row r="403" spans="1:30" ht="15.75" customHeight="1" x14ac:dyDescent="0.3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  <c r="AA403" s="120"/>
      <c r="AB403" s="120"/>
      <c r="AC403" s="120"/>
      <c r="AD403" s="120"/>
    </row>
    <row r="404" spans="1:30" ht="15.75" customHeight="1" x14ac:dyDescent="0.3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  <c r="AA404" s="120"/>
      <c r="AB404" s="120"/>
      <c r="AC404" s="120"/>
      <c r="AD404" s="120"/>
    </row>
    <row r="405" spans="1:30" ht="15.75" customHeight="1" x14ac:dyDescent="0.3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  <c r="AA405" s="120"/>
      <c r="AB405" s="120"/>
      <c r="AC405" s="120"/>
      <c r="AD405" s="120"/>
    </row>
    <row r="406" spans="1:30" ht="15.75" customHeight="1" x14ac:dyDescent="0.3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  <c r="AA406" s="120"/>
      <c r="AB406" s="120"/>
      <c r="AC406" s="120"/>
      <c r="AD406" s="120"/>
    </row>
    <row r="407" spans="1:30" ht="15.75" customHeight="1" x14ac:dyDescent="0.3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  <c r="AA407" s="120"/>
      <c r="AB407" s="120"/>
      <c r="AC407" s="120"/>
      <c r="AD407" s="120"/>
    </row>
    <row r="408" spans="1:30" ht="15.75" customHeight="1" x14ac:dyDescent="0.3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  <c r="AA408" s="120"/>
      <c r="AB408" s="120"/>
      <c r="AC408" s="120"/>
      <c r="AD408" s="120"/>
    </row>
    <row r="409" spans="1:30" ht="15.75" customHeight="1" x14ac:dyDescent="0.3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  <c r="AA409" s="120"/>
      <c r="AB409" s="120"/>
      <c r="AC409" s="120"/>
      <c r="AD409" s="120"/>
    </row>
    <row r="410" spans="1:30" ht="15.75" customHeight="1" x14ac:dyDescent="0.3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  <c r="AA410" s="120"/>
      <c r="AB410" s="120"/>
      <c r="AC410" s="120"/>
      <c r="AD410" s="120"/>
    </row>
    <row r="411" spans="1:30" ht="15.75" customHeight="1" x14ac:dyDescent="0.3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  <c r="AA411" s="120"/>
      <c r="AB411" s="120"/>
      <c r="AC411" s="120"/>
      <c r="AD411" s="120"/>
    </row>
    <row r="412" spans="1:30" ht="15.75" customHeight="1" x14ac:dyDescent="0.3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  <c r="AA412" s="120"/>
      <c r="AB412" s="120"/>
      <c r="AC412" s="120"/>
      <c r="AD412" s="120"/>
    </row>
    <row r="413" spans="1:30" ht="15.75" customHeight="1" x14ac:dyDescent="0.3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  <c r="AA413" s="120"/>
      <c r="AB413" s="120"/>
      <c r="AC413" s="120"/>
      <c r="AD413" s="120"/>
    </row>
    <row r="414" spans="1:30" ht="15.75" customHeight="1" x14ac:dyDescent="0.3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  <c r="AA414" s="120"/>
      <c r="AB414" s="120"/>
      <c r="AC414" s="120"/>
      <c r="AD414" s="120"/>
    </row>
    <row r="415" spans="1:30" ht="15.75" customHeight="1" x14ac:dyDescent="0.3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  <c r="AA415" s="120"/>
      <c r="AB415" s="120"/>
      <c r="AC415" s="120"/>
      <c r="AD415" s="120"/>
    </row>
    <row r="416" spans="1:30" ht="15.75" customHeight="1" x14ac:dyDescent="0.3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  <c r="AA416" s="120"/>
      <c r="AB416" s="120"/>
      <c r="AC416" s="120"/>
      <c r="AD416" s="120"/>
    </row>
    <row r="417" spans="1:30" ht="15.75" customHeight="1" x14ac:dyDescent="0.3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  <c r="AA417" s="120"/>
      <c r="AB417" s="120"/>
      <c r="AC417" s="120"/>
      <c r="AD417" s="120"/>
    </row>
    <row r="418" spans="1:30" ht="15.75" customHeight="1" x14ac:dyDescent="0.3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  <c r="AA418" s="120"/>
      <c r="AB418" s="120"/>
      <c r="AC418" s="120"/>
      <c r="AD418" s="120"/>
    </row>
    <row r="419" spans="1:30" ht="15.75" customHeight="1" x14ac:dyDescent="0.3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  <c r="AA419" s="120"/>
      <c r="AB419" s="120"/>
      <c r="AC419" s="120"/>
      <c r="AD419" s="120"/>
    </row>
    <row r="420" spans="1:30" ht="15.75" customHeight="1" x14ac:dyDescent="0.3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  <c r="AA420" s="120"/>
      <c r="AB420" s="120"/>
      <c r="AC420" s="120"/>
      <c r="AD420" s="120"/>
    </row>
    <row r="421" spans="1:30" ht="15.75" customHeight="1" x14ac:dyDescent="0.3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  <c r="AA421" s="120"/>
      <c r="AB421" s="120"/>
      <c r="AC421" s="120"/>
      <c r="AD421" s="120"/>
    </row>
    <row r="422" spans="1:30" ht="15.75" customHeight="1" x14ac:dyDescent="0.3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  <c r="AA422" s="120"/>
      <c r="AB422" s="120"/>
      <c r="AC422" s="120"/>
      <c r="AD422" s="120"/>
    </row>
    <row r="423" spans="1:30" ht="15.75" customHeight="1" x14ac:dyDescent="0.3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  <c r="AA423" s="120"/>
      <c r="AB423" s="120"/>
      <c r="AC423" s="120"/>
      <c r="AD423" s="120"/>
    </row>
    <row r="424" spans="1:30" ht="15.75" customHeight="1" x14ac:dyDescent="0.3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  <c r="AA424" s="120"/>
      <c r="AB424" s="120"/>
      <c r="AC424" s="120"/>
      <c r="AD424" s="120"/>
    </row>
    <row r="425" spans="1:30" ht="15.75" customHeight="1" x14ac:dyDescent="0.3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  <c r="AA425" s="120"/>
      <c r="AB425" s="120"/>
      <c r="AC425" s="120"/>
      <c r="AD425" s="120"/>
    </row>
    <row r="426" spans="1:30" ht="15.75" customHeight="1" x14ac:dyDescent="0.3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  <c r="AA426" s="120"/>
      <c r="AB426" s="120"/>
      <c r="AC426" s="120"/>
      <c r="AD426" s="120"/>
    </row>
    <row r="427" spans="1:30" ht="15.75" customHeight="1" x14ac:dyDescent="0.3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  <c r="AA427" s="120"/>
      <c r="AB427" s="120"/>
      <c r="AC427" s="120"/>
      <c r="AD427" s="120"/>
    </row>
    <row r="428" spans="1:30" ht="15.75" customHeight="1" x14ac:dyDescent="0.3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  <c r="AA428" s="120"/>
      <c r="AB428" s="120"/>
      <c r="AC428" s="120"/>
      <c r="AD428" s="120"/>
    </row>
    <row r="429" spans="1:30" ht="15.75" customHeight="1" x14ac:dyDescent="0.3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  <c r="AA429" s="120"/>
      <c r="AB429" s="120"/>
      <c r="AC429" s="120"/>
      <c r="AD429" s="120"/>
    </row>
    <row r="430" spans="1:30" ht="15.75" customHeight="1" x14ac:dyDescent="0.3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  <c r="AA430" s="120"/>
      <c r="AB430" s="120"/>
      <c r="AC430" s="120"/>
      <c r="AD430" s="120"/>
    </row>
    <row r="431" spans="1:30" ht="15.75" customHeight="1" x14ac:dyDescent="0.3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  <c r="AA431" s="120"/>
      <c r="AB431" s="120"/>
      <c r="AC431" s="120"/>
      <c r="AD431" s="120"/>
    </row>
    <row r="432" spans="1:30" ht="15.75" customHeight="1" x14ac:dyDescent="0.3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  <c r="AA432" s="120"/>
      <c r="AB432" s="120"/>
      <c r="AC432" s="120"/>
      <c r="AD432" s="120"/>
    </row>
    <row r="433" spans="1:30" ht="15.75" customHeight="1" x14ac:dyDescent="0.3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  <c r="AA433" s="120"/>
      <c r="AB433" s="120"/>
      <c r="AC433" s="120"/>
      <c r="AD433" s="120"/>
    </row>
    <row r="434" spans="1:30" ht="15.75" customHeight="1" x14ac:dyDescent="0.3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  <c r="AA434" s="120"/>
      <c r="AB434" s="120"/>
      <c r="AC434" s="120"/>
      <c r="AD434" s="120"/>
    </row>
    <row r="435" spans="1:30" ht="15.75" customHeight="1" x14ac:dyDescent="0.3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  <c r="AA435" s="120"/>
      <c r="AB435" s="120"/>
      <c r="AC435" s="120"/>
      <c r="AD435" s="120"/>
    </row>
    <row r="436" spans="1:30" ht="15.75" customHeight="1" x14ac:dyDescent="0.3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  <c r="AA436" s="120"/>
      <c r="AB436" s="120"/>
      <c r="AC436" s="120"/>
      <c r="AD436" s="120"/>
    </row>
    <row r="437" spans="1:30" ht="15.75" customHeight="1" x14ac:dyDescent="0.3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  <c r="AA437" s="120"/>
      <c r="AB437" s="120"/>
      <c r="AC437" s="120"/>
      <c r="AD437" s="120"/>
    </row>
    <row r="438" spans="1:30" ht="15.75" customHeight="1" x14ac:dyDescent="0.3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  <c r="AA438" s="120"/>
      <c r="AB438" s="120"/>
      <c r="AC438" s="120"/>
      <c r="AD438" s="120"/>
    </row>
    <row r="439" spans="1:30" ht="15.75" customHeight="1" x14ac:dyDescent="0.3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  <c r="AA439" s="120"/>
      <c r="AB439" s="120"/>
      <c r="AC439" s="120"/>
      <c r="AD439" s="120"/>
    </row>
    <row r="440" spans="1:30" ht="15.75" customHeight="1" x14ac:dyDescent="0.3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  <c r="AA440" s="120"/>
      <c r="AB440" s="120"/>
      <c r="AC440" s="120"/>
      <c r="AD440" s="120"/>
    </row>
    <row r="441" spans="1:30" ht="15.75" customHeight="1" x14ac:dyDescent="0.3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  <c r="AA441" s="120"/>
      <c r="AB441" s="120"/>
      <c r="AC441" s="120"/>
      <c r="AD441" s="120"/>
    </row>
    <row r="442" spans="1:30" ht="15.75" customHeight="1" x14ac:dyDescent="0.3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  <c r="AA442" s="120"/>
      <c r="AB442" s="120"/>
      <c r="AC442" s="120"/>
      <c r="AD442" s="120"/>
    </row>
    <row r="443" spans="1:30" ht="15.75" customHeight="1" x14ac:dyDescent="0.3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  <c r="AA443" s="120"/>
      <c r="AB443" s="120"/>
      <c r="AC443" s="120"/>
      <c r="AD443" s="120"/>
    </row>
    <row r="444" spans="1:30" ht="15.75" customHeight="1" x14ac:dyDescent="0.3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  <c r="AA444" s="120"/>
      <c r="AB444" s="120"/>
      <c r="AC444" s="120"/>
      <c r="AD444" s="120"/>
    </row>
    <row r="445" spans="1:30" ht="15.75" customHeight="1" x14ac:dyDescent="0.3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  <c r="AA445" s="120"/>
      <c r="AB445" s="120"/>
      <c r="AC445" s="120"/>
      <c r="AD445" s="120"/>
    </row>
    <row r="446" spans="1:30" ht="15.75" customHeight="1" x14ac:dyDescent="0.3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  <c r="AA446" s="120"/>
      <c r="AB446" s="120"/>
      <c r="AC446" s="120"/>
      <c r="AD446" s="120"/>
    </row>
    <row r="447" spans="1:30" ht="15.75" customHeight="1" x14ac:dyDescent="0.3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  <c r="AA447" s="120"/>
      <c r="AB447" s="120"/>
      <c r="AC447" s="120"/>
      <c r="AD447" s="120"/>
    </row>
    <row r="448" spans="1:30" ht="15.75" customHeight="1" x14ac:dyDescent="0.3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  <c r="AA448" s="120"/>
      <c r="AB448" s="120"/>
      <c r="AC448" s="120"/>
      <c r="AD448" s="120"/>
    </row>
    <row r="449" spans="1:30" ht="15.75" customHeight="1" x14ac:dyDescent="0.3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  <c r="AA449" s="120"/>
      <c r="AB449" s="120"/>
      <c r="AC449" s="120"/>
      <c r="AD449" s="120"/>
    </row>
    <row r="450" spans="1:30" ht="15.75" customHeight="1" x14ac:dyDescent="0.3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  <c r="AA450" s="120"/>
      <c r="AB450" s="120"/>
      <c r="AC450" s="120"/>
      <c r="AD450" s="120"/>
    </row>
    <row r="451" spans="1:30" ht="15.75" customHeight="1" x14ac:dyDescent="0.3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  <c r="AA451" s="120"/>
      <c r="AB451" s="120"/>
      <c r="AC451" s="120"/>
      <c r="AD451" s="120"/>
    </row>
    <row r="452" spans="1:30" ht="15.75" customHeight="1" x14ac:dyDescent="0.3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  <c r="AA452" s="120"/>
      <c r="AB452" s="120"/>
      <c r="AC452" s="120"/>
      <c r="AD452" s="120"/>
    </row>
    <row r="453" spans="1:30" ht="15.75" customHeight="1" x14ac:dyDescent="0.3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  <c r="AA453" s="120"/>
      <c r="AB453" s="120"/>
      <c r="AC453" s="120"/>
      <c r="AD453" s="120"/>
    </row>
    <row r="454" spans="1:30" ht="15.75" customHeight="1" x14ac:dyDescent="0.3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  <c r="AA454" s="120"/>
      <c r="AB454" s="120"/>
      <c r="AC454" s="120"/>
      <c r="AD454" s="120"/>
    </row>
    <row r="455" spans="1:30" ht="15.75" customHeight="1" x14ac:dyDescent="0.3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  <c r="AA455" s="120"/>
      <c r="AB455" s="120"/>
      <c r="AC455" s="120"/>
      <c r="AD455" s="120"/>
    </row>
    <row r="456" spans="1:30" ht="15.75" customHeight="1" x14ac:dyDescent="0.3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  <c r="AA456" s="120"/>
      <c r="AB456" s="120"/>
      <c r="AC456" s="120"/>
      <c r="AD456" s="120"/>
    </row>
    <row r="457" spans="1:30" ht="15.75" customHeight="1" x14ac:dyDescent="0.3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  <c r="AA457" s="120"/>
      <c r="AB457" s="120"/>
      <c r="AC457" s="120"/>
      <c r="AD457" s="120"/>
    </row>
    <row r="458" spans="1:30" ht="15.75" customHeight="1" x14ac:dyDescent="0.3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  <c r="AA458" s="120"/>
      <c r="AB458" s="120"/>
      <c r="AC458" s="120"/>
      <c r="AD458" s="120"/>
    </row>
    <row r="459" spans="1:30" ht="15.75" customHeight="1" x14ac:dyDescent="0.3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  <c r="AA459" s="120"/>
      <c r="AB459" s="120"/>
      <c r="AC459" s="120"/>
      <c r="AD459" s="120"/>
    </row>
    <row r="460" spans="1:30" ht="15.75" customHeight="1" x14ac:dyDescent="0.3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  <c r="AA460" s="120"/>
      <c r="AB460" s="120"/>
      <c r="AC460" s="120"/>
      <c r="AD460" s="120"/>
    </row>
    <row r="461" spans="1:30" ht="15.75" customHeight="1" x14ac:dyDescent="0.3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  <c r="AA461" s="120"/>
      <c r="AB461" s="120"/>
      <c r="AC461" s="120"/>
      <c r="AD461" s="120"/>
    </row>
    <row r="462" spans="1:30" ht="15.75" customHeight="1" x14ac:dyDescent="0.3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  <c r="AA462" s="120"/>
      <c r="AB462" s="120"/>
      <c r="AC462" s="120"/>
      <c r="AD462" s="120"/>
    </row>
    <row r="463" spans="1:30" ht="15.75" customHeight="1" x14ac:dyDescent="0.3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  <c r="AA463" s="120"/>
      <c r="AB463" s="120"/>
      <c r="AC463" s="120"/>
      <c r="AD463" s="120"/>
    </row>
    <row r="464" spans="1:30" ht="15.75" customHeight="1" x14ac:dyDescent="0.3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  <c r="AA464" s="120"/>
      <c r="AB464" s="120"/>
      <c r="AC464" s="120"/>
      <c r="AD464" s="120"/>
    </row>
    <row r="465" spans="1:30" ht="15.75" customHeight="1" x14ac:dyDescent="0.3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  <c r="AA465" s="120"/>
      <c r="AB465" s="120"/>
      <c r="AC465" s="120"/>
      <c r="AD465" s="120"/>
    </row>
    <row r="466" spans="1:30" ht="15.75" customHeight="1" x14ac:dyDescent="0.3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  <c r="AA466" s="120"/>
      <c r="AB466" s="120"/>
      <c r="AC466" s="120"/>
      <c r="AD466" s="120"/>
    </row>
    <row r="467" spans="1:30" ht="15.75" customHeight="1" x14ac:dyDescent="0.3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  <c r="AA467" s="120"/>
      <c r="AB467" s="120"/>
      <c r="AC467" s="120"/>
      <c r="AD467" s="120"/>
    </row>
    <row r="468" spans="1:30" ht="15.75" customHeight="1" x14ac:dyDescent="0.3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  <c r="AA468" s="120"/>
      <c r="AB468" s="120"/>
      <c r="AC468" s="120"/>
      <c r="AD468" s="120"/>
    </row>
    <row r="469" spans="1:30" ht="15.75" customHeight="1" x14ac:dyDescent="0.3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  <c r="AA469" s="120"/>
      <c r="AB469" s="120"/>
      <c r="AC469" s="120"/>
      <c r="AD469" s="120"/>
    </row>
    <row r="470" spans="1:30" ht="15.75" customHeight="1" x14ac:dyDescent="0.3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  <c r="AA470" s="120"/>
      <c r="AB470" s="120"/>
      <c r="AC470" s="120"/>
      <c r="AD470" s="120"/>
    </row>
    <row r="471" spans="1:30" ht="15.75" customHeight="1" x14ac:dyDescent="0.3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  <c r="AA471" s="120"/>
      <c r="AB471" s="120"/>
      <c r="AC471" s="120"/>
      <c r="AD471" s="120"/>
    </row>
    <row r="472" spans="1:30" ht="15.75" customHeight="1" x14ac:dyDescent="0.3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  <c r="AA472" s="120"/>
      <c r="AB472" s="120"/>
      <c r="AC472" s="120"/>
      <c r="AD472" s="120"/>
    </row>
    <row r="473" spans="1:30" ht="15.75" customHeight="1" x14ac:dyDescent="0.3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  <c r="AA473" s="120"/>
      <c r="AB473" s="120"/>
      <c r="AC473" s="120"/>
      <c r="AD473" s="120"/>
    </row>
    <row r="474" spans="1:30" ht="15.75" customHeight="1" x14ac:dyDescent="0.3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  <c r="AA474" s="120"/>
      <c r="AB474" s="120"/>
      <c r="AC474" s="120"/>
      <c r="AD474" s="120"/>
    </row>
    <row r="475" spans="1:30" ht="15.75" customHeight="1" x14ac:dyDescent="0.3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  <c r="AA475" s="120"/>
      <c r="AB475" s="120"/>
      <c r="AC475" s="120"/>
      <c r="AD475" s="120"/>
    </row>
    <row r="476" spans="1:30" ht="15.75" customHeight="1" x14ac:dyDescent="0.3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  <c r="AA476" s="120"/>
      <c r="AB476" s="120"/>
      <c r="AC476" s="120"/>
      <c r="AD476" s="120"/>
    </row>
    <row r="477" spans="1:30" ht="15.75" customHeight="1" x14ac:dyDescent="0.3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  <c r="AA477" s="120"/>
      <c r="AB477" s="120"/>
      <c r="AC477" s="120"/>
      <c r="AD477" s="120"/>
    </row>
    <row r="478" spans="1:30" ht="15.75" customHeight="1" x14ac:dyDescent="0.3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  <c r="AA478" s="120"/>
      <c r="AB478" s="120"/>
      <c r="AC478" s="120"/>
      <c r="AD478" s="120"/>
    </row>
    <row r="479" spans="1:30" ht="15.75" customHeight="1" x14ac:dyDescent="0.3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  <c r="AA479" s="120"/>
      <c r="AB479" s="120"/>
      <c r="AC479" s="120"/>
      <c r="AD479" s="120"/>
    </row>
    <row r="480" spans="1:30" ht="15.75" customHeight="1" x14ac:dyDescent="0.3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  <c r="AA480" s="120"/>
      <c r="AB480" s="120"/>
      <c r="AC480" s="120"/>
      <c r="AD480" s="120"/>
    </row>
    <row r="481" spans="1:30" ht="15.75" customHeight="1" x14ac:dyDescent="0.3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  <c r="AA481" s="120"/>
      <c r="AB481" s="120"/>
      <c r="AC481" s="120"/>
      <c r="AD481" s="120"/>
    </row>
    <row r="482" spans="1:30" ht="15.75" customHeight="1" x14ac:dyDescent="0.3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  <c r="AA482" s="120"/>
      <c r="AB482" s="120"/>
      <c r="AC482" s="120"/>
      <c r="AD482" s="120"/>
    </row>
    <row r="483" spans="1:30" ht="15.75" customHeight="1" x14ac:dyDescent="0.3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  <c r="AA483" s="120"/>
      <c r="AB483" s="120"/>
      <c r="AC483" s="120"/>
      <c r="AD483" s="120"/>
    </row>
    <row r="484" spans="1:30" ht="15.75" customHeight="1" x14ac:dyDescent="0.3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  <c r="AA484" s="120"/>
      <c r="AB484" s="120"/>
      <c r="AC484" s="120"/>
      <c r="AD484" s="120"/>
    </row>
    <row r="485" spans="1:30" ht="15.75" customHeight="1" x14ac:dyDescent="0.3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  <c r="AA485" s="120"/>
      <c r="AB485" s="120"/>
      <c r="AC485" s="120"/>
      <c r="AD485" s="120"/>
    </row>
    <row r="486" spans="1:30" ht="15.75" customHeight="1" x14ac:dyDescent="0.3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  <c r="AA486" s="120"/>
      <c r="AB486" s="120"/>
      <c r="AC486" s="120"/>
      <c r="AD486" s="120"/>
    </row>
    <row r="487" spans="1:30" ht="15.75" customHeight="1" x14ac:dyDescent="0.3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  <c r="AA487" s="120"/>
      <c r="AB487" s="120"/>
      <c r="AC487" s="120"/>
      <c r="AD487" s="120"/>
    </row>
    <row r="488" spans="1:30" ht="15.75" customHeight="1" x14ac:dyDescent="0.3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  <c r="AA488" s="120"/>
      <c r="AB488" s="120"/>
      <c r="AC488" s="120"/>
      <c r="AD488" s="120"/>
    </row>
    <row r="489" spans="1:30" ht="15.75" customHeight="1" x14ac:dyDescent="0.3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  <c r="AA489" s="120"/>
      <c r="AB489" s="120"/>
      <c r="AC489" s="120"/>
      <c r="AD489" s="120"/>
    </row>
    <row r="490" spans="1:30" ht="15.75" customHeight="1" x14ac:dyDescent="0.3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  <c r="AA490" s="120"/>
      <c r="AB490" s="120"/>
      <c r="AC490" s="120"/>
      <c r="AD490" s="120"/>
    </row>
    <row r="491" spans="1:30" ht="15.75" customHeight="1" x14ac:dyDescent="0.3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  <c r="AA491" s="120"/>
      <c r="AB491" s="120"/>
      <c r="AC491" s="120"/>
      <c r="AD491" s="120"/>
    </row>
    <row r="492" spans="1:30" ht="15.75" customHeight="1" x14ac:dyDescent="0.3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  <c r="AA492" s="120"/>
      <c r="AB492" s="120"/>
      <c r="AC492" s="120"/>
      <c r="AD492" s="120"/>
    </row>
    <row r="493" spans="1:30" ht="15.75" customHeight="1" x14ac:dyDescent="0.3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  <c r="AA493" s="120"/>
      <c r="AB493" s="120"/>
      <c r="AC493" s="120"/>
      <c r="AD493" s="120"/>
    </row>
    <row r="494" spans="1:30" ht="15.75" customHeight="1" x14ac:dyDescent="0.3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  <c r="AA494" s="120"/>
      <c r="AB494" s="120"/>
      <c r="AC494" s="120"/>
      <c r="AD494" s="120"/>
    </row>
    <row r="495" spans="1:30" ht="15.75" customHeight="1" x14ac:dyDescent="0.3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  <c r="AA495" s="120"/>
      <c r="AB495" s="120"/>
      <c r="AC495" s="120"/>
      <c r="AD495" s="120"/>
    </row>
    <row r="496" spans="1:30" ht="15.75" customHeight="1" x14ac:dyDescent="0.3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  <c r="AA496" s="120"/>
      <c r="AB496" s="120"/>
      <c r="AC496" s="120"/>
      <c r="AD496" s="120"/>
    </row>
    <row r="497" spans="1:30" ht="15.75" customHeight="1" x14ac:dyDescent="0.3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  <c r="AA497" s="120"/>
      <c r="AB497" s="120"/>
      <c r="AC497" s="120"/>
      <c r="AD497" s="120"/>
    </row>
    <row r="498" spans="1:30" ht="15.75" customHeight="1" x14ac:dyDescent="0.3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  <c r="AA498" s="120"/>
      <c r="AB498" s="120"/>
      <c r="AC498" s="120"/>
      <c r="AD498" s="120"/>
    </row>
    <row r="499" spans="1:30" ht="15.75" customHeight="1" x14ac:dyDescent="0.3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  <c r="AA499" s="120"/>
      <c r="AB499" s="120"/>
      <c r="AC499" s="120"/>
      <c r="AD499" s="120"/>
    </row>
    <row r="500" spans="1:30" ht="15.75" customHeight="1" x14ac:dyDescent="0.3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  <c r="AA500" s="120"/>
      <c r="AB500" s="120"/>
      <c r="AC500" s="120"/>
      <c r="AD500" s="120"/>
    </row>
    <row r="501" spans="1:30" ht="15.75" customHeight="1" x14ac:dyDescent="0.3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  <c r="AA501" s="120"/>
      <c r="AB501" s="120"/>
      <c r="AC501" s="120"/>
      <c r="AD501" s="120"/>
    </row>
    <row r="502" spans="1:30" ht="15.75" customHeight="1" x14ac:dyDescent="0.3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  <c r="AA502" s="120"/>
      <c r="AB502" s="120"/>
      <c r="AC502" s="120"/>
      <c r="AD502" s="120"/>
    </row>
    <row r="503" spans="1:30" ht="15.75" customHeight="1" x14ac:dyDescent="0.3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  <c r="AA503" s="120"/>
      <c r="AB503" s="120"/>
      <c r="AC503" s="120"/>
      <c r="AD503" s="120"/>
    </row>
    <row r="504" spans="1:30" ht="15.75" customHeight="1" x14ac:dyDescent="0.3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  <c r="AA504" s="120"/>
      <c r="AB504" s="120"/>
      <c r="AC504" s="120"/>
      <c r="AD504" s="120"/>
    </row>
    <row r="505" spans="1:30" ht="15.75" customHeight="1" x14ac:dyDescent="0.3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  <c r="AA505" s="120"/>
      <c r="AB505" s="120"/>
      <c r="AC505" s="120"/>
      <c r="AD505" s="120"/>
    </row>
    <row r="506" spans="1:30" ht="15.75" customHeight="1" x14ac:dyDescent="0.3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  <c r="AA506" s="120"/>
      <c r="AB506" s="120"/>
      <c r="AC506" s="120"/>
      <c r="AD506" s="120"/>
    </row>
    <row r="507" spans="1:30" ht="15.75" customHeight="1" x14ac:dyDescent="0.3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  <c r="AA507" s="120"/>
      <c r="AB507" s="120"/>
      <c r="AC507" s="120"/>
      <c r="AD507" s="120"/>
    </row>
    <row r="508" spans="1:30" ht="15.75" customHeight="1" x14ac:dyDescent="0.3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  <c r="AA508" s="120"/>
      <c r="AB508" s="120"/>
      <c r="AC508" s="120"/>
      <c r="AD508" s="120"/>
    </row>
    <row r="509" spans="1:30" ht="15.75" customHeight="1" x14ac:dyDescent="0.3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  <c r="AA509" s="120"/>
      <c r="AB509" s="120"/>
      <c r="AC509" s="120"/>
      <c r="AD509" s="120"/>
    </row>
    <row r="510" spans="1:30" ht="15.75" customHeight="1" x14ac:dyDescent="0.3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  <c r="AA510" s="120"/>
      <c r="AB510" s="120"/>
      <c r="AC510" s="120"/>
      <c r="AD510" s="120"/>
    </row>
    <row r="511" spans="1:30" ht="15.75" customHeight="1" x14ac:dyDescent="0.3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  <c r="AA511" s="120"/>
      <c r="AB511" s="120"/>
      <c r="AC511" s="120"/>
      <c r="AD511" s="120"/>
    </row>
    <row r="512" spans="1:30" ht="15.75" customHeight="1" x14ac:dyDescent="0.3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  <c r="AA512" s="120"/>
      <c r="AB512" s="120"/>
      <c r="AC512" s="120"/>
      <c r="AD512" s="120"/>
    </row>
    <row r="513" spans="1:30" ht="15.75" customHeight="1" x14ac:dyDescent="0.3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  <c r="AA513" s="120"/>
      <c r="AB513" s="120"/>
      <c r="AC513" s="120"/>
      <c r="AD513" s="120"/>
    </row>
    <row r="514" spans="1:30" ht="15.75" customHeight="1" x14ac:dyDescent="0.3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  <c r="AA514" s="120"/>
      <c r="AB514" s="120"/>
      <c r="AC514" s="120"/>
      <c r="AD514" s="120"/>
    </row>
    <row r="515" spans="1:30" ht="15.75" customHeight="1" x14ac:dyDescent="0.3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  <c r="AA515" s="120"/>
      <c r="AB515" s="120"/>
      <c r="AC515" s="120"/>
      <c r="AD515" s="120"/>
    </row>
    <row r="516" spans="1:30" ht="15.75" customHeight="1" x14ac:dyDescent="0.3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  <c r="AA516" s="120"/>
      <c r="AB516" s="120"/>
      <c r="AC516" s="120"/>
      <c r="AD516" s="120"/>
    </row>
    <row r="517" spans="1:30" ht="15.75" customHeight="1" x14ac:dyDescent="0.3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  <c r="AA517" s="120"/>
      <c r="AB517" s="120"/>
      <c r="AC517" s="120"/>
      <c r="AD517" s="120"/>
    </row>
    <row r="518" spans="1:30" ht="15.75" customHeight="1" x14ac:dyDescent="0.3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  <c r="AA518" s="120"/>
      <c r="AB518" s="120"/>
      <c r="AC518" s="120"/>
      <c r="AD518" s="120"/>
    </row>
    <row r="519" spans="1:30" ht="15.75" customHeight="1" x14ac:dyDescent="0.3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  <c r="AA519" s="120"/>
      <c r="AB519" s="120"/>
      <c r="AC519" s="120"/>
      <c r="AD519" s="120"/>
    </row>
    <row r="520" spans="1:30" ht="15.75" customHeight="1" x14ac:dyDescent="0.3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  <c r="AA520" s="120"/>
      <c r="AB520" s="120"/>
      <c r="AC520" s="120"/>
      <c r="AD520" s="120"/>
    </row>
    <row r="521" spans="1:30" ht="15.75" customHeight="1" x14ac:dyDescent="0.3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  <c r="AA521" s="120"/>
      <c r="AB521" s="120"/>
      <c r="AC521" s="120"/>
      <c r="AD521" s="120"/>
    </row>
    <row r="522" spans="1:30" ht="15.75" customHeight="1" x14ac:dyDescent="0.3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  <c r="AA522" s="120"/>
      <c r="AB522" s="120"/>
      <c r="AC522" s="120"/>
      <c r="AD522" s="120"/>
    </row>
    <row r="523" spans="1:30" ht="15.75" customHeight="1" x14ac:dyDescent="0.3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  <c r="AA523" s="120"/>
      <c r="AB523" s="120"/>
      <c r="AC523" s="120"/>
      <c r="AD523" s="120"/>
    </row>
    <row r="524" spans="1:30" ht="15.75" customHeight="1" x14ac:dyDescent="0.3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  <c r="AA524" s="120"/>
      <c r="AB524" s="120"/>
      <c r="AC524" s="120"/>
      <c r="AD524" s="120"/>
    </row>
    <row r="525" spans="1:30" ht="15.75" customHeight="1" x14ac:dyDescent="0.3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  <c r="AA525" s="120"/>
      <c r="AB525" s="120"/>
      <c r="AC525" s="120"/>
      <c r="AD525" s="120"/>
    </row>
    <row r="526" spans="1:30" ht="15.75" customHeight="1" x14ac:dyDescent="0.3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  <c r="AA526" s="120"/>
      <c r="AB526" s="120"/>
      <c r="AC526" s="120"/>
      <c r="AD526" s="120"/>
    </row>
    <row r="527" spans="1:30" ht="15.75" customHeight="1" x14ac:dyDescent="0.3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  <c r="AA527" s="120"/>
      <c r="AB527" s="120"/>
      <c r="AC527" s="120"/>
      <c r="AD527" s="120"/>
    </row>
    <row r="528" spans="1:30" ht="15.75" customHeight="1" x14ac:dyDescent="0.3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  <c r="AA528" s="120"/>
      <c r="AB528" s="120"/>
      <c r="AC528" s="120"/>
      <c r="AD528" s="120"/>
    </row>
    <row r="529" spans="1:30" ht="15.75" customHeight="1" x14ac:dyDescent="0.3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  <c r="AA529" s="120"/>
      <c r="AB529" s="120"/>
      <c r="AC529" s="120"/>
      <c r="AD529" s="120"/>
    </row>
    <row r="530" spans="1:30" ht="15.75" customHeight="1" x14ac:dyDescent="0.3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  <c r="AA530" s="120"/>
      <c r="AB530" s="120"/>
      <c r="AC530" s="120"/>
      <c r="AD530" s="120"/>
    </row>
    <row r="531" spans="1:30" ht="15.75" customHeight="1" x14ac:dyDescent="0.3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  <c r="AA531" s="120"/>
      <c r="AB531" s="120"/>
      <c r="AC531" s="120"/>
      <c r="AD531" s="120"/>
    </row>
    <row r="532" spans="1:30" ht="15.75" customHeight="1" x14ac:dyDescent="0.3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  <c r="AA532" s="120"/>
      <c r="AB532" s="120"/>
      <c r="AC532" s="120"/>
      <c r="AD532" s="120"/>
    </row>
    <row r="533" spans="1:30" ht="15.75" customHeight="1" x14ac:dyDescent="0.3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  <c r="AA533" s="120"/>
      <c r="AB533" s="120"/>
      <c r="AC533" s="120"/>
      <c r="AD533" s="120"/>
    </row>
    <row r="534" spans="1:30" ht="15.75" customHeight="1" x14ac:dyDescent="0.3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  <c r="AA534" s="120"/>
      <c r="AB534" s="120"/>
      <c r="AC534" s="120"/>
      <c r="AD534" s="120"/>
    </row>
    <row r="535" spans="1:30" ht="15.75" customHeight="1" x14ac:dyDescent="0.3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  <c r="AA535" s="120"/>
      <c r="AB535" s="120"/>
      <c r="AC535" s="120"/>
      <c r="AD535" s="120"/>
    </row>
    <row r="536" spans="1:30" ht="15.75" customHeight="1" x14ac:dyDescent="0.3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  <c r="AA536" s="120"/>
      <c r="AB536" s="120"/>
      <c r="AC536" s="120"/>
      <c r="AD536" s="120"/>
    </row>
    <row r="537" spans="1:30" ht="15.75" customHeight="1" x14ac:dyDescent="0.3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  <c r="AA537" s="120"/>
      <c r="AB537" s="120"/>
      <c r="AC537" s="120"/>
      <c r="AD537" s="120"/>
    </row>
    <row r="538" spans="1:30" ht="15.75" customHeight="1" x14ac:dyDescent="0.3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  <c r="AA538" s="120"/>
      <c r="AB538" s="120"/>
      <c r="AC538" s="120"/>
      <c r="AD538" s="120"/>
    </row>
    <row r="539" spans="1:30" ht="15.75" customHeight="1" x14ac:dyDescent="0.3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  <c r="AA539" s="120"/>
      <c r="AB539" s="120"/>
      <c r="AC539" s="120"/>
      <c r="AD539" s="120"/>
    </row>
    <row r="540" spans="1:30" ht="15.75" customHeight="1" x14ac:dyDescent="0.3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  <c r="AA540" s="120"/>
      <c r="AB540" s="120"/>
      <c r="AC540" s="120"/>
      <c r="AD540" s="120"/>
    </row>
    <row r="541" spans="1:30" ht="15.75" customHeight="1" x14ac:dyDescent="0.3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  <c r="AA541" s="120"/>
      <c r="AB541" s="120"/>
      <c r="AC541" s="120"/>
      <c r="AD541" s="120"/>
    </row>
    <row r="542" spans="1:30" ht="15.75" customHeight="1" x14ac:dyDescent="0.3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  <c r="AA542" s="120"/>
      <c r="AB542" s="120"/>
      <c r="AC542" s="120"/>
      <c r="AD542" s="120"/>
    </row>
    <row r="543" spans="1:30" ht="15.75" customHeight="1" x14ac:dyDescent="0.3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  <c r="AA543" s="120"/>
      <c r="AB543" s="120"/>
      <c r="AC543" s="120"/>
      <c r="AD543" s="120"/>
    </row>
    <row r="544" spans="1:30" ht="15.75" customHeight="1" x14ac:dyDescent="0.3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  <c r="AA544" s="120"/>
      <c r="AB544" s="120"/>
      <c r="AC544" s="120"/>
      <c r="AD544" s="120"/>
    </row>
    <row r="545" spans="1:30" ht="15.75" customHeight="1" x14ac:dyDescent="0.3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  <c r="AA545" s="120"/>
      <c r="AB545" s="120"/>
      <c r="AC545" s="120"/>
      <c r="AD545" s="120"/>
    </row>
    <row r="546" spans="1:30" ht="15.75" customHeight="1" x14ac:dyDescent="0.3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  <c r="AA546" s="120"/>
      <c r="AB546" s="120"/>
      <c r="AC546" s="120"/>
      <c r="AD546" s="120"/>
    </row>
    <row r="547" spans="1:30" ht="15.75" customHeight="1" x14ac:dyDescent="0.3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  <c r="AA547" s="120"/>
      <c r="AB547" s="120"/>
      <c r="AC547" s="120"/>
      <c r="AD547" s="120"/>
    </row>
    <row r="548" spans="1:30" ht="15.75" customHeight="1" x14ac:dyDescent="0.3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  <c r="AA548" s="120"/>
      <c r="AB548" s="120"/>
      <c r="AC548" s="120"/>
      <c r="AD548" s="120"/>
    </row>
    <row r="549" spans="1:30" ht="15.75" customHeight="1" x14ac:dyDescent="0.3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  <c r="AA549" s="120"/>
      <c r="AB549" s="120"/>
      <c r="AC549" s="120"/>
      <c r="AD549" s="120"/>
    </row>
    <row r="550" spans="1:30" ht="15.75" customHeight="1" x14ac:dyDescent="0.3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  <c r="AA550" s="120"/>
      <c r="AB550" s="120"/>
      <c r="AC550" s="120"/>
      <c r="AD550" s="120"/>
    </row>
    <row r="551" spans="1:30" ht="15.75" customHeight="1" x14ac:dyDescent="0.3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  <c r="AA551" s="120"/>
      <c r="AB551" s="120"/>
      <c r="AC551" s="120"/>
      <c r="AD551" s="120"/>
    </row>
    <row r="552" spans="1:30" ht="15.75" customHeight="1" x14ac:dyDescent="0.3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  <c r="AA552" s="120"/>
      <c r="AB552" s="120"/>
      <c r="AC552" s="120"/>
      <c r="AD552" s="120"/>
    </row>
    <row r="553" spans="1:30" ht="15.75" customHeight="1" x14ac:dyDescent="0.3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  <c r="AA553" s="120"/>
      <c r="AB553" s="120"/>
      <c r="AC553" s="120"/>
      <c r="AD553" s="120"/>
    </row>
    <row r="554" spans="1:30" ht="15.75" customHeight="1" x14ac:dyDescent="0.3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  <c r="AA554" s="120"/>
      <c r="AB554" s="120"/>
      <c r="AC554" s="120"/>
      <c r="AD554" s="120"/>
    </row>
    <row r="555" spans="1:30" ht="15.75" customHeight="1" x14ac:dyDescent="0.3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  <c r="AA555" s="120"/>
      <c r="AB555" s="120"/>
      <c r="AC555" s="120"/>
      <c r="AD555" s="120"/>
    </row>
    <row r="556" spans="1:30" ht="15.75" customHeight="1" x14ac:dyDescent="0.3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  <c r="AA556" s="120"/>
      <c r="AB556" s="120"/>
      <c r="AC556" s="120"/>
      <c r="AD556" s="120"/>
    </row>
    <row r="557" spans="1:30" ht="15.75" customHeight="1" x14ac:dyDescent="0.3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  <c r="AA557" s="120"/>
      <c r="AB557" s="120"/>
      <c r="AC557" s="120"/>
      <c r="AD557" s="120"/>
    </row>
    <row r="558" spans="1:30" ht="15.75" customHeight="1" x14ac:dyDescent="0.3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  <c r="AA558" s="120"/>
      <c r="AB558" s="120"/>
      <c r="AC558" s="120"/>
      <c r="AD558" s="120"/>
    </row>
    <row r="559" spans="1:30" ht="15.75" customHeight="1" x14ac:dyDescent="0.3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  <c r="AA559" s="120"/>
      <c r="AB559" s="120"/>
      <c r="AC559" s="120"/>
      <c r="AD559" s="120"/>
    </row>
    <row r="560" spans="1:30" ht="15.75" customHeight="1" x14ac:dyDescent="0.3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  <c r="AA560" s="120"/>
      <c r="AB560" s="120"/>
      <c r="AC560" s="120"/>
      <c r="AD560" s="120"/>
    </row>
    <row r="561" spans="1:30" ht="15.75" customHeight="1" x14ac:dyDescent="0.3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  <c r="AA561" s="120"/>
      <c r="AB561" s="120"/>
      <c r="AC561" s="120"/>
      <c r="AD561" s="120"/>
    </row>
    <row r="562" spans="1:30" ht="15.75" customHeight="1" x14ac:dyDescent="0.3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  <c r="AA562" s="120"/>
      <c r="AB562" s="120"/>
      <c r="AC562" s="120"/>
      <c r="AD562" s="120"/>
    </row>
    <row r="563" spans="1:30" ht="15.75" customHeight="1" x14ac:dyDescent="0.3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  <c r="AA563" s="120"/>
      <c r="AB563" s="120"/>
      <c r="AC563" s="120"/>
      <c r="AD563" s="120"/>
    </row>
    <row r="564" spans="1:30" ht="15.75" customHeight="1" x14ac:dyDescent="0.3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  <c r="AA564" s="120"/>
      <c r="AB564" s="120"/>
      <c r="AC564" s="120"/>
      <c r="AD564" s="120"/>
    </row>
    <row r="565" spans="1:30" ht="15.75" customHeight="1" x14ac:dyDescent="0.3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  <c r="AA565" s="120"/>
      <c r="AB565" s="120"/>
      <c r="AC565" s="120"/>
      <c r="AD565" s="120"/>
    </row>
    <row r="566" spans="1:30" ht="15.75" customHeight="1" x14ac:dyDescent="0.3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  <c r="AA566" s="120"/>
      <c r="AB566" s="120"/>
      <c r="AC566" s="120"/>
      <c r="AD566" s="120"/>
    </row>
    <row r="567" spans="1:30" ht="15.75" customHeight="1" x14ac:dyDescent="0.3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  <c r="AA567" s="120"/>
      <c r="AB567" s="120"/>
      <c r="AC567" s="120"/>
      <c r="AD567" s="120"/>
    </row>
    <row r="568" spans="1:30" ht="15.75" customHeight="1" x14ac:dyDescent="0.3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  <c r="AA568" s="120"/>
      <c r="AB568" s="120"/>
      <c r="AC568" s="120"/>
      <c r="AD568" s="120"/>
    </row>
    <row r="569" spans="1:30" ht="15.75" customHeight="1" x14ac:dyDescent="0.3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  <c r="AA569" s="120"/>
      <c r="AB569" s="120"/>
      <c r="AC569" s="120"/>
      <c r="AD569" s="120"/>
    </row>
    <row r="570" spans="1:30" ht="15.75" customHeight="1" x14ac:dyDescent="0.3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  <c r="AA570" s="120"/>
      <c r="AB570" s="120"/>
      <c r="AC570" s="120"/>
      <c r="AD570" s="120"/>
    </row>
    <row r="571" spans="1:30" ht="15.75" customHeight="1" x14ac:dyDescent="0.3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  <c r="AA571" s="120"/>
      <c r="AB571" s="120"/>
      <c r="AC571" s="120"/>
      <c r="AD571" s="120"/>
    </row>
    <row r="572" spans="1:30" ht="15.75" customHeight="1" x14ac:dyDescent="0.3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  <c r="AA572" s="120"/>
      <c r="AB572" s="120"/>
      <c r="AC572" s="120"/>
      <c r="AD572" s="120"/>
    </row>
    <row r="573" spans="1:30" ht="15.75" customHeight="1" x14ac:dyDescent="0.3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  <c r="AA573" s="120"/>
      <c r="AB573" s="120"/>
      <c r="AC573" s="120"/>
      <c r="AD573" s="120"/>
    </row>
    <row r="574" spans="1:30" ht="15.75" customHeight="1" x14ac:dyDescent="0.3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  <c r="AA574" s="120"/>
      <c r="AB574" s="120"/>
      <c r="AC574" s="120"/>
      <c r="AD574" s="120"/>
    </row>
    <row r="575" spans="1:30" ht="15.75" customHeight="1" x14ac:dyDescent="0.3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  <c r="AA575" s="120"/>
      <c r="AB575" s="120"/>
      <c r="AC575" s="120"/>
      <c r="AD575" s="120"/>
    </row>
    <row r="576" spans="1:30" ht="15.75" customHeight="1" x14ac:dyDescent="0.3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  <c r="AA576" s="120"/>
      <c r="AB576" s="120"/>
      <c r="AC576" s="120"/>
      <c r="AD576" s="120"/>
    </row>
    <row r="577" spans="1:30" ht="15.75" customHeight="1" x14ac:dyDescent="0.3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  <c r="AA577" s="120"/>
      <c r="AB577" s="120"/>
      <c r="AC577" s="120"/>
      <c r="AD577" s="120"/>
    </row>
    <row r="578" spans="1:30" ht="15.75" customHeight="1" x14ac:dyDescent="0.3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  <c r="AA578" s="120"/>
      <c r="AB578" s="120"/>
      <c r="AC578" s="120"/>
      <c r="AD578" s="120"/>
    </row>
    <row r="579" spans="1:30" ht="15.75" customHeight="1" x14ac:dyDescent="0.3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  <c r="AA579" s="120"/>
      <c r="AB579" s="120"/>
      <c r="AC579" s="120"/>
      <c r="AD579" s="120"/>
    </row>
    <row r="580" spans="1:30" ht="15.75" customHeight="1" x14ac:dyDescent="0.3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  <c r="AA580" s="120"/>
      <c r="AB580" s="120"/>
      <c r="AC580" s="120"/>
      <c r="AD580" s="120"/>
    </row>
    <row r="581" spans="1:30" ht="15.75" customHeight="1" x14ac:dyDescent="0.3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  <c r="AA581" s="120"/>
      <c r="AB581" s="120"/>
      <c r="AC581" s="120"/>
      <c r="AD581" s="120"/>
    </row>
    <row r="582" spans="1:30" ht="15.75" customHeight="1" x14ac:dyDescent="0.3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  <c r="AA582" s="120"/>
      <c r="AB582" s="120"/>
      <c r="AC582" s="120"/>
      <c r="AD582" s="120"/>
    </row>
    <row r="583" spans="1:30" ht="15.75" customHeight="1" x14ac:dyDescent="0.3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  <c r="AA583" s="120"/>
      <c r="AB583" s="120"/>
      <c r="AC583" s="120"/>
      <c r="AD583" s="120"/>
    </row>
    <row r="584" spans="1:30" ht="15.75" customHeight="1" x14ac:dyDescent="0.3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  <c r="AA584" s="120"/>
      <c r="AB584" s="120"/>
      <c r="AC584" s="120"/>
      <c r="AD584" s="120"/>
    </row>
    <row r="585" spans="1:30" ht="15.75" customHeight="1" x14ac:dyDescent="0.3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  <c r="AA585" s="120"/>
      <c r="AB585" s="120"/>
      <c r="AC585" s="120"/>
      <c r="AD585" s="120"/>
    </row>
    <row r="586" spans="1:30" ht="15.75" customHeight="1" x14ac:dyDescent="0.3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  <c r="AA586" s="120"/>
      <c r="AB586" s="120"/>
      <c r="AC586" s="120"/>
      <c r="AD586" s="120"/>
    </row>
    <row r="587" spans="1:30" ht="15.75" customHeight="1" x14ac:dyDescent="0.3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  <c r="AA587" s="120"/>
      <c r="AB587" s="120"/>
      <c r="AC587" s="120"/>
      <c r="AD587" s="120"/>
    </row>
    <row r="588" spans="1:30" ht="15.75" customHeight="1" x14ac:dyDescent="0.3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  <c r="AA588" s="120"/>
      <c r="AB588" s="120"/>
      <c r="AC588" s="120"/>
      <c r="AD588" s="120"/>
    </row>
    <row r="589" spans="1:30" ht="15.75" customHeight="1" x14ac:dyDescent="0.3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  <c r="AA589" s="120"/>
      <c r="AB589" s="120"/>
      <c r="AC589" s="120"/>
      <c r="AD589" s="120"/>
    </row>
    <row r="590" spans="1:30" ht="15.75" customHeight="1" x14ac:dyDescent="0.3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  <c r="AA590" s="120"/>
      <c r="AB590" s="120"/>
      <c r="AC590" s="120"/>
      <c r="AD590" s="120"/>
    </row>
    <row r="591" spans="1:30" ht="15.75" customHeight="1" x14ac:dyDescent="0.3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  <c r="AA591" s="120"/>
      <c r="AB591" s="120"/>
      <c r="AC591" s="120"/>
      <c r="AD591" s="120"/>
    </row>
    <row r="592" spans="1:30" ht="15.75" customHeight="1" x14ac:dyDescent="0.3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  <c r="AA592" s="120"/>
      <c r="AB592" s="120"/>
      <c r="AC592" s="120"/>
      <c r="AD592" s="120"/>
    </row>
    <row r="593" spans="1:30" ht="15.75" customHeight="1" x14ac:dyDescent="0.3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  <c r="AA593" s="120"/>
      <c r="AB593" s="120"/>
      <c r="AC593" s="120"/>
      <c r="AD593" s="120"/>
    </row>
    <row r="594" spans="1:30" ht="15.75" customHeight="1" x14ac:dyDescent="0.3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  <c r="AA594" s="120"/>
      <c r="AB594" s="120"/>
      <c r="AC594" s="120"/>
      <c r="AD594" s="120"/>
    </row>
    <row r="595" spans="1:30" ht="15.75" customHeight="1" x14ac:dyDescent="0.3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  <c r="AA595" s="120"/>
      <c r="AB595" s="120"/>
      <c r="AC595" s="120"/>
      <c r="AD595" s="120"/>
    </row>
    <row r="596" spans="1:30" ht="15.75" customHeight="1" x14ac:dyDescent="0.3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  <c r="AA596" s="120"/>
      <c r="AB596" s="120"/>
      <c r="AC596" s="120"/>
      <c r="AD596" s="120"/>
    </row>
    <row r="597" spans="1:30" ht="15.75" customHeight="1" x14ac:dyDescent="0.3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  <c r="AA597" s="120"/>
      <c r="AB597" s="120"/>
      <c r="AC597" s="120"/>
      <c r="AD597" s="120"/>
    </row>
    <row r="598" spans="1:30" ht="15.75" customHeight="1" x14ac:dyDescent="0.3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  <c r="AA598" s="120"/>
      <c r="AB598" s="120"/>
      <c r="AC598" s="120"/>
      <c r="AD598" s="120"/>
    </row>
    <row r="599" spans="1:30" ht="15.75" customHeight="1" x14ac:dyDescent="0.3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  <c r="AA599" s="120"/>
      <c r="AB599" s="120"/>
      <c r="AC599" s="120"/>
      <c r="AD599" s="120"/>
    </row>
    <row r="600" spans="1:30" ht="15.75" customHeight="1" x14ac:dyDescent="0.3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  <c r="AA600" s="120"/>
      <c r="AB600" s="120"/>
      <c r="AC600" s="120"/>
      <c r="AD600" s="120"/>
    </row>
    <row r="601" spans="1:30" ht="15.75" customHeight="1" x14ac:dyDescent="0.3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  <c r="AA601" s="120"/>
      <c r="AB601" s="120"/>
      <c r="AC601" s="120"/>
      <c r="AD601" s="120"/>
    </row>
    <row r="602" spans="1:30" ht="15.75" customHeight="1" x14ac:dyDescent="0.3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  <c r="AA602" s="120"/>
      <c r="AB602" s="120"/>
      <c r="AC602" s="120"/>
      <c r="AD602" s="120"/>
    </row>
    <row r="603" spans="1:30" ht="15.75" customHeight="1" x14ac:dyDescent="0.3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  <c r="AA603" s="120"/>
      <c r="AB603" s="120"/>
      <c r="AC603" s="120"/>
      <c r="AD603" s="120"/>
    </row>
    <row r="604" spans="1:30" ht="15.75" customHeight="1" x14ac:dyDescent="0.3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  <c r="AA604" s="120"/>
      <c r="AB604" s="120"/>
      <c r="AC604" s="120"/>
      <c r="AD604" s="120"/>
    </row>
    <row r="605" spans="1:30" ht="15.75" customHeight="1" x14ac:dyDescent="0.3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  <c r="AA605" s="120"/>
      <c r="AB605" s="120"/>
      <c r="AC605" s="120"/>
      <c r="AD605" s="120"/>
    </row>
    <row r="606" spans="1:30" ht="15.75" customHeight="1" x14ac:dyDescent="0.3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  <c r="AA606" s="120"/>
      <c r="AB606" s="120"/>
      <c r="AC606" s="120"/>
      <c r="AD606" s="120"/>
    </row>
    <row r="607" spans="1:30" ht="15.75" customHeight="1" x14ac:dyDescent="0.3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  <c r="AA607" s="120"/>
      <c r="AB607" s="120"/>
      <c r="AC607" s="120"/>
      <c r="AD607" s="120"/>
    </row>
    <row r="608" spans="1:30" ht="15.75" customHeight="1" x14ac:dyDescent="0.3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  <c r="AA608" s="120"/>
      <c r="AB608" s="120"/>
      <c r="AC608" s="120"/>
      <c r="AD608" s="120"/>
    </row>
    <row r="609" spans="1:30" ht="15.75" customHeight="1" x14ac:dyDescent="0.3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  <c r="AA609" s="120"/>
      <c r="AB609" s="120"/>
      <c r="AC609" s="120"/>
      <c r="AD609" s="120"/>
    </row>
    <row r="610" spans="1:30" ht="15.75" customHeight="1" x14ac:dyDescent="0.3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  <c r="AA610" s="120"/>
      <c r="AB610" s="120"/>
      <c r="AC610" s="120"/>
      <c r="AD610" s="120"/>
    </row>
    <row r="611" spans="1:30" ht="15.75" customHeight="1" x14ac:dyDescent="0.3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  <c r="AA611" s="120"/>
      <c r="AB611" s="120"/>
      <c r="AC611" s="120"/>
      <c r="AD611" s="120"/>
    </row>
    <row r="612" spans="1:30" ht="15.75" customHeight="1" x14ac:dyDescent="0.3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  <c r="AA612" s="120"/>
      <c r="AB612" s="120"/>
      <c r="AC612" s="120"/>
      <c r="AD612" s="120"/>
    </row>
    <row r="613" spans="1:30" ht="15.75" customHeight="1" x14ac:dyDescent="0.3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  <c r="AA613" s="120"/>
      <c r="AB613" s="120"/>
      <c r="AC613" s="120"/>
      <c r="AD613" s="120"/>
    </row>
    <row r="614" spans="1:30" ht="15.75" customHeight="1" x14ac:dyDescent="0.3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  <c r="AA614" s="120"/>
      <c r="AB614" s="120"/>
      <c r="AC614" s="120"/>
      <c r="AD614" s="120"/>
    </row>
    <row r="615" spans="1:30" ht="15.75" customHeight="1" x14ac:dyDescent="0.3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  <c r="AA615" s="120"/>
      <c r="AB615" s="120"/>
      <c r="AC615" s="120"/>
      <c r="AD615" s="120"/>
    </row>
    <row r="616" spans="1:30" ht="15.75" customHeight="1" x14ac:dyDescent="0.3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  <c r="AA616" s="120"/>
      <c r="AB616" s="120"/>
      <c r="AC616" s="120"/>
      <c r="AD616" s="120"/>
    </row>
    <row r="617" spans="1:30" ht="15.75" customHeight="1" x14ac:dyDescent="0.3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  <c r="AA617" s="120"/>
      <c r="AB617" s="120"/>
      <c r="AC617" s="120"/>
      <c r="AD617" s="120"/>
    </row>
    <row r="618" spans="1:30" ht="15.75" customHeight="1" x14ac:dyDescent="0.3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  <c r="AA618" s="120"/>
      <c r="AB618" s="120"/>
      <c r="AC618" s="120"/>
      <c r="AD618" s="120"/>
    </row>
    <row r="619" spans="1:30" ht="15.75" customHeight="1" x14ac:dyDescent="0.3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  <c r="AA619" s="120"/>
      <c r="AB619" s="120"/>
      <c r="AC619" s="120"/>
      <c r="AD619" s="120"/>
    </row>
    <row r="620" spans="1:30" ht="15.75" customHeight="1" x14ac:dyDescent="0.3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  <c r="AA620" s="120"/>
      <c r="AB620" s="120"/>
      <c r="AC620" s="120"/>
      <c r="AD620" s="120"/>
    </row>
    <row r="621" spans="1:30" ht="15.75" customHeight="1" x14ac:dyDescent="0.3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  <c r="AA621" s="120"/>
      <c r="AB621" s="120"/>
      <c r="AC621" s="120"/>
      <c r="AD621" s="120"/>
    </row>
    <row r="622" spans="1:30" ht="15.75" customHeight="1" x14ac:dyDescent="0.3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  <c r="AA622" s="120"/>
      <c r="AB622" s="120"/>
      <c r="AC622" s="120"/>
      <c r="AD622" s="120"/>
    </row>
    <row r="623" spans="1:30" ht="15.75" customHeight="1" x14ac:dyDescent="0.3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  <c r="AA623" s="120"/>
      <c r="AB623" s="120"/>
      <c r="AC623" s="120"/>
      <c r="AD623" s="120"/>
    </row>
    <row r="624" spans="1:30" ht="15.75" customHeight="1" x14ac:dyDescent="0.3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  <c r="AA624" s="120"/>
      <c r="AB624" s="120"/>
      <c r="AC624" s="120"/>
      <c r="AD624" s="120"/>
    </row>
    <row r="625" spans="1:30" ht="15.75" customHeight="1" x14ac:dyDescent="0.3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  <c r="AA625" s="120"/>
      <c r="AB625" s="120"/>
      <c r="AC625" s="120"/>
      <c r="AD625" s="120"/>
    </row>
    <row r="626" spans="1:30" ht="15.75" customHeight="1" x14ac:dyDescent="0.3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  <c r="AA626" s="120"/>
      <c r="AB626" s="120"/>
      <c r="AC626" s="120"/>
      <c r="AD626" s="120"/>
    </row>
    <row r="627" spans="1:30" ht="15.75" customHeight="1" x14ac:dyDescent="0.3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  <c r="AA627" s="120"/>
      <c r="AB627" s="120"/>
      <c r="AC627" s="120"/>
      <c r="AD627" s="120"/>
    </row>
    <row r="628" spans="1:30" ht="15.75" customHeight="1" x14ac:dyDescent="0.3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  <c r="AA628" s="120"/>
      <c r="AB628" s="120"/>
      <c r="AC628" s="120"/>
      <c r="AD628" s="120"/>
    </row>
    <row r="629" spans="1:30" ht="15.75" customHeight="1" x14ac:dyDescent="0.3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  <c r="AA629" s="120"/>
      <c r="AB629" s="120"/>
      <c r="AC629" s="120"/>
      <c r="AD629" s="120"/>
    </row>
    <row r="630" spans="1:30" ht="15.75" customHeight="1" x14ac:dyDescent="0.3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  <c r="AA630" s="120"/>
      <c r="AB630" s="120"/>
      <c r="AC630" s="120"/>
      <c r="AD630" s="120"/>
    </row>
    <row r="631" spans="1:30" ht="15.75" customHeight="1" x14ac:dyDescent="0.3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  <c r="AA631" s="120"/>
      <c r="AB631" s="120"/>
      <c r="AC631" s="120"/>
      <c r="AD631" s="120"/>
    </row>
    <row r="632" spans="1:30" ht="15.75" customHeight="1" x14ac:dyDescent="0.3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  <c r="AA632" s="120"/>
      <c r="AB632" s="120"/>
      <c r="AC632" s="120"/>
      <c r="AD632" s="120"/>
    </row>
    <row r="633" spans="1:30" ht="15.75" customHeight="1" x14ac:dyDescent="0.3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  <c r="AA633" s="120"/>
      <c r="AB633" s="120"/>
      <c r="AC633" s="120"/>
      <c r="AD633" s="120"/>
    </row>
    <row r="634" spans="1:30" ht="15.75" customHeight="1" x14ac:dyDescent="0.3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  <c r="AA634" s="120"/>
      <c r="AB634" s="120"/>
      <c r="AC634" s="120"/>
      <c r="AD634" s="120"/>
    </row>
    <row r="635" spans="1:30" ht="15.75" customHeight="1" x14ac:dyDescent="0.3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  <c r="AA635" s="120"/>
      <c r="AB635" s="120"/>
      <c r="AC635" s="120"/>
      <c r="AD635" s="120"/>
    </row>
    <row r="636" spans="1:30" ht="15.75" customHeight="1" x14ac:dyDescent="0.3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  <c r="AA636" s="120"/>
      <c r="AB636" s="120"/>
      <c r="AC636" s="120"/>
      <c r="AD636" s="120"/>
    </row>
    <row r="637" spans="1:30" ht="15.75" customHeight="1" x14ac:dyDescent="0.3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  <c r="AA637" s="120"/>
      <c r="AB637" s="120"/>
      <c r="AC637" s="120"/>
      <c r="AD637" s="120"/>
    </row>
    <row r="638" spans="1:30" ht="15.75" customHeight="1" x14ac:dyDescent="0.3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  <c r="AA638" s="120"/>
      <c r="AB638" s="120"/>
      <c r="AC638" s="120"/>
      <c r="AD638" s="120"/>
    </row>
    <row r="639" spans="1:30" ht="15.75" customHeight="1" x14ac:dyDescent="0.3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  <c r="AA639" s="120"/>
      <c r="AB639" s="120"/>
      <c r="AC639" s="120"/>
      <c r="AD639" s="120"/>
    </row>
    <row r="640" spans="1:30" ht="15.75" customHeight="1" x14ac:dyDescent="0.3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  <c r="AA640" s="120"/>
      <c r="AB640" s="120"/>
      <c r="AC640" s="120"/>
      <c r="AD640" s="120"/>
    </row>
    <row r="641" spans="1:30" ht="15.75" customHeight="1" x14ac:dyDescent="0.3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  <c r="AA641" s="120"/>
      <c r="AB641" s="120"/>
      <c r="AC641" s="120"/>
      <c r="AD641" s="120"/>
    </row>
    <row r="642" spans="1:30" ht="15.75" customHeight="1" x14ac:dyDescent="0.3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  <c r="AA642" s="120"/>
      <c r="AB642" s="120"/>
      <c r="AC642" s="120"/>
      <c r="AD642" s="120"/>
    </row>
    <row r="643" spans="1:30" ht="15.75" customHeight="1" x14ac:dyDescent="0.3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  <c r="AA643" s="120"/>
      <c r="AB643" s="120"/>
      <c r="AC643" s="120"/>
      <c r="AD643" s="120"/>
    </row>
    <row r="644" spans="1:30" ht="15.75" customHeight="1" x14ac:dyDescent="0.3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  <c r="AA644" s="120"/>
      <c r="AB644" s="120"/>
      <c r="AC644" s="120"/>
      <c r="AD644" s="120"/>
    </row>
    <row r="645" spans="1:30" ht="15.75" customHeight="1" x14ac:dyDescent="0.3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  <c r="AA645" s="120"/>
      <c r="AB645" s="120"/>
      <c r="AC645" s="120"/>
      <c r="AD645" s="120"/>
    </row>
    <row r="646" spans="1:30" ht="15.75" customHeight="1" x14ac:dyDescent="0.3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  <c r="AA646" s="120"/>
      <c r="AB646" s="120"/>
      <c r="AC646" s="120"/>
      <c r="AD646" s="120"/>
    </row>
    <row r="647" spans="1:30" ht="15.75" customHeight="1" x14ac:dyDescent="0.3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  <c r="AA647" s="120"/>
      <c r="AB647" s="120"/>
      <c r="AC647" s="120"/>
      <c r="AD647" s="120"/>
    </row>
    <row r="648" spans="1:30" ht="15.75" customHeight="1" x14ac:dyDescent="0.3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  <c r="AA648" s="120"/>
      <c r="AB648" s="120"/>
      <c r="AC648" s="120"/>
      <c r="AD648" s="120"/>
    </row>
    <row r="649" spans="1:30" ht="15.75" customHeight="1" x14ac:dyDescent="0.3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  <c r="AA649" s="120"/>
      <c r="AB649" s="120"/>
      <c r="AC649" s="120"/>
      <c r="AD649" s="120"/>
    </row>
    <row r="650" spans="1:30" ht="15.75" customHeight="1" x14ac:dyDescent="0.3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  <c r="AA650" s="120"/>
      <c r="AB650" s="120"/>
      <c r="AC650" s="120"/>
      <c r="AD650" s="120"/>
    </row>
    <row r="651" spans="1:30" ht="15.75" customHeight="1" x14ac:dyDescent="0.3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  <c r="AA651" s="120"/>
      <c r="AB651" s="120"/>
      <c r="AC651" s="120"/>
      <c r="AD651" s="120"/>
    </row>
    <row r="652" spans="1:30" ht="15.75" customHeight="1" x14ac:dyDescent="0.3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  <c r="AA652" s="120"/>
      <c r="AB652" s="120"/>
      <c r="AC652" s="120"/>
      <c r="AD652" s="120"/>
    </row>
    <row r="653" spans="1:30" ht="15.75" customHeight="1" x14ac:dyDescent="0.3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  <c r="AA653" s="120"/>
      <c r="AB653" s="120"/>
      <c r="AC653" s="120"/>
      <c r="AD653" s="120"/>
    </row>
    <row r="654" spans="1:30" ht="15.75" customHeight="1" x14ac:dyDescent="0.3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  <c r="AA654" s="120"/>
      <c r="AB654" s="120"/>
      <c r="AC654" s="120"/>
      <c r="AD654" s="120"/>
    </row>
    <row r="655" spans="1:30" ht="15.75" customHeight="1" x14ac:dyDescent="0.3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  <c r="AA655" s="120"/>
      <c r="AB655" s="120"/>
      <c r="AC655" s="120"/>
      <c r="AD655" s="120"/>
    </row>
    <row r="656" spans="1:30" ht="15.75" customHeight="1" x14ac:dyDescent="0.3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  <c r="AA656" s="120"/>
      <c r="AB656" s="120"/>
      <c r="AC656" s="120"/>
      <c r="AD656" s="120"/>
    </row>
    <row r="657" spans="1:30" ht="15.75" customHeight="1" x14ac:dyDescent="0.3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  <c r="AA657" s="120"/>
      <c r="AB657" s="120"/>
      <c r="AC657" s="120"/>
      <c r="AD657" s="120"/>
    </row>
    <row r="658" spans="1:30" ht="15.75" customHeight="1" x14ac:dyDescent="0.3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  <c r="AA658" s="120"/>
      <c r="AB658" s="120"/>
      <c r="AC658" s="120"/>
      <c r="AD658" s="120"/>
    </row>
    <row r="659" spans="1:30" ht="15.75" customHeight="1" x14ac:dyDescent="0.3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  <c r="AA659" s="120"/>
      <c r="AB659" s="120"/>
      <c r="AC659" s="120"/>
      <c r="AD659" s="120"/>
    </row>
    <row r="660" spans="1:30" ht="15.75" customHeight="1" x14ac:dyDescent="0.3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  <c r="AA660" s="120"/>
      <c r="AB660" s="120"/>
      <c r="AC660" s="120"/>
      <c r="AD660" s="120"/>
    </row>
    <row r="661" spans="1:30" ht="15.75" customHeight="1" x14ac:dyDescent="0.3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  <c r="AA661" s="120"/>
      <c r="AB661" s="120"/>
      <c r="AC661" s="120"/>
      <c r="AD661" s="120"/>
    </row>
    <row r="662" spans="1:30" ht="15.75" customHeight="1" x14ac:dyDescent="0.3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  <c r="AA662" s="120"/>
      <c r="AB662" s="120"/>
      <c r="AC662" s="120"/>
      <c r="AD662" s="120"/>
    </row>
    <row r="663" spans="1:30" ht="15.75" customHeight="1" x14ac:dyDescent="0.3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  <c r="AA663" s="120"/>
      <c r="AB663" s="120"/>
      <c r="AC663" s="120"/>
      <c r="AD663" s="120"/>
    </row>
    <row r="664" spans="1:30" ht="15.75" customHeight="1" x14ac:dyDescent="0.3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  <c r="AA664" s="120"/>
      <c r="AB664" s="120"/>
      <c r="AC664" s="120"/>
      <c r="AD664" s="120"/>
    </row>
    <row r="665" spans="1:30" ht="15.75" customHeight="1" x14ac:dyDescent="0.3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  <c r="AA665" s="120"/>
      <c r="AB665" s="120"/>
      <c r="AC665" s="120"/>
      <c r="AD665" s="120"/>
    </row>
    <row r="666" spans="1:30" ht="15.75" customHeight="1" x14ac:dyDescent="0.3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  <c r="AA666" s="120"/>
      <c r="AB666" s="120"/>
      <c r="AC666" s="120"/>
      <c r="AD666" s="120"/>
    </row>
    <row r="667" spans="1:30" ht="15.75" customHeight="1" x14ac:dyDescent="0.3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  <c r="AA667" s="120"/>
      <c r="AB667" s="120"/>
      <c r="AC667" s="120"/>
      <c r="AD667" s="120"/>
    </row>
    <row r="668" spans="1:30" ht="15.75" customHeight="1" x14ac:dyDescent="0.3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  <c r="AA668" s="120"/>
      <c r="AB668" s="120"/>
      <c r="AC668" s="120"/>
      <c r="AD668" s="120"/>
    </row>
    <row r="669" spans="1:30" ht="15.75" customHeight="1" x14ac:dyDescent="0.3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  <c r="AA669" s="120"/>
      <c r="AB669" s="120"/>
      <c r="AC669" s="120"/>
      <c r="AD669" s="120"/>
    </row>
    <row r="670" spans="1:30" ht="15.75" customHeight="1" x14ac:dyDescent="0.3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  <c r="AA670" s="120"/>
      <c r="AB670" s="120"/>
      <c r="AC670" s="120"/>
      <c r="AD670" s="120"/>
    </row>
    <row r="671" spans="1:30" ht="15.75" customHeight="1" x14ac:dyDescent="0.3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  <c r="AA671" s="120"/>
      <c r="AB671" s="120"/>
      <c r="AC671" s="120"/>
      <c r="AD671" s="120"/>
    </row>
    <row r="672" spans="1:30" ht="15.75" customHeight="1" x14ac:dyDescent="0.3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  <c r="AA672" s="120"/>
      <c r="AB672" s="120"/>
      <c r="AC672" s="120"/>
      <c r="AD672" s="120"/>
    </row>
    <row r="673" spans="1:30" ht="15.75" customHeight="1" x14ac:dyDescent="0.3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  <c r="AA673" s="120"/>
      <c r="AB673" s="120"/>
      <c r="AC673" s="120"/>
      <c r="AD673" s="120"/>
    </row>
    <row r="674" spans="1:30" ht="15.75" customHeight="1" x14ac:dyDescent="0.3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  <c r="AA674" s="120"/>
      <c r="AB674" s="120"/>
      <c r="AC674" s="120"/>
      <c r="AD674" s="120"/>
    </row>
    <row r="675" spans="1:30" ht="15.75" customHeight="1" x14ac:dyDescent="0.3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  <c r="AA675" s="120"/>
      <c r="AB675" s="120"/>
      <c r="AC675" s="120"/>
      <c r="AD675" s="120"/>
    </row>
    <row r="676" spans="1:30" ht="15.75" customHeight="1" x14ac:dyDescent="0.3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  <c r="AA676" s="120"/>
      <c r="AB676" s="120"/>
      <c r="AC676" s="120"/>
      <c r="AD676" s="120"/>
    </row>
    <row r="677" spans="1:30" ht="15.75" customHeight="1" x14ac:dyDescent="0.3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  <c r="AA677" s="120"/>
      <c r="AB677" s="120"/>
      <c r="AC677" s="120"/>
      <c r="AD677" s="120"/>
    </row>
    <row r="678" spans="1:30" ht="15.75" customHeight="1" x14ac:dyDescent="0.3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  <c r="AA678" s="120"/>
      <c r="AB678" s="120"/>
      <c r="AC678" s="120"/>
      <c r="AD678" s="120"/>
    </row>
    <row r="679" spans="1:30" ht="15.75" customHeight="1" x14ac:dyDescent="0.3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  <c r="AA679" s="120"/>
      <c r="AB679" s="120"/>
      <c r="AC679" s="120"/>
      <c r="AD679" s="120"/>
    </row>
    <row r="680" spans="1:30" ht="15.75" customHeight="1" x14ac:dyDescent="0.3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  <c r="AA680" s="120"/>
      <c r="AB680" s="120"/>
      <c r="AC680" s="120"/>
      <c r="AD680" s="120"/>
    </row>
    <row r="681" spans="1:30" ht="15.75" customHeight="1" x14ac:dyDescent="0.3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  <c r="AA681" s="120"/>
      <c r="AB681" s="120"/>
      <c r="AC681" s="120"/>
      <c r="AD681" s="120"/>
    </row>
    <row r="682" spans="1:30" ht="15.75" customHeight="1" x14ac:dyDescent="0.3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  <c r="AA682" s="120"/>
      <c r="AB682" s="120"/>
      <c r="AC682" s="120"/>
      <c r="AD682" s="120"/>
    </row>
    <row r="683" spans="1:30" ht="15.75" customHeight="1" x14ac:dyDescent="0.3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  <c r="AA683" s="120"/>
      <c r="AB683" s="120"/>
      <c r="AC683" s="120"/>
      <c r="AD683" s="120"/>
    </row>
    <row r="684" spans="1:30" ht="15.75" customHeight="1" x14ac:dyDescent="0.3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  <c r="AA684" s="120"/>
      <c r="AB684" s="120"/>
      <c r="AC684" s="120"/>
      <c r="AD684" s="120"/>
    </row>
    <row r="685" spans="1:30" ht="15.75" customHeight="1" x14ac:dyDescent="0.3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  <c r="AA685" s="120"/>
      <c r="AB685" s="120"/>
      <c r="AC685" s="120"/>
      <c r="AD685" s="120"/>
    </row>
    <row r="686" spans="1:30" ht="15.75" customHeight="1" x14ac:dyDescent="0.3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  <c r="AA686" s="120"/>
      <c r="AB686" s="120"/>
      <c r="AC686" s="120"/>
      <c r="AD686" s="120"/>
    </row>
    <row r="687" spans="1:30" ht="15.75" customHeight="1" x14ac:dyDescent="0.3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  <c r="AA687" s="120"/>
      <c r="AB687" s="120"/>
      <c r="AC687" s="120"/>
      <c r="AD687" s="120"/>
    </row>
    <row r="688" spans="1:30" ht="15.75" customHeight="1" x14ac:dyDescent="0.3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  <c r="AA688" s="120"/>
      <c r="AB688" s="120"/>
      <c r="AC688" s="120"/>
      <c r="AD688" s="120"/>
    </row>
    <row r="689" spans="1:30" ht="15.75" customHeight="1" x14ac:dyDescent="0.3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  <c r="AA689" s="120"/>
      <c r="AB689" s="120"/>
      <c r="AC689" s="120"/>
      <c r="AD689" s="120"/>
    </row>
    <row r="690" spans="1:30" ht="15.75" customHeight="1" x14ac:dyDescent="0.3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  <c r="AA690" s="120"/>
      <c r="AB690" s="120"/>
      <c r="AC690" s="120"/>
      <c r="AD690" s="120"/>
    </row>
    <row r="691" spans="1:30" ht="15.75" customHeight="1" x14ac:dyDescent="0.3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  <c r="AA691" s="120"/>
      <c r="AB691" s="120"/>
      <c r="AC691" s="120"/>
      <c r="AD691" s="120"/>
    </row>
    <row r="692" spans="1:30" ht="15.75" customHeight="1" x14ac:dyDescent="0.3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  <c r="AA692" s="120"/>
      <c r="AB692" s="120"/>
      <c r="AC692" s="120"/>
      <c r="AD692" s="120"/>
    </row>
    <row r="693" spans="1:30" ht="15.75" customHeight="1" x14ac:dyDescent="0.3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  <c r="AA693" s="120"/>
      <c r="AB693" s="120"/>
      <c r="AC693" s="120"/>
      <c r="AD693" s="120"/>
    </row>
    <row r="694" spans="1:30" ht="15.75" customHeight="1" x14ac:dyDescent="0.3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  <c r="AA694" s="120"/>
      <c r="AB694" s="120"/>
      <c r="AC694" s="120"/>
      <c r="AD694" s="120"/>
    </row>
    <row r="695" spans="1:30" ht="15.75" customHeight="1" x14ac:dyDescent="0.3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  <c r="AA695" s="120"/>
      <c r="AB695" s="120"/>
      <c r="AC695" s="120"/>
      <c r="AD695" s="120"/>
    </row>
    <row r="696" spans="1:30" ht="15.75" customHeight="1" x14ac:dyDescent="0.3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  <c r="AA696" s="120"/>
      <c r="AB696" s="120"/>
      <c r="AC696" s="120"/>
      <c r="AD696" s="120"/>
    </row>
    <row r="697" spans="1:30" ht="15.75" customHeight="1" x14ac:dyDescent="0.3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  <c r="AA697" s="120"/>
      <c r="AB697" s="120"/>
      <c r="AC697" s="120"/>
      <c r="AD697" s="120"/>
    </row>
    <row r="698" spans="1:30" ht="15.75" customHeight="1" x14ac:dyDescent="0.3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  <c r="AA698" s="120"/>
      <c r="AB698" s="120"/>
      <c r="AC698" s="120"/>
      <c r="AD698" s="120"/>
    </row>
    <row r="699" spans="1:30" ht="15.75" customHeight="1" x14ac:dyDescent="0.3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  <c r="AA699" s="120"/>
      <c r="AB699" s="120"/>
      <c r="AC699" s="120"/>
      <c r="AD699" s="120"/>
    </row>
    <row r="700" spans="1:30" ht="15.75" customHeight="1" x14ac:dyDescent="0.3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  <c r="AA700" s="120"/>
      <c r="AB700" s="120"/>
      <c r="AC700" s="120"/>
      <c r="AD700" s="120"/>
    </row>
    <row r="701" spans="1:30" ht="15.75" customHeight="1" x14ac:dyDescent="0.3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  <c r="AA701" s="120"/>
      <c r="AB701" s="120"/>
      <c r="AC701" s="120"/>
      <c r="AD701" s="120"/>
    </row>
    <row r="702" spans="1:30" ht="15.75" customHeight="1" x14ac:dyDescent="0.3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  <c r="AA702" s="120"/>
      <c r="AB702" s="120"/>
      <c r="AC702" s="120"/>
      <c r="AD702" s="120"/>
    </row>
    <row r="703" spans="1:30" ht="15.75" customHeight="1" x14ac:dyDescent="0.3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  <c r="AA703" s="120"/>
      <c r="AB703" s="120"/>
      <c r="AC703" s="120"/>
      <c r="AD703" s="120"/>
    </row>
    <row r="704" spans="1:30" ht="15.75" customHeight="1" x14ac:dyDescent="0.3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  <c r="AA704" s="120"/>
      <c r="AB704" s="120"/>
      <c r="AC704" s="120"/>
      <c r="AD704" s="120"/>
    </row>
    <row r="705" spans="1:30" ht="15.75" customHeight="1" x14ac:dyDescent="0.3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  <c r="AA705" s="120"/>
      <c r="AB705" s="120"/>
      <c r="AC705" s="120"/>
      <c r="AD705" s="120"/>
    </row>
    <row r="706" spans="1:30" ht="15.75" customHeight="1" x14ac:dyDescent="0.3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  <c r="AA706" s="120"/>
      <c r="AB706" s="120"/>
      <c r="AC706" s="120"/>
      <c r="AD706" s="120"/>
    </row>
    <row r="707" spans="1:30" ht="15.75" customHeight="1" x14ac:dyDescent="0.3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  <c r="AA707" s="120"/>
      <c r="AB707" s="120"/>
      <c r="AC707" s="120"/>
      <c r="AD707" s="120"/>
    </row>
    <row r="708" spans="1:30" ht="15.75" customHeight="1" x14ac:dyDescent="0.3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  <c r="AA708" s="120"/>
      <c r="AB708" s="120"/>
      <c r="AC708" s="120"/>
      <c r="AD708" s="120"/>
    </row>
    <row r="709" spans="1:30" ht="15.75" customHeight="1" x14ac:dyDescent="0.3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  <c r="AA709" s="120"/>
      <c r="AB709" s="120"/>
      <c r="AC709" s="120"/>
      <c r="AD709" s="120"/>
    </row>
    <row r="710" spans="1:30" ht="15.75" customHeight="1" x14ac:dyDescent="0.3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  <c r="AA710" s="120"/>
      <c r="AB710" s="120"/>
      <c r="AC710" s="120"/>
      <c r="AD710" s="120"/>
    </row>
    <row r="711" spans="1:30" ht="15.75" customHeight="1" x14ac:dyDescent="0.3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  <c r="AA711" s="120"/>
      <c r="AB711" s="120"/>
      <c r="AC711" s="120"/>
      <c r="AD711" s="120"/>
    </row>
    <row r="712" spans="1:30" ht="15.75" customHeight="1" x14ac:dyDescent="0.3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  <c r="AA712" s="120"/>
      <c r="AB712" s="120"/>
      <c r="AC712" s="120"/>
      <c r="AD712" s="120"/>
    </row>
    <row r="713" spans="1:30" ht="15.75" customHeight="1" x14ac:dyDescent="0.3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  <c r="AA713" s="120"/>
      <c r="AB713" s="120"/>
      <c r="AC713" s="120"/>
      <c r="AD713" s="120"/>
    </row>
    <row r="714" spans="1:30" ht="15.75" customHeight="1" x14ac:dyDescent="0.3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  <c r="AA714" s="120"/>
      <c r="AB714" s="120"/>
      <c r="AC714" s="120"/>
      <c r="AD714" s="120"/>
    </row>
    <row r="715" spans="1:30" ht="15.75" customHeight="1" x14ac:dyDescent="0.3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  <c r="AA715" s="120"/>
      <c r="AB715" s="120"/>
      <c r="AC715" s="120"/>
      <c r="AD715" s="120"/>
    </row>
    <row r="716" spans="1:30" ht="15.75" customHeight="1" x14ac:dyDescent="0.3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  <c r="AA716" s="120"/>
      <c r="AB716" s="120"/>
      <c r="AC716" s="120"/>
      <c r="AD716" s="120"/>
    </row>
    <row r="717" spans="1:30" ht="15.75" customHeight="1" x14ac:dyDescent="0.3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  <c r="AA717" s="120"/>
      <c r="AB717" s="120"/>
      <c r="AC717" s="120"/>
      <c r="AD717" s="120"/>
    </row>
    <row r="718" spans="1:30" ht="15.75" customHeight="1" x14ac:dyDescent="0.3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  <c r="AA718" s="120"/>
      <c r="AB718" s="120"/>
      <c r="AC718" s="120"/>
      <c r="AD718" s="120"/>
    </row>
    <row r="719" spans="1:30" ht="15.75" customHeight="1" x14ac:dyDescent="0.3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  <c r="AA719" s="120"/>
      <c r="AB719" s="120"/>
      <c r="AC719" s="120"/>
      <c r="AD719" s="120"/>
    </row>
    <row r="720" spans="1:30" ht="15.75" customHeight="1" x14ac:dyDescent="0.3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  <c r="AA720" s="120"/>
      <c r="AB720" s="120"/>
      <c r="AC720" s="120"/>
      <c r="AD720" s="120"/>
    </row>
    <row r="721" spans="1:30" ht="15.75" customHeight="1" x14ac:dyDescent="0.3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  <c r="AA721" s="120"/>
      <c r="AB721" s="120"/>
      <c r="AC721" s="120"/>
      <c r="AD721" s="120"/>
    </row>
    <row r="722" spans="1:30" ht="15.75" customHeight="1" x14ac:dyDescent="0.3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  <c r="AA722" s="120"/>
      <c r="AB722" s="120"/>
      <c r="AC722" s="120"/>
      <c r="AD722" s="120"/>
    </row>
    <row r="723" spans="1:30" ht="15.75" customHeight="1" x14ac:dyDescent="0.3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  <c r="AA723" s="120"/>
      <c r="AB723" s="120"/>
      <c r="AC723" s="120"/>
      <c r="AD723" s="120"/>
    </row>
    <row r="724" spans="1:30" ht="15.75" customHeight="1" x14ac:dyDescent="0.3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  <c r="AA724" s="120"/>
      <c r="AB724" s="120"/>
      <c r="AC724" s="120"/>
      <c r="AD724" s="120"/>
    </row>
    <row r="725" spans="1:30" ht="15.75" customHeight="1" x14ac:dyDescent="0.3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  <c r="AA725" s="120"/>
      <c r="AB725" s="120"/>
      <c r="AC725" s="120"/>
      <c r="AD725" s="120"/>
    </row>
    <row r="726" spans="1:30" ht="15.75" customHeight="1" x14ac:dyDescent="0.3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  <c r="AA726" s="120"/>
      <c r="AB726" s="120"/>
      <c r="AC726" s="120"/>
      <c r="AD726" s="120"/>
    </row>
    <row r="727" spans="1:30" ht="15.75" customHeight="1" x14ac:dyDescent="0.3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  <c r="AA727" s="120"/>
      <c r="AB727" s="120"/>
      <c r="AC727" s="120"/>
      <c r="AD727" s="120"/>
    </row>
    <row r="728" spans="1:30" ht="15.75" customHeight="1" x14ac:dyDescent="0.3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  <c r="AA728" s="120"/>
      <c r="AB728" s="120"/>
      <c r="AC728" s="120"/>
      <c r="AD728" s="120"/>
    </row>
    <row r="729" spans="1:30" ht="15.75" customHeight="1" x14ac:dyDescent="0.3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  <c r="AA729" s="120"/>
      <c r="AB729" s="120"/>
      <c r="AC729" s="120"/>
      <c r="AD729" s="120"/>
    </row>
    <row r="730" spans="1:30" ht="15.75" customHeight="1" x14ac:dyDescent="0.3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  <c r="AA730" s="120"/>
      <c r="AB730" s="120"/>
      <c r="AC730" s="120"/>
      <c r="AD730" s="120"/>
    </row>
    <row r="731" spans="1:30" ht="15.75" customHeight="1" x14ac:dyDescent="0.3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  <c r="AA731" s="120"/>
      <c r="AB731" s="120"/>
      <c r="AC731" s="120"/>
      <c r="AD731" s="120"/>
    </row>
    <row r="732" spans="1:30" ht="15.75" customHeight="1" x14ac:dyDescent="0.3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  <c r="AA732" s="120"/>
      <c r="AB732" s="120"/>
      <c r="AC732" s="120"/>
      <c r="AD732" s="120"/>
    </row>
    <row r="733" spans="1:30" ht="15.75" customHeight="1" x14ac:dyDescent="0.3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  <c r="AA733" s="120"/>
      <c r="AB733" s="120"/>
      <c r="AC733" s="120"/>
      <c r="AD733" s="120"/>
    </row>
    <row r="734" spans="1:30" ht="15.75" customHeight="1" x14ac:dyDescent="0.3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  <c r="AA734" s="120"/>
      <c r="AB734" s="120"/>
      <c r="AC734" s="120"/>
      <c r="AD734" s="120"/>
    </row>
    <row r="735" spans="1:30" ht="15.75" customHeight="1" x14ac:dyDescent="0.3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  <c r="AA735" s="120"/>
      <c r="AB735" s="120"/>
      <c r="AC735" s="120"/>
      <c r="AD735" s="120"/>
    </row>
    <row r="736" spans="1:30" ht="15.75" customHeight="1" x14ac:dyDescent="0.3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  <c r="AA736" s="120"/>
      <c r="AB736" s="120"/>
      <c r="AC736" s="120"/>
      <c r="AD736" s="120"/>
    </row>
    <row r="737" spans="1:30" ht="15.75" customHeight="1" x14ac:dyDescent="0.3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  <c r="AA737" s="120"/>
      <c r="AB737" s="120"/>
      <c r="AC737" s="120"/>
      <c r="AD737" s="120"/>
    </row>
    <row r="738" spans="1:30" ht="15.75" customHeight="1" x14ac:dyDescent="0.3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  <c r="AA738" s="120"/>
      <c r="AB738" s="120"/>
      <c r="AC738" s="120"/>
      <c r="AD738" s="120"/>
    </row>
    <row r="739" spans="1:30" ht="15.75" customHeight="1" x14ac:dyDescent="0.3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  <c r="AA739" s="120"/>
      <c r="AB739" s="120"/>
      <c r="AC739" s="120"/>
      <c r="AD739" s="120"/>
    </row>
    <row r="740" spans="1:30" ht="15.75" customHeight="1" x14ac:dyDescent="0.3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  <c r="AA740" s="120"/>
      <c r="AB740" s="120"/>
      <c r="AC740" s="120"/>
      <c r="AD740" s="120"/>
    </row>
    <row r="741" spans="1:30" ht="15.75" customHeight="1" x14ac:dyDescent="0.3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  <c r="AA741" s="120"/>
      <c r="AB741" s="120"/>
      <c r="AC741" s="120"/>
      <c r="AD741" s="120"/>
    </row>
    <row r="742" spans="1:30" ht="15.75" customHeight="1" x14ac:dyDescent="0.3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  <c r="AA742" s="120"/>
      <c r="AB742" s="120"/>
      <c r="AC742" s="120"/>
      <c r="AD742" s="120"/>
    </row>
    <row r="743" spans="1:30" ht="15.75" customHeight="1" x14ac:dyDescent="0.3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  <c r="AA743" s="120"/>
      <c r="AB743" s="120"/>
      <c r="AC743" s="120"/>
      <c r="AD743" s="120"/>
    </row>
    <row r="744" spans="1:30" ht="15.75" customHeight="1" x14ac:dyDescent="0.3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  <c r="AA744" s="120"/>
      <c r="AB744" s="120"/>
      <c r="AC744" s="120"/>
      <c r="AD744" s="120"/>
    </row>
    <row r="745" spans="1:30" ht="15.75" customHeight="1" x14ac:dyDescent="0.3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  <c r="AA745" s="120"/>
      <c r="AB745" s="120"/>
      <c r="AC745" s="120"/>
      <c r="AD745" s="120"/>
    </row>
    <row r="746" spans="1:30" ht="15.75" customHeight="1" x14ac:dyDescent="0.3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  <c r="AA746" s="120"/>
      <c r="AB746" s="120"/>
      <c r="AC746" s="120"/>
      <c r="AD746" s="120"/>
    </row>
    <row r="747" spans="1:30" ht="15.75" customHeight="1" x14ac:dyDescent="0.3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  <c r="AA747" s="120"/>
      <c r="AB747" s="120"/>
      <c r="AC747" s="120"/>
      <c r="AD747" s="120"/>
    </row>
    <row r="748" spans="1:30" ht="15.75" customHeight="1" x14ac:dyDescent="0.3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  <c r="AA748" s="120"/>
      <c r="AB748" s="120"/>
      <c r="AC748" s="120"/>
      <c r="AD748" s="120"/>
    </row>
    <row r="749" spans="1:30" ht="15.75" customHeight="1" x14ac:dyDescent="0.3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  <c r="AA749" s="120"/>
      <c r="AB749" s="120"/>
      <c r="AC749" s="120"/>
      <c r="AD749" s="120"/>
    </row>
    <row r="750" spans="1:30" ht="15.75" customHeight="1" x14ac:dyDescent="0.3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  <c r="AA750" s="120"/>
      <c r="AB750" s="120"/>
      <c r="AC750" s="120"/>
      <c r="AD750" s="120"/>
    </row>
    <row r="751" spans="1:30" ht="15.75" customHeight="1" x14ac:dyDescent="0.3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  <c r="AA751" s="120"/>
      <c r="AB751" s="120"/>
      <c r="AC751" s="120"/>
      <c r="AD751" s="120"/>
    </row>
    <row r="752" spans="1:30" ht="15.75" customHeight="1" x14ac:dyDescent="0.3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  <c r="AA752" s="120"/>
      <c r="AB752" s="120"/>
      <c r="AC752" s="120"/>
      <c r="AD752" s="120"/>
    </row>
    <row r="753" spans="1:30" ht="15.75" customHeight="1" x14ac:dyDescent="0.3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  <c r="AA753" s="120"/>
      <c r="AB753" s="120"/>
      <c r="AC753" s="120"/>
      <c r="AD753" s="120"/>
    </row>
    <row r="754" spans="1:30" ht="15.75" customHeight="1" x14ac:dyDescent="0.3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  <c r="AA754" s="120"/>
      <c r="AB754" s="120"/>
      <c r="AC754" s="120"/>
      <c r="AD754" s="120"/>
    </row>
    <row r="755" spans="1:30" ht="15.75" customHeight="1" x14ac:dyDescent="0.3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  <c r="AA755" s="120"/>
      <c r="AB755" s="120"/>
      <c r="AC755" s="120"/>
      <c r="AD755" s="120"/>
    </row>
    <row r="756" spans="1:30" ht="15.75" customHeight="1" x14ac:dyDescent="0.3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  <c r="AA756" s="120"/>
      <c r="AB756" s="120"/>
      <c r="AC756" s="120"/>
      <c r="AD756" s="120"/>
    </row>
    <row r="757" spans="1:30" ht="15.75" customHeight="1" x14ac:dyDescent="0.3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  <c r="AA757" s="120"/>
      <c r="AB757" s="120"/>
      <c r="AC757" s="120"/>
      <c r="AD757" s="120"/>
    </row>
    <row r="758" spans="1:30" ht="15.75" customHeight="1" x14ac:dyDescent="0.3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  <c r="AA758" s="120"/>
      <c r="AB758" s="120"/>
      <c r="AC758" s="120"/>
      <c r="AD758" s="120"/>
    </row>
    <row r="759" spans="1:30" ht="15.75" customHeight="1" x14ac:dyDescent="0.3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  <c r="AA759" s="120"/>
      <c r="AB759" s="120"/>
      <c r="AC759" s="120"/>
      <c r="AD759" s="120"/>
    </row>
    <row r="760" spans="1:30" ht="15.75" customHeight="1" x14ac:dyDescent="0.3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  <c r="AA760" s="120"/>
      <c r="AB760" s="120"/>
      <c r="AC760" s="120"/>
      <c r="AD760" s="120"/>
    </row>
    <row r="761" spans="1:30" ht="15.75" customHeight="1" x14ac:dyDescent="0.3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  <c r="AA761" s="120"/>
      <c r="AB761" s="120"/>
      <c r="AC761" s="120"/>
      <c r="AD761" s="120"/>
    </row>
    <row r="762" spans="1:30" ht="15.75" customHeight="1" x14ac:dyDescent="0.3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  <c r="AA762" s="120"/>
      <c r="AB762" s="120"/>
      <c r="AC762" s="120"/>
      <c r="AD762" s="120"/>
    </row>
    <row r="763" spans="1:30" ht="15.75" customHeight="1" x14ac:dyDescent="0.3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  <c r="AA763" s="120"/>
      <c r="AB763" s="120"/>
      <c r="AC763" s="120"/>
      <c r="AD763" s="120"/>
    </row>
    <row r="764" spans="1:30" ht="15.75" customHeight="1" x14ac:dyDescent="0.3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  <c r="AA764" s="120"/>
      <c r="AB764" s="120"/>
      <c r="AC764" s="120"/>
      <c r="AD764" s="120"/>
    </row>
    <row r="765" spans="1:30" ht="15.75" customHeight="1" x14ac:dyDescent="0.3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  <c r="AA765" s="120"/>
      <c r="AB765" s="120"/>
      <c r="AC765" s="120"/>
      <c r="AD765" s="120"/>
    </row>
    <row r="766" spans="1:30" ht="15.75" customHeight="1" x14ac:dyDescent="0.3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  <c r="AA766" s="120"/>
      <c r="AB766" s="120"/>
      <c r="AC766" s="120"/>
      <c r="AD766" s="120"/>
    </row>
    <row r="767" spans="1:30" ht="15.75" customHeight="1" x14ac:dyDescent="0.3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  <c r="AA767" s="120"/>
      <c r="AB767" s="120"/>
      <c r="AC767" s="120"/>
      <c r="AD767" s="120"/>
    </row>
    <row r="768" spans="1:30" ht="15.75" customHeight="1" x14ac:dyDescent="0.3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  <c r="AA768" s="120"/>
      <c r="AB768" s="120"/>
      <c r="AC768" s="120"/>
      <c r="AD768" s="120"/>
    </row>
    <row r="769" spans="1:30" ht="15.75" customHeight="1" x14ac:dyDescent="0.3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  <c r="AA769" s="120"/>
      <c r="AB769" s="120"/>
      <c r="AC769" s="120"/>
      <c r="AD769" s="120"/>
    </row>
    <row r="770" spans="1:30" ht="15.75" customHeight="1" x14ac:dyDescent="0.3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  <c r="AA770" s="120"/>
      <c r="AB770" s="120"/>
      <c r="AC770" s="120"/>
      <c r="AD770" s="120"/>
    </row>
    <row r="771" spans="1:30" ht="15.75" customHeight="1" x14ac:dyDescent="0.3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  <c r="AA771" s="120"/>
      <c r="AB771" s="120"/>
      <c r="AC771" s="120"/>
      <c r="AD771" s="120"/>
    </row>
    <row r="772" spans="1:30" ht="15.75" customHeight="1" x14ac:dyDescent="0.3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  <c r="AA772" s="120"/>
      <c r="AB772" s="120"/>
      <c r="AC772" s="120"/>
      <c r="AD772" s="120"/>
    </row>
    <row r="773" spans="1:30" ht="15.75" customHeight="1" x14ac:dyDescent="0.3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  <c r="AA773" s="120"/>
      <c r="AB773" s="120"/>
      <c r="AC773" s="120"/>
      <c r="AD773" s="120"/>
    </row>
    <row r="774" spans="1:30" ht="15.75" customHeight="1" x14ac:dyDescent="0.3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  <c r="AA774" s="120"/>
      <c r="AB774" s="120"/>
      <c r="AC774" s="120"/>
      <c r="AD774" s="120"/>
    </row>
    <row r="775" spans="1:30" ht="15.75" customHeight="1" x14ac:dyDescent="0.3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  <c r="AA775" s="120"/>
      <c r="AB775" s="120"/>
      <c r="AC775" s="120"/>
      <c r="AD775" s="120"/>
    </row>
    <row r="776" spans="1:30" ht="15.75" customHeight="1" x14ac:dyDescent="0.3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  <c r="AA776" s="120"/>
      <c r="AB776" s="120"/>
      <c r="AC776" s="120"/>
      <c r="AD776" s="120"/>
    </row>
    <row r="777" spans="1:30" ht="15.75" customHeight="1" x14ac:dyDescent="0.3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  <c r="AA777" s="120"/>
      <c r="AB777" s="120"/>
      <c r="AC777" s="120"/>
      <c r="AD777" s="120"/>
    </row>
    <row r="778" spans="1:30" ht="15.75" customHeight="1" x14ac:dyDescent="0.3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  <c r="AA778" s="120"/>
      <c r="AB778" s="120"/>
      <c r="AC778" s="120"/>
      <c r="AD778" s="120"/>
    </row>
    <row r="779" spans="1:30" ht="15.75" customHeight="1" x14ac:dyDescent="0.3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  <c r="AA779" s="120"/>
      <c r="AB779" s="120"/>
      <c r="AC779" s="120"/>
      <c r="AD779" s="120"/>
    </row>
    <row r="780" spans="1:30" ht="15.75" customHeight="1" x14ac:dyDescent="0.3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  <c r="AA780" s="120"/>
      <c r="AB780" s="120"/>
      <c r="AC780" s="120"/>
      <c r="AD780" s="120"/>
    </row>
    <row r="781" spans="1:30" ht="15.75" customHeight="1" x14ac:dyDescent="0.3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  <c r="AA781" s="120"/>
      <c r="AB781" s="120"/>
      <c r="AC781" s="120"/>
      <c r="AD781" s="120"/>
    </row>
    <row r="782" spans="1:30" ht="15.75" customHeight="1" x14ac:dyDescent="0.3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  <c r="AA782" s="120"/>
      <c r="AB782" s="120"/>
      <c r="AC782" s="120"/>
      <c r="AD782" s="120"/>
    </row>
    <row r="783" spans="1:30" ht="15.75" customHeight="1" x14ac:dyDescent="0.3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  <c r="AA783" s="120"/>
      <c r="AB783" s="120"/>
      <c r="AC783" s="120"/>
      <c r="AD783" s="120"/>
    </row>
    <row r="784" spans="1:30" ht="15.75" customHeight="1" x14ac:dyDescent="0.3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  <c r="AA784" s="120"/>
      <c r="AB784" s="120"/>
      <c r="AC784" s="120"/>
      <c r="AD784" s="120"/>
    </row>
    <row r="785" spans="1:30" ht="15.75" customHeight="1" x14ac:dyDescent="0.3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  <c r="AA785" s="120"/>
      <c r="AB785" s="120"/>
      <c r="AC785" s="120"/>
      <c r="AD785" s="120"/>
    </row>
    <row r="786" spans="1:30" ht="15.75" customHeight="1" x14ac:dyDescent="0.3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  <c r="AA786" s="120"/>
      <c r="AB786" s="120"/>
      <c r="AC786" s="120"/>
      <c r="AD786" s="120"/>
    </row>
    <row r="787" spans="1:30" ht="15.75" customHeight="1" x14ac:dyDescent="0.3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  <c r="AA787" s="120"/>
      <c r="AB787" s="120"/>
      <c r="AC787" s="120"/>
      <c r="AD787" s="120"/>
    </row>
    <row r="788" spans="1:30" ht="15.75" customHeight="1" x14ac:dyDescent="0.3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  <c r="AA788" s="120"/>
      <c r="AB788" s="120"/>
      <c r="AC788" s="120"/>
      <c r="AD788" s="120"/>
    </row>
    <row r="789" spans="1:30" ht="15.75" customHeight="1" x14ac:dyDescent="0.3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  <c r="AA789" s="120"/>
      <c r="AB789" s="120"/>
      <c r="AC789" s="120"/>
      <c r="AD789" s="120"/>
    </row>
    <row r="790" spans="1:30" ht="15.75" customHeight="1" x14ac:dyDescent="0.3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  <c r="AA790" s="120"/>
      <c r="AB790" s="120"/>
      <c r="AC790" s="120"/>
      <c r="AD790" s="120"/>
    </row>
    <row r="791" spans="1:30" ht="15.75" customHeight="1" x14ac:dyDescent="0.3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  <c r="AA791" s="120"/>
      <c r="AB791" s="120"/>
      <c r="AC791" s="120"/>
      <c r="AD791" s="120"/>
    </row>
    <row r="792" spans="1:30" ht="15.75" customHeight="1" x14ac:dyDescent="0.3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  <c r="AA792" s="120"/>
      <c r="AB792" s="120"/>
      <c r="AC792" s="120"/>
      <c r="AD792" s="120"/>
    </row>
    <row r="793" spans="1:30" ht="15.75" customHeight="1" x14ac:dyDescent="0.3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  <c r="AA793" s="120"/>
      <c r="AB793" s="120"/>
      <c r="AC793" s="120"/>
      <c r="AD793" s="120"/>
    </row>
    <row r="794" spans="1:30" ht="15.75" customHeight="1" x14ac:dyDescent="0.3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  <c r="AA794" s="120"/>
      <c r="AB794" s="120"/>
      <c r="AC794" s="120"/>
      <c r="AD794" s="120"/>
    </row>
    <row r="795" spans="1:30" ht="15.75" customHeight="1" x14ac:dyDescent="0.3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  <c r="AA795" s="120"/>
      <c r="AB795" s="120"/>
      <c r="AC795" s="120"/>
      <c r="AD795" s="120"/>
    </row>
    <row r="796" spans="1:30" ht="15.75" customHeight="1" x14ac:dyDescent="0.3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  <c r="AA796" s="120"/>
      <c r="AB796" s="120"/>
      <c r="AC796" s="120"/>
      <c r="AD796" s="120"/>
    </row>
    <row r="797" spans="1:30" ht="15.75" customHeight="1" x14ac:dyDescent="0.3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  <c r="AA797" s="120"/>
      <c r="AB797" s="120"/>
      <c r="AC797" s="120"/>
      <c r="AD797" s="120"/>
    </row>
    <row r="798" spans="1:30" ht="15.75" customHeight="1" x14ac:dyDescent="0.3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  <c r="AA798" s="120"/>
      <c r="AB798" s="120"/>
      <c r="AC798" s="120"/>
      <c r="AD798" s="120"/>
    </row>
    <row r="799" spans="1:30" ht="15.75" customHeight="1" x14ac:dyDescent="0.3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  <c r="AA799" s="120"/>
      <c r="AB799" s="120"/>
      <c r="AC799" s="120"/>
      <c r="AD799" s="120"/>
    </row>
    <row r="800" spans="1:30" ht="15.75" customHeight="1" x14ac:dyDescent="0.3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  <c r="AA800" s="120"/>
      <c r="AB800" s="120"/>
      <c r="AC800" s="120"/>
      <c r="AD800" s="120"/>
    </row>
    <row r="801" spans="1:30" ht="15.75" customHeight="1" x14ac:dyDescent="0.3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  <c r="AA801" s="120"/>
      <c r="AB801" s="120"/>
      <c r="AC801" s="120"/>
      <c r="AD801" s="120"/>
    </row>
    <row r="802" spans="1:30" ht="15.75" customHeight="1" x14ac:dyDescent="0.3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  <c r="AA802" s="120"/>
      <c r="AB802" s="120"/>
      <c r="AC802" s="120"/>
      <c r="AD802" s="120"/>
    </row>
    <row r="803" spans="1:30" ht="15.75" customHeight="1" x14ac:dyDescent="0.3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  <c r="AA803" s="120"/>
      <c r="AB803" s="120"/>
      <c r="AC803" s="120"/>
      <c r="AD803" s="120"/>
    </row>
    <row r="804" spans="1:30" ht="15.75" customHeight="1" x14ac:dyDescent="0.3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  <c r="AA804" s="120"/>
      <c r="AB804" s="120"/>
      <c r="AC804" s="120"/>
      <c r="AD804" s="120"/>
    </row>
    <row r="805" spans="1:30" ht="15.75" customHeight="1" x14ac:dyDescent="0.3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  <c r="AA805" s="120"/>
      <c r="AB805" s="120"/>
      <c r="AC805" s="120"/>
      <c r="AD805" s="120"/>
    </row>
    <row r="806" spans="1:30" ht="15.75" customHeight="1" x14ac:dyDescent="0.3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  <c r="AA806" s="120"/>
      <c r="AB806" s="120"/>
      <c r="AC806" s="120"/>
      <c r="AD806" s="120"/>
    </row>
    <row r="807" spans="1:30" ht="15.75" customHeight="1" x14ac:dyDescent="0.3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  <c r="AA807" s="120"/>
      <c r="AB807" s="120"/>
      <c r="AC807" s="120"/>
      <c r="AD807" s="120"/>
    </row>
    <row r="808" spans="1:30" ht="15.75" customHeight="1" x14ac:dyDescent="0.3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  <c r="AA808" s="120"/>
      <c r="AB808" s="120"/>
      <c r="AC808" s="120"/>
      <c r="AD808" s="120"/>
    </row>
    <row r="809" spans="1:30" ht="15.75" customHeight="1" x14ac:dyDescent="0.3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  <c r="AA809" s="120"/>
      <c r="AB809" s="120"/>
      <c r="AC809" s="120"/>
      <c r="AD809" s="120"/>
    </row>
    <row r="810" spans="1:30" ht="15.75" customHeight="1" x14ac:dyDescent="0.3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  <c r="AA810" s="120"/>
      <c r="AB810" s="120"/>
      <c r="AC810" s="120"/>
      <c r="AD810" s="120"/>
    </row>
    <row r="811" spans="1:30" ht="15.75" customHeight="1" x14ac:dyDescent="0.3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  <c r="AA811" s="120"/>
      <c r="AB811" s="120"/>
      <c r="AC811" s="120"/>
      <c r="AD811" s="120"/>
    </row>
    <row r="812" spans="1:30" ht="15.75" customHeight="1" x14ac:dyDescent="0.3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  <c r="AA812" s="120"/>
      <c r="AB812" s="120"/>
      <c r="AC812" s="120"/>
      <c r="AD812" s="120"/>
    </row>
    <row r="813" spans="1:30" ht="15.75" customHeight="1" x14ac:dyDescent="0.3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  <c r="AA813" s="120"/>
      <c r="AB813" s="120"/>
      <c r="AC813" s="120"/>
      <c r="AD813" s="120"/>
    </row>
    <row r="814" spans="1:30" ht="15.75" customHeight="1" x14ac:dyDescent="0.3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  <c r="AA814" s="120"/>
      <c r="AB814" s="120"/>
      <c r="AC814" s="120"/>
      <c r="AD814" s="120"/>
    </row>
    <row r="815" spans="1:30" ht="15.75" customHeight="1" x14ac:dyDescent="0.3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  <c r="AA815" s="120"/>
      <c r="AB815" s="120"/>
      <c r="AC815" s="120"/>
      <c r="AD815" s="120"/>
    </row>
    <row r="816" spans="1:30" ht="15.75" customHeight="1" x14ac:dyDescent="0.3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  <c r="AA816" s="120"/>
      <c r="AB816" s="120"/>
      <c r="AC816" s="120"/>
      <c r="AD816" s="120"/>
    </row>
    <row r="817" spans="1:30" ht="15.75" customHeight="1" x14ac:dyDescent="0.3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  <c r="AA817" s="120"/>
      <c r="AB817" s="120"/>
      <c r="AC817" s="120"/>
      <c r="AD817" s="120"/>
    </row>
    <row r="818" spans="1:30" ht="15.75" customHeight="1" x14ac:dyDescent="0.3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  <c r="AA818" s="120"/>
      <c r="AB818" s="120"/>
      <c r="AC818" s="120"/>
      <c r="AD818" s="120"/>
    </row>
    <row r="819" spans="1:30" ht="15.75" customHeight="1" x14ac:dyDescent="0.3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  <c r="AA819" s="120"/>
      <c r="AB819" s="120"/>
      <c r="AC819" s="120"/>
      <c r="AD819" s="120"/>
    </row>
    <row r="820" spans="1:30" ht="15.75" customHeight="1" x14ac:dyDescent="0.3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  <c r="AA820" s="120"/>
      <c r="AB820" s="120"/>
      <c r="AC820" s="120"/>
      <c r="AD820" s="120"/>
    </row>
    <row r="821" spans="1:30" ht="15.75" customHeight="1" x14ac:dyDescent="0.3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  <c r="AA821" s="120"/>
      <c r="AB821" s="120"/>
      <c r="AC821" s="120"/>
      <c r="AD821" s="120"/>
    </row>
    <row r="822" spans="1:30" ht="15.75" customHeight="1" x14ac:dyDescent="0.3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  <c r="AA822" s="120"/>
      <c r="AB822" s="120"/>
      <c r="AC822" s="120"/>
      <c r="AD822" s="120"/>
    </row>
    <row r="823" spans="1:30" ht="15.75" customHeight="1" x14ac:dyDescent="0.3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  <c r="AA823" s="120"/>
      <c r="AB823" s="120"/>
      <c r="AC823" s="120"/>
      <c r="AD823" s="120"/>
    </row>
    <row r="824" spans="1:30" ht="15.75" customHeight="1" x14ac:dyDescent="0.3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  <c r="AA824" s="120"/>
      <c r="AB824" s="120"/>
      <c r="AC824" s="120"/>
      <c r="AD824" s="120"/>
    </row>
    <row r="825" spans="1:30" ht="15.75" customHeight="1" x14ac:dyDescent="0.3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  <c r="AA825" s="120"/>
      <c r="AB825" s="120"/>
      <c r="AC825" s="120"/>
      <c r="AD825" s="120"/>
    </row>
    <row r="826" spans="1:30" ht="15.75" customHeight="1" x14ac:dyDescent="0.3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  <c r="AA826" s="120"/>
      <c r="AB826" s="120"/>
      <c r="AC826" s="120"/>
      <c r="AD826" s="120"/>
    </row>
    <row r="827" spans="1:30" ht="15.75" customHeight="1" x14ac:dyDescent="0.3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  <c r="AA827" s="120"/>
      <c r="AB827" s="120"/>
      <c r="AC827" s="120"/>
      <c r="AD827" s="120"/>
    </row>
    <row r="828" spans="1:30" ht="15.75" customHeight="1" x14ac:dyDescent="0.3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  <c r="AA828" s="120"/>
      <c r="AB828" s="120"/>
      <c r="AC828" s="120"/>
      <c r="AD828" s="120"/>
    </row>
    <row r="829" spans="1:30" ht="15.75" customHeight="1" x14ac:dyDescent="0.3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  <c r="AA829" s="120"/>
      <c r="AB829" s="120"/>
      <c r="AC829" s="120"/>
      <c r="AD829" s="120"/>
    </row>
    <row r="830" spans="1:30" ht="15.75" customHeight="1" x14ac:dyDescent="0.3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  <c r="AA830" s="120"/>
      <c r="AB830" s="120"/>
      <c r="AC830" s="120"/>
      <c r="AD830" s="120"/>
    </row>
    <row r="831" spans="1:30" ht="15.75" customHeight="1" x14ac:dyDescent="0.3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  <c r="AA831" s="120"/>
      <c r="AB831" s="120"/>
      <c r="AC831" s="120"/>
      <c r="AD831" s="120"/>
    </row>
    <row r="832" spans="1:30" ht="15.75" customHeight="1" x14ac:dyDescent="0.3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  <c r="AA832" s="120"/>
      <c r="AB832" s="120"/>
      <c r="AC832" s="120"/>
      <c r="AD832" s="120"/>
    </row>
    <row r="833" spans="1:30" ht="15.75" customHeight="1" x14ac:dyDescent="0.3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  <c r="AA833" s="120"/>
      <c r="AB833" s="120"/>
      <c r="AC833" s="120"/>
      <c r="AD833" s="120"/>
    </row>
    <row r="834" spans="1:30" ht="15.75" customHeight="1" x14ac:dyDescent="0.3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  <c r="AA834" s="120"/>
      <c r="AB834" s="120"/>
      <c r="AC834" s="120"/>
      <c r="AD834" s="120"/>
    </row>
    <row r="835" spans="1:30" ht="15.75" customHeight="1" x14ac:dyDescent="0.3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  <c r="AA835" s="120"/>
      <c r="AB835" s="120"/>
      <c r="AC835" s="120"/>
      <c r="AD835" s="120"/>
    </row>
    <row r="836" spans="1:30" ht="15.75" customHeight="1" x14ac:dyDescent="0.3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  <c r="AA836" s="120"/>
      <c r="AB836" s="120"/>
      <c r="AC836" s="120"/>
      <c r="AD836" s="120"/>
    </row>
    <row r="837" spans="1:30" ht="15.75" customHeight="1" x14ac:dyDescent="0.3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  <c r="AA837" s="120"/>
      <c r="AB837" s="120"/>
      <c r="AC837" s="120"/>
      <c r="AD837" s="120"/>
    </row>
    <row r="838" spans="1:30" ht="15.75" customHeight="1" x14ac:dyDescent="0.3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  <c r="AA838" s="120"/>
      <c r="AB838" s="120"/>
      <c r="AC838" s="120"/>
      <c r="AD838" s="120"/>
    </row>
    <row r="839" spans="1:30" ht="15.75" customHeight="1" x14ac:dyDescent="0.3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  <c r="AA839" s="120"/>
      <c r="AB839" s="120"/>
      <c r="AC839" s="120"/>
      <c r="AD839" s="120"/>
    </row>
    <row r="840" spans="1:30" ht="15.75" customHeight="1" x14ac:dyDescent="0.3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  <c r="AA840" s="120"/>
      <c r="AB840" s="120"/>
      <c r="AC840" s="120"/>
      <c r="AD840" s="120"/>
    </row>
    <row r="841" spans="1:30" ht="15.75" customHeight="1" x14ac:dyDescent="0.3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  <c r="AA841" s="120"/>
      <c r="AB841" s="120"/>
      <c r="AC841" s="120"/>
      <c r="AD841" s="120"/>
    </row>
    <row r="842" spans="1:30" ht="15.75" customHeight="1" x14ac:dyDescent="0.3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  <c r="AA842" s="120"/>
      <c r="AB842" s="120"/>
      <c r="AC842" s="120"/>
      <c r="AD842" s="120"/>
    </row>
    <row r="843" spans="1:30" ht="15.75" customHeight="1" x14ac:dyDescent="0.3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  <c r="AA843" s="120"/>
      <c r="AB843" s="120"/>
      <c r="AC843" s="120"/>
      <c r="AD843" s="120"/>
    </row>
    <row r="844" spans="1:30" ht="15.75" customHeight="1" x14ac:dyDescent="0.3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  <c r="AA844" s="120"/>
      <c r="AB844" s="120"/>
      <c r="AC844" s="120"/>
      <c r="AD844" s="120"/>
    </row>
    <row r="845" spans="1:30" ht="15.75" customHeight="1" x14ac:dyDescent="0.3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  <c r="AA845" s="120"/>
      <c r="AB845" s="120"/>
      <c r="AC845" s="120"/>
      <c r="AD845" s="120"/>
    </row>
    <row r="846" spans="1:30" ht="15.75" customHeight="1" x14ac:dyDescent="0.3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  <c r="AA846" s="120"/>
      <c r="AB846" s="120"/>
      <c r="AC846" s="120"/>
      <c r="AD846" s="120"/>
    </row>
    <row r="847" spans="1:30" ht="15.75" customHeight="1" x14ac:dyDescent="0.3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  <c r="AA847" s="120"/>
      <c r="AB847" s="120"/>
      <c r="AC847" s="120"/>
      <c r="AD847" s="120"/>
    </row>
    <row r="848" spans="1:30" ht="15.75" customHeight="1" x14ac:dyDescent="0.3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  <c r="AA848" s="120"/>
      <c r="AB848" s="120"/>
      <c r="AC848" s="120"/>
      <c r="AD848" s="120"/>
    </row>
    <row r="849" spans="1:30" ht="15.75" customHeight="1" x14ac:dyDescent="0.3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  <c r="AA849" s="120"/>
      <c r="AB849" s="120"/>
      <c r="AC849" s="120"/>
      <c r="AD849" s="120"/>
    </row>
    <row r="850" spans="1:30" ht="15.75" customHeight="1" x14ac:dyDescent="0.3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  <c r="AA850" s="120"/>
      <c r="AB850" s="120"/>
      <c r="AC850" s="120"/>
      <c r="AD850" s="120"/>
    </row>
    <row r="851" spans="1:30" ht="15.75" customHeight="1" x14ac:dyDescent="0.3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  <c r="AA851" s="120"/>
      <c r="AB851" s="120"/>
      <c r="AC851" s="120"/>
      <c r="AD851" s="120"/>
    </row>
    <row r="852" spans="1:30" ht="15.75" customHeight="1" x14ac:dyDescent="0.3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  <c r="AA852" s="120"/>
      <c r="AB852" s="120"/>
      <c r="AC852" s="120"/>
      <c r="AD852" s="120"/>
    </row>
    <row r="853" spans="1:30" ht="15.75" customHeight="1" x14ac:dyDescent="0.3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  <c r="AA853" s="120"/>
      <c r="AB853" s="120"/>
      <c r="AC853" s="120"/>
      <c r="AD853" s="120"/>
    </row>
    <row r="854" spans="1:30" ht="15.75" customHeight="1" x14ac:dyDescent="0.3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  <c r="AA854" s="120"/>
      <c r="AB854" s="120"/>
      <c r="AC854" s="120"/>
      <c r="AD854" s="120"/>
    </row>
    <row r="855" spans="1:30" ht="15.75" customHeight="1" x14ac:dyDescent="0.3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  <c r="AA855" s="120"/>
      <c r="AB855" s="120"/>
      <c r="AC855" s="120"/>
      <c r="AD855" s="120"/>
    </row>
    <row r="856" spans="1:30" ht="15.75" customHeight="1" x14ac:dyDescent="0.3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  <c r="AA856" s="120"/>
      <c r="AB856" s="120"/>
      <c r="AC856" s="120"/>
      <c r="AD856" s="120"/>
    </row>
    <row r="857" spans="1:30" ht="15.75" customHeight="1" x14ac:dyDescent="0.3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  <c r="AA857" s="120"/>
      <c r="AB857" s="120"/>
      <c r="AC857" s="120"/>
      <c r="AD857" s="120"/>
    </row>
    <row r="858" spans="1:30" ht="15.75" customHeight="1" x14ac:dyDescent="0.3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  <c r="AA858" s="120"/>
      <c r="AB858" s="120"/>
      <c r="AC858" s="120"/>
      <c r="AD858" s="120"/>
    </row>
    <row r="859" spans="1:30" ht="15.75" customHeight="1" x14ac:dyDescent="0.3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  <c r="AA859" s="120"/>
      <c r="AB859" s="120"/>
      <c r="AC859" s="120"/>
      <c r="AD859" s="120"/>
    </row>
    <row r="860" spans="1:30" ht="15.75" customHeight="1" x14ac:dyDescent="0.3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  <c r="AA860" s="120"/>
      <c r="AB860" s="120"/>
      <c r="AC860" s="120"/>
      <c r="AD860" s="120"/>
    </row>
    <row r="861" spans="1:30" ht="15.75" customHeight="1" x14ac:dyDescent="0.3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  <c r="AA861" s="120"/>
      <c r="AB861" s="120"/>
      <c r="AC861" s="120"/>
      <c r="AD861" s="120"/>
    </row>
    <row r="862" spans="1:30" ht="15.75" customHeight="1" x14ac:dyDescent="0.3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  <c r="AA862" s="120"/>
      <c r="AB862" s="120"/>
      <c r="AC862" s="120"/>
      <c r="AD862" s="120"/>
    </row>
    <row r="863" spans="1:30" ht="15.75" customHeight="1" x14ac:dyDescent="0.3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  <c r="AA863" s="120"/>
      <c r="AB863" s="120"/>
      <c r="AC863" s="120"/>
      <c r="AD863" s="120"/>
    </row>
    <row r="864" spans="1:30" ht="15.75" customHeight="1" x14ac:dyDescent="0.3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  <c r="AA864" s="120"/>
      <c r="AB864" s="120"/>
      <c r="AC864" s="120"/>
      <c r="AD864" s="120"/>
    </row>
    <row r="865" spans="1:30" ht="15.75" customHeight="1" x14ac:dyDescent="0.3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  <c r="AA865" s="120"/>
      <c r="AB865" s="120"/>
      <c r="AC865" s="120"/>
      <c r="AD865" s="120"/>
    </row>
    <row r="866" spans="1:30" ht="15.75" customHeight="1" x14ac:dyDescent="0.3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  <c r="AA866" s="120"/>
      <c r="AB866" s="120"/>
      <c r="AC866" s="120"/>
      <c r="AD866" s="120"/>
    </row>
    <row r="867" spans="1:30" ht="15.75" customHeight="1" x14ac:dyDescent="0.3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  <c r="AA867" s="120"/>
      <c r="AB867" s="120"/>
      <c r="AC867" s="120"/>
      <c r="AD867" s="120"/>
    </row>
    <row r="868" spans="1:30" ht="15.75" customHeight="1" x14ac:dyDescent="0.3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  <c r="AA868" s="120"/>
      <c r="AB868" s="120"/>
      <c r="AC868" s="120"/>
      <c r="AD868" s="120"/>
    </row>
    <row r="869" spans="1:30" ht="15.75" customHeight="1" x14ac:dyDescent="0.3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  <c r="AA869" s="120"/>
      <c r="AB869" s="120"/>
      <c r="AC869" s="120"/>
      <c r="AD869" s="120"/>
    </row>
    <row r="870" spans="1:30" ht="15.75" customHeight="1" x14ac:dyDescent="0.3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  <c r="AA870" s="120"/>
      <c r="AB870" s="120"/>
      <c r="AC870" s="120"/>
      <c r="AD870" s="120"/>
    </row>
    <row r="871" spans="1:30" ht="15.75" customHeight="1" x14ac:dyDescent="0.3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  <c r="AA871" s="120"/>
      <c r="AB871" s="120"/>
      <c r="AC871" s="120"/>
      <c r="AD871" s="120"/>
    </row>
    <row r="872" spans="1:30" ht="15.75" customHeight="1" x14ac:dyDescent="0.3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  <c r="AA872" s="120"/>
      <c r="AB872" s="120"/>
      <c r="AC872" s="120"/>
      <c r="AD872" s="120"/>
    </row>
    <row r="873" spans="1:30" ht="15.75" customHeight="1" x14ac:dyDescent="0.3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  <c r="AA873" s="120"/>
      <c r="AB873" s="120"/>
      <c r="AC873" s="120"/>
      <c r="AD873" s="120"/>
    </row>
    <row r="874" spans="1:30" ht="15.75" customHeight="1" x14ac:dyDescent="0.3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  <c r="AA874" s="120"/>
      <c r="AB874" s="120"/>
      <c r="AC874" s="120"/>
      <c r="AD874" s="120"/>
    </row>
    <row r="875" spans="1:30" ht="15.75" customHeight="1" x14ac:dyDescent="0.3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  <c r="AA875" s="120"/>
      <c r="AB875" s="120"/>
      <c r="AC875" s="120"/>
      <c r="AD875" s="120"/>
    </row>
    <row r="876" spans="1:30" ht="15.75" customHeight="1" x14ac:dyDescent="0.3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  <c r="AA876" s="120"/>
      <c r="AB876" s="120"/>
      <c r="AC876" s="120"/>
      <c r="AD876" s="120"/>
    </row>
    <row r="877" spans="1:30" ht="15.75" customHeight="1" x14ac:dyDescent="0.3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  <c r="AA877" s="120"/>
      <c r="AB877" s="120"/>
      <c r="AC877" s="120"/>
      <c r="AD877" s="120"/>
    </row>
    <row r="878" spans="1:30" ht="15.75" customHeight="1" x14ac:dyDescent="0.3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  <c r="AA878" s="120"/>
      <c r="AB878" s="120"/>
      <c r="AC878" s="120"/>
      <c r="AD878" s="120"/>
    </row>
    <row r="879" spans="1:30" ht="15.75" customHeight="1" x14ac:dyDescent="0.3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  <c r="AA879" s="120"/>
      <c r="AB879" s="120"/>
      <c r="AC879" s="120"/>
      <c r="AD879" s="120"/>
    </row>
    <row r="880" spans="1:30" ht="15.75" customHeight="1" x14ac:dyDescent="0.3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  <c r="AA880" s="120"/>
      <c r="AB880" s="120"/>
      <c r="AC880" s="120"/>
      <c r="AD880" s="120"/>
    </row>
    <row r="881" spans="1:30" ht="15.75" customHeight="1" x14ac:dyDescent="0.3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  <c r="AA881" s="120"/>
      <c r="AB881" s="120"/>
      <c r="AC881" s="120"/>
      <c r="AD881" s="120"/>
    </row>
    <row r="882" spans="1:30" ht="15.75" customHeight="1" x14ac:dyDescent="0.3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  <c r="AA882" s="120"/>
      <c r="AB882" s="120"/>
      <c r="AC882" s="120"/>
      <c r="AD882" s="120"/>
    </row>
    <row r="883" spans="1:30" ht="15.75" customHeight="1" x14ac:dyDescent="0.3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  <c r="AA883" s="120"/>
      <c r="AB883" s="120"/>
      <c r="AC883" s="120"/>
      <c r="AD883" s="120"/>
    </row>
    <row r="884" spans="1:30" ht="15.75" customHeight="1" x14ac:dyDescent="0.3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  <c r="AA884" s="120"/>
      <c r="AB884" s="120"/>
      <c r="AC884" s="120"/>
      <c r="AD884" s="120"/>
    </row>
    <row r="885" spans="1:30" ht="15.75" customHeight="1" x14ac:dyDescent="0.3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  <c r="AA885" s="120"/>
      <c r="AB885" s="120"/>
      <c r="AC885" s="120"/>
      <c r="AD885" s="120"/>
    </row>
    <row r="886" spans="1:30" ht="15.75" customHeight="1" x14ac:dyDescent="0.3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  <c r="AA886" s="120"/>
      <c r="AB886" s="120"/>
      <c r="AC886" s="120"/>
      <c r="AD886" s="120"/>
    </row>
    <row r="887" spans="1:30" ht="15.75" customHeight="1" x14ac:dyDescent="0.3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  <c r="AA887" s="120"/>
      <c r="AB887" s="120"/>
      <c r="AC887" s="120"/>
      <c r="AD887" s="120"/>
    </row>
    <row r="888" spans="1:30" ht="15.75" customHeight="1" x14ac:dyDescent="0.3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  <c r="AA888" s="120"/>
      <c r="AB888" s="120"/>
      <c r="AC888" s="120"/>
      <c r="AD888" s="120"/>
    </row>
    <row r="889" spans="1:30" ht="15.75" customHeight="1" x14ac:dyDescent="0.3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  <c r="AA889" s="120"/>
      <c r="AB889" s="120"/>
      <c r="AC889" s="120"/>
      <c r="AD889" s="120"/>
    </row>
    <row r="890" spans="1:30" ht="15.75" customHeight="1" x14ac:dyDescent="0.3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  <c r="AA890" s="120"/>
      <c r="AB890" s="120"/>
      <c r="AC890" s="120"/>
      <c r="AD890" s="120"/>
    </row>
    <row r="891" spans="1:30" ht="15.75" customHeight="1" x14ac:dyDescent="0.3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  <c r="AA891" s="120"/>
      <c r="AB891" s="120"/>
      <c r="AC891" s="120"/>
      <c r="AD891" s="120"/>
    </row>
    <row r="892" spans="1:30" ht="15.75" customHeight="1" x14ac:dyDescent="0.3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  <c r="AA892" s="120"/>
      <c r="AB892" s="120"/>
      <c r="AC892" s="120"/>
      <c r="AD892" s="120"/>
    </row>
    <row r="893" spans="1:30" ht="15.75" customHeight="1" x14ac:dyDescent="0.3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  <c r="AA893" s="120"/>
      <c r="AB893" s="120"/>
      <c r="AC893" s="120"/>
      <c r="AD893" s="120"/>
    </row>
    <row r="894" spans="1:30" ht="15.75" customHeight="1" x14ac:dyDescent="0.3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  <c r="AA894" s="120"/>
      <c r="AB894" s="120"/>
      <c r="AC894" s="120"/>
      <c r="AD894" s="120"/>
    </row>
    <row r="895" spans="1:30" ht="15.75" customHeight="1" x14ac:dyDescent="0.3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  <c r="AA895" s="120"/>
      <c r="AB895" s="120"/>
      <c r="AC895" s="120"/>
      <c r="AD895" s="120"/>
    </row>
    <row r="896" spans="1:30" ht="15.75" customHeight="1" x14ac:dyDescent="0.3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  <c r="AA896" s="120"/>
      <c r="AB896" s="120"/>
      <c r="AC896" s="120"/>
      <c r="AD896" s="120"/>
    </row>
    <row r="897" spans="1:30" ht="15.75" customHeight="1" x14ac:dyDescent="0.3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  <c r="AA897" s="120"/>
      <c r="AB897" s="120"/>
      <c r="AC897" s="120"/>
      <c r="AD897" s="120"/>
    </row>
    <row r="898" spans="1:30" ht="15.75" customHeight="1" x14ac:dyDescent="0.3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  <c r="AA898" s="120"/>
      <c r="AB898" s="120"/>
      <c r="AC898" s="120"/>
      <c r="AD898" s="120"/>
    </row>
    <row r="899" spans="1:30" ht="15.75" customHeight="1" x14ac:dyDescent="0.3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  <c r="AA899" s="120"/>
      <c r="AB899" s="120"/>
      <c r="AC899" s="120"/>
      <c r="AD899" s="120"/>
    </row>
    <row r="900" spans="1:30" ht="15.75" customHeight="1" x14ac:dyDescent="0.3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  <c r="AA900" s="120"/>
      <c r="AB900" s="120"/>
      <c r="AC900" s="120"/>
      <c r="AD900" s="120"/>
    </row>
    <row r="901" spans="1:30" ht="15.75" customHeight="1" x14ac:dyDescent="0.3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  <c r="AA901" s="120"/>
      <c r="AB901" s="120"/>
      <c r="AC901" s="120"/>
      <c r="AD901" s="120"/>
    </row>
    <row r="902" spans="1:30" ht="15.75" customHeight="1" x14ac:dyDescent="0.3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  <c r="AA902" s="120"/>
      <c r="AB902" s="120"/>
      <c r="AC902" s="120"/>
      <c r="AD902" s="120"/>
    </row>
    <row r="903" spans="1:30" ht="15.75" customHeight="1" x14ac:dyDescent="0.3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  <c r="AA903" s="120"/>
      <c r="AB903" s="120"/>
      <c r="AC903" s="120"/>
      <c r="AD903" s="120"/>
    </row>
    <row r="904" spans="1:30" ht="15.75" customHeight="1" x14ac:dyDescent="0.3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  <c r="AA904" s="120"/>
      <c r="AB904" s="120"/>
      <c r="AC904" s="120"/>
      <c r="AD904" s="120"/>
    </row>
    <row r="905" spans="1:30" ht="15.75" customHeight="1" x14ac:dyDescent="0.3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  <c r="AA905" s="120"/>
      <c r="AB905" s="120"/>
      <c r="AC905" s="120"/>
      <c r="AD905" s="120"/>
    </row>
    <row r="906" spans="1:30" ht="15.75" customHeight="1" x14ac:dyDescent="0.3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  <c r="AA906" s="120"/>
      <c r="AB906" s="120"/>
      <c r="AC906" s="120"/>
      <c r="AD906" s="120"/>
    </row>
    <row r="907" spans="1:30" ht="15.75" customHeight="1" x14ac:dyDescent="0.3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  <c r="AA907" s="120"/>
      <c r="AB907" s="120"/>
      <c r="AC907" s="120"/>
      <c r="AD907" s="120"/>
    </row>
    <row r="908" spans="1:30" ht="15.75" customHeight="1" x14ac:dyDescent="0.3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  <c r="AA908" s="120"/>
      <c r="AB908" s="120"/>
      <c r="AC908" s="120"/>
      <c r="AD908" s="120"/>
    </row>
    <row r="909" spans="1:30" ht="15.75" customHeight="1" x14ac:dyDescent="0.3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  <c r="AA909" s="120"/>
      <c r="AB909" s="120"/>
      <c r="AC909" s="120"/>
      <c r="AD909" s="120"/>
    </row>
    <row r="910" spans="1:30" ht="15.75" customHeight="1" x14ac:dyDescent="0.3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  <c r="AA910" s="120"/>
      <c r="AB910" s="120"/>
      <c r="AC910" s="120"/>
      <c r="AD910" s="120"/>
    </row>
    <row r="911" spans="1:30" ht="15.75" customHeight="1" x14ac:dyDescent="0.3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  <c r="AA911" s="120"/>
      <c r="AB911" s="120"/>
      <c r="AC911" s="120"/>
      <c r="AD911" s="120"/>
    </row>
    <row r="912" spans="1:30" ht="15.75" customHeight="1" x14ac:dyDescent="0.3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  <c r="AA912" s="120"/>
      <c r="AB912" s="120"/>
      <c r="AC912" s="120"/>
      <c r="AD912" s="120"/>
    </row>
    <row r="913" spans="1:30" ht="15.75" customHeight="1" x14ac:dyDescent="0.3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  <c r="AA913" s="120"/>
      <c r="AB913" s="120"/>
      <c r="AC913" s="120"/>
      <c r="AD913" s="120"/>
    </row>
    <row r="914" spans="1:30" ht="15.75" customHeight="1" x14ac:dyDescent="0.3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  <c r="AA914" s="120"/>
      <c r="AB914" s="120"/>
      <c r="AC914" s="120"/>
      <c r="AD914" s="120"/>
    </row>
    <row r="915" spans="1:30" ht="15.75" customHeight="1" x14ac:dyDescent="0.3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  <c r="AA915" s="120"/>
      <c r="AB915" s="120"/>
      <c r="AC915" s="120"/>
      <c r="AD915" s="120"/>
    </row>
    <row r="916" spans="1:30" ht="15.75" customHeight="1" x14ac:dyDescent="0.3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  <c r="AA916" s="120"/>
      <c r="AB916" s="120"/>
      <c r="AC916" s="120"/>
      <c r="AD916" s="120"/>
    </row>
    <row r="917" spans="1:30" ht="15.75" customHeight="1" x14ac:dyDescent="0.3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  <c r="AA917" s="120"/>
      <c r="AB917" s="120"/>
      <c r="AC917" s="120"/>
      <c r="AD917" s="120"/>
    </row>
    <row r="918" spans="1:30" ht="15.75" customHeight="1" x14ac:dyDescent="0.3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  <c r="AA918" s="120"/>
      <c r="AB918" s="120"/>
      <c r="AC918" s="120"/>
      <c r="AD918" s="120"/>
    </row>
    <row r="919" spans="1:30" ht="15.75" customHeight="1" x14ac:dyDescent="0.3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  <c r="AA919" s="120"/>
      <c r="AB919" s="120"/>
      <c r="AC919" s="120"/>
      <c r="AD919" s="120"/>
    </row>
    <row r="920" spans="1:30" ht="15.75" customHeight="1" x14ac:dyDescent="0.3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  <c r="AA920" s="120"/>
      <c r="AB920" s="120"/>
      <c r="AC920" s="120"/>
      <c r="AD920" s="120"/>
    </row>
    <row r="921" spans="1:30" ht="15.75" customHeight="1" x14ac:dyDescent="0.3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  <c r="AA921" s="120"/>
      <c r="AB921" s="120"/>
      <c r="AC921" s="120"/>
      <c r="AD921" s="120"/>
    </row>
    <row r="922" spans="1:30" ht="15.75" customHeight="1" x14ac:dyDescent="0.3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  <c r="AA922" s="120"/>
      <c r="AB922" s="120"/>
      <c r="AC922" s="120"/>
      <c r="AD922" s="120"/>
    </row>
    <row r="923" spans="1:30" ht="15.75" customHeight="1" x14ac:dyDescent="0.3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  <c r="AA923" s="120"/>
      <c r="AB923" s="120"/>
      <c r="AC923" s="120"/>
      <c r="AD923" s="120"/>
    </row>
    <row r="924" spans="1:30" ht="15.75" customHeight="1" x14ac:dyDescent="0.3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  <c r="AA924" s="120"/>
      <c r="AB924" s="120"/>
      <c r="AC924" s="120"/>
      <c r="AD924" s="120"/>
    </row>
    <row r="925" spans="1:30" ht="15.75" customHeight="1" x14ac:dyDescent="0.3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  <c r="AA925" s="120"/>
      <c r="AB925" s="120"/>
      <c r="AC925" s="120"/>
      <c r="AD925" s="120"/>
    </row>
    <row r="926" spans="1:30" ht="15.75" customHeight="1" x14ac:dyDescent="0.3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  <c r="AA926" s="120"/>
      <c r="AB926" s="120"/>
      <c r="AC926" s="120"/>
      <c r="AD926" s="120"/>
    </row>
    <row r="927" spans="1:30" ht="15.75" customHeight="1" x14ac:dyDescent="0.3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  <c r="AA927" s="120"/>
      <c r="AB927" s="120"/>
      <c r="AC927" s="120"/>
      <c r="AD927" s="120"/>
    </row>
    <row r="928" spans="1:30" ht="15.75" customHeight="1" x14ac:dyDescent="0.3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  <c r="AA928" s="120"/>
      <c r="AB928" s="120"/>
      <c r="AC928" s="120"/>
      <c r="AD928" s="120"/>
    </row>
    <row r="929" spans="1:30" ht="15.75" customHeight="1" x14ac:dyDescent="0.3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  <c r="AA929" s="120"/>
      <c r="AB929" s="120"/>
      <c r="AC929" s="120"/>
      <c r="AD929" s="120"/>
    </row>
    <row r="930" spans="1:30" ht="15.75" customHeight="1" x14ac:dyDescent="0.3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  <c r="AA930" s="120"/>
      <c r="AB930" s="120"/>
      <c r="AC930" s="120"/>
      <c r="AD930" s="120"/>
    </row>
    <row r="931" spans="1:30" ht="15.75" customHeight="1" x14ac:dyDescent="0.3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  <c r="AA931" s="120"/>
      <c r="AB931" s="120"/>
      <c r="AC931" s="120"/>
      <c r="AD931" s="120"/>
    </row>
    <row r="932" spans="1:30" ht="15.75" customHeight="1" x14ac:dyDescent="0.3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  <c r="AA932" s="120"/>
      <c r="AB932" s="120"/>
      <c r="AC932" s="120"/>
      <c r="AD932" s="120"/>
    </row>
    <row r="933" spans="1:30" ht="15.75" customHeight="1" x14ac:dyDescent="0.3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  <c r="AA933" s="120"/>
      <c r="AB933" s="120"/>
      <c r="AC933" s="120"/>
      <c r="AD933" s="120"/>
    </row>
    <row r="934" spans="1:30" ht="15.75" customHeight="1" x14ac:dyDescent="0.3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  <c r="AA934" s="120"/>
      <c r="AB934" s="120"/>
      <c r="AC934" s="120"/>
      <c r="AD934" s="120"/>
    </row>
    <row r="935" spans="1:30" ht="15.75" customHeight="1" x14ac:dyDescent="0.3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  <c r="AA935" s="120"/>
      <c r="AB935" s="120"/>
      <c r="AC935" s="120"/>
      <c r="AD935" s="120"/>
    </row>
    <row r="936" spans="1:30" ht="15.75" customHeight="1" x14ac:dyDescent="0.3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  <c r="AA936" s="120"/>
      <c r="AB936" s="120"/>
      <c r="AC936" s="120"/>
      <c r="AD936" s="120"/>
    </row>
    <row r="937" spans="1:30" ht="15.75" customHeight="1" x14ac:dyDescent="0.3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  <c r="AA937" s="120"/>
      <c r="AB937" s="120"/>
      <c r="AC937" s="120"/>
      <c r="AD937" s="120"/>
    </row>
    <row r="938" spans="1:30" ht="15.75" customHeight="1" x14ac:dyDescent="0.3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  <c r="AA938" s="120"/>
      <c r="AB938" s="120"/>
      <c r="AC938" s="120"/>
      <c r="AD938" s="120"/>
    </row>
    <row r="939" spans="1:30" ht="15.75" customHeight="1" x14ac:dyDescent="0.3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  <c r="AA939" s="120"/>
      <c r="AB939" s="120"/>
      <c r="AC939" s="120"/>
      <c r="AD939" s="120"/>
    </row>
    <row r="940" spans="1:30" ht="15.75" customHeight="1" x14ac:dyDescent="0.3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  <c r="AA940" s="120"/>
      <c r="AB940" s="120"/>
      <c r="AC940" s="120"/>
      <c r="AD940" s="120"/>
    </row>
    <row r="941" spans="1:30" ht="15.75" customHeight="1" x14ac:dyDescent="0.3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  <c r="AA941" s="120"/>
      <c r="AB941" s="120"/>
      <c r="AC941" s="120"/>
      <c r="AD941" s="120"/>
    </row>
    <row r="942" spans="1:30" ht="15.75" customHeight="1" x14ac:dyDescent="0.3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  <c r="AA942" s="120"/>
      <c r="AB942" s="120"/>
      <c r="AC942" s="120"/>
      <c r="AD942" s="120"/>
    </row>
    <row r="943" spans="1:30" ht="15.75" customHeight="1" x14ac:dyDescent="0.3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  <c r="AA943" s="120"/>
      <c r="AB943" s="120"/>
      <c r="AC943" s="120"/>
      <c r="AD943" s="120"/>
    </row>
    <row r="944" spans="1:30" ht="15.75" customHeight="1" x14ac:dyDescent="0.3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  <c r="AA944" s="120"/>
      <c r="AB944" s="120"/>
      <c r="AC944" s="120"/>
      <c r="AD944" s="120"/>
    </row>
    <row r="945" spans="1:30" ht="15.75" customHeight="1" x14ac:dyDescent="0.3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  <c r="AA945" s="120"/>
      <c r="AB945" s="120"/>
      <c r="AC945" s="120"/>
      <c r="AD945" s="120"/>
    </row>
    <row r="946" spans="1:30" ht="15.75" customHeight="1" x14ac:dyDescent="0.3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  <c r="AA946" s="120"/>
      <c r="AB946" s="120"/>
      <c r="AC946" s="120"/>
      <c r="AD946" s="120"/>
    </row>
    <row r="947" spans="1:30" ht="15.75" customHeight="1" x14ac:dyDescent="0.3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  <c r="AA947" s="120"/>
      <c r="AB947" s="120"/>
      <c r="AC947" s="120"/>
      <c r="AD947" s="120"/>
    </row>
    <row r="948" spans="1:30" ht="15.75" customHeight="1" x14ac:dyDescent="0.3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  <c r="AA948" s="120"/>
      <c r="AB948" s="120"/>
      <c r="AC948" s="120"/>
      <c r="AD948" s="120"/>
    </row>
    <row r="949" spans="1:30" ht="15.75" customHeight="1" x14ac:dyDescent="0.3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  <c r="AA949" s="120"/>
      <c r="AB949" s="120"/>
      <c r="AC949" s="120"/>
      <c r="AD949" s="120"/>
    </row>
    <row r="950" spans="1:30" ht="15.75" customHeight="1" x14ac:dyDescent="0.3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  <c r="AA950" s="120"/>
      <c r="AB950" s="120"/>
      <c r="AC950" s="120"/>
      <c r="AD950" s="120"/>
    </row>
    <row r="951" spans="1:30" ht="15.75" customHeight="1" x14ac:dyDescent="0.3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  <c r="AA951" s="120"/>
      <c r="AB951" s="120"/>
      <c r="AC951" s="120"/>
      <c r="AD951" s="120"/>
    </row>
    <row r="952" spans="1:30" ht="15.75" customHeight="1" x14ac:dyDescent="0.3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  <c r="AA952" s="120"/>
      <c r="AB952" s="120"/>
      <c r="AC952" s="120"/>
      <c r="AD952" s="120"/>
    </row>
    <row r="953" spans="1:30" ht="15.75" customHeight="1" x14ac:dyDescent="0.3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  <c r="AA953" s="120"/>
      <c r="AB953" s="120"/>
      <c r="AC953" s="120"/>
      <c r="AD953" s="120"/>
    </row>
    <row r="954" spans="1:30" ht="15.75" customHeight="1" x14ac:dyDescent="0.3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  <c r="AA954" s="120"/>
      <c r="AB954" s="120"/>
      <c r="AC954" s="120"/>
      <c r="AD954" s="120"/>
    </row>
    <row r="955" spans="1:30" ht="15.75" customHeight="1" x14ac:dyDescent="0.3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  <c r="AA955" s="120"/>
      <c r="AB955" s="120"/>
      <c r="AC955" s="120"/>
      <c r="AD955" s="120"/>
    </row>
    <row r="956" spans="1:30" ht="15.75" customHeight="1" x14ac:dyDescent="0.3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  <c r="AA956" s="120"/>
      <c r="AB956" s="120"/>
      <c r="AC956" s="120"/>
      <c r="AD956" s="120"/>
    </row>
    <row r="957" spans="1:30" ht="15.75" customHeight="1" x14ac:dyDescent="0.3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  <c r="AA957" s="120"/>
      <c r="AB957" s="120"/>
      <c r="AC957" s="120"/>
      <c r="AD957" s="120"/>
    </row>
    <row r="958" spans="1:30" ht="15.75" customHeight="1" x14ac:dyDescent="0.3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  <c r="AA958" s="120"/>
      <c r="AB958" s="120"/>
      <c r="AC958" s="120"/>
      <c r="AD958" s="120"/>
    </row>
    <row r="959" spans="1:30" ht="15.75" customHeight="1" x14ac:dyDescent="0.3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  <c r="AA959" s="120"/>
      <c r="AB959" s="120"/>
      <c r="AC959" s="120"/>
      <c r="AD959" s="120"/>
    </row>
    <row r="960" spans="1:30" ht="15.75" customHeight="1" x14ac:dyDescent="0.3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  <c r="AA960" s="120"/>
      <c r="AB960" s="120"/>
      <c r="AC960" s="120"/>
      <c r="AD960" s="120"/>
    </row>
    <row r="961" spans="1:30" ht="15.75" customHeight="1" x14ac:dyDescent="0.3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  <c r="AA961" s="120"/>
      <c r="AB961" s="120"/>
      <c r="AC961" s="120"/>
      <c r="AD961" s="120"/>
    </row>
    <row r="962" spans="1:30" ht="15.75" customHeight="1" x14ac:dyDescent="0.3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  <c r="AA962" s="120"/>
      <c r="AB962" s="120"/>
      <c r="AC962" s="120"/>
      <c r="AD962" s="120"/>
    </row>
    <row r="963" spans="1:30" ht="15.75" customHeight="1" x14ac:dyDescent="0.3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  <c r="AA963" s="120"/>
      <c r="AB963" s="120"/>
      <c r="AC963" s="120"/>
      <c r="AD963" s="120"/>
    </row>
    <row r="964" spans="1:30" ht="15.75" customHeight="1" x14ac:dyDescent="0.3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  <c r="AA964" s="120"/>
      <c r="AB964" s="120"/>
      <c r="AC964" s="120"/>
      <c r="AD964" s="120"/>
    </row>
    <row r="965" spans="1:30" ht="15.75" customHeight="1" x14ac:dyDescent="0.3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  <c r="AA965" s="120"/>
      <c r="AB965" s="120"/>
      <c r="AC965" s="120"/>
      <c r="AD965" s="120"/>
    </row>
    <row r="966" spans="1:30" ht="15.75" customHeight="1" x14ac:dyDescent="0.3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  <c r="AA966" s="120"/>
      <c r="AB966" s="120"/>
      <c r="AC966" s="120"/>
      <c r="AD966" s="120"/>
    </row>
    <row r="967" spans="1:30" ht="15.75" customHeight="1" x14ac:dyDescent="0.3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  <c r="AA967" s="120"/>
      <c r="AB967" s="120"/>
      <c r="AC967" s="120"/>
      <c r="AD967" s="120"/>
    </row>
    <row r="968" spans="1:30" ht="15.75" customHeight="1" x14ac:dyDescent="0.3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  <c r="AA968" s="120"/>
      <c r="AB968" s="120"/>
      <c r="AC968" s="120"/>
      <c r="AD968" s="120"/>
    </row>
    <row r="969" spans="1:30" ht="15.75" customHeight="1" x14ac:dyDescent="0.3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  <c r="AA969" s="120"/>
      <c r="AB969" s="120"/>
      <c r="AC969" s="120"/>
      <c r="AD969" s="120"/>
    </row>
    <row r="970" spans="1:30" ht="15.75" customHeight="1" x14ac:dyDescent="0.3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  <c r="AA970" s="120"/>
      <c r="AB970" s="120"/>
      <c r="AC970" s="120"/>
      <c r="AD970" s="120"/>
    </row>
    <row r="971" spans="1:30" ht="15.75" customHeight="1" x14ac:dyDescent="0.3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  <c r="AA971" s="120"/>
      <c r="AB971" s="120"/>
      <c r="AC971" s="120"/>
      <c r="AD971" s="120"/>
    </row>
    <row r="972" spans="1:30" ht="15.75" customHeight="1" x14ac:dyDescent="0.3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  <c r="AA972" s="120"/>
      <c r="AB972" s="120"/>
      <c r="AC972" s="120"/>
      <c r="AD972" s="120"/>
    </row>
    <row r="973" spans="1:30" ht="15.75" customHeight="1" x14ac:dyDescent="0.3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  <c r="AA973" s="120"/>
      <c r="AB973" s="120"/>
      <c r="AC973" s="120"/>
      <c r="AD973" s="120"/>
    </row>
    <row r="974" spans="1:30" ht="15.75" customHeight="1" x14ac:dyDescent="0.3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  <c r="AA974" s="120"/>
      <c r="AB974" s="120"/>
      <c r="AC974" s="120"/>
      <c r="AD974" s="120"/>
    </row>
    <row r="975" spans="1:30" ht="15.75" customHeight="1" x14ac:dyDescent="0.3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  <c r="AA975" s="120"/>
      <c r="AB975" s="120"/>
      <c r="AC975" s="120"/>
      <c r="AD975" s="120"/>
    </row>
    <row r="976" spans="1:30" ht="15.75" customHeight="1" x14ac:dyDescent="0.3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  <c r="AA976" s="120"/>
      <c r="AB976" s="120"/>
      <c r="AC976" s="120"/>
      <c r="AD976" s="120"/>
    </row>
    <row r="977" spans="1:30" ht="15.75" customHeight="1" x14ac:dyDescent="0.3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  <c r="AA977" s="120"/>
      <c r="AB977" s="120"/>
      <c r="AC977" s="120"/>
      <c r="AD977" s="120"/>
    </row>
    <row r="978" spans="1:30" ht="15.75" customHeight="1" x14ac:dyDescent="0.3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  <c r="AA978" s="120"/>
      <c r="AB978" s="120"/>
      <c r="AC978" s="120"/>
      <c r="AD978" s="120"/>
    </row>
    <row r="979" spans="1:30" ht="15.75" customHeight="1" x14ac:dyDescent="0.3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  <c r="AA979" s="120"/>
      <c r="AB979" s="120"/>
      <c r="AC979" s="120"/>
      <c r="AD979" s="120"/>
    </row>
    <row r="980" spans="1:30" ht="15.75" customHeight="1" x14ac:dyDescent="0.3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  <c r="AA980" s="120"/>
      <c r="AB980" s="120"/>
      <c r="AC980" s="120"/>
      <c r="AD980" s="120"/>
    </row>
    <row r="981" spans="1:30" ht="15.75" customHeight="1" x14ac:dyDescent="0.3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  <c r="AA981" s="120"/>
      <c r="AB981" s="120"/>
      <c r="AC981" s="120"/>
      <c r="AD981" s="120"/>
    </row>
    <row r="982" spans="1:30" ht="15.75" customHeight="1" x14ac:dyDescent="0.3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  <c r="AA982" s="120"/>
      <c r="AB982" s="120"/>
      <c r="AC982" s="120"/>
      <c r="AD982" s="120"/>
    </row>
    <row r="983" spans="1:30" ht="15.75" customHeight="1" x14ac:dyDescent="0.3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  <c r="AA983" s="120"/>
      <c r="AB983" s="120"/>
      <c r="AC983" s="120"/>
      <c r="AD983" s="120"/>
    </row>
    <row r="984" spans="1:30" ht="15.75" customHeight="1" x14ac:dyDescent="0.3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  <c r="AA984" s="120"/>
      <c r="AB984" s="120"/>
      <c r="AC984" s="120"/>
      <c r="AD984" s="120"/>
    </row>
    <row r="985" spans="1:30" ht="15.75" customHeight="1" x14ac:dyDescent="0.3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  <c r="AA985" s="120"/>
      <c r="AB985" s="120"/>
      <c r="AC985" s="120"/>
      <c r="AD985" s="120"/>
    </row>
    <row r="986" spans="1:30" ht="15.75" customHeight="1" x14ac:dyDescent="0.3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  <c r="AA986" s="120"/>
      <c r="AB986" s="120"/>
      <c r="AC986" s="120"/>
      <c r="AD986" s="120"/>
    </row>
    <row r="987" spans="1:30" ht="15.75" customHeight="1" x14ac:dyDescent="0.3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  <c r="AA987" s="120"/>
      <c r="AB987" s="120"/>
      <c r="AC987" s="120"/>
      <c r="AD987" s="120"/>
    </row>
    <row r="988" spans="1:30" ht="15.75" customHeight="1" x14ac:dyDescent="0.3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  <c r="AA988" s="120"/>
      <c r="AB988" s="120"/>
      <c r="AC988" s="120"/>
      <c r="AD988" s="120"/>
    </row>
    <row r="989" spans="1:30" ht="15.75" customHeight="1" x14ac:dyDescent="0.3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  <c r="AA989" s="120"/>
      <c r="AB989" s="120"/>
      <c r="AC989" s="120"/>
      <c r="AD989" s="120"/>
    </row>
    <row r="990" spans="1:30" ht="15.75" customHeight="1" x14ac:dyDescent="0.3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  <c r="AA990" s="120"/>
      <c r="AB990" s="120"/>
      <c r="AC990" s="120"/>
      <c r="AD990" s="120"/>
    </row>
    <row r="991" spans="1:30" ht="15.75" customHeight="1" x14ac:dyDescent="0.3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  <c r="AA991" s="120"/>
      <c r="AB991" s="120"/>
      <c r="AC991" s="120"/>
      <c r="AD991" s="120"/>
    </row>
    <row r="992" spans="1:30" ht="15.75" customHeight="1" x14ac:dyDescent="0.3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  <c r="AA992" s="120"/>
      <c r="AB992" s="120"/>
      <c r="AC992" s="120"/>
      <c r="AD992" s="120"/>
    </row>
    <row r="993" spans="1:30" ht="15.75" customHeight="1" x14ac:dyDescent="0.3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  <c r="AA993" s="120"/>
      <c r="AB993" s="120"/>
      <c r="AC993" s="120"/>
      <c r="AD993" s="120"/>
    </row>
    <row r="994" spans="1:30" ht="15.75" customHeight="1" x14ac:dyDescent="0.3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  <c r="AA994" s="120"/>
      <c r="AB994" s="120"/>
      <c r="AC994" s="120"/>
      <c r="AD994" s="120"/>
    </row>
    <row r="995" spans="1:30" ht="15.75" customHeight="1" x14ac:dyDescent="0.3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  <c r="AA995" s="120"/>
      <c r="AB995" s="120"/>
      <c r="AC995" s="120"/>
      <c r="AD995" s="120"/>
    </row>
    <row r="996" spans="1:30" ht="15.75" customHeight="1" x14ac:dyDescent="0.3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  <c r="AA996" s="120"/>
      <c r="AB996" s="120"/>
      <c r="AC996" s="120"/>
      <c r="AD996" s="120"/>
    </row>
    <row r="997" spans="1:30" ht="15.75" customHeight="1" x14ac:dyDescent="0.3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  <c r="AA997" s="120"/>
      <c r="AB997" s="120"/>
      <c r="AC997" s="120"/>
      <c r="AD997" s="120"/>
    </row>
    <row r="998" spans="1:30" ht="15.75" customHeight="1" x14ac:dyDescent="0.3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  <c r="AA998" s="120"/>
      <c r="AB998" s="120"/>
      <c r="AC998" s="120"/>
      <c r="AD998" s="120"/>
    </row>
    <row r="999" spans="1:30" ht="15.75" customHeight="1" x14ac:dyDescent="0.3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  <c r="AA999" s="120"/>
      <c r="AB999" s="120"/>
      <c r="AC999" s="120"/>
      <c r="AD999" s="120"/>
    </row>
    <row r="1000" spans="1:30" ht="15.75" customHeight="1" x14ac:dyDescent="0.3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  <c r="AA1000" s="120"/>
      <c r="AB1000" s="120"/>
      <c r="AC1000" s="120"/>
      <c r="AD1000" s="120"/>
    </row>
  </sheetData>
  <autoFilter ref="A1:K41" xr:uid="{00000000-0009-0000-0000-00000B000000}"/>
  <mergeCells count="3">
    <mergeCell ref="O1:S1"/>
    <mergeCell ref="O8:S8"/>
    <mergeCell ref="O15:S15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3:E43"/>
  <sheetViews>
    <sheetView topLeftCell="A7" workbookViewId="0">
      <selection activeCell="D19" sqref="D19"/>
    </sheetView>
  </sheetViews>
  <sheetFormatPr defaultRowHeight="14.4" x14ac:dyDescent="0.3"/>
  <cols>
    <col min="1" max="1" width="17.33203125" bestFit="1" customWidth="1"/>
    <col min="2" max="2" width="40.33203125" bestFit="1" customWidth="1"/>
    <col min="4" max="4" width="17.33203125" bestFit="1" customWidth="1"/>
    <col min="5" max="5" width="40.33203125" bestFit="1" customWidth="1"/>
  </cols>
  <sheetData>
    <row r="3" spans="1:5" x14ac:dyDescent="0.3">
      <c r="A3" s="137" t="s">
        <v>654</v>
      </c>
      <c r="B3" t="s">
        <v>655</v>
      </c>
      <c r="D3" s="137" t="s">
        <v>654</v>
      </c>
      <c r="E3" t="s">
        <v>655</v>
      </c>
    </row>
    <row r="4" spans="1:5" x14ac:dyDescent="0.3">
      <c r="A4" s="139" t="s">
        <v>144</v>
      </c>
      <c r="B4" s="141">
        <v>115.5925925925926</v>
      </c>
      <c r="D4" s="139" t="s">
        <v>130</v>
      </c>
      <c r="E4">
        <v>46.376955161626697</v>
      </c>
    </row>
    <row r="5" spans="1:5" x14ac:dyDescent="0.3">
      <c r="A5" s="140" t="s">
        <v>361</v>
      </c>
      <c r="B5" s="141">
        <v>139.44444444444446</v>
      </c>
      <c r="D5" s="140" t="s">
        <v>361</v>
      </c>
      <c r="E5">
        <v>49.159374999999997</v>
      </c>
    </row>
    <row r="6" spans="1:5" x14ac:dyDescent="0.3">
      <c r="A6" s="140" t="s">
        <v>457</v>
      </c>
      <c r="B6" s="141">
        <v>96.555555555555557</v>
      </c>
      <c r="D6" s="140" t="s">
        <v>457</v>
      </c>
      <c r="E6">
        <v>44.435937500000001</v>
      </c>
    </row>
    <row r="7" spans="1:5" x14ac:dyDescent="0.3">
      <c r="A7" s="140" t="s">
        <v>480</v>
      </c>
      <c r="B7" s="141">
        <v>110.77777777777777</v>
      </c>
      <c r="D7" s="140" t="s">
        <v>480</v>
      </c>
      <c r="E7">
        <v>45.532915360501569</v>
      </c>
    </row>
    <row r="8" spans="1:5" x14ac:dyDescent="0.3">
      <c r="A8" s="139" t="s">
        <v>149</v>
      </c>
      <c r="B8" s="141">
        <v>76.942307692307693</v>
      </c>
      <c r="D8" s="139" t="s">
        <v>148</v>
      </c>
      <c r="E8">
        <v>120</v>
      </c>
    </row>
    <row r="9" spans="1:5" x14ac:dyDescent="0.3">
      <c r="A9" s="140" t="s">
        <v>361</v>
      </c>
      <c r="B9" s="141">
        <v>80.84615384615384</v>
      </c>
      <c r="D9" s="140" t="s">
        <v>361</v>
      </c>
      <c r="E9">
        <v>120</v>
      </c>
    </row>
    <row r="10" spans="1:5" x14ac:dyDescent="0.3">
      <c r="A10" s="140" t="s">
        <v>457</v>
      </c>
      <c r="B10" s="141">
        <v>69.788461538461533</v>
      </c>
      <c r="D10" s="140" t="s">
        <v>457</v>
      </c>
      <c r="E10">
        <v>120</v>
      </c>
    </row>
    <row r="11" spans="1:5" x14ac:dyDescent="0.3">
      <c r="A11" s="140" t="s">
        <v>480</v>
      </c>
      <c r="B11" s="141">
        <v>80.192307692307693</v>
      </c>
      <c r="D11" s="140" t="s">
        <v>480</v>
      </c>
      <c r="E11">
        <v>120</v>
      </c>
    </row>
    <row r="12" spans="1:5" x14ac:dyDescent="0.3">
      <c r="A12" s="139" t="s">
        <v>143</v>
      </c>
      <c r="B12" s="141">
        <v>54.166666666666664</v>
      </c>
      <c r="D12" s="139" t="s">
        <v>653</v>
      </c>
      <c r="E12">
        <v>68</v>
      </c>
    </row>
    <row r="13" spans="1:5" x14ac:dyDescent="0.3">
      <c r="A13" s="140" t="s">
        <v>361</v>
      </c>
      <c r="B13" s="141">
        <v>55.9</v>
      </c>
      <c r="D13" s="140" t="s">
        <v>480</v>
      </c>
      <c r="E13">
        <v>68</v>
      </c>
    </row>
    <row r="14" spans="1:5" x14ac:dyDescent="0.3">
      <c r="A14" s="140" t="s">
        <v>457</v>
      </c>
      <c r="B14" s="141">
        <v>51.8</v>
      </c>
      <c r="D14" s="140" t="s">
        <v>653</v>
      </c>
    </row>
    <row r="15" spans="1:5" x14ac:dyDescent="0.3">
      <c r="A15" s="140" t="s">
        <v>480</v>
      </c>
      <c r="B15" s="141">
        <v>54.8</v>
      </c>
      <c r="D15" s="139" t="s">
        <v>652</v>
      </c>
      <c r="E15">
        <v>46.628764278296991</v>
      </c>
    </row>
    <row r="16" spans="1:5" x14ac:dyDescent="0.3">
      <c r="A16" s="139" t="s">
        <v>137</v>
      </c>
      <c r="B16" s="141">
        <v>43.515815085158152</v>
      </c>
    </row>
    <row r="17" spans="1:2" x14ac:dyDescent="0.3">
      <c r="A17" s="140" t="s">
        <v>361</v>
      </c>
      <c r="B17" s="141">
        <v>45.10948905109489</v>
      </c>
    </row>
    <row r="18" spans="1:2" x14ac:dyDescent="0.3">
      <c r="A18" s="140" t="s">
        <v>457</v>
      </c>
      <c r="B18" s="141">
        <v>43.773722627737229</v>
      </c>
    </row>
    <row r="19" spans="1:2" x14ac:dyDescent="0.3">
      <c r="A19" s="140" t="s">
        <v>480</v>
      </c>
      <c r="B19" s="141">
        <v>41.664233576642339</v>
      </c>
    </row>
    <row r="20" spans="1:2" x14ac:dyDescent="0.3">
      <c r="A20" s="139" t="s">
        <v>129</v>
      </c>
      <c r="B20" s="141">
        <v>33.717948717948715</v>
      </c>
    </row>
    <row r="21" spans="1:2" x14ac:dyDescent="0.3">
      <c r="A21" s="140" t="s">
        <v>361</v>
      </c>
      <c r="B21" s="141">
        <v>34.615384615384613</v>
      </c>
    </row>
    <row r="22" spans="1:2" x14ac:dyDescent="0.3">
      <c r="A22" s="140" t="s">
        <v>457</v>
      </c>
      <c r="B22" s="141">
        <v>32.861538461538458</v>
      </c>
    </row>
    <row r="23" spans="1:2" x14ac:dyDescent="0.3">
      <c r="A23" s="140" t="s">
        <v>480</v>
      </c>
      <c r="B23" s="141">
        <v>33.676923076923075</v>
      </c>
    </row>
    <row r="24" spans="1:2" x14ac:dyDescent="0.3">
      <c r="A24" s="139" t="s">
        <v>652</v>
      </c>
      <c r="B24" s="141">
        <v>46.628764278296991</v>
      </c>
    </row>
    <row r="26" spans="1:2" x14ac:dyDescent="0.3">
      <c r="A26" s="137" t="s">
        <v>654</v>
      </c>
      <c r="B26" t="s">
        <v>655</v>
      </c>
    </row>
    <row r="27" spans="1:2" x14ac:dyDescent="0.3">
      <c r="A27" s="139">
        <v>0</v>
      </c>
      <c r="B27" s="141">
        <v>48.602564102564102</v>
      </c>
    </row>
    <row r="28" spans="1:2" x14ac:dyDescent="0.3">
      <c r="A28" s="140" t="s">
        <v>361</v>
      </c>
      <c r="B28" s="141">
        <v>58.07692307692308</v>
      </c>
    </row>
    <row r="29" spans="1:2" x14ac:dyDescent="0.3">
      <c r="A29" s="140" t="s">
        <v>457</v>
      </c>
      <c r="B29" s="141">
        <v>42.346153846153847</v>
      </c>
    </row>
    <row r="30" spans="1:2" x14ac:dyDescent="0.3">
      <c r="A30" s="140" t="s">
        <v>480</v>
      </c>
      <c r="B30" s="141">
        <v>45.384615384615387</v>
      </c>
    </row>
    <row r="31" spans="1:2" x14ac:dyDescent="0.3">
      <c r="A31" s="139" t="s">
        <v>146</v>
      </c>
      <c r="B31" s="141">
        <v>82</v>
      </c>
    </row>
    <row r="32" spans="1:2" x14ac:dyDescent="0.3">
      <c r="A32" s="140" t="s">
        <v>361</v>
      </c>
      <c r="B32" s="141">
        <v>88</v>
      </c>
    </row>
    <row r="33" spans="1:2" x14ac:dyDescent="0.3">
      <c r="A33" s="140" t="s">
        <v>457</v>
      </c>
      <c r="B33" s="141">
        <v>63.8</v>
      </c>
    </row>
    <row r="34" spans="1:2" x14ac:dyDescent="0.3">
      <c r="A34" s="140" t="s">
        <v>480</v>
      </c>
      <c r="B34" s="141">
        <v>94.2</v>
      </c>
    </row>
    <row r="35" spans="1:2" x14ac:dyDescent="0.3">
      <c r="A35" s="139" t="s">
        <v>139</v>
      </c>
      <c r="B35" s="141">
        <v>71.361111111111114</v>
      </c>
    </row>
    <row r="36" spans="1:2" x14ac:dyDescent="0.3">
      <c r="A36" s="140" t="s">
        <v>361</v>
      </c>
      <c r="B36" s="141">
        <v>80.5</v>
      </c>
    </row>
    <row r="37" spans="1:2" x14ac:dyDescent="0.3">
      <c r="A37" s="140" t="s">
        <v>457</v>
      </c>
      <c r="B37" s="141">
        <v>60.833333333333336</v>
      </c>
    </row>
    <row r="38" spans="1:2" x14ac:dyDescent="0.3">
      <c r="A38" s="140" t="s">
        <v>480</v>
      </c>
      <c r="B38" s="141">
        <v>72.75</v>
      </c>
    </row>
    <row r="39" spans="1:2" x14ac:dyDescent="0.3">
      <c r="A39" s="139" t="s">
        <v>131</v>
      </c>
      <c r="B39" s="141">
        <v>44.912943871706759</v>
      </c>
    </row>
    <row r="40" spans="1:2" x14ac:dyDescent="0.3">
      <c r="A40" s="140" t="s">
        <v>361</v>
      </c>
      <c r="B40" s="141">
        <v>47.044673539518904</v>
      </c>
    </row>
    <row r="41" spans="1:2" x14ac:dyDescent="0.3">
      <c r="A41" s="140" t="s">
        <v>457</v>
      </c>
      <c r="B41" s="141">
        <v>43.780068728522338</v>
      </c>
    </row>
    <row r="42" spans="1:2" x14ac:dyDescent="0.3">
      <c r="A42" s="140" t="s">
        <v>480</v>
      </c>
      <c r="B42" s="141">
        <v>43.914089347079035</v>
      </c>
    </row>
    <row r="43" spans="1:2" x14ac:dyDescent="0.3">
      <c r="A43" s="139" t="s">
        <v>652</v>
      </c>
      <c r="B43" s="141">
        <v>46.628764278296991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Z1522"/>
  <sheetViews>
    <sheetView workbookViewId="0">
      <selection activeCell="F970" sqref="F970"/>
    </sheetView>
  </sheetViews>
  <sheetFormatPr defaultColWidth="14.44140625" defaultRowHeight="15" customHeight="1" x14ac:dyDescent="0.3"/>
  <cols>
    <col min="1" max="1" width="47.6640625" customWidth="1"/>
    <col min="2" max="2" width="10.5546875" customWidth="1"/>
    <col min="3" max="3" width="8.6640625" customWidth="1"/>
    <col min="4" max="4" width="10.6640625" customWidth="1"/>
    <col min="5" max="6" width="11.109375" customWidth="1"/>
    <col min="7" max="7" width="8.88671875" customWidth="1"/>
    <col min="8" max="8" width="12.109375" customWidth="1"/>
    <col min="9" max="9" width="11" customWidth="1"/>
    <col min="10" max="10" width="7.5546875" customWidth="1"/>
    <col min="11" max="12" width="21" customWidth="1"/>
    <col min="13" max="14" width="18.88671875" customWidth="1"/>
    <col min="15" max="15" width="13.5546875" customWidth="1"/>
    <col min="16" max="26" width="8.6640625" customWidth="1"/>
  </cols>
  <sheetData>
    <row r="1" spans="1:26" ht="43.2" x14ac:dyDescent="0.3">
      <c r="A1" s="115" t="s">
        <v>28</v>
      </c>
      <c r="B1" s="115" t="s">
        <v>641</v>
      </c>
      <c r="C1" s="115" t="s">
        <v>642</v>
      </c>
      <c r="D1" s="115" t="s">
        <v>617</v>
      </c>
      <c r="E1" s="115" t="s">
        <v>96</v>
      </c>
      <c r="F1" s="115" t="s">
        <v>643</v>
      </c>
      <c r="G1" s="115" t="s">
        <v>644</v>
      </c>
      <c r="H1" s="115" t="s">
        <v>108</v>
      </c>
      <c r="I1" s="115" t="s">
        <v>109</v>
      </c>
      <c r="J1" s="115" t="s">
        <v>645</v>
      </c>
      <c r="K1" s="115" t="s">
        <v>57</v>
      </c>
      <c r="L1" s="115" t="s">
        <v>64</v>
      </c>
      <c r="M1" s="115" t="s">
        <v>646</v>
      </c>
      <c r="N1" s="115" t="s">
        <v>647</v>
      </c>
      <c r="O1" s="115" t="s">
        <v>648</v>
      </c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spans="1:26" ht="14.4" hidden="1" x14ac:dyDescent="0.3">
      <c r="A2" s="124" t="e">
        <f>Simulações!#REF!</f>
        <v>#REF!</v>
      </c>
      <c r="B2" s="114" t="e">
        <f>Simulações!#REF!</f>
        <v>#REF!</v>
      </c>
      <c r="C2" s="125" t="e">
        <f>Simulações!#REF!</f>
        <v>#REF!</v>
      </c>
      <c r="D2" s="114" t="e">
        <f>Simulações!#REF!</f>
        <v>#REF!</v>
      </c>
      <c r="E2" s="114" t="e">
        <f>Simulações!#REF!</f>
        <v>#REF!</v>
      </c>
      <c r="F2" s="114" t="e">
        <f>Simulações!#REF!</f>
        <v>#REF!</v>
      </c>
      <c r="G2" s="114" t="e">
        <f>Simulações!#REF!</f>
        <v>#REF!</v>
      </c>
      <c r="H2" s="114" t="e">
        <f>Simulações!#REF!</f>
        <v>#REF!</v>
      </c>
      <c r="I2" s="114" t="e">
        <f>IF(Simulações!#REF!="","",Simulações!#REF!)</f>
        <v>#REF!</v>
      </c>
      <c r="J2" s="114" t="e">
        <f>IF(Simulações!#REF!="","",Simulações!#REF!)</f>
        <v>#REF!</v>
      </c>
      <c r="K2" s="117" t="e">
        <f>Simulações!#REF!</f>
        <v>#REF!</v>
      </c>
      <c r="L2" s="117" t="e">
        <f>Simulações!#REF!</f>
        <v>#REF!</v>
      </c>
      <c r="M2" s="114" t="e">
        <f>IF(Simulações!#REF!="","",Simulações!#REF!)</f>
        <v>#REF!</v>
      </c>
      <c r="N2" s="114" t="e">
        <f>IF(Simulações!#REF!="","",Simulações!#REF!)</f>
        <v>#REF!</v>
      </c>
      <c r="O2" s="114">
        <v>1</v>
      </c>
    </row>
    <row r="3" spans="1:26" ht="14.4" hidden="1" x14ac:dyDescent="0.3">
      <c r="A3" s="124" t="str">
        <f>Simulações!H2</f>
        <v>Avenida Caio Martins</v>
      </c>
      <c r="B3" s="114" t="str">
        <f>Simulações!DN2</f>
        <v>Sim</v>
      </c>
      <c r="C3" s="125">
        <f>Simulações!O2</f>
        <v>80</v>
      </c>
      <c r="D3" s="114" t="str">
        <f>Simulações!K2</f>
        <v>C1</v>
      </c>
      <c r="E3" s="114" t="str">
        <f>Simulações!CL2</f>
        <v>LEDSTAR</v>
      </c>
      <c r="F3" s="114" t="str">
        <f>Simulações!CM2</f>
        <v xml:space="preserve"> SL VT 9.1 100W</v>
      </c>
      <c r="G3" s="114">
        <f>Simulações!CR2</f>
        <v>100</v>
      </c>
      <c r="H3" s="114" t="str">
        <f>Simulações!CX2</f>
        <v>Longo I</v>
      </c>
      <c r="I3" s="114" t="str">
        <f>IF(Simulações!CY2="","",Simulações!CY2)</f>
        <v/>
      </c>
      <c r="J3" s="114" t="str">
        <f>IF(Simulações!DB2="","",Simulações!DB2)</f>
        <v/>
      </c>
      <c r="K3" s="117">
        <f>Simulações!AP2</f>
        <v>2</v>
      </c>
      <c r="L3" s="117">
        <f>Simulações!AW2</f>
        <v>0</v>
      </c>
      <c r="M3" s="114" t="str">
        <f>IF(Simulações!DC2="","",Simulações!DC2)</f>
        <v/>
      </c>
      <c r="N3" s="114" t="str">
        <f>IF(Simulações!DD2="","",Simulações!DD2)</f>
        <v/>
      </c>
      <c r="O3" s="114">
        <v>1</v>
      </c>
    </row>
    <row r="4" spans="1:26" ht="14.4" hidden="1" x14ac:dyDescent="0.3">
      <c r="A4" s="124" t="e">
        <f>Simulações!#REF!</f>
        <v>#REF!</v>
      </c>
      <c r="B4" s="114" t="e">
        <f>Simulações!#REF!</f>
        <v>#REF!</v>
      </c>
      <c r="C4" s="125" t="e">
        <f>Simulações!#REF!</f>
        <v>#REF!</v>
      </c>
      <c r="D4" s="114" t="e">
        <f>Simulações!#REF!</f>
        <v>#REF!</v>
      </c>
      <c r="E4" s="114" t="e">
        <f>Simulações!#REF!</f>
        <v>#REF!</v>
      </c>
      <c r="F4" s="114" t="e">
        <f>Simulações!#REF!</f>
        <v>#REF!</v>
      </c>
      <c r="G4" s="114" t="e">
        <f>Simulações!#REF!</f>
        <v>#REF!</v>
      </c>
      <c r="H4" s="114" t="e">
        <f>Simulações!#REF!</f>
        <v>#REF!</v>
      </c>
      <c r="I4" s="114" t="e">
        <f>IF(Simulações!#REF!="","",Simulações!#REF!)</f>
        <v>#REF!</v>
      </c>
      <c r="J4" s="114" t="e">
        <f>IF(Simulações!#REF!="","",Simulações!#REF!)</f>
        <v>#REF!</v>
      </c>
      <c r="K4" s="117" t="e">
        <f>Simulações!#REF!</f>
        <v>#REF!</v>
      </c>
      <c r="L4" s="117" t="e">
        <f>Simulações!#REF!</f>
        <v>#REF!</v>
      </c>
      <c r="M4" s="114" t="e">
        <f>IF(Simulações!#REF!="","",Simulações!#REF!)</f>
        <v>#REF!</v>
      </c>
      <c r="N4" s="114" t="e">
        <f>IF(Simulações!#REF!="","",Simulações!#REF!)</f>
        <v>#REF!</v>
      </c>
      <c r="O4" s="114">
        <v>1</v>
      </c>
    </row>
    <row r="5" spans="1:26" ht="14.4" hidden="1" x14ac:dyDescent="0.3">
      <c r="A5" s="124" t="e">
        <f>Simulações!#REF!</f>
        <v>#REF!</v>
      </c>
      <c r="B5" s="114" t="e">
        <f>Simulações!#REF!</f>
        <v>#REF!</v>
      </c>
      <c r="C5" s="125" t="e">
        <f>Simulações!#REF!</f>
        <v>#REF!</v>
      </c>
      <c r="D5" s="114" t="e">
        <f>Simulações!#REF!</f>
        <v>#REF!</v>
      </c>
      <c r="E5" s="114" t="e">
        <f>Simulações!#REF!</f>
        <v>#REF!</v>
      </c>
      <c r="F5" s="114" t="e">
        <f>Simulações!#REF!</f>
        <v>#REF!</v>
      </c>
      <c r="G5" s="114" t="e">
        <f>Simulações!#REF!</f>
        <v>#REF!</v>
      </c>
      <c r="H5" s="114" t="e">
        <f>Simulações!#REF!</f>
        <v>#REF!</v>
      </c>
      <c r="I5" s="114" t="e">
        <f>IF(Simulações!#REF!="","",Simulações!#REF!)</f>
        <v>#REF!</v>
      </c>
      <c r="J5" s="114" t="e">
        <f>IF(Simulações!#REF!="","",Simulações!#REF!)</f>
        <v>#REF!</v>
      </c>
      <c r="K5" s="117" t="e">
        <f>Simulações!#REF!</f>
        <v>#REF!</v>
      </c>
      <c r="L5" s="117" t="e">
        <f>Simulações!#REF!</f>
        <v>#REF!</v>
      </c>
      <c r="M5" s="114" t="e">
        <f>IF(Simulações!#REF!="","",Simulações!#REF!)</f>
        <v>#REF!</v>
      </c>
      <c r="N5" s="114" t="e">
        <f>IF(Simulações!#REF!="","",Simulações!#REF!)</f>
        <v>#REF!</v>
      </c>
      <c r="O5" s="114">
        <v>1</v>
      </c>
    </row>
    <row r="6" spans="1:26" ht="14.4" hidden="1" x14ac:dyDescent="0.3">
      <c r="A6" s="124" t="str">
        <f>Simulações!H5</f>
        <v>Rodovia Engenheiro Idsel Costa Martins</v>
      </c>
      <c r="B6" s="114" t="str">
        <f>Simulações!DN5</f>
        <v>Sim</v>
      </c>
      <c r="C6" s="125">
        <f>Simulações!O5</f>
        <v>200</v>
      </c>
      <c r="D6" s="114" t="str">
        <f>Simulações!K5</f>
        <v>C1</v>
      </c>
      <c r="E6" s="114" t="str">
        <f>Simulações!CL5</f>
        <v>LEDSTAR</v>
      </c>
      <c r="F6" s="114" t="str">
        <f>Simulações!CM5</f>
        <v xml:space="preserve"> SL VT 9.1 140W</v>
      </c>
      <c r="G6" s="114">
        <f>Simulações!CR5</f>
        <v>140</v>
      </c>
      <c r="H6" s="114" t="str">
        <f>Simulações!CX5</f>
        <v>Longo II</v>
      </c>
      <c r="I6" s="114" t="str">
        <f>IF(Simulações!CY5="","",Simulações!CY5)</f>
        <v/>
      </c>
      <c r="J6" s="114" t="str">
        <f>IF(Simulações!DB5="","",Simulações!DB5)</f>
        <v/>
      </c>
      <c r="K6" s="117">
        <f>Simulações!AP5</f>
        <v>2</v>
      </c>
      <c r="L6" s="117">
        <f>Simulações!AW5</f>
        <v>0</v>
      </c>
      <c r="M6" s="114" t="str">
        <f>IF(Simulações!DC5="","",Simulações!DC5)</f>
        <v/>
      </c>
      <c r="N6" s="114" t="str">
        <f>IF(Simulações!DD5="","",Simulações!DD5)</f>
        <v/>
      </c>
      <c r="O6" s="114">
        <v>1</v>
      </c>
    </row>
    <row r="7" spans="1:26" ht="14.4" hidden="1" x14ac:dyDescent="0.3">
      <c r="A7" s="124" t="e">
        <f>Simulações!#REF!</f>
        <v>#REF!</v>
      </c>
      <c r="B7" s="114" t="e">
        <f>Simulações!#REF!</f>
        <v>#REF!</v>
      </c>
      <c r="C7" s="125" t="e">
        <f>Simulações!#REF!</f>
        <v>#REF!</v>
      </c>
      <c r="D7" s="114" t="e">
        <f>Simulações!#REF!</f>
        <v>#REF!</v>
      </c>
      <c r="E7" s="114" t="e">
        <f>Simulações!#REF!</f>
        <v>#REF!</v>
      </c>
      <c r="F7" s="114" t="e">
        <f>Simulações!#REF!</f>
        <v>#REF!</v>
      </c>
      <c r="G7" s="114" t="e">
        <f>Simulações!#REF!</f>
        <v>#REF!</v>
      </c>
      <c r="H7" s="114" t="e">
        <f>Simulações!#REF!</f>
        <v>#REF!</v>
      </c>
      <c r="I7" s="114" t="e">
        <f>IF(Simulações!#REF!="","",Simulações!#REF!)</f>
        <v>#REF!</v>
      </c>
      <c r="J7" s="114" t="e">
        <f>IF(Simulações!#REF!="","",Simulações!#REF!)</f>
        <v>#REF!</v>
      </c>
      <c r="K7" s="117" t="e">
        <f>Simulações!#REF!</f>
        <v>#REF!</v>
      </c>
      <c r="L7" s="117" t="e">
        <f>Simulações!#REF!</f>
        <v>#REF!</v>
      </c>
      <c r="M7" s="114" t="e">
        <f>IF(Simulações!#REF!="","",Simulações!#REF!)</f>
        <v>#REF!</v>
      </c>
      <c r="N7" s="114" t="e">
        <f>IF(Simulações!#REF!="","",Simulações!#REF!)</f>
        <v>#REF!</v>
      </c>
      <c r="O7" s="114">
        <v>1</v>
      </c>
    </row>
    <row r="8" spans="1:26" ht="14.4" hidden="1" x14ac:dyDescent="0.3">
      <c r="A8" s="131" t="e">
        <f>Simulações!#REF!</f>
        <v>#REF!</v>
      </c>
      <c r="B8" s="132" t="e">
        <f>Simulações!#REF!</f>
        <v>#REF!</v>
      </c>
      <c r="C8" s="133" t="e">
        <f>Simulações!#REF!</f>
        <v>#REF!</v>
      </c>
      <c r="D8" s="132" t="e">
        <f>Simulações!#REF!</f>
        <v>#REF!</v>
      </c>
      <c r="E8" s="132" t="e">
        <f>Simulações!#REF!</f>
        <v>#REF!</v>
      </c>
      <c r="F8" s="132" t="e">
        <f>Simulações!#REF!</f>
        <v>#REF!</v>
      </c>
      <c r="G8" s="132" t="e">
        <f>Simulações!#REF!</f>
        <v>#REF!</v>
      </c>
      <c r="H8" s="132" t="e">
        <f>Simulações!#REF!</f>
        <v>#REF!</v>
      </c>
      <c r="I8" s="132" t="e">
        <f>IF(Simulações!#REF!="","",Simulações!#REF!)</f>
        <v>#REF!</v>
      </c>
      <c r="J8" s="132" t="e">
        <f>IF(Simulações!#REF!="","",Simulações!#REF!)</f>
        <v>#REF!</v>
      </c>
      <c r="K8" s="134" t="e">
        <f>Simulações!#REF!</f>
        <v>#REF!</v>
      </c>
      <c r="L8" s="134" t="e">
        <f>Simulações!#REF!</f>
        <v>#REF!</v>
      </c>
      <c r="M8" s="132" t="e">
        <f>IF(Simulações!#REF!="","",Simulações!#REF!)</f>
        <v>#REF!</v>
      </c>
      <c r="N8" s="132" t="e">
        <f>IF(Simulações!#REF!="","",Simulações!#REF!)</f>
        <v>#REF!</v>
      </c>
      <c r="O8" s="132">
        <v>1</v>
      </c>
    </row>
    <row r="9" spans="1:26" ht="14.4" hidden="1" x14ac:dyDescent="0.3">
      <c r="A9" s="131" t="str">
        <f>Simulações!H8</f>
        <v>Avenida Bento Gonçalves</v>
      </c>
      <c r="B9" s="132" t="str">
        <f>Simulações!DN8</f>
        <v>Sim</v>
      </c>
      <c r="C9" s="133">
        <f>Simulações!O8</f>
        <v>200</v>
      </c>
      <c r="D9" s="132" t="str">
        <f>Simulações!K8</f>
        <v>C2</v>
      </c>
      <c r="E9" s="132" t="str">
        <f>Simulações!CL8</f>
        <v>LEDSTAR</v>
      </c>
      <c r="F9" s="132" t="str">
        <f>Simulações!CM8</f>
        <v xml:space="preserve"> SL VT 9.1 100W</v>
      </c>
      <c r="G9" s="132">
        <f>Simulações!CR8</f>
        <v>100</v>
      </c>
      <c r="H9" s="132" t="str">
        <f>Simulações!CX8</f>
        <v>Longo I</v>
      </c>
      <c r="I9" s="132" t="str">
        <f>IF(Simulações!CY8="","",Simulações!CY8)</f>
        <v/>
      </c>
      <c r="J9" s="132" t="str">
        <f>IF(Simulações!DB8="","",Simulações!DB8)</f>
        <v/>
      </c>
      <c r="K9" s="134">
        <f>Simulações!AP8</f>
        <v>2</v>
      </c>
      <c r="L9" s="134">
        <f>Simulações!AW8</f>
        <v>0</v>
      </c>
      <c r="M9" s="132" t="str">
        <f>IF(Simulações!DC8="","",Simulações!DC8)</f>
        <v/>
      </c>
      <c r="N9" s="132" t="str">
        <f>IF(Simulações!DD8="","",Simulações!DD8)</f>
        <v/>
      </c>
      <c r="O9" s="132">
        <v>1</v>
      </c>
    </row>
    <row r="10" spans="1:26" ht="14.4" hidden="1" x14ac:dyDescent="0.3">
      <c r="A10" s="131" t="e">
        <f>Simulações!#REF!</f>
        <v>#REF!</v>
      </c>
      <c r="B10" s="132" t="e">
        <f>Simulações!#REF!</f>
        <v>#REF!</v>
      </c>
      <c r="C10" s="133" t="e">
        <f>Simulações!#REF!</f>
        <v>#REF!</v>
      </c>
      <c r="D10" s="132" t="e">
        <f>Simulações!#REF!</f>
        <v>#REF!</v>
      </c>
      <c r="E10" s="132" t="e">
        <f>Simulações!#REF!</f>
        <v>#REF!</v>
      </c>
      <c r="F10" s="132" t="e">
        <f>Simulações!#REF!</f>
        <v>#REF!</v>
      </c>
      <c r="G10" s="132" t="e">
        <f>Simulações!#REF!</f>
        <v>#REF!</v>
      </c>
      <c r="H10" s="132" t="e">
        <f>Simulações!#REF!</f>
        <v>#REF!</v>
      </c>
      <c r="I10" s="132" t="e">
        <f>IF(Simulações!#REF!="","",Simulações!#REF!)</f>
        <v>#REF!</v>
      </c>
      <c r="J10" s="132" t="e">
        <f>IF(Simulações!#REF!="","",Simulações!#REF!)</f>
        <v>#REF!</v>
      </c>
      <c r="K10" s="134" t="e">
        <f>Simulações!#REF!</f>
        <v>#REF!</v>
      </c>
      <c r="L10" s="134" t="e">
        <f>Simulações!#REF!</f>
        <v>#REF!</v>
      </c>
      <c r="M10" s="132" t="e">
        <f>IF(Simulações!#REF!="","",Simulações!#REF!)</f>
        <v>#REF!</v>
      </c>
      <c r="N10" s="132" t="e">
        <f>IF(Simulações!#REF!="","",Simulações!#REF!)</f>
        <v>#REF!</v>
      </c>
      <c r="O10" s="132">
        <v>1</v>
      </c>
    </row>
    <row r="11" spans="1:26" ht="14.4" hidden="1" x14ac:dyDescent="0.3">
      <c r="A11" s="131" t="e">
        <f>Simulações!#REF!</f>
        <v>#REF!</v>
      </c>
      <c r="B11" s="132" t="e">
        <f>Simulações!#REF!</f>
        <v>#REF!</v>
      </c>
      <c r="C11" s="133" t="e">
        <f>Simulações!#REF!</f>
        <v>#REF!</v>
      </c>
      <c r="D11" s="132" t="e">
        <f>Simulações!#REF!</f>
        <v>#REF!</v>
      </c>
      <c r="E11" s="132" t="e">
        <f>Simulações!#REF!</f>
        <v>#REF!</v>
      </c>
      <c r="F11" s="132" t="e">
        <f>Simulações!#REF!</f>
        <v>#REF!</v>
      </c>
      <c r="G11" s="132" t="e">
        <f>Simulações!#REF!</f>
        <v>#REF!</v>
      </c>
      <c r="H11" s="132" t="e">
        <f>Simulações!#REF!</f>
        <v>#REF!</v>
      </c>
      <c r="I11" s="132" t="e">
        <f>IF(Simulações!#REF!="","",Simulações!#REF!)</f>
        <v>#REF!</v>
      </c>
      <c r="J11" s="132" t="e">
        <f>IF(Simulações!#REF!="","",Simulações!#REF!)</f>
        <v>#REF!</v>
      </c>
      <c r="K11" s="134" t="e">
        <f>Simulações!#REF!</f>
        <v>#REF!</v>
      </c>
      <c r="L11" s="134" t="e">
        <f>Simulações!#REF!</f>
        <v>#REF!</v>
      </c>
      <c r="M11" s="132" t="e">
        <f>IF(Simulações!#REF!="","",Simulações!#REF!)</f>
        <v>#REF!</v>
      </c>
      <c r="N11" s="132" t="e">
        <f>IF(Simulações!#REF!="","",Simulações!#REF!)</f>
        <v>#REF!</v>
      </c>
      <c r="O11" s="132">
        <v>1</v>
      </c>
    </row>
    <row r="12" spans="1:26" ht="14.4" hidden="1" x14ac:dyDescent="0.3">
      <c r="A12" s="131" t="str">
        <f>Simulações!H11</f>
        <v>Avenida André Faveli</v>
      </c>
      <c r="B12" s="132" t="str">
        <f>Simulações!DN11</f>
        <v>Sim</v>
      </c>
      <c r="C12" s="133">
        <f>Simulações!O11</f>
        <v>100</v>
      </c>
      <c r="D12" s="132" t="str">
        <f>Simulações!K11</f>
        <v>C2</v>
      </c>
      <c r="E12" s="132" t="str">
        <f>Simulações!CL11</f>
        <v>LEDSTAR</v>
      </c>
      <c r="F12" s="132" t="str">
        <f>Simulações!CM11</f>
        <v xml:space="preserve"> SL VT 9.1 72W</v>
      </c>
      <c r="G12" s="132">
        <f>Simulações!CR11</f>
        <v>72</v>
      </c>
      <c r="H12" s="132" t="str">
        <f>Simulações!CX11</f>
        <v>Longo I</v>
      </c>
      <c r="I12" s="132" t="str">
        <f>IF(Simulações!CY11="","",Simulações!CY11)</f>
        <v/>
      </c>
      <c r="J12" s="132" t="str">
        <f>IF(Simulações!DB11="","",Simulações!DB11)</f>
        <v/>
      </c>
      <c r="K12" s="134">
        <f>Simulações!AP11</f>
        <v>2</v>
      </c>
      <c r="L12" s="134">
        <f>Simulações!AW11</f>
        <v>0</v>
      </c>
      <c r="M12" s="132" t="str">
        <f>IF(Simulações!DC11="","",Simulações!DC11)</f>
        <v/>
      </c>
      <c r="N12" s="132" t="str">
        <f>IF(Simulações!DD11="","",Simulações!DD11)</f>
        <v/>
      </c>
      <c r="O12" s="132">
        <v>1</v>
      </c>
    </row>
    <row r="13" spans="1:26" ht="14.4" hidden="1" x14ac:dyDescent="0.3">
      <c r="A13" s="131" t="e">
        <f>Simulações!#REF!</f>
        <v>#REF!</v>
      </c>
      <c r="B13" s="132" t="e">
        <f>Simulações!#REF!</f>
        <v>#REF!</v>
      </c>
      <c r="C13" s="133" t="e">
        <f>Simulações!#REF!</f>
        <v>#REF!</v>
      </c>
      <c r="D13" s="132" t="e">
        <f>Simulações!#REF!</f>
        <v>#REF!</v>
      </c>
      <c r="E13" s="132" t="e">
        <f>Simulações!#REF!</f>
        <v>#REF!</v>
      </c>
      <c r="F13" s="132" t="e">
        <f>Simulações!#REF!</f>
        <v>#REF!</v>
      </c>
      <c r="G13" s="132" t="e">
        <f>Simulações!#REF!</f>
        <v>#REF!</v>
      </c>
      <c r="H13" s="132" t="e">
        <f>Simulações!#REF!</f>
        <v>#REF!</v>
      </c>
      <c r="I13" s="132" t="e">
        <f>IF(Simulações!#REF!="","",Simulações!#REF!)</f>
        <v>#REF!</v>
      </c>
      <c r="J13" s="132" t="e">
        <f>IF(Simulações!#REF!="","",Simulações!#REF!)</f>
        <v>#REF!</v>
      </c>
      <c r="K13" s="134" t="e">
        <f>Simulações!#REF!</f>
        <v>#REF!</v>
      </c>
      <c r="L13" s="134" t="e">
        <f>Simulações!#REF!</f>
        <v>#REF!</v>
      </c>
      <c r="M13" s="132" t="e">
        <f>IF(Simulações!#REF!="","",Simulações!#REF!)</f>
        <v>#REF!</v>
      </c>
      <c r="N13" s="132" t="e">
        <f>IF(Simulações!#REF!="","",Simulações!#REF!)</f>
        <v>#REF!</v>
      </c>
      <c r="O13" s="132">
        <v>1</v>
      </c>
    </row>
    <row r="14" spans="1:26" ht="14.4" hidden="1" x14ac:dyDescent="0.3">
      <c r="A14" s="124" t="e">
        <f>Simulações!#REF!</f>
        <v>#REF!</v>
      </c>
      <c r="B14" s="114" t="e">
        <f>Simulações!#REF!</f>
        <v>#REF!</v>
      </c>
      <c r="C14" s="125" t="e">
        <f>Simulações!#REF!</f>
        <v>#REF!</v>
      </c>
      <c r="D14" s="114" t="e">
        <f>Simulações!#REF!</f>
        <v>#REF!</v>
      </c>
      <c r="E14" s="114" t="e">
        <f>Simulações!#REF!</f>
        <v>#REF!</v>
      </c>
      <c r="F14" s="114" t="e">
        <f>Simulações!#REF!</f>
        <v>#REF!</v>
      </c>
      <c r="G14" s="114" t="e">
        <f>Simulações!#REF!</f>
        <v>#REF!</v>
      </c>
      <c r="H14" s="114" t="e">
        <f>Simulações!#REF!</f>
        <v>#REF!</v>
      </c>
      <c r="I14" s="114" t="e">
        <f>IF(Simulações!#REF!="","",Simulações!#REF!)</f>
        <v>#REF!</v>
      </c>
      <c r="J14" s="114" t="e">
        <f>IF(Simulações!#REF!="","",Simulações!#REF!)</f>
        <v>#REF!</v>
      </c>
      <c r="K14" s="117" t="e">
        <f>Simulações!#REF!</f>
        <v>#REF!</v>
      </c>
      <c r="L14" s="117" t="e">
        <f>Simulações!#REF!</f>
        <v>#REF!</v>
      </c>
      <c r="M14" s="114" t="e">
        <f>IF(Simulações!#REF!="","",Simulações!#REF!)</f>
        <v>#REF!</v>
      </c>
      <c r="N14" s="114" t="e">
        <f>IF(Simulações!#REF!="","",Simulações!#REF!)</f>
        <v>#REF!</v>
      </c>
      <c r="O14" s="114">
        <v>1</v>
      </c>
    </row>
    <row r="15" spans="1:26" ht="14.4" hidden="1" x14ac:dyDescent="0.3">
      <c r="A15" s="124" t="str">
        <f>Simulações!H14</f>
        <v>Avenida Caio Martins</v>
      </c>
      <c r="B15" s="114" t="str">
        <f>Simulações!DN14</f>
        <v>Sim</v>
      </c>
      <c r="C15" s="125">
        <f>Simulações!O14</f>
        <v>200</v>
      </c>
      <c r="D15" s="114" t="str">
        <f>Simulações!K14</f>
        <v>C1</v>
      </c>
      <c r="E15" s="114" t="str">
        <f>Simulações!CL14</f>
        <v>LEDSTAR</v>
      </c>
      <c r="F15" s="114" t="str">
        <f>Simulações!CM14</f>
        <v xml:space="preserve"> SL VT 9.1 100W</v>
      </c>
      <c r="G15" s="114">
        <f>Simulações!CR14</f>
        <v>100</v>
      </c>
      <c r="H15" s="114" t="str">
        <f>Simulações!CX14</f>
        <v>Longo I</v>
      </c>
      <c r="I15" s="114" t="str">
        <f>IF(Simulações!CY14="","",Simulações!CY14)</f>
        <v/>
      </c>
      <c r="J15" s="114" t="str">
        <f>IF(Simulações!DB14="","",Simulações!DB14)</f>
        <v/>
      </c>
      <c r="K15" s="117">
        <f>Simulações!AP14</f>
        <v>2</v>
      </c>
      <c r="L15" s="117">
        <f>Simulações!AW14</f>
        <v>0</v>
      </c>
      <c r="M15" s="114" t="str">
        <f>IF(Simulações!DC14="","",Simulações!DC14)</f>
        <v/>
      </c>
      <c r="N15" s="114" t="str">
        <f>IF(Simulações!DD14="","",Simulações!DD14)</f>
        <v/>
      </c>
      <c r="O15" s="114">
        <v>1</v>
      </c>
    </row>
    <row r="16" spans="1:26" ht="14.4" hidden="1" x14ac:dyDescent="0.3">
      <c r="A16" s="124" t="e">
        <f>Simulações!#REF!</f>
        <v>#REF!</v>
      </c>
      <c r="B16" s="114" t="e">
        <f>Simulações!#REF!</f>
        <v>#REF!</v>
      </c>
      <c r="C16" s="125" t="e">
        <f>Simulações!#REF!</f>
        <v>#REF!</v>
      </c>
      <c r="D16" s="114" t="e">
        <f>Simulações!#REF!</f>
        <v>#REF!</v>
      </c>
      <c r="E16" s="114" t="e">
        <f>Simulações!#REF!</f>
        <v>#REF!</v>
      </c>
      <c r="F16" s="114" t="e">
        <f>Simulações!#REF!</f>
        <v>#REF!</v>
      </c>
      <c r="G16" s="114" t="e">
        <f>Simulações!#REF!</f>
        <v>#REF!</v>
      </c>
      <c r="H16" s="114" t="e">
        <f>Simulações!#REF!</f>
        <v>#REF!</v>
      </c>
      <c r="I16" s="114" t="e">
        <f>IF(Simulações!#REF!="","",Simulações!#REF!)</f>
        <v>#REF!</v>
      </c>
      <c r="J16" s="114" t="e">
        <f>IF(Simulações!#REF!="","",Simulações!#REF!)</f>
        <v>#REF!</v>
      </c>
      <c r="K16" s="117" t="e">
        <f>Simulações!#REF!</f>
        <v>#REF!</v>
      </c>
      <c r="L16" s="117" t="e">
        <f>Simulações!#REF!</f>
        <v>#REF!</v>
      </c>
      <c r="M16" s="114" t="e">
        <f>IF(Simulações!#REF!="","",Simulações!#REF!)</f>
        <v>#REF!</v>
      </c>
      <c r="N16" s="114" t="e">
        <f>IF(Simulações!#REF!="","",Simulações!#REF!)</f>
        <v>#REF!</v>
      </c>
      <c r="O16" s="114">
        <v>1</v>
      </c>
    </row>
    <row r="17" spans="1:15" ht="14.4" hidden="1" x14ac:dyDescent="0.3">
      <c r="A17" s="124" t="e">
        <f>Simulações!#REF!</f>
        <v>#REF!</v>
      </c>
      <c r="B17" s="114" t="e">
        <f>Simulações!#REF!</f>
        <v>#REF!</v>
      </c>
      <c r="C17" s="125" t="e">
        <f>Simulações!#REF!</f>
        <v>#REF!</v>
      </c>
      <c r="D17" s="114" t="e">
        <f>Simulações!#REF!</f>
        <v>#REF!</v>
      </c>
      <c r="E17" s="114" t="e">
        <f>Simulações!#REF!</f>
        <v>#REF!</v>
      </c>
      <c r="F17" s="114" t="e">
        <f>Simulações!#REF!</f>
        <v>#REF!</v>
      </c>
      <c r="G17" s="114" t="e">
        <f>Simulações!#REF!</f>
        <v>#REF!</v>
      </c>
      <c r="H17" s="114" t="e">
        <f>Simulações!#REF!</f>
        <v>#REF!</v>
      </c>
      <c r="I17" s="114" t="e">
        <f>IF(Simulações!#REF!="","",Simulações!#REF!)</f>
        <v>#REF!</v>
      </c>
      <c r="J17" s="114" t="e">
        <f>IF(Simulações!#REF!="","",Simulações!#REF!)</f>
        <v>#REF!</v>
      </c>
      <c r="K17" s="117" t="e">
        <f>Simulações!#REF!</f>
        <v>#REF!</v>
      </c>
      <c r="L17" s="117" t="e">
        <f>Simulações!#REF!</f>
        <v>#REF!</v>
      </c>
      <c r="M17" s="114" t="e">
        <f>IF(Simulações!#REF!="","",Simulações!#REF!)</f>
        <v>#REF!</v>
      </c>
      <c r="N17" s="114" t="e">
        <f>IF(Simulações!#REF!="","",Simulações!#REF!)</f>
        <v>#REF!</v>
      </c>
      <c r="O17" s="114">
        <v>1</v>
      </c>
    </row>
    <row r="18" spans="1:15" ht="14.4" hidden="1" x14ac:dyDescent="0.3">
      <c r="A18" s="124" t="str">
        <f>Simulações!H17</f>
        <v>Rodovia Engenheiro Idsel Costa Martins</v>
      </c>
      <c r="B18" s="114" t="str">
        <f>Simulações!DN17</f>
        <v>Sim</v>
      </c>
      <c r="C18" s="125">
        <f>Simulações!O17</f>
        <v>200</v>
      </c>
      <c r="D18" s="114" t="str">
        <f>Simulações!K17</f>
        <v>C1</v>
      </c>
      <c r="E18" s="114" t="str">
        <f>Simulações!CL17</f>
        <v>LEDSTAR</v>
      </c>
      <c r="F18" s="114" t="str">
        <f>Simulações!CM17</f>
        <v xml:space="preserve"> SL VT 9.1 140W</v>
      </c>
      <c r="G18" s="114">
        <f>Simulações!CR17</f>
        <v>140</v>
      </c>
      <c r="H18" s="114" t="str">
        <f>Simulações!CX17</f>
        <v>Longo II</v>
      </c>
      <c r="I18" s="114" t="str">
        <f>IF(Simulações!CY17="","",Simulações!CY17)</f>
        <v/>
      </c>
      <c r="J18" s="114" t="str">
        <f>IF(Simulações!DB17="","",Simulações!DB17)</f>
        <v/>
      </c>
      <c r="K18" s="117">
        <f>Simulações!AP17</f>
        <v>2</v>
      </c>
      <c r="L18" s="117">
        <f>Simulações!AW17</f>
        <v>0</v>
      </c>
      <c r="M18" s="114" t="str">
        <f>IF(Simulações!DC17="","",Simulações!DC17)</f>
        <v/>
      </c>
      <c r="N18" s="114" t="str">
        <f>IF(Simulações!DD17="","",Simulações!DD17)</f>
        <v/>
      </c>
      <c r="O18" s="114">
        <v>1</v>
      </c>
    </row>
    <row r="19" spans="1:15" ht="14.4" hidden="1" x14ac:dyDescent="0.3">
      <c r="A19" s="124" t="e">
        <f>Simulações!#REF!</f>
        <v>#REF!</v>
      </c>
      <c r="B19" s="114" t="e">
        <f>Simulações!#REF!</f>
        <v>#REF!</v>
      </c>
      <c r="C19" s="125" t="e">
        <f>Simulações!#REF!</f>
        <v>#REF!</v>
      </c>
      <c r="D19" s="114" t="e">
        <f>Simulações!#REF!</f>
        <v>#REF!</v>
      </c>
      <c r="E19" s="114" t="e">
        <f>Simulações!#REF!</f>
        <v>#REF!</v>
      </c>
      <c r="F19" s="114" t="e">
        <f>Simulações!#REF!</f>
        <v>#REF!</v>
      </c>
      <c r="G19" s="114" t="e">
        <f>Simulações!#REF!</f>
        <v>#REF!</v>
      </c>
      <c r="H19" s="114" t="e">
        <f>Simulações!#REF!</f>
        <v>#REF!</v>
      </c>
      <c r="I19" s="114" t="e">
        <f>IF(Simulações!#REF!="","",Simulações!#REF!)</f>
        <v>#REF!</v>
      </c>
      <c r="J19" s="114" t="e">
        <f>IF(Simulações!#REF!="","",Simulações!#REF!)</f>
        <v>#REF!</v>
      </c>
      <c r="K19" s="117" t="e">
        <f>Simulações!#REF!</f>
        <v>#REF!</v>
      </c>
      <c r="L19" s="117" t="e">
        <f>Simulações!#REF!</f>
        <v>#REF!</v>
      </c>
      <c r="M19" s="114" t="e">
        <f>IF(Simulações!#REF!="","",Simulações!#REF!)</f>
        <v>#REF!</v>
      </c>
      <c r="N19" s="114" t="e">
        <f>IF(Simulações!#REF!="","",Simulações!#REF!)</f>
        <v>#REF!</v>
      </c>
      <c r="O19" s="114">
        <v>1</v>
      </c>
    </row>
    <row r="20" spans="1:15" ht="14.4" hidden="1" x14ac:dyDescent="0.3">
      <c r="A20" s="131" t="e">
        <f>Simulações!#REF!</f>
        <v>#REF!</v>
      </c>
      <c r="B20" s="132" t="e">
        <f>Simulações!#REF!</f>
        <v>#REF!</v>
      </c>
      <c r="C20" s="133" t="e">
        <f>Simulações!#REF!</f>
        <v>#REF!</v>
      </c>
      <c r="D20" s="132" t="e">
        <f>Simulações!#REF!</f>
        <v>#REF!</v>
      </c>
      <c r="E20" s="132" t="e">
        <f>Simulações!#REF!</f>
        <v>#REF!</v>
      </c>
      <c r="F20" s="132" t="e">
        <f>Simulações!#REF!</f>
        <v>#REF!</v>
      </c>
      <c r="G20" s="132" t="e">
        <f>Simulações!#REF!</f>
        <v>#REF!</v>
      </c>
      <c r="H20" s="132" t="e">
        <f>Simulações!#REF!</f>
        <v>#REF!</v>
      </c>
      <c r="I20" s="132" t="e">
        <f>IF(Simulações!#REF!="","",Simulações!#REF!)</f>
        <v>#REF!</v>
      </c>
      <c r="J20" s="132" t="e">
        <f>IF(Simulações!#REF!="","",Simulações!#REF!)</f>
        <v>#REF!</v>
      </c>
      <c r="K20" s="134" t="e">
        <f>Simulações!#REF!</f>
        <v>#REF!</v>
      </c>
      <c r="L20" s="134" t="e">
        <f>Simulações!#REF!</f>
        <v>#REF!</v>
      </c>
      <c r="M20" s="132" t="e">
        <f>IF(Simulações!#REF!="","",Simulações!#REF!)</f>
        <v>#REF!</v>
      </c>
      <c r="N20" s="132" t="e">
        <f>IF(Simulações!#REF!="","",Simulações!#REF!)</f>
        <v>#REF!</v>
      </c>
      <c r="O20" s="132">
        <v>1</v>
      </c>
    </row>
    <row r="21" spans="1:15" ht="15.75" hidden="1" customHeight="1" x14ac:dyDescent="0.3">
      <c r="A21" s="131" t="str">
        <f>Simulações!H20</f>
        <v>Avenida Bento Gonçalves</v>
      </c>
      <c r="B21" s="132" t="str">
        <f>Simulações!DN20</f>
        <v>Sim</v>
      </c>
      <c r="C21" s="133">
        <f>Simulações!O20</f>
        <v>200</v>
      </c>
      <c r="D21" s="132" t="str">
        <f>Simulações!K20</f>
        <v>C2</v>
      </c>
      <c r="E21" s="132" t="str">
        <f>Simulações!CL20</f>
        <v>LEDSTAR</v>
      </c>
      <c r="F21" s="132" t="str">
        <f>Simulações!CM20</f>
        <v xml:space="preserve"> SL VT 9.1 100W</v>
      </c>
      <c r="G21" s="132">
        <f>Simulações!CR20</f>
        <v>100</v>
      </c>
      <c r="H21" s="132" t="str">
        <f>Simulações!CX20</f>
        <v>Longo I</v>
      </c>
      <c r="I21" s="132" t="str">
        <f>IF(Simulações!CY20="","",Simulações!CY20)</f>
        <v/>
      </c>
      <c r="J21" s="132" t="str">
        <f>IF(Simulações!DB20="","",Simulações!DB20)</f>
        <v/>
      </c>
      <c r="K21" s="134">
        <f>Simulações!AP20</f>
        <v>2</v>
      </c>
      <c r="L21" s="134">
        <f>Simulações!AW20</f>
        <v>0</v>
      </c>
      <c r="M21" s="132" t="str">
        <f>IF(Simulações!DC20="","",Simulações!DC20)</f>
        <v/>
      </c>
      <c r="N21" s="132" t="str">
        <f>IF(Simulações!DD20="","",Simulações!DD20)</f>
        <v/>
      </c>
      <c r="O21" s="132">
        <v>1</v>
      </c>
    </row>
    <row r="22" spans="1:15" ht="15.75" hidden="1" customHeight="1" x14ac:dyDescent="0.3">
      <c r="A22" s="131" t="e">
        <f>Simulações!#REF!</f>
        <v>#REF!</v>
      </c>
      <c r="B22" s="132" t="e">
        <f>Simulações!#REF!</f>
        <v>#REF!</v>
      </c>
      <c r="C22" s="133" t="e">
        <f>Simulações!#REF!</f>
        <v>#REF!</v>
      </c>
      <c r="D22" s="132" t="e">
        <f>Simulações!#REF!</f>
        <v>#REF!</v>
      </c>
      <c r="E22" s="132" t="e">
        <f>Simulações!#REF!</f>
        <v>#REF!</v>
      </c>
      <c r="F22" s="132" t="e">
        <f>Simulações!#REF!</f>
        <v>#REF!</v>
      </c>
      <c r="G22" s="132" t="e">
        <f>Simulações!#REF!</f>
        <v>#REF!</v>
      </c>
      <c r="H22" s="132" t="e">
        <f>Simulações!#REF!</f>
        <v>#REF!</v>
      </c>
      <c r="I22" s="132" t="e">
        <f>IF(Simulações!#REF!="","",Simulações!#REF!)</f>
        <v>#REF!</v>
      </c>
      <c r="J22" s="132" t="e">
        <f>IF(Simulações!#REF!="","",Simulações!#REF!)</f>
        <v>#REF!</v>
      </c>
      <c r="K22" s="134" t="e">
        <f>Simulações!#REF!</f>
        <v>#REF!</v>
      </c>
      <c r="L22" s="134" t="e">
        <f>Simulações!#REF!</f>
        <v>#REF!</v>
      </c>
      <c r="M22" s="132" t="e">
        <f>IF(Simulações!#REF!="","",Simulações!#REF!)</f>
        <v>#REF!</v>
      </c>
      <c r="N22" s="132" t="e">
        <f>IF(Simulações!#REF!="","",Simulações!#REF!)</f>
        <v>#REF!</v>
      </c>
      <c r="O22" s="132">
        <v>1</v>
      </c>
    </row>
    <row r="23" spans="1:15" ht="15.75" hidden="1" customHeight="1" x14ac:dyDescent="0.3">
      <c r="A23" s="124" t="e">
        <f>Simulações!#REF!</f>
        <v>#REF!</v>
      </c>
      <c r="B23" s="114" t="e">
        <f>Simulações!#REF!</f>
        <v>#REF!</v>
      </c>
      <c r="C23" s="125" t="e">
        <f>Simulações!#REF!</f>
        <v>#REF!</v>
      </c>
      <c r="D23" s="114" t="e">
        <f>Simulações!#REF!</f>
        <v>#REF!</v>
      </c>
      <c r="E23" s="114" t="e">
        <f>Simulações!#REF!</f>
        <v>#REF!</v>
      </c>
      <c r="F23" s="114" t="e">
        <f>Simulações!#REF!</f>
        <v>#REF!</v>
      </c>
      <c r="G23" s="114" t="e">
        <f>Simulações!#REF!</f>
        <v>#REF!</v>
      </c>
      <c r="H23" s="114" t="e">
        <f>Simulações!#REF!</f>
        <v>#REF!</v>
      </c>
      <c r="I23" s="114" t="e">
        <f>IF(Simulações!#REF!="","",Simulações!#REF!)</f>
        <v>#REF!</v>
      </c>
      <c r="J23" s="114" t="e">
        <f>IF(Simulações!#REF!="","",Simulações!#REF!)</f>
        <v>#REF!</v>
      </c>
      <c r="K23" s="117" t="e">
        <f>Simulações!#REF!</f>
        <v>#REF!</v>
      </c>
      <c r="L23" s="117" t="e">
        <f>Simulações!#REF!</f>
        <v>#REF!</v>
      </c>
      <c r="M23" s="114" t="e">
        <f>IF(Simulações!#REF!="","",Simulações!#REF!)</f>
        <v>#REF!</v>
      </c>
      <c r="N23" s="114" t="e">
        <f>IF(Simulações!#REF!="","",Simulações!#REF!)</f>
        <v>#REF!</v>
      </c>
      <c r="O23" s="114">
        <v>1</v>
      </c>
    </row>
    <row r="24" spans="1:15" ht="15.75" hidden="1" customHeight="1" x14ac:dyDescent="0.3">
      <c r="A24" s="124" t="str">
        <f>Simulações!H23</f>
        <v>Avenida André Faveli</v>
      </c>
      <c r="B24" s="114" t="str">
        <f>Simulações!DN23</f>
        <v>Sim</v>
      </c>
      <c r="C24" s="125">
        <f>Simulações!O23</f>
        <v>200</v>
      </c>
      <c r="D24" s="114" t="str">
        <f>Simulações!K23</f>
        <v>C2</v>
      </c>
      <c r="E24" s="114" t="str">
        <f>Simulações!CL23</f>
        <v>LEDSTAR</v>
      </c>
      <c r="F24" s="114" t="str">
        <f>Simulações!CM23</f>
        <v xml:space="preserve"> SL VT 9.1 72W</v>
      </c>
      <c r="G24" s="114">
        <f>Simulações!CR23</f>
        <v>72</v>
      </c>
      <c r="H24" s="114" t="str">
        <f>Simulações!CX23</f>
        <v>Longo I</v>
      </c>
      <c r="I24" s="114" t="str">
        <f>IF(Simulações!CY23="","",Simulações!CY23)</f>
        <v/>
      </c>
      <c r="J24" s="114" t="str">
        <f>IF(Simulações!DB23="","",Simulações!DB23)</f>
        <v/>
      </c>
      <c r="K24" s="117">
        <f>Simulações!AP23</f>
        <v>2</v>
      </c>
      <c r="L24" s="117">
        <f>Simulações!AW23</f>
        <v>0</v>
      </c>
      <c r="M24" s="114" t="str">
        <f>IF(Simulações!DC23="","",Simulações!DC23)</f>
        <v/>
      </c>
      <c r="N24" s="114" t="str">
        <f>IF(Simulações!DD23="","",Simulações!DD23)</f>
        <v/>
      </c>
      <c r="O24" s="114">
        <v>1</v>
      </c>
    </row>
    <row r="25" spans="1:15" ht="15.75" hidden="1" customHeight="1" x14ac:dyDescent="0.3">
      <c r="A25" s="124" t="e">
        <f>Simulações!#REF!</f>
        <v>#REF!</v>
      </c>
      <c r="B25" s="114" t="e">
        <f>Simulações!#REF!</f>
        <v>#REF!</v>
      </c>
      <c r="C25" s="125" t="e">
        <f>Simulações!#REF!</f>
        <v>#REF!</v>
      </c>
      <c r="D25" s="114" t="e">
        <f>Simulações!#REF!</f>
        <v>#REF!</v>
      </c>
      <c r="E25" s="114" t="e">
        <f>Simulações!#REF!</f>
        <v>#REF!</v>
      </c>
      <c r="F25" s="114" t="e">
        <f>Simulações!#REF!</f>
        <v>#REF!</v>
      </c>
      <c r="G25" s="114" t="e">
        <f>Simulações!#REF!</f>
        <v>#REF!</v>
      </c>
      <c r="H25" s="114" t="e">
        <f>Simulações!#REF!</f>
        <v>#REF!</v>
      </c>
      <c r="I25" s="114" t="e">
        <f>IF(Simulações!#REF!="","",Simulações!#REF!)</f>
        <v>#REF!</v>
      </c>
      <c r="J25" s="114" t="e">
        <f>IF(Simulações!#REF!="","",Simulações!#REF!)</f>
        <v>#REF!</v>
      </c>
      <c r="K25" s="117" t="e">
        <f>Simulações!#REF!</f>
        <v>#REF!</v>
      </c>
      <c r="L25" s="117" t="e">
        <f>Simulações!#REF!</f>
        <v>#REF!</v>
      </c>
      <c r="M25" s="114" t="e">
        <f>IF(Simulações!#REF!="","",Simulações!#REF!)</f>
        <v>#REF!</v>
      </c>
      <c r="N25" s="114" t="e">
        <f>IF(Simulações!#REF!="","",Simulações!#REF!)</f>
        <v>#REF!</v>
      </c>
      <c r="O25" s="114">
        <v>1</v>
      </c>
    </row>
    <row r="26" spans="1:15" ht="15.75" hidden="1" customHeight="1" x14ac:dyDescent="0.3">
      <c r="A26" s="131" t="e">
        <f>Simulações!#REF!</f>
        <v>#REF!</v>
      </c>
      <c r="B26" s="132" t="e">
        <f>Simulações!#REF!</f>
        <v>#REF!</v>
      </c>
      <c r="C26" s="133" t="e">
        <f>Simulações!#REF!</f>
        <v>#REF!</v>
      </c>
      <c r="D26" s="132" t="e">
        <f>Simulações!#REF!</f>
        <v>#REF!</v>
      </c>
      <c r="E26" s="132" t="e">
        <f>Simulações!#REF!</f>
        <v>#REF!</v>
      </c>
      <c r="F26" s="132" t="e">
        <f>Simulações!#REF!</f>
        <v>#REF!</v>
      </c>
      <c r="G26" s="132" t="e">
        <f>Simulações!#REF!</f>
        <v>#REF!</v>
      </c>
      <c r="H26" s="132" t="e">
        <f>Simulações!#REF!</f>
        <v>#REF!</v>
      </c>
      <c r="I26" s="132" t="e">
        <f>IF(Simulações!#REF!="","",Simulações!#REF!)</f>
        <v>#REF!</v>
      </c>
      <c r="J26" s="132" t="e">
        <f>IF(Simulações!#REF!="","",Simulações!#REF!)</f>
        <v>#REF!</v>
      </c>
      <c r="K26" s="134" t="e">
        <f>Simulações!#REF!</f>
        <v>#REF!</v>
      </c>
      <c r="L26" s="134" t="e">
        <f>Simulações!#REF!</f>
        <v>#REF!</v>
      </c>
      <c r="M26" s="132" t="e">
        <f>IF(Simulações!#REF!="","",Simulações!#REF!)</f>
        <v>#REF!</v>
      </c>
      <c r="N26" s="132" t="e">
        <f>IF(Simulações!#REF!="","",Simulações!#REF!)</f>
        <v>#REF!</v>
      </c>
      <c r="O26" s="132">
        <v>1</v>
      </c>
    </row>
    <row r="27" spans="1:15" ht="15.75" hidden="1" customHeight="1" x14ac:dyDescent="0.3">
      <c r="A27" s="131" t="str">
        <f>Simulações!H24</f>
        <v>Avenida André Faveli</v>
      </c>
      <c r="B27" s="132" t="str">
        <f>Simulações!DN24</f>
        <v>Sim</v>
      </c>
      <c r="C27" s="133">
        <f>Simulações!O24</f>
        <v>200</v>
      </c>
      <c r="D27" s="132" t="str">
        <f>Simulações!K24</f>
        <v>C2</v>
      </c>
      <c r="E27" s="132" t="str">
        <f>Simulações!CL24</f>
        <v>SX LIGHTING</v>
      </c>
      <c r="F27" s="132" t="str">
        <f>Simulações!CM24</f>
        <v>SX-INLPP070HF</v>
      </c>
      <c r="G27" s="132">
        <f>Simulações!CR24</f>
        <v>70</v>
      </c>
      <c r="H27" s="132" t="str">
        <f>Simulações!CX24</f>
        <v>Longo I</v>
      </c>
      <c r="I27" s="132" t="str">
        <f>IF(Simulações!CY24="","",Simulações!CY24)</f>
        <v/>
      </c>
      <c r="J27" s="132" t="str">
        <f>IF(Simulações!DB24="","",Simulações!DB24)</f>
        <v/>
      </c>
      <c r="K27" s="134">
        <f>Simulações!AP24</f>
        <v>2</v>
      </c>
      <c r="L27" s="134">
        <f>Simulações!AW24</f>
        <v>0</v>
      </c>
      <c r="M27" s="132" t="str">
        <f>IF(Simulações!DC24="","",Simulações!DC24)</f>
        <v/>
      </c>
      <c r="N27" s="132" t="str">
        <f>IF(Simulações!DD24="","",Simulações!DD24)</f>
        <v/>
      </c>
      <c r="O27" s="132">
        <v>1</v>
      </c>
    </row>
    <row r="28" spans="1:15" ht="15.75" hidden="1" customHeight="1" x14ac:dyDescent="0.3">
      <c r="A28" s="131" t="str">
        <f>Simulações!H25</f>
        <v>Avenida André Faveli</v>
      </c>
      <c r="B28" s="132" t="str">
        <f>Simulações!DN25</f>
        <v>Sim</v>
      </c>
      <c r="C28" s="133">
        <f>Simulações!O25</f>
        <v>200</v>
      </c>
      <c r="D28" s="132" t="str">
        <f>Simulações!K25</f>
        <v>C2</v>
      </c>
      <c r="E28" s="132" t="str">
        <f>Simulações!CL25</f>
        <v>TECNOWATT</v>
      </c>
      <c r="F28" s="132" t="str">
        <f>Simulações!CM25</f>
        <v xml:space="preserve">SIGSAGPTLRRSSNDL_68W_83IBBRS
</v>
      </c>
      <c r="G28" s="132">
        <f>Simulações!CR25</f>
        <v>68</v>
      </c>
      <c r="H28" s="132" t="str">
        <f>Simulações!CX25</f>
        <v>Longo I</v>
      </c>
      <c r="I28" s="132" t="str">
        <f>IF(Simulações!CY25="","",Simulações!CY25)</f>
        <v/>
      </c>
      <c r="J28" s="132" t="str">
        <f>IF(Simulações!DB25="","",Simulações!DB25)</f>
        <v/>
      </c>
      <c r="K28" s="134">
        <f>Simulações!AP25</f>
        <v>2</v>
      </c>
      <c r="L28" s="134">
        <f>Simulações!AW25</f>
        <v>0</v>
      </c>
      <c r="M28" s="132" t="str">
        <f>IF(Simulações!DC25="","",Simulações!DC25)</f>
        <v/>
      </c>
      <c r="N28" s="132" t="str">
        <f>IF(Simulações!DD25="","",Simulações!DD25)</f>
        <v/>
      </c>
      <c r="O28" s="132">
        <v>1</v>
      </c>
    </row>
    <row r="29" spans="1:15" ht="15.75" hidden="1" customHeight="1" x14ac:dyDescent="0.3">
      <c r="A29" s="124" t="e">
        <f>Simulações!#REF!</f>
        <v>#REF!</v>
      </c>
      <c r="B29" s="114" t="e">
        <f>Simulações!#REF!</f>
        <v>#REF!</v>
      </c>
      <c r="C29" s="125" t="e">
        <f>Simulações!#REF!</f>
        <v>#REF!</v>
      </c>
      <c r="D29" s="114" t="e">
        <f>Simulações!#REF!</f>
        <v>#REF!</v>
      </c>
      <c r="E29" s="114" t="e">
        <f>Simulações!#REF!</f>
        <v>#REF!</v>
      </c>
      <c r="F29" s="114" t="e">
        <f>Simulações!#REF!</f>
        <v>#REF!</v>
      </c>
      <c r="G29" s="114" t="e">
        <f>Simulações!#REF!</f>
        <v>#REF!</v>
      </c>
      <c r="H29" s="114" t="e">
        <f>Simulações!#REF!</f>
        <v>#REF!</v>
      </c>
      <c r="I29" s="114" t="e">
        <f>IF(Simulações!#REF!="","",Simulações!#REF!)</f>
        <v>#REF!</v>
      </c>
      <c r="J29" s="114" t="e">
        <f>IF(Simulações!#REF!="","",Simulações!#REF!)</f>
        <v>#REF!</v>
      </c>
      <c r="K29" s="117" t="e">
        <f>Simulações!#REF!</f>
        <v>#REF!</v>
      </c>
      <c r="L29" s="117" t="e">
        <f>Simulações!#REF!</f>
        <v>#REF!</v>
      </c>
      <c r="M29" s="114" t="e">
        <f>IF(Simulações!#REF!="","",Simulações!#REF!)</f>
        <v>#REF!</v>
      </c>
      <c r="N29" s="114" t="e">
        <f>IF(Simulações!#REF!="","",Simulações!#REF!)</f>
        <v>#REF!</v>
      </c>
      <c r="O29" s="114">
        <v>1</v>
      </c>
    </row>
    <row r="30" spans="1:15" ht="15.75" hidden="1" customHeight="1" x14ac:dyDescent="0.3">
      <c r="A30" s="124" t="e">
        <f>Simulações!#REF!</f>
        <v>#REF!</v>
      </c>
      <c r="B30" s="114" t="e">
        <f>Simulações!#REF!</f>
        <v>#REF!</v>
      </c>
      <c r="C30" s="125" t="e">
        <f>Simulações!#REF!</f>
        <v>#REF!</v>
      </c>
      <c r="D30" s="114" t="e">
        <f>Simulações!#REF!</f>
        <v>#REF!</v>
      </c>
      <c r="E30" s="114" t="e">
        <f>Simulações!#REF!</f>
        <v>#REF!</v>
      </c>
      <c r="F30" s="114" t="e">
        <f>Simulações!#REF!</f>
        <v>#REF!</v>
      </c>
      <c r="G30" s="114" t="e">
        <f>Simulações!#REF!</f>
        <v>#REF!</v>
      </c>
      <c r="H30" s="114" t="e">
        <f>Simulações!#REF!</f>
        <v>#REF!</v>
      </c>
      <c r="I30" s="114" t="e">
        <f>IF(Simulações!#REF!="","",Simulações!#REF!)</f>
        <v>#REF!</v>
      </c>
      <c r="J30" s="114" t="e">
        <f>IF(Simulações!#REF!="","",Simulações!#REF!)</f>
        <v>#REF!</v>
      </c>
      <c r="K30" s="117" t="e">
        <f>Simulações!#REF!</f>
        <v>#REF!</v>
      </c>
      <c r="L30" s="117" t="e">
        <f>Simulações!#REF!</f>
        <v>#REF!</v>
      </c>
      <c r="M30" s="114" t="e">
        <f>IF(Simulações!#REF!="","",Simulações!#REF!)</f>
        <v>#REF!</v>
      </c>
      <c r="N30" s="114" t="e">
        <f>IF(Simulações!#REF!="","",Simulações!#REF!)</f>
        <v>#REF!</v>
      </c>
      <c r="O30" s="114">
        <v>1</v>
      </c>
    </row>
    <row r="31" spans="1:15" ht="15.75" hidden="1" customHeight="1" x14ac:dyDescent="0.3">
      <c r="A31" s="124" t="e">
        <f>Simulações!#REF!</f>
        <v>#REF!</v>
      </c>
      <c r="B31" s="114" t="e">
        <f>Simulações!#REF!</f>
        <v>#REF!</v>
      </c>
      <c r="C31" s="125" t="e">
        <f>Simulações!#REF!</f>
        <v>#REF!</v>
      </c>
      <c r="D31" s="114" t="e">
        <f>Simulações!#REF!</f>
        <v>#REF!</v>
      </c>
      <c r="E31" s="114" t="e">
        <f>Simulações!#REF!</f>
        <v>#REF!</v>
      </c>
      <c r="F31" s="114" t="e">
        <f>Simulações!#REF!</f>
        <v>#REF!</v>
      </c>
      <c r="G31" s="114" t="e">
        <f>Simulações!#REF!</f>
        <v>#REF!</v>
      </c>
      <c r="H31" s="114" t="e">
        <f>Simulações!#REF!</f>
        <v>#REF!</v>
      </c>
      <c r="I31" s="114" t="e">
        <f>IF(Simulações!#REF!="","",Simulações!#REF!)</f>
        <v>#REF!</v>
      </c>
      <c r="J31" s="114" t="e">
        <f>IF(Simulações!#REF!="","",Simulações!#REF!)</f>
        <v>#REF!</v>
      </c>
      <c r="K31" s="117" t="e">
        <f>Simulações!#REF!</f>
        <v>#REF!</v>
      </c>
      <c r="L31" s="117" t="e">
        <f>Simulações!#REF!</f>
        <v>#REF!</v>
      </c>
      <c r="M31" s="114" t="e">
        <f>IF(Simulações!#REF!="","",Simulações!#REF!)</f>
        <v>#REF!</v>
      </c>
      <c r="N31" s="114" t="e">
        <f>IF(Simulações!#REF!="","",Simulações!#REF!)</f>
        <v>#REF!</v>
      </c>
      <c r="O31" s="114">
        <v>1</v>
      </c>
    </row>
    <row r="32" spans="1:15" ht="15.75" hidden="1" customHeight="1" x14ac:dyDescent="0.3">
      <c r="A32" s="124" t="e">
        <f>Simulações!#REF!</f>
        <v>#REF!</v>
      </c>
      <c r="B32" s="114" t="e">
        <f>Simulações!#REF!</f>
        <v>#REF!</v>
      </c>
      <c r="C32" s="125" t="e">
        <f>Simulações!#REF!</f>
        <v>#REF!</v>
      </c>
      <c r="D32" s="114" t="e">
        <f>Simulações!#REF!</f>
        <v>#REF!</v>
      </c>
      <c r="E32" s="114" t="e">
        <f>Simulações!#REF!</f>
        <v>#REF!</v>
      </c>
      <c r="F32" s="114" t="e">
        <f>Simulações!#REF!</f>
        <v>#REF!</v>
      </c>
      <c r="G32" s="114" t="e">
        <f>Simulações!#REF!</f>
        <v>#REF!</v>
      </c>
      <c r="H32" s="114" t="e">
        <f>Simulações!#REF!</f>
        <v>#REF!</v>
      </c>
      <c r="I32" s="114" t="e">
        <f>IF(Simulações!#REF!="","",Simulações!#REF!)</f>
        <v>#REF!</v>
      </c>
      <c r="J32" s="114" t="e">
        <f>IF(Simulações!#REF!="","",Simulações!#REF!)</f>
        <v>#REF!</v>
      </c>
      <c r="K32" s="117" t="e">
        <f>Simulações!#REF!</f>
        <v>#REF!</v>
      </c>
      <c r="L32" s="117" t="e">
        <f>Simulações!#REF!</f>
        <v>#REF!</v>
      </c>
      <c r="M32" s="114" t="e">
        <f>IF(Simulações!#REF!="","",Simulações!#REF!)</f>
        <v>#REF!</v>
      </c>
      <c r="N32" s="114" t="e">
        <f>IF(Simulações!#REF!="","",Simulações!#REF!)</f>
        <v>#REF!</v>
      </c>
      <c r="O32" s="114">
        <v>1</v>
      </c>
    </row>
    <row r="33" spans="1:15" ht="15.75" hidden="1" customHeight="1" x14ac:dyDescent="0.3">
      <c r="A33" s="124" t="e">
        <f>Simulações!#REF!</f>
        <v>#REF!</v>
      </c>
      <c r="B33" s="114" t="e">
        <f>Simulações!#REF!</f>
        <v>#REF!</v>
      </c>
      <c r="C33" s="125" t="e">
        <f>Simulações!#REF!</f>
        <v>#REF!</v>
      </c>
      <c r="D33" s="114" t="e">
        <f>Simulações!#REF!</f>
        <v>#REF!</v>
      </c>
      <c r="E33" s="114" t="e">
        <f>Simulações!#REF!</f>
        <v>#REF!</v>
      </c>
      <c r="F33" s="114" t="e">
        <f>Simulações!#REF!</f>
        <v>#REF!</v>
      </c>
      <c r="G33" s="114" t="e">
        <f>Simulações!#REF!</f>
        <v>#REF!</v>
      </c>
      <c r="H33" s="114" t="e">
        <f>Simulações!#REF!</f>
        <v>#REF!</v>
      </c>
      <c r="I33" s="114" t="e">
        <f>IF(Simulações!#REF!="","",Simulações!#REF!)</f>
        <v>#REF!</v>
      </c>
      <c r="J33" s="114" t="e">
        <f>IF(Simulações!#REF!="","",Simulações!#REF!)</f>
        <v>#REF!</v>
      </c>
      <c r="K33" s="117" t="e">
        <f>Simulações!#REF!</f>
        <v>#REF!</v>
      </c>
      <c r="L33" s="117" t="e">
        <f>Simulações!#REF!</f>
        <v>#REF!</v>
      </c>
      <c r="M33" s="114" t="e">
        <f>IF(Simulações!#REF!="","",Simulações!#REF!)</f>
        <v>#REF!</v>
      </c>
      <c r="N33" s="114" t="e">
        <f>IF(Simulações!#REF!="","",Simulações!#REF!)</f>
        <v>#REF!</v>
      </c>
      <c r="O33" s="114">
        <v>1</v>
      </c>
    </row>
    <row r="34" spans="1:15" ht="15.75" hidden="1" customHeight="1" x14ac:dyDescent="0.3">
      <c r="A34" s="124" t="e">
        <f>Simulações!#REF!</f>
        <v>#REF!</v>
      </c>
      <c r="B34" s="114" t="e">
        <f>Simulações!#REF!</f>
        <v>#REF!</v>
      </c>
      <c r="C34" s="125" t="e">
        <f>Simulações!#REF!</f>
        <v>#REF!</v>
      </c>
      <c r="D34" s="114" t="e">
        <f>Simulações!#REF!</f>
        <v>#REF!</v>
      </c>
      <c r="E34" s="114" t="e">
        <f>Simulações!#REF!</f>
        <v>#REF!</v>
      </c>
      <c r="F34" s="114" t="e">
        <f>Simulações!#REF!</f>
        <v>#REF!</v>
      </c>
      <c r="G34" s="114" t="e">
        <f>Simulações!#REF!</f>
        <v>#REF!</v>
      </c>
      <c r="H34" s="114" t="e">
        <f>Simulações!#REF!</f>
        <v>#REF!</v>
      </c>
      <c r="I34" s="114" t="e">
        <f>IF(Simulações!#REF!="","",Simulações!#REF!)</f>
        <v>#REF!</v>
      </c>
      <c r="J34" s="114" t="e">
        <f>IF(Simulações!#REF!="","",Simulações!#REF!)</f>
        <v>#REF!</v>
      </c>
      <c r="K34" s="117" t="e">
        <f>Simulações!#REF!</f>
        <v>#REF!</v>
      </c>
      <c r="L34" s="117" t="e">
        <f>Simulações!#REF!</f>
        <v>#REF!</v>
      </c>
      <c r="M34" s="114" t="e">
        <f>IF(Simulações!#REF!="","",Simulações!#REF!)</f>
        <v>#REF!</v>
      </c>
      <c r="N34" s="114" t="e">
        <f>IF(Simulações!#REF!="","",Simulações!#REF!)</f>
        <v>#REF!</v>
      </c>
      <c r="O34" s="114">
        <v>1</v>
      </c>
    </row>
    <row r="35" spans="1:15" ht="15.75" hidden="1" customHeight="1" x14ac:dyDescent="0.3">
      <c r="A35" s="124" t="e">
        <f>Simulações!#REF!</f>
        <v>#REF!</v>
      </c>
      <c r="B35" s="114" t="e">
        <f>Simulações!#REF!</f>
        <v>#REF!</v>
      </c>
      <c r="C35" s="125" t="e">
        <f>Simulações!#REF!</f>
        <v>#REF!</v>
      </c>
      <c r="D35" s="114" t="e">
        <f>Simulações!#REF!</f>
        <v>#REF!</v>
      </c>
      <c r="E35" s="114" t="e">
        <f>Simulações!#REF!</f>
        <v>#REF!</v>
      </c>
      <c r="F35" s="114" t="e">
        <f>Simulações!#REF!</f>
        <v>#REF!</v>
      </c>
      <c r="G35" s="114" t="e">
        <f>Simulações!#REF!</f>
        <v>#REF!</v>
      </c>
      <c r="H35" s="114" t="e">
        <f>Simulações!#REF!</f>
        <v>#REF!</v>
      </c>
      <c r="I35" s="114" t="e">
        <f>IF(Simulações!#REF!="","",Simulações!#REF!)</f>
        <v>#REF!</v>
      </c>
      <c r="J35" s="114" t="e">
        <f>IF(Simulações!#REF!="","",Simulações!#REF!)</f>
        <v>#REF!</v>
      </c>
      <c r="K35" s="117" t="e">
        <f>Simulações!#REF!</f>
        <v>#REF!</v>
      </c>
      <c r="L35" s="117" t="e">
        <f>Simulações!#REF!</f>
        <v>#REF!</v>
      </c>
      <c r="M35" s="114" t="e">
        <f>IF(Simulações!#REF!="","",Simulações!#REF!)</f>
        <v>#REF!</v>
      </c>
      <c r="N35" s="114" t="e">
        <f>IF(Simulações!#REF!="","",Simulações!#REF!)</f>
        <v>#REF!</v>
      </c>
      <c r="O35" s="114">
        <v>1</v>
      </c>
    </row>
    <row r="36" spans="1:15" ht="15.75" hidden="1" customHeight="1" x14ac:dyDescent="0.3">
      <c r="A36" s="124" t="e">
        <f>Simulações!#REF!</f>
        <v>#REF!</v>
      </c>
      <c r="B36" s="114" t="e">
        <f>Simulações!#REF!</f>
        <v>#REF!</v>
      </c>
      <c r="C36" s="125" t="e">
        <f>Simulações!#REF!</f>
        <v>#REF!</v>
      </c>
      <c r="D36" s="114" t="e">
        <f>Simulações!#REF!</f>
        <v>#REF!</v>
      </c>
      <c r="E36" s="114" t="e">
        <f>Simulações!#REF!</f>
        <v>#REF!</v>
      </c>
      <c r="F36" s="114" t="e">
        <f>Simulações!#REF!</f>
        <v>#REF!</v>
      </c>
      <c r="G36" s="114" t="e">
        <f>Simulações!#REF!</f>
        <v>#REF!</v>
      </c>
      <c r="H36" s="114" t="e">
        <f>Simulações!#REF!</f>
        <v>#REF!</v>
      </c>
      <c r="I36" s="114" t="e">
        <f>IF(Simulações!#REF!="","",Simulações!#REF!)</f>
        <v>#REF!</v>
      </c>
      <c r="J36" s="114" t="e">
        <f>IF(Simulações!#REF!="","",Simulações!#REF!)</f>
        <v>#REF!</v>
      </c>
      <c r="K36" s="117" t="e">
        <f>Simulações!#REF!</f>
        <v>#REF!</v>
      </c>
      <c r="L36" s="117" t="e">
        <f>Simulações!#REF!</f>
        <v>#REF!</v>
      </c>
      <c r="M36" s="114" t="e">
        <f>IF(Simulações!#REF!="","",Simulações!#REF!)</f>
        <v>#REF!</v>
      </c>
      <c r="N36" s="114" t="e">
        <f>IF(Simulações!#REF!="","",Simulações!#REF!)</f>
        <v>#REF!</v>
      </c>
      <c r="O36" s="114">
        <v>1</v>
      </c>
    </row>
    <row r="37" spans="1:15" ht="15.75" hidden="1" customHeight="1" x14ac:dyDescent="0.3">
      <c r="A37" s="124" t="e">
        <f>Simulações!#REF!</f>
        <v>#REF!</v>
      </c>
      <c r="B37" s="114" t="e">
        <f>Simulações!#REF!</f>
        <v>#REF!</v>
      </c>
      <c r="C37" s="125" t="e">
        <f>Simulações!#REF!</f>
        <v>#REF!</v>
      </c>
      <c r="D37" s="114" t="e">
        <f>Simulações!#REF!</f>
        <v>#REF!</v>
      </c>
      <c r="E37" s="114" t="e">
        <f>Simulações!#REF!</f>
        <v>#REF!</v>
      </c>
      <c r="F37" s="114" t="e">
        <f>Simulações!#REF!</f>
        <v>#REF!</v>
      </c>
      <c r="G37" s="114" t="e">
        <f>Simulações!#REF!</f>
        <v>#REF!</v>
      </c>
      <c r="H37" s="114" t="e">
        <f>Simulações!#REF!</f>
        <v>#REF!</v>
      </c>
      <c r="I37" s="114" t="e">
        <f>IF(Simulações!#REF!="","",Simulações!#REF!)</f>
        <v>#REF!</v>
      </c>
      <c r="J37" s="114" t="e">
        <f>IF(Simulações!#REF!="","",Simulações!#REF!)</f>
        <v>#REF!</v>
      </c>
      <c r="K37" s="117" t="e">
        <f>Simulações!#REF!</f>
        <v>#REF!</v>
      </c>
      <c r="L37" s="117" t="e">
        <f>Simulações!#REF!</f>
        <v>#REF!</v>
      </c>
      <c r="M37" s="114" t="e">
        <f>IF(Simulações!#REF!="","",Simulações!#REF!)</f>
        <v>#REF!</v>
      </c>
      <c r="N37" s="114" t="e">
        <f>IF(Simulações!#REF!="","",Simulações!#REF!)</f>
        <v>#REF!</v>
      </c>
      <c r="O37" s="114">
        <v>1</v>
      </c>
    </row>
    <row r="38" spans="1:15" ht="15.75" hidden="1" customHeight="1" x14ac:dyDescent="0.3">
      <c r="A38" s="124" t="e">
        <f>Simulações!#REF!</f>
        <v>#REF!</v>
      </c>
      <c r="B38" s="114" t="e">
        <f>Simulações!#REF!</f>
        <v>#REF!</v>
      </c>
      <c r="C38" s="125" t="e">
        <f>Simulações!#REF!</f>
        <v>#REF!</v>
      </c>
      <c r="D38" s="114" t="e">
        <f>Simulações!#REF!</f>
        <v>#REF!</v>
      </c>
      <c r="E38" s="114" t="e">
        <f>Simulações!#REF!</f>
        <v>#REF!</v>
      </c>
      <c r="F38" s="114" t="e">
        <f>Simulações!#REF!</f>
        <v>#REF!</v>
      </c>
      <c r="G38" s="114" t="e">
        <f>Simulações!#REF!</f>
        <v>#REF!</v>
      </c>
      <c r="H38" s="114" t="e">
        <f>Simulações!#REF!</f>
        <v>#REF!</v>
      </c>
      <c r="I38" s="114" t="e">
        <f>IF(Simulações!#REF!="","",Simulações!#REF!)</f>
        <v>#REF!</v>
      </c>
      <c r="J38" s="114" t="e">
        <f>IF(Simulações!#REF!="","",Simulações!#REF!)</f>
        <v>#REF!</v>
      </c>
      <c r="K38" s="117" t="e">
        <f>Simulações!#REF!</f>
        <v>#REF!</v>
      </c>
      <c r="L38" s="117" t="e">
        <f>Simulações!#REF!</f>
        <v>#REF!</v>
      </c>
      <c r="M38" s="114" t="e">
        <f>IF(Simulações!#REF!="","",Simulações!#REF!)</f>
        <v>#REF!</v>
      </c>
      <c r="N38" s="114" t="e">
        <f>IF(Simulações!#REF!="","",Simulações!#REF!)</f>
        <v>#REF!</v>
      </c>
      <c r="O38" s="114">
        <v>1</v>
      </c>
    </row>
    <row r="39" spans="1:15" ht="15.75" hidden="1" customHeight="1" x14ac:dyDescent="0.3">
      <c r="A39" s="124" t="e">
        <f>Simulações!#REF!</f>
        <v>#REF!</v>
      </c>
      <c r="B39" s="114" t="e">
        <f>Simulações!#REF!</f>
        <v>#REF!</v>
      </c>
      <c r="C39" s="125" t="e">
        <f>Simulações!#REF!</f>
        <v>#REF!</v>
      </c>
      <c r="D39" s="114" t="e">
        <f>Simulações!#REF!</f>
        <v>#REF!</v>
      </c>
      <c r="E39" s="114" t="e">
        <f>Simulações!#REF!</f>
        <v>#REF!</v>
      </c>
      <c r="F39" s="114" t="e">
        <f>Simulações!#REF!</f>
        <v>#REF!</v>
      </c>
      <c r="G39" s="114" t="e">
        <f>Simulações!#REF!</f>
        <v>#REF!</v>
      </c>
      <c r="H39" s="114" t="e">
        <f>Simulações!#REF!</f>
        <v>#REF!</v>
      </c>
      <c r="I39" s="114" t="e">
        <f>IF(Simulações!#REF!="","",Simulações!#REF!)</f>
        <v>#REF!</v>
      </c>
      <c r="J39" s="114" t="e">
        <f>IF(Simulações!#REF!="","",Simulações!#REF!)</f>
        <v>#REF!</v>
      </c>
      <c r="K39" s="117" t="e">
        <f>Simulações!#REF!</f>
        <v>#REF!</v>
      </c>
      <c r="L39" s="117" t="e">
        <f>Simulações!#REF!</f>
        <v>#REF!</v>
      </c>
      <c r="M39" s="114" t="e">
        <f>IF(Simulações!#REF!="","",Simulações!#REF!)</f>
        <v>#REF!</v>
      </c>
      <c r="N39" s="114" t="e">
        <f>IF(Simulações!#REF!="","",Simulações!#REF!)</f>
        <v>#REF!</v>
      </c>
      <c r="O39" s="114">
        <v>1</v>
      </c>
    </row>
    <row r="40" spans="1:15" ht="15.75" hidden="1" customHeight="1" x14ac:dyDescent="0.3">
      <c r="A40" s="124" t="e">
        <f>Simulações!#REF!</f>
        <v>#REF!</v>
      </c>
      <c r="B40" s="114" t="e">
        <f>Simulações!#REF!</f>
        <v>#REF!</v>
      </c>
      <c r="C40" s="125" t="e">
        <f>Simulações!#REF!</f>
        <v>#REF!</v>
      </c>
      <c r="D40" s="114" t="e">
        <f>Simulações!#REF!</f>
        <v>#REF!</v>
      </c>
      <c r="E40" s="114" t="e">
        <f>Simulações!#REF!</f>
        <v>#REF!</v>
      </c>
      <c r="F40" s="114" t="e">
        <f>Simulações!#REF!</f>
        <v>#REF!</v>
      </c>
      <c r="G40" s="114" t="e">
        <f>Simulações!#REF!</f>
        <v>#REF!</v>
      </c>
      <c r="H40" s="114" t="e">
        <f>Simulações!#REF!</f>
        <v>#REF!</v>
      </c>
      <c r="I40" s="114" t="e">
        <f>IF(Simulações!#REF!="","",Simulações!#REF!)</f>
        <v>#REF!</v>
      </c>
      <c r="J40" s="114" t="e">
        <f>IF(Simulações!#REF!="","",Simulações!#REF!)</f>
        <v>#REF!</v>
      </c>
      <c r="K40" s="117" t="e">
        <f>Simulações!#REF!</f>
        <v>#REF!</v>
      </c>
      <c r="L40" s="117" t="e">
        <f>Simulações!#REF!</f>
        <v>#REF!</v>
      </c>
      <c r="M40" s="114" t="e">
        <f>IF(Simulações!#REF!="","",Simulações!#REF!)</f>
        <v>#REF!</v>
      </c>
      <c r="N40" s="114" t="e">
        <f>IF(Simulações!#REF!="","",Simulações!#REF!)</f>
        <v>#REF!</v>
      </c>
      <c r="O40" s="114">
        <v>1</v>
      </c>
    </row>
    <row r="41" spans="1:15" ht="15.75" hidden="1" customHeight="1" x14ac:dyDescent="0.3">
      <c r="A41" s="124" t="e">
        <f>Simulações!#REF!</f>
        <v>#REF!</v>
      </c>
      <c r="B41" s="114" t="e">
        <f>Simulações!#REF!</f>
        <v>#REF!</v>
      </c>
      <c r="C41" s="125" t="e">
        <f>Simulações!#REF!</f>
        <v>#REF!</v>
      </c>
      <c r="D41" s="114" t="e">
        <f>Simulações!#REF!</f>
        <v>#REF!</v>
      </c>
      <c r="E41" s="114" t="e">
        <f>Simulações!#REF!</f>
        <v>#REF!</v>
      </c>
      <c r="F41" s="114" t="e">
        <f>Simulações!#REF!</f>
        <v>#REF!</v>
      </c>
      <c r="G41" s="114" t="e">
        <f>Simulações!#REF!</f>
        <v>#REF!</v>
      </c>
      <c r="H41" s="114" t="e">
        <f>Simulações!#REF!</f>
        <v>#REF!</v>
      </c>
      <c r="I41" s="114" t="e">
        <f>IF(Simulações!#REF!="","",Simulações!#REF!)</f>
        <v>#REF!</v>
      </c>
      <c r="J41" s="114" t="e">
        <f>IF(Simulações!#REF!="","",Simulações!#REF!)</f>
        <v>#REF!</v>
      </c>
      <c r="K41" s="117" t="e">
        <f>Simulações!#REF!</f>
        <v>#REF!</v>
      </c>
      <c r="L41" s="117" t="e">
        <f>Simulações!#REF!</f>
        <v>#REF!</v>
      </c>
      <c r="M41" s="114" t="e">
        <f>IF(Simulações!#REF!="","",Simulações!#REF!)</f>
        <v>#REF!</v>
      </c>
      <c r="N41" s="114" t="e">
        <f>IF(Simulações!#REF!="","",Simulações!#REF!)</f>
        <v>#REF!</v>
      </c>
      <c r="O41" s="114">
        <v>1</v>
      </c>
    </row>
    <row r="42" spans="1:15" ht="15.75" hidden="1" customHeight="1" x14ac:dyDescent="0.3">
      <c r="A42" s="124" t="e">
        <f>Simulações!#REF!</f>
        <v>#REF!</v>
      </c>
      <c r="B42" s="114" t="e">
        <f>Simulações!#REF!</f>
        <v>#REF!</v>
      </c>
      <c r="C42" s="125" t="e">
        <f>Simulações!#REF!</f>
        <v>#REF!</v>
      </c>
      <c r="D42" s="114" t="e">
        <f>Simulações!#REF!</f>
        <v>#REF!</v>
      </c>
      <c r="E42" s="114" t="e">
        <f>Simulações!#REF!</f>
        <v>#REF!</v>
      </c>
      <c r="F42" s="114" t="e">
        <f>Simulações!#REF!</f>
        <v>#REF!</v>
      </c>
      <c r="G42" s="114" t="e">
        <f>Simulações!#REF!</f>
        <v>#REF!</v>
      </c>
      <c r="H42" s="114" t="e">
        <f>Simulações!#REF!</f>
        <v>#REF!</v>
      </c>
      <c r="I42" s="114" t="e">
        <f>IF(Simulações!#REF!="","",Simulações!#REF!)</f>
        <v>#REF!</v>
      </c>
      <c r="J42" s="114" t="e">
        <f>IF(Simulações!#REF!="","",Simulações!#REF!)</f>
        <v>#REF!</v>
      </c>
      <c r="K42" s="117" t="e">
        <f>Simulações!#REF!</f>
        <v>#REF!</v>
      </c>
      <c r="L42" s="117" t="e">
        <f>Simulações!#REF!</f>
        <v>#REF!</v>
      </c>
      <c r="M42" s="114" t="e">
        <f>IF(Simulações!#REF!="","",Simulações!#REF!)</f>
        <v>#REF!</v>
      </c>
      <c r="N42" s="114" t="e">
        <f>IF(Simulações!#REF!="","",Simulações!#REF!)</f>
        <v>#REF!</v>
      </c>
      <c r="O42" s="114">
        <v>1</v>
      </c>
    </row>
    <row r="43" spans="1:15" ht="15.75" hidden="1" customHeight="1" x14ac:dyDescent="0.3">
      <c r="A43" s="124" t="e">
        <f>Simulações!#REF!</f>
        <v>#REF!</v>
      </c>
      <c r="B43" s="114" t="e">
        <f>Simulações!#REF!</f>
        <v>#REF!</v>
      </c>
      <c r="C43" s="125" t="e">
        <f>Simulações!#REF!</f>
        <v>#REF!</v>
      </c>
      <c r="D43" s="114" t="e">
        <f>Simulações!#REF!</f>
        <v>#REF!</v>
      </c>
      <c r="E43" s="114" t="e">
        <f>Simulações!#REF!</f>
        <v>#REF!</v>
      </c>
      <c r="F43" s="114" t="e">
        <f>Simulações!#REF!</f>
        <v>#REF!</v>
      </c>
      <c r="G43" s="114" t="e">
        <f>Simulações!#REF!</f>
        <v>#REF!</v>
      </c>
      <c r="H43" s="114" t="e">
        <f>Simulações!#REF!</f>
        <v>#REF!</v>
      </c>
      <c r="I43" s="114" t="e">
        <f>IF(Simulações!#REF!="","",Simulações!#REF!)</f>
        <v>#REF!</v>
      </c>
      <c r="J43" s="114" t="e">
        <f>IF(Simulações!#REF!="","",Simulações!#REF!)</f>
        <v>#REF!</v>
      </c>
      <c r="K43" s="117" t="e">
        <f>Simulações!#REF!</f>
        <v>#REF!</v>
      </c>
      <c r="L43" s="117" t="e">
        <f>Simulações!#REF!</f>
        <v>#REF!</v>
      </c>
      <c r="M43" s="114" t="e">
        <f>IF(Simulações!#REF!="","",Simulações!#REF!)</f>
        <v>#REF!</v>
      </c>
      <c r="N43" s="114" t="e">
        <f>IF(Simulações!#REF!="","",Simulações!#REF!)</f>
        <v>#REF!</v>
      </c>
      <c r="O43" s="114">
        <v>1</v>
      </c>
    </row>
    <row r="44" spans="1:15" ht="15.75" hidden="1" customHeight="1" x14ac:dyDescent="0.3">
      <c r="A44" s="124" t="e">
        <f>Simulações!#REF!</f>
        <v>#REF!</v>
      </c>
      <c r="B44" s="114" t="e">
        <f>Simulações!#REF!</f>
        <v>#REF!</v>
      </c>
      <c r="C44" s="125" t="e">
        <f>Simulações!#REF!</f>
        <v>#REF!</v>
      </c>
      <c r="D44" s="114" t="e">
        <f>Simulações!#REF!</f>
        <v>#REF!</v>
      </c>
      <c r="E44" s="114" t="e">
        <f>Simulações!#REF!</f>
        <v>#REF!</v>
      </c>
      <c r="F44" s="114" t="e">
        <f>Simulações!#REF!</f>
        <v>#REF!</v>
      </c>
      <c r="G44" s="114" t="e">
        <f>Simulações!#REF!</f>
        <v>#REF!</v>
      </c>
      <c r="H44" s="114" t="e">
        <f>Simulações!#REF!</f>
        <v>#REF!</v>
      </c>
      <c r="I44" s="114" t="e">
        <f>IF(Simulações!#REF!="","",Simulações!#REF!)</f>
        <v>#REF!</v>
      </c>
      <c r="J44" s="114" t="e">
        <f>IF(Simulações!#REF!="","",Simulações!#REF!)</f>
        <v>#REF!</v>
      </c>
      <c r="K44" s="117" t="e">
        <f>Simulações!#REF!</f>
        <v>#REF!</v>
      </c>
      <c r="L44" s="117" t="e">
        <f>Simulações!#REF!</f>
        <v>#REF!</v>
      </c>
      <c r="M44" s="114" t="e">
        <f>IF(Simulações!#REF!="","",Simulações!#REF!)</f>
        <v>#REF!</v>
      </c>
      <c r="N44" s="114" t="e">
        <f>IF(Simulações!#REF!="","",Simulações!#REF!)</f>
        <v>#REF!</v>
      </c>
      <c r="O44" s="114">
        <v>1</v>
      </c>
    </row>
    <row r="45" spans="1:15" ht="15.75" hidden="1" customHeight="1" x14ac:dyDescent="0.3">
      <c r="A45" s="124" t="e">
        <f>Simulações!#REF!</f>
        <v>#REF!</v>
      </c>
      <c r="B45" s="114" t="e">
        <f>Simulações!#REF!</f>
        <v>#REF!</v>
      </c>
      <c r="C45" s="125" t="e">
        <f>Simulações!#REF!</f>
        <v>#REF!</v>
      </c>
      <c r="D45" s="114" t="e">
        <f>Simulações!#REF!</f>
        <v>#REF!</v>
      </c>
      <c r="E45" s="114" t="e">
        <f>Simulações!#REF!</f>
        <v>#REF!</v>
      </c>
      <c r="F45" s="114" t="e">
        <f>Simulações!#REF!</f>
        <v>#REF!</v>
      </c>
      <c r="G45" s="114" t="e">
        <f>Simulações!#REF!</f>
        <v>#REF!</v>
      </c>
      <c r="H45" s="114" t="e">
        <f>Simulações!#REF!</f>
        <v>#REF!</v>
      </c>
      <c r="I45" s="114" t="e">
        <f>IF(Simulações!#REF!="","",Simulações!#REF!)</f>
        <v>#REF!</v>
      </c>
      <c r="J45" s="114" t="e">
        <f>IF(Simulações!#REF!="","",Simulações!#REF!)</f>
        <v>#REF!</v>
      </c>
      <c r="K45" s="117" t="e">
        <f>Simulações!#REF!</f>
        <v>#REF!</v>
      </c>
      <c r="L45" s="117" t="e">
        <f>Simulações!#REF!</f>
        <v>#REF!</v>
      </c>
      <c r="M45" s="114" t="e">
        <f>IF(Simulações!#REF!="","",Simulações!#REF!)</f>
        <v>#REF!</v>
      </c>
      <c r="N45" s="114" t="e">
        <f>IF(Simulações!#REF!="","",Simulações!#REF!)</f>
        <v>#REF!</v>
      </c>
      <c r="O45" s="114">
        <v>1</v>
      </c>
    </row>
    <row r="46" spans="1:15" ht="15.75" hidden="1" customHeight="1" x14ac:dyDescent="0.3">
      <c r="A46" s="124" t="e">
        <f>Simulações!#REF!</f>
        <v>#REF!</v>
      </c>
      <c r="B46" s="114" t="e">
        <f>Simulações!#REF!</f>
        <v>#REF!</v>
      </c>
      <c r="C46" s="125" t="e">
        <f>Simulações!#REF!</f>
        <v>#REF!</v>
      </c>
      <c r="D46" s="114" t="e">
        <f>Simulações!#REF!</f>
        <v>#REF!</v>
      </c>
      <c r="E46" s="114" t="e">
        <f>Simulações!#REF!</f>
        <v>#REF!</v>
      </c>
      <c r="F46" s="114" t="e">
        <f>Simulações!#REF!</f>
        <v>#REF!</v>
      </c>
      <c r="G46" s="114" t="e">
        <f>Simulações!#REF!</f>
        <v>#REF!</v>
      </c>
      <c r="H46" s="114" t="e">
        <f>Simulações!#REF!</f>
        <v>#REF!</v>
      </c>
      <c r="I46" s="114" t="e">
        <f>IF(Simulações!#REF!="","",Simulações!#REF!)</f>
        <v>#REF!</v>
      </c>
      <c r="J46" s="114" t="e">
        <f>IF(Simulações!#REF!="","",Simulações!#REF!)</f>
        <v>#REF!</v>
      </c>
      <c r="K46" s="117" t="e">
        <f>Simulações!#REF!</f>
        <v>#REF!</v>
      </c>
      <c r="L46" s="117" t="e">
        <f>Simulações!#REF!</f>
        <v>#REF!</v>
      </c>
      <c r="M46" s="114" t="e">
        <f>IF(Simulações!#REF!="","",Simulações!#REF!)</f>
        <v>#REF!</v>
      </c>
      <c r="N46" s="114" t="e">
        <f>IF(Simulações!#REF!="","",Simulações!#REF!)</f>
        <v>#REF!</v>
      </c>
      <c r="O46" s="114">
        <v>1</v>
      </c>
    </row>
    <row r="47" spans="1:15" ht="15.75" hidden="1" customHeight="1" x14ac:dyDescent="0.3">
      <c r="A47" s="124" t="e">
        <f>Simulações!#REF!</f>
        <v>#REF!</v>
      </c>
      <c r="B47" s="114" t="e">
        <f>Simulações!#REF!</f>
        <v>#REF!</v>
      </c>
      <c r="C47" s="125" t="e">
        <f>Simulações!#REF!</f>
        <v>#REF!</v>
      </c>
      <c r="D47" s="114" t="e">
        <f>Simulações!#REF!</f>
        <v>#REF!</v>
      </c>
      <c r="E47" s="114" t="e">
        <f>Simulações!#REF!</f>
        <v>#REF!</v>
      </c>
      <c r="F47" s="114" t="e">
        <f>Simulações!#REF!</f>
        <v>#REF!</v>
      </c>
      <c r="G47" s="114" t="e">
        <f>Simulações!#REF!</f>
        <v>#REF!</v>
      </c>
      <c r="H47" s="114" t="e">
        <f>Simulações!#REF!</f>
        <v>#REF!</v>
      </c>
      <c r="I47" s="114" t="e">
        <f>IF(Simulações!#REF!="","",Simulações!#REF!)</f>
        <v>#REF!</v>
      </c>
      <c r="J47" s="114" t="e">
        <f>IF(Simulações!#REF!="","",Simulações!#REF!)</f>
        <v>#REF!</v>
      </c>
      <c r="K47" s="117" t="e">
        <f>Simulações!#REF!</f>
        <v>#REF!</v>
      </c>
      <c r="L47" s="117" t="e">
        <f>Simulações!#REF!</f>
        <v>#REF!</v>
      </c>
      <c r="M47" s="114" t="e">
        <f>IF(Simulações!#REF!="","",Simulações!#REF!)</f>
        <v>#REF!</v>
      </c>
      <c r="N47" s="114" t="e">
        <f>IF(Simulações!#REF!="","",Simulações!#REF!)</f>
        <v>#REF!</v>
      </c>
      <c r="O47" s="114">
        <v>1</v>
      </c>
    </row>
    <row r="48" spans="1:15" ht="15.75" hidden="1" customHeight="1" x14ac:dyDescent="0.3">
      <c r="A48" s="124" t="e">
        <f>Simulações!#REF!</f>
        <v>#REF!</v>
      </c>
      <c r="B48" s="114" t="e">
        <f>Simulações!#REF!</f>
        <v>#REF!</v>
      </c>
      <c r="C48" s="125" t="e">
        <f>Simulações!#REF!</f>
        <v>#REF!</v>
      </c>
      <c r="D48" s="114" t="e">
        <f>Simulações!#REF!</f>
        <v>#REF!</v>
      </c>
      <c r="E48" s="114" t="e">
        <f>Simulações!#REF!</f>
        <v>#REF!</v>
      </c>
      <c r="F48" s="114" t="e">
        <f>Simulações!#REF!</f>
        <v>#REF!</v>
      </c>
      <c r="G48" s="114" t="e">
        <f>Simulações!#REF!</f>
        <v>#REF!</v>
      </c>
      <c r="H48" s="114" t="e">
        <f>Simulações!#REF!</f>
        <v>#REF!</v>
      </c>
      <c r="I48" s="114" t="e">
        <f>IF(Simulações!#REF!="","",Simulações!#REF!)</f>
        <v>#REF!</v>
      </c>
      <c r="J48" s="114" t="e">
        <f>IF(Simulações!#REF!="","",Simulações!#REF!)</f>
        <v>#REF!</v>
      </c>
      <c r="K48" s="117" t="e">
        <f>Simulações!#REF!</f>
        <v>#REF!</v>
      </c>
      <c r="L48" s="117" t="e">
        <f>Simulações!#REF!</f>
        <v>#REF!</v>
      </c>
      <c r="M48" s="114" t="e">
        <f>IF(Simulações!#REF!="","",Simulações!#REF!)</f>
        <v>#REF!</v>
      </c>
      <c r="N48" s="114" t="e">
        <f>IF(Simulações!#REF!="","",Simulações!#REF!)</f>
        <v>#REF!</v>
      </c>
      <c r="O48" s="114">
        <v>1</v>
      </c>
    </row>
    <row r="49" spans="1:15" ht="15.75" hidden="1" customHeight="1" x14ac:dyDescent="0.3">
      <c r="A49" s="124" t="e">
        <f>Simulações!#REF!</f>
        <v>#REF!</v>
      </c>
      <c r="B49" s="114" t="e">
        <f>Simulações!#REF!</f>
        <v>#REF!</v>
      </c>
      <c r="C49" s="125" t="e">
        <f>Simulações!#REF!</f>
        <v>#REF!</v>
      </c>
      <c r="D49" s="114" t="e">
        <f>Simulações!#REF!</f>
        <v>#REF!</v>
      </c>
      <c r="E49" s="114" t="e">
        <f>Simulações!#REF!</f>
        <v>#REF!</v>
      </c>
      <c r="F49" s="114" t="e">
        <f>Simulações!#REF!</f>
        <v>#REF!</v>
      </c>
      <c r="G49" s="114" t="e">
        <f>Simulações!#REF!</f>
        <v>#REF!</v>
      </c>
      <c r="H49" s="114" t="e">
        <f>Simulações!#REF!</f>
        <v>#REF!</v>
      </c>
      <c r="I49" s="114" t="e">
        <f>IF(Simulações!#REF!="","",Simulações!#REF!)</f>
        <v>#REF!</v>
      </c>
      <c r="J49" s="114" t="e">
        <f>IF(Simulações!#REF!="","",Simulações!#REF!)</f>
        <v>#REF!</v>
      </c>
      <c r="K49" s="117" t="e">
        <f>Simulações!#REF!</f>
        <v>#REF!</v>
      </c>
      <c r="L49" s="117" t="e">
        <f>Simulações!#REF!</f>
        <v>#REF!</v>
      </c>
      <c r="M49" s="114" t="e">
        <f>IF(Simulações!#REF!="","",Simulações!#REF!)</f>
        <v>#REF!</v>
      </c>
      <c r="N49" s="114" t="e">
        <f>IF(Simulações!#REF!="","",Simulações!#REF!)</f>
        <v>#REF!</v>
      </c>
      <c r="O49" s="114">
        <v>1</v>
      </c>
    </row>
    <row r="50" spans="1:15" ht="15.75" hidden="1" customHeight="1" x14ac:dyDescent="0.3">
      <c r="A50" s="124" t="e">
        <f>Simulações!#REF!</f>
        <v>#REF!</v>
      </c>
      <c r="B50" s="114" t="e">
        <f>Simulações!#REF!</f>
        <v>#REF!</v>
      </c>
      <c r="C50" s="125" t="e">
        <f>Simulações!#REF!</f>
        <v>#REF!</v>
      </c>
      <c r="D50" s="114" t="e">
        <f>Simulações!#REF!</f>
        <v>#REF!</v>
      </c>
      <c r="E50" s="114" t="e">
        <f>Simulações!#REF!</f>
        <v>#REF!</v>
      </c>
      <c r="F50" s="114" t="e">
        <f>Simulações!#REF!</f>
        <v>#REF!</v>
      </c>
      <c r="G50" s="114" t="e">
        <f>Simulações!#REF!</f>
        <v>#REF!</v>
      </c>
      <c r="H50" s="114" t="e">
        <f>Simulações!#REF!</f>
        <v>#REF!</v>
      </c>
      <c r="I50" s="114" t="e">
        <f>IF(Simulações!#REF!="","",Simulações!#REF!)</f>
        <v>#REF!</v>
      </c>
      <c r="J50" s="114" t="e">
        <f>IF(Simulações!#REF!="","",Simulações!#REF!)</f>
        <v>#REF!</v>
      </c>
      <c r="K50" s="117" t="e">
        <f>Simulações!#REF!</f>
        <v>#REF!</v>
      </c>
      <c r="L50" s="117" t="e">
        <f>Simulações!#REF!</f>
        <v>#REF!</v>
      </c>
      <c r="M50" s="114" t="e">
        <f>IF(Simulações!#REF!="","",Simulações!#REF!)</f>
        <v>#REF!</v>
      </c>
      <c r="N50" s="114" t="e">
        <f>IF(Simulações!#REF!="","",Simulações!#REF!)</f>
        <v>#REF!</v>
      </c>
      <c r="O50" s="114">
        <v>1</v>
      </c>
    </row>
    <row r="51" spans="1:15" ht="15.75" hidden="1" customHeight="1" x14ac:dyDescent="0.3">
      <c r="A51" s="124" t="e">
        <f>Simulações!#REF!</f>
        <v>#REF!</v>
      </c>
      <c r="B51" s="114" t="e">
        <f>Simulações!#REF!</f>
        <v>#REF!</v>
      </c>
      <c r="C51" s="125" t="e">
        <f>Simulações!#REF!</f>
        <v>#REF!</v>
      </c>
      <c r="D51" s="114" t="e">
        <f>Simulações!#REF!</f>
        <v>#REF!</v>
      </c>
      <c r="E51" s="114" t="e">
        <f>Simulações!#REF!</f>
        <v>#REF!</v>
      </c>
      <c r="F51" s="114" t="e">
        <f>Simulações!#REF!</f>
        <v>#REF!</v>
      </c>
      <c r="G51" s="114" t="e">
        <f>Simulações!#REF!</f>
        <v>#REF!</v>
      </c>
      <c r="H51" s="114" t="e">
        <f>Simulações!#REF!</f>
        <v>#REF!</v>
      </c>
      <c r="I51" s="114" t="e">
        <f>IF(Simulações!#REF!="","",Simulações!#REF!)</f>
        <v>#REF!</v>
      </c>
      <c r="J51" s="114" t="e">
        <f>IF(Simulações!#REF!="","",Simulações!#REF!)</f>
        <v>#REF!</v>
      </c>
      <c r="K51" s="117" t="e">
        <f>Simulações!#REF!</f>
        <v>#REF!</v>
      </c>
      <c r="L51" s="117" t="e">
        <f>Simulações!#REF!</f>
        <v>#REF!</v>
      </c>
      <c r="M51" s="114" t="e">
        <f>IF(Simulações!#REF!="","",Simulações!#REF!)</f>
        <v>#REF!</v>
      </c>
      <c r="N51" s="114" t="e">
        <f>IF(Simulações!#REF!="","",Simulações!#REF!)</f>
        <v>#REF!</v>
      </c>
      <c r="O51" s="114">
        <v>1</v>
      </c>
    </row>
    <row r="52" spans="1:15" ht="15.75" hidden="1" customHeight="1" x14ac:dyDescent="0.3">
      <c r="A52" s="124" t="e">
        <f>Simulações!#REF!</f>
        <v>#REF!</v>
      </c>
      <c r="B52" s="114" t="e">
        <f>Simulações!#REF!</f>
        <v>#REF!</v>
      </c>
      <c r="C52" s="125" t="e">
        <f>Simulações!#REF!</f>
        <v>#REF!</v>
      </c>
      <c r="D52" s="114" t="e">
        <f>Simulações!#REF!</f>
        <v>#REF!</v>
      </c>
      <c r="E52" s="114" t="e">
        <f>Simulações!#REF!</f>
        <v>#REF!</v>
      </c>
      <c r="F52" s="114" t="e">
        <f>Simulações!#REF!</f>
        <v>#REF!</v>
      </c>
      <c r="G52" s="114" t="e">
        <f>Simulações!#REF!</f>
        <v>#REF!</v>
      </c>
      <c r="H52" s="114" t="e">
        <f>Simulações!#REF!</f>
        <v>#REF!</v>
      </c>
      <c r="I52" s="114" t="e">
        <f>IF(Simulações!#REF!="","",Simulações!#REF!)</f>
        <v>#REF!</v>
      </c>
      <c r="J52" s="114" t="e">
        <f>IF(Simulações!#REF!="","",Simulações!#REF!)</f>
        <v>#REF!</v>
      </c>
      <c r="K52" s="117" t="e">
        <f>Simulações!#REF!</f>
        <v>#REF!</v>
      </c>
      <c r="L52" s="117" t="e">
        <f>Simulações!#REF!</f>
        <v>#REF!</v>
      </c>
      <c r="M52" s="114" t="e">
        <f>IF(Simulações!#REF!="","",Simulações!#REF!)</f>
        <v>#REF!</v>
      </c>
      <c r="N52" s="114" t="e">
        <f>IF(Simulações!#REF!="","",Simulações!#REF!)</f>
        <v>#REF!</v>
      </c>
      <c r="O52" s="114">
        <v>1</v>
      </c>
    </row>
    <row r="53" spans="1:15" ht="15.75" hidden="1" customHeight="1" x14ac:dyDescent="0.3">
      <c r="A53" s="124" t="e">
        <f>Simulações!#REF!</f>
        <v>#REF!</v>
      </c>
      <c r="B53" s="114" t="e">
        <f>Simulações!#REF!</f>
        <v>#REF!</v>
      </c>
      <c r="C53" s="125" t="e">
        <f>Simulações!#REF!</f>
        <v>#REF!</v>
      </c>
      <c r="D53" s="114" t="e">
        <f>Simulações!#REF!</f>
        <v>#REF!</v>
      </c>
      <c r="E53" s="114" t="e">
        <f>Simulações!#REF!</f>
        <v>#REF!</v>
      </c>
      <c r="F53" s="114" t="e">
        <f>Simulações!#REF!</f>
        <v>#REF!</v>
      </c>
      <c r="G53" s="114" t="e">
        <f>Simulações!#REF!</f>
        <v>#REF!</v>
      </c>
      <c r="H53" s="114" t="e">
        <f>Simulações!#REF!</f>
        <v>#REF!</v>
      </c>
      <c r="I53" s="114" t="e">
        <f>IF(Simulações!#REF!="","",Simulações!#REF!)</f>
        <v>#REF!</v>
      </c>
      <c r="J53" s="114" t="e">
        <f>IF(Simulações!#REF!="","",Simulações!#REF!)</f>
        <v>#REF!</v>
      </c>
      <c r="K53" s="117" t="e">
        <f>Simulações!#REF!</f>
        <v>#REF!</v>
      </c>
      <c r="L53" s="117" t="e">
        <f>Simulações!#REF!</f>
        <v>#REF!</v>
      </c>
      <c r="M53" s="114" t="e">
        <f>IF(Simulações!#REF!="","",Simulações!#REF!)</f>
        <v>#REF!</v>
      </c>
      <c r="N53" s="114" t="e">
        <f>IF(Simulações!#REF!="","",Simulações!#REF!)</f>
        <v>#REF!</v>
      </c>
      <c r="O53" s="114">
        <v>1</v>
      </c>
    </row>
    <row r="54" spans="1:15" ht="15.75" hidden="1" customHeight="1" x14ac:dyDescent="0.3">
      <c r="A54" s="124" t="e">
        <f>Simulações!#REF!</f>
        <v>#REF!</v>
      </c>
      <c r="B54" s="114" t="e">
        <f>Simulações!#REF!</f>
        <v>#REF!</v>
      </c>
      <c r="C54" s="125" t="e">
        <f>Simulações!#REF!</f>
        <v>#REF!</v>
      </c>
      <c r="D54" s="114" t="e">
        <f>Simulações!#REF!</f>
        <v>#REF!</v>
      </c>
      <c r="E54" s="114" t="e">
        <f>Simulações!#REF!</f>
        <v>#REF!</v>
      </c>
      <c r="F54" s="114" t="e">
        <f>Simulações!#REF!</f>
        <v>#REF!</v>
      </c>
      <c r="G54" s="114" t="e">
        <f>Simulações!#REF!</f>
        <v>#REF!</v>
      </c>
      <c r="H54" s="114" t="e">
        <f>Simulações!#REF!</f>
        <v>#REF!</v>
      </c>
      <c r="I54" s="114" t="e">
        <f>IF(Simulações!#REF!="","",Simulações!#REF!)</f>
        <v>#REF!</v>
      </c>
      <c r="J54" s="114" t="e">
        <f>IF(Simulações!#REF!="","",Simulações!#REF!)</f>
        <v>#REF!</v>
      </c>
      <c r="K54" s="117" t="e">
        <f>Simulações!#REF!</f>
        <v>#REF!</v>
      </c>
      <c r="L54" s="117" t="e">
        <f>Simulações!#REF!</f>
        <v>#REF!</v>
      </c>
      <c r="M54" s="114" t="e">
        <f>IF(Simulações!#REF!="","",Simulações!#REF!)</f>
        <v>#REF!</v>
      </c>
      <c r="N54" s="114" t="e">
        <f>IF(Simulações!#REF!="","",Simulações!#REF!)</f>
        <v>#REF!</v>
      </c>
      <c r="O54" s="114">
        <v>1</v>
      </c>
    </row>
    <row r="55" spans="1:15" ht="15.75" hidden="1" customHeight="1" x14ac:dyDescent="0.3">
      <c r="A55" s="124" t="e">
        <f>Simulações!#REF!</f>
        <v>#REF!</v>
      </c>
      <c r="B55" s="114" t="e">
        <f>Simulações!#REF!</f>
        <v>#REF!</v>
      </c>
      <c r="C55" s="125" t="e">
        <f>Simulações!#REF!</f>
        <v>#REF!</v>
      </c>
      <c r="D55" s="114" t="e">
        <f>Simulações!#REF!</f>
        <v>#REF!</v>
      </c>
      <c r="E55" s="114" t="e">
        <f>Simulações!#REF!</f>
        <v>#REF!</v>
      </c>
      <c r="F55" s="114" t="e">
        <f>Simulações!#REF!</f>
        <v>#REF!</v>
      </c>
      <c r="G55" s="114" t="e">
        <f>Simulações!#REF!</f>
        <v>#REF!</v>
      </c>
      <c r="H55" s="114" t="e">
        <f>Simulações!#REF!</f>
        <v>#REF!</v>
      </c>
      <c r="I55" s="114" t="e">
        <f>IF(Simulações!#REF!="","",Simulações!#REF!)</f>
        <v>#REF!</v>
      </c>
      <c r="J55" s="114" t="e">
        <f>IF(Simulações!#REF!="","",Simulações!#REF!)</f>
        <v>#REF!</v>
      </c>
      <c r="K55" s="117" t="e">
        <f>Simulações!#REF!</f>
        <v>#REF!</v>
      </c>
      <c r="L55" s="117" t="e">
        <f>Simulações!#REF!</f>
        <v>#REF!</v>
      </c>
      <c r="M55" s="114" t="e">
        <f>IF(Simulações!#REF!="","",Simulações!#REF!)</f>
        <v>#REF!</v>
      </c>
      <c r="N55" s="114" t="e">
        <f>IF(Simulações!#REF!="","",Simulações!#REF!)</f>
        <v>#REF!</v>
      </c>
      <c r="O55" s="114">
        <v>1</v>
      </c>
    </row>
    <row r="56" spans="1:15" ht="15.75" hidden="1" customHeight="1" x14ac:dyDescent="0.3">
      <c r="A56" s="124" t="e">
        <f>Simulações!#REF!</f>
        <v>#REF!</v>
      </c>
      <c r="B56" s="114" t="e">
        <f>Simulações!#REF!</f>
        <v>#REF!</v>
      </c>
      <c r="C56" s="125" t="e">
        <f>Simulações!#REF!</f>
        <v>#REF!</v>
      </c>
      <c r="D56" s="114" t="e">
        <f>Simulações!#REF!</f>
        <v>#REF!</v>
      </c>
      <c r="E56" s="114" t="e">
        <f>Simulações!#REF!</f>
        <v>#REF!</v>
      </c>
      <c r="F56" s="114" t="e">
        <f>Simulações!#REF!</f>
        <v>#REF!</v>
      </c>
      <c r="G56" s="114" t="e">
        <f>Simulações!#REF!</f>
        <v>#REF!</v>
      </c>
      <c r="H56" s="114" t="e">
        <f>Simulações!#REF!</f>
        <v>#REF!</v>
      </c>
      <c r="I56" s="114" t="e">
        <f>IF(Simulações!#REF!="","",Simulações!#REF!)</f>
        <v>#REF!</v>
      </c>
      <c r="J56" s="114" t="e">
        <f>IF(Simulações!#REF!="","",Simulações!#REF!)</f>
        <v>#REF!</v>
      </c>
      <c r="K56" s="117" t="e">
        <f>Simulações!#REF!</f>
        <v>#REF!</v>
      </c>
      <c r="L56" s="117" t="e">
        <f>Simulações!#REF!</f>
        <v>#REF!</v>
      </c>
      <c r="M56" s="114" t="e">
        <f>IF(Simulações!#REF!="","",Simulações!#REF!)</f>
        <v>#REF!</v>
      </c>
      <c r="N56" s="114" t="e">
        <f>IF(Simulações!#REF!="","",Simulações!#REF!)</f>
        <v>#REF!</v>
      </c>
      <c r="O56" s="114">
        <v>1</v>
      </c>
    </row>
    <row r="57" spans="1:15" ht="15.75" hidden="1" customHeight="1" x14ac:dyDescent="0.3">
      <c r="A57" s="124" t="e">
        <f>Simulações!#REF!</f>
        <v>#REF!</v>
      </c>
      <c r="B57" s="114" t="e">
        <f>Simulações!#REF!</f>
        <v>#REF!</v>
      </c>
      <c r="C57" s="125" t="e">
        <f>Simulações!#REF!</f>
        <v>#REF!</v>
      </c>
      <c r="D57" s="114" t="e">
        <f>Simulações!#REF!</f>
        <v>#REF!</v>
      </c>
      <c r="E57" s="114" t="e">
        <f>Simulações!#REF!</f>
        <v>#REF!</v>
      </c>
      <c r="F57" s="114" t="e">
        <f>Simulações!#REF!</f>
        <v>#REF!</v>
      </c>
      <c r="G57" s="114" t="e">
        <f>Simulações!#REF!</f>
        <v>#REF!</v>
      </c>
      <c r="H57" s="114" t="e">
        <f>Simulações!#REF!</f>
        <v>#REF!</v>
      </c>
      <c r="I57" s="114" t="e">
        <f>IF(Simulações!#REF!="","",Simulações!#REF!)</f>
        <v>#REF!</v>
      </c>
      <c r="J57" s="114" t="e">
        <f>IF(Simulações!#REF!="","",Simulações!#REF!)</f>
        <v>#REF!</v>
      </c>
      <c r="K57" s="117" t="e">
        <f>Simulações!#REF!</f>
        <v>#REF!</v>
      </c>
      <c r="L57" s="117" t="e">
        <f>Simulações!#REF!</f>
        <v>#REF!</v>
      </c>
      <c r="M57" s="114" t="e">
        <f>IF(Simulações!#REF!="","",Simulações!#REF!)</f>
        <v>#REF!</v>
      </c>
      <c r="N57" s="114" t="e">
        <f>IF(Simulações!#REF!="","",Simulações!#REF!)</f>
        <v>#REF!</v>
      </c>
      <c r="O57" s="114">
        <v>1</v>
      </c>
    </row>
    <row r="58" spans="1:15" ht="15.75" hidden="1" customHeight="1" x14ac:dyDescent="0.3">
      <c r="A58" s="124" t="e">
        <f>Simulações!#REF!</f>
        <v>#REF!</v>
      </c>
      <c r="B58" s="114" t="e">
        <f>Simulações!#REF!</f>
        <v>#REF!</v>
      </c>
      <c r="C58" s="125" t="e">
        <f>Simulações!#REF!</f>
        <v>#REF!</v>
      </c>
      <c r="D58" s="114" t="e">
        <f>Simulações!#REF!</f>
        <v>#REF!</v>
      </c>
      <c r="E58" s="114" t="e">
        <f>Simulações!#REF!</f>
        <v>#REF!</v>
      </c>
      <c r="F58" s="114" t="e">
        <f>Simulações!#REF!</f>
        <v>#REF!</v>
      </c>
      <c r="G58" s="114" t="e">
        <f>Simulações!#REF!</f>
        <v>#REF!</v>
      </c>
      <c r="H58" s="114" t="e">
        <f>Simulações!#REF!</f>
        <v>#REF!</v>
      </c>
      <c r="I58" s="114" t="e">
        <f>IF(Simulações!#REF!="","",Simulações!#REF!)</f>
        <v>#REF!</v>
      </c>
      <c r="J58" s="114" t="e">
        <f>IF(Simulações!#REF!="","",Simulações!#REF!)</f>
        <v>#REF!</v>
      </c>
      <c r="K58" s="117" t="e">
        <f>Simulações!#REF!</f>
        <v>#REF!</v>
      </c>
      <c r="L58" s="117" t="e">
        <f>Simulações!#REF!</f>
        <v>#REF!</v>
      </c>
      <c r="M58" s="114" t="e">
        <f>IF(Simulações!#REF!="","",Simulações!#REF!)</f>
        <v>#REF!</v>
      </c>
      <c r="N58" s="114" t="e">
        <f>IF(Simulações!#REF!="","",Simulações!#REF!)</f>
        <v>#REF!</v>
      </c>
      <c r="O58" s="114">
        <v>1</v>
      </c>
    </row>
    <row r="59" spans="1:15" ht="15.75" hidden="1" customHeight="1" x14ac:dyDescent="0.3">
      <c r="A59" s="124" t="e">
        <f>Simulações!#REF!</f>
        <v>#REF!</v>
      </c>
      <c r="B59" s="114" t="e">
        <f>Simulações!#REF!</f>
        <v>#REF!</v>
      </c>
      <c r="C59" s="125" t="e">
        <f>Simulações!#REF!</f>
        <v>#REF!</v>
      </c>
      <c r="D59" s="114" t="e">
        <f>Simulações!#REF!</f>
        <v>#REF!</v>
      </c>
      <c r="E59" s="114" t="e">
        <f>Simulações!#REF!</f>
        <v>#REF!</v>
      </c>
      <c r="F59" s="114" t="e">
        <f>Simulações!#REF!</f>
        <v>#REF!</v>
      </c>
      <c r="G59" s="114" t="e">
        <f>Simulações!#REF!</f>
        <v>#REF!</v>
      </c>
      <c r="H59" s="114" t="e">
        <f>Simulações!#REF!</f>
        <v>#REF!</v>
      </c>
      <c r="I59" s="114" t="e">
        <f>IF(Simulações!#REF!="","",Simulações!#REF!)</f>
        <v>#REF!</v>
      </c>
      <c r="J59" s="114" t="e">
        <f>IF(Simulações!#REF!="","",Simulações!#REF!)</f>
        <v>#REF!</v>
      </c>
      <c r="K59" s="117" t="e">
        <f>Simulações!#REF!</f>
        <v>#REF!</v>
      </c>
      <c r="L59" s="117" t="e">
        <f>Simulações!#REF!</f>
        <v>#REF!</v>
      </c>
      <c r="M59" s="114" t="e">
        <f>IF(Simulações!#REF!="","",Simulações!#REF!)</f>
        <v>#REF!</v>
      </c>
      <c r="N59" s="114" t="e">
        <f>IF(Simulações!#REF!="","",Simulações!#REF!)</f>
        <v>#REF!</v>
      </c>
      <c r="O59" s="114">
        <v>1</v>
      </c>
    </row>
    <row r="60" spans="1:15" ht="15.75" hidden="1" customHeight="1" x14ac:dyDescent="0.3">
      <c r="A60" s="124" t="e">
        <f>Simulações!#REF!</f>
        <v>#REF!</v>
      </c>
      <c r="B60" s="114" t="e">
        <f>Simulações!#REF!</f>
        <v>#REF!</v>
      </c>
      <c r="C60" s="125" t="e">
        <f>Simulações!#REF!</f>
        <v>#REF!</v>
      </c>
      <c r="D60" s="114" t="e">
        <f>Simulações!#REF!</f>
        <v>#REF!</v>
      </c>
      <c r="E60" s="114" t="e">
        <f>Simulações!#REF!</f>
        <v>#REF!</v>
      </c>
      <c r="F60" s="114" t="e">
        <f>Simulações!#REF!</f>
        <v>#REF!</v>
      </c>
      <c r="G60" s="114" t="e">
        <f>Simulações!#REF!</f>
        <v>#REF!</v>
      </c>
      <c r="H60" s="114" t="e">
        <f>Simulações!#REF!</f>
        <v>#REF!</v>
      </c>
      <c r="I60" s="114" t="e">
        <f>IF(Simulações!#REF!="","",Simulações!#REF!)</f>
        <v>#REF!</v>
      </c>
      <c r="J60" s="114" t="e">
        <f>IF(Simulações!#REF!="","",Simulações!#REF!)</f>
        <v>#REF!</v>
      </c>
      <c r="K60" s="117" t="e">
        <f>Simulações!#REF!</f>
        <v>#REF!</v>
      </c>
      <c r="L60" s="117" t="e">
        <f>Simulações!#REF!</f>
        <v>#REF!</v>
      </c>
      <c r="M60" s="114" t="e">
        <f>IF(Simulações!#REF!="","",Simulações!#REF!)</f>
        <v>#REF!</v>
      </c>
      <c r="N60" s="114" t="e">
        <f>IF(Simulações!#REF!="","",Simulações!#REF!)</f>
        <v>#REF!</v>
      </c>
      <c r="O60" s="114">
        <v>1</v>
      </c>
    </row>
    <row r="61" spans="1:15" ht="15.75" hidden="1" customHeight="1" x14ac:dyDescent="0.3">
      <c r="A61" s="124" t="e">
        <f>Simulações!#REF!</f>
        <v>#REF!</v>
      </c>
      <c r="B61" s="114" t="e">
        <f>Simulações!#REF!</f>
        <v>#REF!</v>
      </c>
      <c r="C61" s="125" t="e">
        <f>Simulações!#REF!</f>
        <v>#REF!</v>
      </c>
      <c r="D61" s="114" t="e">
        <f>Simulações!#REF!</f>
        <v>#REF!</v>
      </c>
      <c r="E61" s="114" t="e">
        <f>Simulações!#REF!</f>
        <v>#REF!</v>
      </c>
      <c r="F61" s="114" t="e">
        <f>Simulações!#REF!</f>
        <v>#REF!</v>
      </c>
      <c r="G61" s="114" t="e">
        <f>Simulações!#REF!</f>
        <v>#REF!</v>
      </c>
      <c r="H61" s="114" t="e">
        <f>Simulações!#REF!</f>
        <v>#REF!</v>
      </c>
      <c r="I61" s="114" t="e">
        <f>IF(Simulações!#REF!="","",Simulações!#REF!)</f>
        <v>#REF!</v>
      </c>
      <c r="J61" s="114" t="e">
        <f>IF(Simulações!#REF!="","",Simulações!#REF!)</f>
        <v>#REF!</v>
      </c>
      <c r="K61" s="117" t="e">
        <f>Simulações!#REF!</f>
        <v>#REF!</v>
      </c>
      <c r="L61" s="117" t="e">
        <f>Simulações!#REF!</f>
        <v>#REF!</v>
      </c>
      <c r="M61" s="114" t="e">
        <f>IF(Simulações!#REF!="","",Simulações!#REF!)</f>
        <v>#REF!</v>
      </c>
      <c r="N61" s="114" t="e">
        <f>IF(Simulações!#REF!="","",Simulações!#REF!)</f>
        <v>#REF!</v>
      </c>
      <c r="O61" s="114">
        <v>1</v>
      </c>
    </row>
    <row r="62" spans="1:15" ht="15.75" hidden="1" customHeight="1" x14ac:dyDescent="0.3">
      <c r="A62" s="124" t="e">
        <f>Simulações!#REF!</f>
        <v>#REF!</v>
      </c>
      <c r="B62" s="114" t="e">
        <f>Simulações!#REF!</f>
        <v>#REF!</v>
      </c>
      <c r="C62" s="125" t="e">
        <f>Simulações!#REF!</f>
        <v>#REF!</v>
      </c>
      <c r="D62" s="114" t="e">
        <f>Simulações!#REF!</f>
        <v>#REF!</v>
      </c>
      <c r="E62" s="114" t="e">
        <f>Simulações!#REF!</f>
        <v>#REF!</v>
      </c>
      <c r="F62" s="114" t="e">
        <f>Simulações!#REF!</f>
        <v>#REF!</v>
      </c>
      <c r="G62" s="114" t="e">
        <f>Simulações!#REF!</f>
        <v>#REF!</v>
      </c>
      <c r="H62" s="114" t="e">
        <f>Simulações!#REF!</f>
        <v>#REF!</v>
      </c>
      <c r="I62" s="114" t="e">
        <f>IF(Simulações!#REF!="","",Simulações!#REF!)</f>
        <v>#REF!</v>
      </c>
      <c r="J62" s="114" t="e">
        <f>IF(Simulações!#REF!="","",Simulações!#REF!)</f>
        <v>#REF!</v>
      </c>
      <c r="K62" s="117" t="e">
        <f>Simulações!#REF!</f>
        <v>#REF!</v>
      </c>
      <c r="L62" s="117" t="e">
        <f>Simulações!#REF!</f>
        <v>#REF!</v>
      </c>
      <c r="M62" s="114" t="e">
        <f>IF(Simulações!#REF!="","",Simulações!#REF!)</f>
        <v>#REF!</v>
      </c>
      <c r="N62" s="114" t="e">
        <f>IF(Simulações!#REF!="","",Simulações!#REF!)</f>
        <v>#REF!</v>
      </c>
      <c r="O62" s="114">
        <v>1</v>
      </c>
    </row>
    <row r="63" spans="1:15" ht="15.75" hidden="1" customHeight="1" x14ac:dyDescent="0.3">
      <c r="A63" s="124" t="e">
        <f>Simulações!#REF!</f>
        <v>#REF!</v>
      </c>
      <c r="B63" s="114" t="e">
        <f>Simulações!#REF!</f>
        <v>#REF!</v>
      </c>
      <c r="C63" s="125" t="e">
        <f>Simulações!#REF!</f>
        <v>#REF!</v>
      </c>
      <c r="D63" s="114" t="e">
        <f>Simulações!#REF!</f>
        <v>#REF!</v>
      </c>
      <c r="E63" s="114" t="e">
        <f>Simulações!#REF!</f>
        <v>#REF!</v>
      </c>
      <c r="F63" s="114" t="e">
        <f>Simulações!#REF!</f>
        <v>#REF!</v>
      </c>
      <c r="G63" s="114" t="e">
        <f>Simulações!#REF!</f>
        <v>#REF!</v>
      </c>
      <c r="H63" s="114" t="e">
        <f>Simulações!#REF!</f>
        <v>#REF!</v>
      </c>
      <c r="I63" s="114" t="e">
        <f>IF(Simulações!#REF!="","",Simulações!#REF!)</f>
        <v>#REF!</v>
      </c>
      <c r="J63" s="114" t="e">
        <f>IF(Simulações!#REF!="","",Simulações!#REF!)</f>
        <v>#REF!</v>
      </c>
      <c r="K63" s="117" t="e">
        <f>Simulações!#REF!</f>
        <v>#REF!</v>
      </c>
      <c r="L63" s="117" t="e">
        <f>Simulações!#REF!</f>
        <v>#REF!</v>
      </c>
      <c r="M63" s="114" t="e">
        <f>IF(Simulações!#REF!="","",Simulações!#REF!)</f>
        <v>#REF!</v>
      </c>
      <c r="N63" s="114" t="e">
        <f>IF(Simulações!#REF!="","",Simulações!#REF!)</f>
        <v>#REF!</v>
      </c>
      <c r="O63" s="114">
        <v>1</v>
      </c>
    </row>
    <row r="64" spans="1:15" ht="15.75" hidden="1" customHeight="1" x14ac:dyDescent="0.3">
      <c r="A64" s="124" t="e">
        <f>Simulações!#REF!</f>
        <v>#REF!</v>
      </c>
      <c r="B64" s="114" t="e">
        <f>Simulações!#REF!</f>
        <v>#REF!</v>
      </c>
      <c r="C64" s="125" t="e">
        <f>Simulações!#REF!</f>
        <v>#REF!</v>
      </c>
      <c r="D64" s="114" t="e">
        <f>Simulações!#REF!</f>
        <v>#REF!</v>
      </c>
      <c r="E64" s="114" t="e">
        <f>Simulações!#REF!</f>
        <v>#REF!</v>
      </c>
      <c r="F64" s="114" t="e">
        <f>Simulações!#REF!</f>
        <v>#REF!</v>
      </c>
      <c r="G64" s="114" t="e">
        <f>Simulações!#REF!</f>
        <v>#REF!</v>
      </c>
      <c r="H64" s="114" t="e">
        <f>Simulações!#REF!</f>
        <v>#REF!</v>
      </c>
      <c r="I64" s="114" t="e">
        <f>IF(Simulações!#REF!="","",Simulações!#REF!)</f>
        <v>#REF!</v>
      </c>
      <c r="J64" s="114" t="e">
        <f>IF(Simulações!#REF!="","",Simulações!#REF!)</f>
        <v>#REF!</v>
      </c>
      <c r="K64" s="117" t="e">
        <f>Simulações!#REF!</f>
        <v>#REF!</v>
      </c>
      <c r="L64" s="117" t="e">
        <f>Simulações!#REF!</f>
        <v>#REF!</v>
      </c>
      <c r="M64" s="114" t="e">
        <f>IF(Simulações!#REF!="","",Simulações!#REF!)</f>
        <v>#REF!</v>
      </c>
      <c r="N64" s="114" t="e">
        <f>IF(Simulações!#REF!="","",Simulações!#REF!)</f>
        <v>#REF!</v>
      </c>
      <c r="O64" s="114">
        <v>1</v>
      </c>
    </row>
    <row r="65" spans="1:15" ht="15.75" hidden="1" customHeight="1" x14ac:dyDescent="0.3">
      <c r="A65" s="124" t="e">
        <f>Simulações!#REF!</f>
        <v>#REF!</v>
      </c>
      <c r="B65" s="114" t="e">
        <f>Simulações!#REF!</f>
        <v>#REF!</v>
      </c>
      <c r="C65" s="125" t="e">
        <f>Simulações!#REF!</f>
        <v>#REF!</v>
      </c>
      <c r="D65" s="114" t="e">
        <f>Simulações!#REF!</f>
        <v>#REF!</v>
      </c>
      <c r="E65" s="114" t="e">
        <f>Simulações!#REF!</f>
        <v>#REF!</v>
      </c>
      <c r="F65" s="114" t="e">
        <f>Simulações!#REF!</f>
        <v>#REF!</v>
      </c>
      <c r="G65" s="114" t="e">
        <f>Simulações!#REF!</f>
        <v>#REF!</v>
      </c>
      <c r="H65" s="114" t="e">
        <f>Simulações!#REF!</f>
        <v>#REF!</v>
      </c>
      <c r="I65" s="114" t="e">
        <f>IF(Simulações!#REF!="","",Simulações!#REF!)</f>
        <v>#REF!</v>
      </c>
      <c r="J65" s="114" t="e">
        <f>IF(Simulações!#REF!="","",Simulações!#REF!)</f>
        <v>#REF!</v>
      </c>
      <c r="K65" s="117" t="e">
        <f>Simulações!#REF!</f>
        <v>#REF!</v>
      </c>
      <c r="L65" s="117" t="e">
        <f>Simulações!#REF!</f>
        <v>#REF!</v>
      </c>
      <c r="M65" s="114" t="e">
        <f>IF(Simulações!#REF!="","",Simulações!#REF!)</f>
        <v>#REF!</v>
      </c>
      <c r="N65" s="114" t="e">
        <f>IF(Simulações!#REF!="","",Simulações!#REF!)</f>
        <v>#REF!</v>
      </c>
      <c r="O65" s="114">
        <v>1</v>
      </c>
    </row>
    <row r="66" spans="1:15" ht="15.75" hidden="1" customHeight="1" x14ac:dyDescent="0.3">
      <c r="A66" s="124" t="e">
        <f>Simulações!#REF!</f>
        <v>#REF!</v>
      </c>
      <c r="B66" s="114" t="e">
        <f>Simulações!#REF!</f>
        <v>#REF!</v>
      </c>
      <c r="C66" s="125" t="e">
        <f>Simulações!#REF!</f>
        <v>#REF!</v>
      </c>
      <c r="D66" s="114" t="e">
        <f>Simulações!#REF!</f>
        <v>#REF!</v>
      </c>
      <c r="E66" s="114" t="e">
        <f>Simulações!#REF!</f>
        <v>#REF!</v>
      </c>
      <c r="F66" s="114" t="e">
        <f>Simulações!#REF!</f>
        <v>#REF!</v>
      </c>
      <c r="G66" s="114" t="e">
        <f>Simulações!#REF!</f>
        <v>#REF!</v>
      </c>
      <c r="H66" s="114" t="e">
        <f>Simulações!#REF!</f>
        <v>#REF!</v>
      </c>
      <c r="I66" s="114" t="e">
        <f>IF(Simulações!#REF!="","",Simulações!#REF!)</f>
        <v>#REF!</v>
      </c>
      <c r="J66" s="114" t="e">
        <f>IF(Simulações!#REF!="","",Simulações!#REF!)</f>
        <v>#REF!</v>
      </c>
      <c r="K66" s="117" t="e">
        <f>Simulações!#REF!</f>
        <v>#REF!</v>
      </c>
      <c r="L66" s="117" t="e">
        <f>Simulações!#REF!</f>
        <v>#REF!</v>
      </c>
      <c r="M66" s="114" t="e">
        <f>IF(Simulações!#REF!="","",Simulações!#REF!)</f>
        <v>#REF!</v>
      </c>
      <c r="N66" s="114" t="e">
        <f>IF(Simulações!#REF!="","",Simulações!#REF!)</f>
        <v>#REF!</v>
      </c>
      <c r="O66" s="114">
        <v>1</v>
      </c>
    </row>
    <row r="67" spans="1:15" ht="15.75" hidden="1" customHeight="1" x14ac:dyDescent="0.3">
      <c r="A67" s="124" t="e">
        <f>Simulações!#REF!</f>
        <v>#REF!</v>
      </c>
      <c r="B67" s="114" t="e">
        <f>Simulações!#REF!</f>
        <v>#REF!</v>
      </c>
      <c r="C67" s="125" t="e">
        <f>Simulações!#REF!</f>
        <v>#REF!</v>
      </c>
      <c r="D67" s="114" t="e">
        <f>Simulações!#REF!</f>
        <v>#REF!</v>
      </c>
      <c r="E67" s="114" t="e">
        <f>Simulações!#REF!</f>
        <v>#REF!</v>
      </c>
      <c r="F67" s="114" t="e">
        <f>Simulações!#REF!</f>
        <v>#REF!</v>
      </c>
      <c r="G67" s="114" t="e">
        <f>Simulações!#REF!</f>
        <v>#REF!</v>
      </c>
      <c r="H67" s="114" t="e">
        <f>Simulações!#REF!</f>
        <v>#REF!</v>
      </c>
      <c r="I67" s="114" t="e">
        <f>IF(Simulações!#REF!="","",Simulações!#REF!)</f>
        <v>#REF!</v>
      </c>
      <c r="J67" s="114" t="e">
        <f>IF(Simulações!#REF!="","",Simulações!#REF!)</f>
        <v>#REF!</v>
      </c>
      <c r="K67" s="117" t="e">
        <f>Simulações!#REF!</f>
        <v>#REF!</v>
      </c>
      <c r="L67" s="117" t="e">
        <f>Simulações!#REF!</f>
        <v>#REF!</v>
      </c>
      <c r="M67" s="114" t="e">
        <f>IF(Simulações!#REF!="","",Simulações!#REF!)</f>
        <v>#REF!</v>
      </c>
      <c r="N67" s="114" t="e">
        <f>IF(Simulações!#REF!="","",Simulações!#REF!)</f>
        <v>#REF!</v>
      </c>
      <c r="O67" s="114">
        <v>1</v>
      </c>
    </row>
    <row r="68" spans="1:15" ht="15.75" hidden="1" customHeight="1" x14ac:dyDescent="0.3">
      <c r="A68" s="124" t="e">
        <f>Simulações!#REF!</f>
        <v>#REF!</v>
      </c>
      <c r="B68" s="114" t="e">
        <f>Simulações!#REF!</f>
        <v>#REF!</v>
      </c>
      <c r="C68" s="125" t="e">
        <f>Simulações!#REF!</f>
        <v>#REF!</v>
      </c>
      <c r="D68" s="114" t="e">
        <f>Simulações!#REF!</f>
        <v>#REF!</v>
      </c>
      <c r="E68" s="114" t="e">
        <f>Simulações!#REF!</f>
        <v>#REF!</v>
      </c>
      <c r="F68" s="114" t="e">
        <f>Simulações!#REF!</f>
        <v>#REF!</v>
      </c>
      <c r="G68" s="114" t="e">
        <f>Simulações!#REF!</f>
        <v>#REF!</v>
      </c>
      <c r="H68" s="114" t="e">
        <f>Simulações!#REF!</f>
        <v>#REF!</v>
      </c>
      <c r="I68" s="114" t="e">
        <f>IF(Simulações!#REF!="","",Simulações!#REF!)</f>
        <v>#REF!</v>
      </c>
      <c r="J68" s="114" t="e">
        <f>IF(Simulações!#REF!="","",Simulações!#REF!)</f>
        <v>#REF!</v>
      </c>
      <c r="K68" s="117" t="e">
        <f>Simulações!#REF!</f>
        <v>#REF!</v>
      </c>
      <c r="L68" s="117" t="e">
        <f>Simulações!#REF!</f>
        <v>#REF!</v>
      </c>
      <c r="M68" s="114" t="e">
        <f>IF(Simulações!#REF!="","",Simulações!#REF!)</f>
        <v>#REF!</v>
      </c>
      <c r="N68" s="114" t="e">
        <f>IF(Simulações!#REF!="","",Simulações!#REF!)</f>
        <v>#REF!</v>
      </c>
      <c r="O68" s="114">
        <v>1</v>
      </c>
    </row>
    <row r="69" spans="1:15" ht="15.75" hidden="1" customHeight="1" x14ac:dyDescent="0.3">
      <c r="A69" s="124" t="e">
        <f>Simulações!#REF!</f>
        <v>#REF!</v>
      </c>
      <c r="B69" s="114" t="e">
        <f>Simulações!#REF!</f>
        <v>#REF!</v>
      </c>
      <c r="C69" s="125" t="e">
        <f>Simulações!#REF!</f>
        <v>#REF!</v>
      </c>
      <c r="D69" s="114" t="e">
        <f>Simulações!#REF!</f>
        <v>#REF!</v>
      </c>
      <c r="E69" s="114" t="e">
        <f>Simulações!#REF!</f>
        <v>#REF!</v>
      </c>
      <c r="F69" s="114" t="e">
        <f>Simulações!#REF!</f>
        <v>#REF!</v>
      </c>
      <c r="G69" s="114" t="e">
        <f>Simulações!#REF!</f>
        <v>#REF!</v>
      </c>
      <c r="H69" s="114" t="e">
        <f>Simulações!#REF!</f>
        <v>#REF!</v>
      </c>
      <c r="I69" s="114" t="e">
        <f>IF(Simulações!#REF!="","",Simulações!#REF!)</f>
        <v>#REF!</v>
      </c>
      <c r="J69" s="114" t="e">
        <f>IF(Simulações!#REF!="","",Simulações!#REF!)</f>
        <v>#REF!</v>
      </c>
      <c r="K69" s="117" t="e">
        <f>Simulações!#REF!</f>
        <v>#REF!</v>
      </c>
      <c r="L69" s="117" t="e">
        <f>Simulações!#REF!</f>
        <v>#REF!</v>
      </c>
      <c r="M69" s="114" t="e">
        <f>IF(Simulações!#REF!="","",Simulações!#REF!)</f>
        <v>#REF!</v>
      </c>
      <c r="N69" s="114" t="e">
        <f>IF(Simulações!#REF!="","",Simulações!#REF!)</f>
        <v>#REF!</v>
      </c>
      <c r="O69" s="114">
        <v>1</v>
      </c>
    </row>
    <row r="70" spans="1:15" ht="15.75" hidden="1" customHeight="1" x14ac:dyDescent="0.3">
      <c r="A70" s="124" t="e">
        <f>Simulações!#REF!</f>
        <v>#REF!</v>
      </c>
      <c r="B70" s="114" t="e">
        <f>Simulações!#REF!</f>
        <v>#REF!</v>
      </c>
      <c r="C70" s="125" t="e">
        <f>Simulações!#REF!</f>
        <v>#REF!</v>
      </c>
      <c r="D70" s="114" t="e">
        <f>Simulações!#REF!</f>
        <v>#REF!</v>
      </c>
      <c r="E70" s="114" t="e">
        <f>Simulações!#REF!</f>
        <v>#REF!</v>
      </c>
      <c r="F70" s="114" t="e">
        <f>Simulações!#REF!</f>
        <v>#REF!</v>
      </c>
      <c r="G70" s="114" t="e">
        <f>Simulações!#REF!</f>
        <v>#REF!</v>
      </c>
      <c r="H70" s="114" t="e">
        <f>Simulações!#REF!</f>
        <v>#REF!</v>
      </c>
      <c r="I70" s="114" t="e">
        <f>IF(Simulações!#REF!="","",Simulações!#REF!)</f>
        <v>#REF!</v>
      </c>
      <c r="J70" s="114" t="e">
        <f>IF(Simulações!#REF!="","",Simulações!#REF!)</f>
        <v>#REF!</v>
      </c>
      <c r="K70" s="117" t="e">
        <f>Simulações!#REF!</f>
        <v>#REF!</v>
      </c>
      <c r="L70" s="117" t="e">
        <f>Simulações!#REF!</f>
        <v>#REF!</v>
      </c>
      <c r="M70" s="114" t="e">
        <f>IF(Simulações!#REF!="","",Simulações!#REF!)</f>
        <v>#REF!</v>
      </c>
      <c r="N70" s="114" t="e">
        <f>IF(Simulações!#REF!="","",Simulações!#REF!)</f>
        <v>#REF!</v>
      </c>
      <c r="O70" s="114">
        <v>1</v>
      </c>
    </row>
    <row r="71" spans="1:15" ht="15.75" hidden="1" customHeight="1" x14ac:dyDescent="0.3">
      <c r="A71" s="124" t="e">
        <f>Simulações!#REF!</f>
        <v>#REF!</v>
      </c>
      <c r="B71" s="114" t="e">
        <f>Simulações!#REF!</f>
        <v>#REF!</v>
      </c>
      <c r="C71" s="125" t="e">
        <f>Simulações!#REF!</f>
        <v>#REF!</v>
      </c>
      <c r="D71" s="114" t="e">
        <f>Simulações!#REF!</f>
        <v>#REF!</v>
      </c>
      <c r="E71" s="114" t="e">
        <f>Simulações!#REF!</f>
        <v>#REF!</v>
      </c>
      <c r="F71" s="114" t="e">
        <f>Simulações!#REF!</f>
        <v>#REF!</v>
      </c>
      <c r="G71" s="114" t="e">
        <f>Simulações!#REF!</f>
        <v>#REF!</v>
      </c>
      <c r="H71" s="114" t="e">
        <f>Simulações!#REF!</f>
        <v>#REF!</v>
      </c>
      <c r="I71" s="114" t="e">
        <f>IF(Simulações!#REF!="","",Simulações!#REF!)</f>
        <v>#REF!</v>
      </c>
      <c r="J71" s="114" t="e">
        <f>IF(Simulações!#REF!="","",Simulações!#REF!)</f>
        <v>#REF!</v>
      </c>
      <c r="K71" s="117" t="e">
        <f>Simulações!#REF!</f>
        <v>#REF!</v>
      </c>
      <c r="L71" s="117" t="e">
        <f>Simulações!#REF!</f>
        <v>#REF!</v>
      </c>
      <c r="M71" s="114" t="e">
        <f>IF(Simulações!#REF!="","",Simulações!#REF!)</f>
        <v>#REF!</v>
      </c>
      <c r="N71" s="114" t="e">
        <f>IF(Simulações!#REF!="","",Simulações!#REF!)</f>
        <v>#REF!</v>
      </c>
      <c r="O71" s="114">
        <v>1</v>
      </c>
    </row>
    <row r="72" spans="1:15" ht="15.75" hidden="1" customHeight="1" x14ac:dyDescent="0.3">
      <c r="A72" s="124" t="e">
        <f>Simulações!#REF!</f>
        <v>#REF!</v>
      </c>
      <c r="B72" s="114" t="e">
        <f>Simulações!#REF!</f>
        <v>#REF!</v>
      </c>
      <c r="C72" s="125" t="e">
        <f>Simulações!#REF!</f>
        <v>#REF!</v>
      </c>
      <c r="D72" s="114" t="e">
        <f>Simulações!#REF!</f>
        <v>#REF!</v>
      </c>
      <c r="E72" s="114" t="e">
        <f>Simulações!#REF!</f>
        <v>#REF!</v>
      </c>
      <c r="F72" s="114" t="e">
        <f>Simulações!#REF!</f>
        <v>#REF!</v>
      </c>
      <c r="G72" s="114" t="e">
        <f>Simulações!#REF!</f>
        <v>#REF!</v>
      </c>
      <c r="H72" s="114" t="e">
        <f>Simulações!#REF!</f>
        <v>#REF!</v>
      </c>
      <c r="I72" s="114" t="e">
        <f>IF(Simulações!#REF!="","",Simulações!#REF!)</f>
        <v>#REF!</v>
      </c>
      <c r="J72" s="114" t="e">
        <f>IF(Simulações!#REF!="","",Simulações!#REF!)</f>
        <v>#REF!</v>
      </c>
      <c r="K72" s="117" t="e">
        <f>Simulações!#REF!</f>
        <v>#REF!</v>
      </c>
      <c r="L72" s="117" t="e">
        <f>Simulações!#REF!</f>
        <v>#REF!</v>
      </c>
      <c r="M72" s="114" t="e">
        <f>IF(Simulações!#REF!="","",Simulações!#REF!)</f>
        <v>#REF!</v>
      </c>
      <c r="N72" s="114" t="e">
        <f>IF(Simulações!#REF!="","",Simulações!#REF!)</f>
        <v>#REF!</v>
      </c>
      <c r="O72" s="114">
        <v>1</v>
      </c>
    </row>
    <row r="73" spans="1:15" ht="15.75" hidden="1" customHeight="1" x14ac:dyDescent="0.3">
      <c r="A73" s="124" t="e">
        <f>Simulações!#REF!</f>
        <v>#REF!</v>
      </c>
      <c r="B73" s="114" t="e">
        <f>Simulações!#REF!</f>
        <v>#REF!</v>
      </c>
      <c r="C73" s="125" t="e">
        <f>Simulações!#REF!</f>
        <v>#REF!</v>
      </c>
      <c r="D73" s="114" t="e">
        <f>Simulações!#REF!</f>
        <v>#REF!</v>
      </c>
      <c r="E73" s="114" t="e">
        <f>Simulações!#REF!</f>
        <v>#REF!</v>
      </c>
      <c r="F73" s="114" t="e">
        <f>Simulações!#REF!</f>
        <v>#REF!</v>
      </c>
      <c r="G73" s="114" t="e">
        <f>Simulações!#REF!</f>
        <v>#REF!</v>
      </c>
      <c r="H73" s="114" t="e">
        <f>Simulações!#REF!</f>
        <v>#REF!</v>
      </c>
      <c r="I73" s="114" t="e">
        <f>IF(Simulações!#REF!="","",Simulações!#REF!)</f>
        <v>#REF!</v>
      </c>
      <c r="J73" s="114" t="e">
        <f>IF(Simulações!#REF!="","",Simulações!#REF!)</f>
        <v>#REF!</v>
      </c>
      <c r="K73" s="117" t="e">
        <f>Simulações!#REF!</f>
        <v>#REF!</v>
      </c>
      <c r="L73" s="117" t="e">
        <f>Simulações!#REF!</f>
        <v>#REF!</v>
      </c>
      <c r="M73" s="114" t="e">
        <f>IF(Simulações!#REF!="","",Simulações!#REF!)</f>
        <v>#REF!</v>
      </c>
      <c r="N73" s="114" t="e">
        <f>IF(Simulações!#REF!="","",Simulações!#REF!)</f>
        <v>#REF!</v>
      </c>
      <c r="O73" s="114">
        <v>1</v>
      </c>
    </row>
    <row r="74" spans="1:15" ht="15.75" hidden="1" customHeight="1" x14ac:dyDescent="0.3">
      <c r="A74" s="124" t="e">
        <f>Simulações!#REF!</f>
        <v>#REF!</v>
      </c>
      <c r="B74" s="114" t="e">
        <f>Simulações!#REF!</f>
        <v>#REF!</v>
      </c>
      <c r="C74" s="125" t="e">
        <f>Simulações!#REF!</f>
        <v>#REF!</v>
      </c>
      <c r="D74" s="114" t="e">
        <f>Simulações!#REF!</f>
        <v>#REF!</v>
      </c>
      <c r="E74" s="114" t="e">
        <f>Simulações!#REF!</f>
        <v>#REF!</v>
      </c>
      <c r="F74" s="114" t="e">
        <f>Simulações!#REF!</f>
        <v>#REF!</v>
      </c>
      <c r="G74" s="114" t="e">
        <f>Simulações!#REF!</f>
        <v>#REF!</v>
      </c>
      <c r="H74" s="114" t="e">
        <f>Simulações!#REF!</f>
        <v>#REF!</v>
      </c>
      <c r="I74" s="114" t="e">
        <f>IF(Simulações!#REF!="","",Simulações!#REF!)</f>
        <v>#REF!</v>
      </c>
      <c r="J74" s="114" t="e">
        <f>IF(Simulações!#REF!="","",Simulações!#REF!)</f>
        <v>#REF!</v>
      </c>
      <c r="K74" s="117" t="e">
        <f>Simulações!#REF!</f>
        <v>#REF!</v>
      </c>
      <c r="L74" s="117" t="e">
        <f>Simulações!#REF!</f>
        <v>#REF!</v>
      </c>
      <c r="M74" s="114" t="e">
        <f>IF(Simulações!#REF!="","",Simulações!#REF!)</f>
        <v>#REF!</v>
      </c>
      <c r="N74" s="114" t="e">
        <f>IF(Simulações!#REF!="","",Simulações!#REF!)</f>
        <v>#REF!</v>
      </c>
      <c r="O74" s="114">
        <v>1</v>
      </c>
    </row>
    <row r="75" spans="1:15" ht="15.75" hidden="1" customHeight="1" x14ac:dyDescent="0.3">
      <c r="A75" s="124" t="e">
        <f>Simulações!#REF!</f>
        <v>#REF!</v>
      </c>
      <c r="B75" s="114" t="e">
        <f>Simulações!#REF!</f>
        <v>#REF!</v>
      </c>
      <c r="C75" s="125" t="e">
        <f>Simulações!#REF!</f>
        <v>#REF!</v>
      </c>
      <c r="D75" s="114" t="e">
        <f>Simulações!#REF!</f>
        <v>#REF!</v>
      </c>
      <c r="E75" s="114" t="e">
        <f>Simulações!#REF!</f>
        <v>#REF!</v>
      </c>
      <c r="F75" s="114" t="e">
        <f>Simulações!#REF!</f>
        <v>#REF!</v>
      </c>
      <c r="G75" s="114" t="e">
        <f>Simulações!#REF!</f>
        <v>#REF!</v>
      </c>
      <c r="H75" s="114" t="e">
        <f>Simulações!#REF!</f>
        <v>#REF!</v>
      </c>
      <c r="I75" s="114" t="e">
        <f>IF(Simulações!#REF!="","",Simulações!#REF!)</f>
        <v>#REF!</v>
      </c>
      <c r="J75" s="114" t="e">
        <f>IF(Simulações!#REF!="","",Simulações!#REF!)</f>
        <v>#REF!</v>
      </c>
      <c r="K75" s="117" t="e">
        <f>Simulações!#REF!</f>
        <v>#REF!</v>
      </c>
      <c r="L75" s="117" t="e">
        <f>Simulações!#REF!</f>
        <v>#REF!</v>
      </c>
      <c r="M75" s="114" t="e">
        <f>IF(Simulações!#REF!="","",Simulações!#REF!)</f>
        <v>#REF!</v>
      </c>
      <c r="N75" s="114" t="e">
        <f>IF(Simulações!#REF!="","",Simulações!#REF!)</f>
        <v>#REF!</v>
      </c>
      <c r="O75" s="114">
        <v>1</v>
      </c>
    </row>
    <row r="76" spans="1:15" ht="15.75" hidden="1" customHeight="1" x14ac:dyDescent="0.3">
      <c r="A76" s="124" t="e">
        <f>Simulações!#REF!</f>
        <v>#REF!</v>
      </c>
      <c r="B76" s="114" t="e">
        <f>Simulações!#REF!</f>
        <v>#REF!</v>
      </c>
      <c r="C76" s="125" t="e">
        <f>Simulações!#REF!</f>
        <v>#REF!</v>
      </c>
      <c r="D76" s="114" t="e">
        <f>Simulações!#REF!</f>
        <v>#REF!</v>
      </c>
      <c r="E76" s="114" t="e">
        <f>Simulações!#REF!</f>
        <v>#REF!</v>
      </c>
      <c r="F76" s="114" t="e">
        <f>Simulações!#REF!</f>
        <v>#REF!</v>
      </c>
      <c r="G76" s="114" t="e">
        <f>Simulações!#REF!</f>
        <v>#REF!</v>
      </c>
      <c r="H76" s="114" t="e">
        <f>Simulações!#REF!</f>
        <v>#REF!</v>
      </c>
      <c r="I76" s="114" t="e">
        <f>IF(Simulações!#REF!="","",Simulações!#REF!)</f>
        <v>#REF!</v>
      </c>
      <c r="J76" s="114" t="e">
        <f>IF(Simulações!#REF!="","",Simulações!#REF!)</f>
        <v>#REF!</v>
      </c>
      <c r="K76" s="117" t="e">
        <f>Simulações!#REF!</f>
        <v>#REF!</v>
      </c>
      <c r="L76" s="117" t="e">
        <f>Simulações!#REF!</f>
        <v>#REF!</v>
      </c>
      <c r="M76" s="114" t="e">
        <f>IF(Simulações!#REF!="","",Simulações!#REF!)</f>
        <v>#REF!</v>
      </c>
      <c r="N76" s="114" t="e">
        <f>IF(Simulações!#REF!="","",Simulações!#REF!)</f>
        <v>#REF!</v>
      </c>
      <c r="O76" s="114">
        <v>1</v>
      </c>
    </row>
    <row r="77" spans="1:15" ht="15.75" hidden="1" customHeight="1" x14ac:dyDescent="0.3">
      <c r="A77" s="124" t="e">
        <f>Simulações!#REF!</f>
        <v>#REF!</v>
      </c>
      <c r="B77" s="114" t="e">
        <f>Simulações!#REF!</f>
        <v>#REF!</v>
      </c>
      <c r="C77" s="125" t="e">
        <f>Simulações!#REF!</f>
        <v>#REF!</v>
      </c>
      <c r="D77" s="114" t="e">
        <f>Simulações!#REF!</f>
        <v>#REF!</v>
      </c>
      <c r="E77" s="114" t="e">
        <f>Simulações!#REF!</f>
        <v>#REF!</v>
      </c>
      <c r="F77" s="114" t="e">
        <f>Simulações!#REF!</f>
        <v>#REF!</v>
      </c>
      <c r="G77" s="114" t="e">
        <f>Simulações!#REF!</f>
        <v>#REF!</v>
      </c>
      <c r="H77" s="114" t="e">
        <f>Simulações!#REF!</f>
        <v>#REF!</v>
      </c>
      <c r="I77" s="114" t="e">
        <f>IF(Simulações!#REF!="","",Simulações!#REF!)</f>
        <v>#REF!</v>
      </c>
      <c r="J77" s="114" t="e">
        <f>IF(Simulações!#REF!="","",Simulações!#REF!)</f>
        <v>#REF!</v>
      </c>
      <c r="K77" s="117" t="e">
        <f>Simulações!#REF!</f>
        <v>#REF!</v>
      </c>
      <c r="L77" s="117" t="e">
        <f>Simulações!#REF!</f>
        <v>#REF!</v>
      </c>
      <c r="M77" s="114" t="e">
        <f>IF(Simulações!#REF!="","",Simulações!#REF!)</f>
        <v>#REF!</v>
      </c>
      <c r="N77" s="114" t="e">
        <f>IF(Simulações!#REF!="","",Simulações!#REF!)</f>
        <v>#REF!</v>
      </c>
      <c r="O77" s="114">
        <v>1</v>
      </c>
    </row>
    <row r="78" spans="1:15" ht="15.75" hidden="1" customHeight="1" x14ac:dyDescent="0.3">
      <c r="A78" s="124" t="e">
        <f>Simulações!#REF!</f>
        <v>#REF!</v>
      </c>
      <c r="B78" s="114" t="e">
        <f>Simulações!#REF!</f>
        <v>#REF!</v>
      </c>
      <c r="C78" s="125" t="e">
        <f>Simulações!#REF!</f>
        <v>#REF!</v>
      </c>
      <c r="D78" s="114" t="e">
        <f>Simulações!#REF!</f>
        <v>#REF!</v>
      </c>
      <c r="E78" s="114" t="e">
        <f>Simulações!#REF!</f>
        <v>#REF!</v>
      </c>
      <c r="F78" s="114" t="e">
        <f>Simulações!#REF!</f>
        <v>#REF!</v>
      </c>
      <c r="G78" s="114" t="e">
        <f>Simulações!#REF!</f>
        <v>#REF!</v>
      </c>
      <c r="H78" s="114" t="e">
        <f>Simulações!#REF!</f>
        <v>#REF!</v>
      </c>
      <c r="I78" s="114" t="e">
        <f>IF(Simulações!#REF!="","",Simulações!#REF!)</f>
        <v>#REF!</v>
      </c>
      <c r="J78" s="114" t="e">
        <f>IF(Simulações!#REF!="","",Simulações!#REF!)</f>
        <v>#REF!</v>
      </c>
      <c r="K78" s="117" t="e">
        <f>Simulações!#REF!</f>
        <v>#REF!</v>
      </c>
      <c r="L78" s="117" t="e">
        <f>Simulações!#REF!</f>
        <v>#REF!</v>
      </c>
      <c r="M78" s="114" t="e">
        <f>IF(Simulações!#REF!="","",Simulações!#REF!)</f>
        <v>#REF!</v>
      </c>
      <c r="N78" s="114" t="e">
        <f>IF(Simulações!#REF!="","",Simulações!#REF!)</f>
        <v>#REF!</v>
      </c>
      <c r="O78" s="114">
        <v>1</v>
      </c>
    </row>
    <row r="79" spans="1:15" ht="15.75" hidden="1" customHeight="1" x14ac:dyDescent="0.3">
      <c r="A79" s="124" t="e">
        <f>Simulações!#REF!</f>
        <v>#REF!</v>
      </c>
      <c r="B79" s="114" t="e">
        <f>Simulações!#REF!</f>
        <v>#REF!</v>
      </c>
      <c r="C79" s="125" t="e">
        <f>Simulações!#REF!</f>
        <v>#REF!</v>
      </c>
      <c r="D79" s="114" t="e">
        <f>Simulações!#REF!</f>
        <v>#REF!</v>
      </c>
      <c r="E79" s="114" t="e">
        <f>Simulações!#REF!</f>
        <v>#REF!</v>
      </c>
      <c r="F79" s="114" t="e">
        <f>Simulações!#REF!</f>
        <v>#REF!</v>
      </c>
      <c r="G79" s="114" t="e">
        <f>Simulações!#REF!</f>
        <v>#REF!</v>
      </c>
      <c r="H79" s="114" t="e">
        <f>Simulações!#REF!</f>
        <v>#REF!</v>
      </c>
      <c r="I79" s="114" t="e">
        <f>IF(Simulações!#REF!="","",Simulações!#REF!)</f>
        <v>#REF!</v>
      </c>
      <c r="J79" s="114" t="e">
        <f>IF(Simulações!#REF!="","",Simulações!#REF!)</f>
        <v>#REF!</v>
      </c>
      <c r="K79" s="117" t="e">
        <f>Simulações!#REF!</f>
        <v>#REF!</v>
      </c>
      <c r="L79" s="117" t="e">
        <f>Simulações!#REF!</f>
        <v>#REF!</v>
      </c>
      <c r="M79" s="114" t="e">
        <f>IF(Simulações!#REF!="","",Simulações!#REF!)</f>
        <v>#REF!</v>
      </c>
      <c r="N79" s="114" t="e">
        <f>IF(Simulações!#REF!="","",Simulações!#REF!)</f>
        <v>#REF!</v>
      </c>
      <c r="O79" s="114">
        <v>1</v>
      </c>
    </row>
    <row r="80" spans="1:15" ht="15.75" hidden="1" customHeight="1" x14ac:dyDescent="0.3">
      <c r="A80" s="124" t="e">
        <f>Simulações!#REF!</f>
        <v>#REF!</v>
      </c>
      <c r="B80" s="114" t="e">
        <f>Simulações!#REF!</f>
        <v>#REF!</v>
      </c>
      <c r="C80" s="125" t="e">
        <f>Simulações!#REF!</f>
        <v>#REF!</v>
      </c>
      <c r="D80" s="114" t="e">
        <f>Simulações!#REF!</f>
        <v>#REF!</v>
      </c>
      <c r="E80" s="114" t="e">
        <f>Simulações!#REF!</f>
        <v>#REF!</v>
      </c>
      <c r="F80" s="114" t="e">
        <f>Simulações!#REF!</f>
        <v>#REF!</v>
      </c>
      <c r="G80" s="114" t="e">
        <f>Simulações!#REF!</f>
        <v>#REF!</v>
      </c>
      <c r="H80" s="114" t="e">
        <f>Simulações!#REF!</f>
        <v>#REF!</v>
      </c>
      <c r="I80" s="114" t="e">
        <f>IF(Simulações!#REF!="","",Simulações!#REF!)</f>
        <v>#REF!</v>
      </c>
      <c r="J80" s="114" t="e">
        <f>IF(Simulações!#REF!="","",Simulações!#REF!)</f>
        <v>#REF!</v>
      </c>
      <c r="K80" s="117" t="e">
        <f>Simulações!#REF!</f>
        <v>#REF!</v>
      </c>
      <c r="L80" s="117" t="e">
        <f>Simulações!#REF!</f>
        <v>#REF!</v>
      </c>
      <c r="M80" s="114" t="e">
        <f>IF(Simulações!#REF!="","",Simulações!#REF!)</f>
        <v>#REF!</v>
      </c>
      <c r="N80" s="114" t="e">
        <f>IF(Simulações!#REF!="","",Simulações!#REF!)</f>
        <v>#REF!</v>
      </c>
      <c r="O80" s="114">
        <v>1</v>
      </c>
    </row>
    <row r="81" spans="1:15" ht="15.75" hidden="1" customHeight="1" x14ac:dyDescent="0.3">
      <c r="A81" s="124" t="e">
        <f>Simulações!#REF!</f>
        <v>#REF!</v>
      </c>
      <c r="B81" s="114" t="e">
        <f>Simulações!#REF!</f>
        <v>#REF!</v>
      </c>
      <c r="C81" s="125" t="e">
        <f>Simulações!#REF!</f>
        <v>#REF!</v>
      </c>
      <c r="D81" s="114" t="e">
        <f>Simulações!#REF!</f>
        <v>#REF!</v>
      </c>
      <c r="E81" s="114" t="e">
        <f>Simulações!#REF!</f>
        <v>#REF!</v>
      </c>
      <c r="F81" s="114" t="e">
        <f>Simulações!#REF!</f>
        <v>#REF!</v>
      </c>
      <c r="G81" s="114" t="e">
        <f>Simulações!#REF!</f>
        <v>#REF!</v>
      </c>
      <c r="H81" s="114" t="e">
        <f>Simulações!#REF!</f>
        <v>#REF!</v>
      </c>
      <c r="I81" s="114" t="e">
        <f>IF(Simulações!#REF!="","",Simulações!#REF!)</f>
        <v>#REF!</v>
      </c>
      <c r="J81" s="114" t="e">
        <f>IF(Simulações!#REF!="","",Simulações!#REF!)</f>
        <v>#REF!</v>
      </c>
      <c r="K81" s="117" t="e">
        <f>Simulações!#REF!</f>
        <v>#REF!</v>
      </c>
      <c r="L81" s="117" t="e">
        <f>Simulações!#REF!</f>
        <v>#REF!</v>
      </c>
      <c r="M81" s="114" t="e">
        <f>IF(Simulações!#REF!="","",Simulações!#REF!)</f>
        <v>#REF!</v>
      </c>
      <c r="N81" s="114" t="e">
        <f>IF(Simulações!#REF!="","",Simulações!#REF!)</f>
        <v>#REF!</v>
      </c>
      <c r="O81" s="114">
        <v>1</v>
      </c>
    </row>
    <row r="82" spans="1:15" ht="15.75" hidden="1" customHeight="1" x14ac:dyDescent="0.3">
      <c r="A82" s="124" t="e">
        <f>Simulações!#REF!</f>
        <v>#REF!</v>
      </c>
      <c r="B82" s="114" t="e">
        <f>Simulações!#REF!</f>
        <v>#REF!</v>
      </c>
      <c r="C82" s="125" t="e">
        <f>Simulações!#REF!</f>
        <v>#REF!</v>
      </c>
      <c r="D82" s="114" t="e">
        <f>Simulações!#REF!</f>
        <v>#REF!</v>
      </c>
      <c r="E82" s="114" t="e">
        <f>Simulações!#REF!</f>
        <v>#REF!</v>
      </c>
      <c r="F82" s="114" t="e">
        <f>Simulações!#REF!</f>
        <v>#REF!</v>
      </c>
      <c r="G82" s="114" t="e">
        <f>Simulações!#REF!</f>
        <v>#REF!</v>
      </c>
      <c r="H82" s="114" t="e">
        <f>Simulações!#REF!</f>
        <v>#REF!</v>
      </c>
      <c r="I82" s="114" t="e">
        <f>IF(Simulações!#REF!="","",Simulações!#REF!)</f>
        <v>#REF!</v>
      </c>
      <c r="J82" s="114" t="e">
        <f>IF(Simulações!#REF!="","",Simulações!#REF!)</f>
        <v>#REF!</v>
      </c>
      <c r="K82" s="117" t="e">
        <f>Simulações!#REF!</f>
        <v>#REF!</v>
      </c>
      <c r="L82" s="117" t="e">
        <f>Simulações!#REF!</f>
        <v>#REF!</v>
      </c>
      <c r="M82" s="114" t="e">
        <f>IF(Simulações!#REF!="","",Simulações!#REF!)</f>
        <v>#REF!</v>
      </c>
      <c r="N82" s="114" t="e">
        <f>IF(Simulações!#REF!="","",Simulações!#REF!)</f>
        <v>#REF!</v>
      </c>
      <c r="O82" s="114">
        <v>1</v>
      </c>
    </row>
    <row r="83" spans="1:15" ht="15.75" hidden="1" customHeight="1" x14ac:dyDescent="0.3">
      <c r="A83" s="124" t="e">
        <f>Simulações!#REF!</f>
        <v>#REF!</v>
      </c>
      <c r="B83" s="114" t="e">
        <f>Simulações!#REF!</f>
        <v>#REF!</v>
      </c>
      <c r="C83" s="125" t="e">
        <f>Simulações!#REF!</f>
        <v>#REF!</v>
      </c>
      <c r="D83" s="114" t="e">
        <f>Simulações!#REF!</f>
        <v>#REF!</v>
      </c>
      <c r="E83" s="114" t="e">
        <f>Simulações!#REF!</f>
        <v>#REF!</v>
      </c>
      <c r="F83" s="114" t="e">
        <f>Simulações!#REF!</f>
        <v>#REF!</v>
      </c>
      <c r="G83" s="114" t="e">
        <f>Simulações!#REF!</f>
        <v>#REF!</v>
      </c>
      <c r="H83" s="114" t="e">
        <f>Simulações!#REF!</f>
        <v>#REF!</v>
      </c>
      <c r="I83" s="114" t="e">
        <f>IF(Simulações!#REF!="","",Simulações!#REF!)</f>
        <v>#REF!</v>
      </c>
      <c r="J83" s="114" t="e">
        <f>IF(Simulações!#REF!="","",Simulações!#REF!)</f>
        <v>#REF!</v>
      </c>
      <c r="K83" s="117" t="e">
        <f>Simulações!#REF!</f>
        <v>#REF!</v>
      </c>
      <c r="L83" s="117" t="e">
        <f>Simulações!#REF!</f>
        <v>#REF!</v>
      </c>
      <c r="M83" s="114" t="e">
        <f>IF(Simulações!#REF!="","",Simulações!#REF!)</f>
        <v>#REF!</v>
      </c>
      <c r="N83" s="114" t="e">
        <f>IF(Simulações!#REF!="","",Simulações!#REF!)</f>
        <v>#REF!</v>
      </c>
      <c r="O83" s="114">
        <v>1</v>
      </c>
    </row>
    <row r="84" spans="1:15" ht="15.75" hidden="1" customHeight="1" x14ac:dyDescent="0.3">
      <c r="A84" s="124" t="e">
        <f>Simulações!#REF!</f>
        <v>#REF!</v>
      </c>
      <c r="B84" s="114" t="e">
        <f>Simulações!#REF!</f>
        <v>#REF!</v>
      </c>
      <c r="C84" s="125" t="e">
        <f>Simulações!#REF!</f>
        <v>#REF!</v>
      </c>
      <c r="D84" s="114" t="e">
        <f>Simulações!#REF!</f>
        <v>#REF!</v>
      </c>
      <c r="E84" s="114" t="e">
        <f>Simulações!#REF!</f>
        <v>#REF!</v>
      </c>
      <c r="F84" s="114" t="e">
        <f>Simulações!#REF!</f>
        <v>#REF!</v>
      </c>
      <c r="G84" s="114" t="e">
        <f>Simulações!#REF!</f>
        <v>#REF!</v>
      </c>
      <c r="H84" s="114" t="e">
        <f>Simulações!#REF!</f>
        <v>#REF!</v>
      </c>
      <c r="I84" s="114" t="e">
        <f>IF(Simulações!#REF!="","",Simulações!#REF!)</f>
        <v>#REF!</v>
      </c>
      <c r="J84" s="114" t="e">
        <f>IF(Simulações!#REF!="","",Simulações!#REF!)</f>
        <v>#REF!</v>
      </c>
      <c r="K84" s="117" t="e">
        <f>Simulações!#REF!</f>
        <v>#REF!</v>
      </c>
      <c r="L84" s="117" t="e">
        <f>Simulações!#REF!</f>
        <v>#REF!</v>
      </c>
      <c r="M84" s="114" t="e">
        <f>IF(Simulações!#REF!="","",Simulações!#REF!)</f>
        <v>#REF!</v>
      </c>
      <c r="N84" s="114" t="e">
        <f>IF(Simulações!#REF!="","",Simulações!#REF!)</f>
        <v>#REF!</v>
      </c>
      <c r="O84" s="114">
        <v>1</v>
      </c>
    </row>
    <row r="85" spans="1:15" ht="15.75" hidden="1" customHeight="1" x14ac:dyDescent="0.3">
      <c r="A85" s="124" t="e">
        <f>Simulações!#REF!</f>
        <v>#REF!</v>
      </c>
      <c r="B85" s="114" t="e">
        <f>Simulações!#REF!</f>
        <v>#REF!</v>
      </c>
      <c r="C85" s="125" t="e">
        <f>Simulações!#REF!</f>
        <v>#REF!</v>
      </c>
      <c r="D85" s="114" t="e">
        <f>Simulações!#REF!</f>
        <v>#REF!</v>
      </c>
      <c r="E85" s="114" t="e">
        <f>Simulações!#REF!</f>
        <v>#REF!</v>
      </c>
      <c r="F85" s="114" t="e">
        <f>Simulações!#REF!</f>
        <v>#REF!</v>
      </c>
      <c r="G85" s="114" t="e">
        <f>Simulações!#REF!</f>
        <v>#REF!</v>
      </c>
      <c r="H85" s="114" t="e">
        <f>Simulações!#REF!</f>
        <v>#REF!</v>
      </c>
      <c r="I85" s="114" t="e">
        <f>IF(Simulações!#REF!="","",Simulações!#REF!)</f>
        <v>#REF!</v>
      </c>
      <c r="J85" s="114" t="e">
        <f>IF(Simulações!#REF!="","",Simulações!#REF!)</f>
        <v>#REF!</v>
      </c>
      <c r="K85" s="117" t="e">
        <f>Simulações!#REF!</f>
        <v>#REF!</v>
      </c>
      <c r="L85" s="117" t="e">
        <f>Simulações!#REF!</f>
        <v>#REF!</v>
      </c>
      <c r="M85" s="114" t="e">
        <f>IF(Simulações!#REF!="","",Simulações!#REF!)</f>
        <v>#REF!</v>
      </c>
      <c r="N85" s="114" t="e">
        <f>IF(Simulações!#REF!="","",Simulações!#REF!)</f>
        <v>#REF!</v>
      </c>
      <c r="O85" s="114">
        <v>1</v>
      </c>
    </row>
    <row r="86" spans="1:15" ht="15.75" hidden="1" customHeight="1" x14ac:dyDescent="0.3">
      <c r="A86" s="124" t="e">
        <f>Simulações!#REF!</f>
        <v>#REF!</v>
      </c>
      <c r="B86" s="114" t="e">
        <f>Simulações!#REF!</f>
        <v>#REF!</v>
      </c>
      <c r="C86" s="125" t="e">
        <f>Simulações!#REF!</f>
        <v>#REF!</v>
      </c>
      <c r="D86" s="114" t="e">
        <f>Simulações!#REF!</f>
        <v>#REF!</v>
      </c>
      <c r="E86" s="114" t="e">
        <f>Simulações!#REF!</f>
        <v>#REF!</v>
      </c>
      <c r="F86" s="114" t="e">
        <f>Simulações!#REF!</f>
        <v>#REF!</v>
      </c>
      <c r="G86" s="114" t="e">
        <f>Simulações!#REF!</f>
        <v>#REF!</v>
      </c>
      <c r="H86" s="114" t="e">
        <f>Simulações!#REF!</f>
        <v>#REF!</v>
      </c>
      <c r="I86" s="114" t="e">
        <f>IF(Simulações!#REF!="","",Simulações!#REF!)</f>
        <v>#REF!</v>
      </c>
      <c r="J86" s="114" t="e">
        <f>IF(Simulações!#REF!="","",Simulações!#REF!)</f>
        <v>#REF!</v>
      </c>
      <c r="K86" s="117" t="e">
        <f>Simulações!#REF!</f>
        <v>#REF!</v>
      </c>
      <c r="L86" s="117" t="e">
        <f>Simulações!#REF!</f>
        <v>#REF!</v>
      </c>
      <c r="M86" s="114" t="e">
        <f>IF(Simulações!#REF!="","",Simulações!#REF!)</f>
        <v>#REF!</v>
      </c>
      <c r="N86" s="114" t="e">
        <f>IF(Simulações!#REF!="","",Simulações!#REF!)</f>
        <v>#REF!</v>
      </c>
      <c r="O86" s="114">
        <v>1</v>
      </c>
    </row>
    <row r="87" spans="1:15" ht="15.75" hidden="1" customHeight="1" x14ac:dyDescent="0.3">
      <c r="A87" s="124" t="e">
        <f>Simulações!#REF!</f>
        <v>#REF!</v>
      </c>
      <c r="B87" s="114" t="e">
        <f>Simulações!#REF!</f>
        <v>#REF!</v>
      </c>
      <c r="C87" s="125" t="e">
        <f>Simulações!#REF!</f>
        <v>#REF!</v>
      </c>
      <c r="D87" s="114" t="e">
        <f>Simulações!#REF!</f>
        <v>#REF!</v>
      </c>
      <c r="E87" s="114" t="e">
        <f>Simulações!#REF!</f>
        <v>#REF!</v>
      </c>
      <c r="F87" s="114" t="e">
        <f>Simulações!#REF!</f>
        <v>#REF!</v>
      </c>
      <c r="G87" s="114" t="e">
        <f>Simulações!#REF!</f>
        <v>#REF!</v>
      </c>
      <c r="H87" s="114" t="e">
        <f>Simulações!#REF!</f>
        <v>#REF!</v>
      </c>
      <c r="I87" s="114" t="e">
        <f>IF(Simulações!#REF!="","",Simulações!#REF!)</f>
        <v>#REF!</v>
      </c>
      <c r="J87" s="114" t="e">
        <f>IF(Simulações!#REF!="","",Simulações!#REF!)</f>
        <v>#REF!</v>
      </c>
      <c r="K87" s="117" t="e">
        <f>Simulações!#REF!</f>
        <v>#REF!</v>
      </c>
      <c r="L87" s="117" t="e">
        <f>Simulações!#REF!</f>
        <v>#REF!</v>
      </c>
      <c r="M87" s="114" t="e">
        <f>IF(Simulações!#REF!="","",Simulações!#REF!)</f>
        <v>#REF!</v>
      </c>
      <c r="N87" s="114" t="e">
        <f>IF(Simulações!#REF!="","",Simulações!#REF!)</f>
        <v>#REF!</v>
      </c>
      <c r="O87" s="114">
        <v>1</v>
      </c>
    </row>
    <row r="88" spans="1:15" ht="15.75" hidden="1" customHeight="1" x14ac:dyDescent="0.3">
      <c r="A88" s="124" t="e">
        <f>Simulações!#REF!</f>
        <v>#REF!</v>
      </c>
      <c r="B88" s="114" t="e">
        <f>Simulações!#REF!</f>
        <v>#REF!</v>
      </c>
      <c r="C88" s="125" t="e">
        <f>Simulações!#REF!</f>
        <v>#REF!</v>
      </c>
      <c r="D88" s="114" t="e">
        <f>Simulações!#REF!</f>
        <v>#REF!</v>
      </c>
      <c r="E88" s="114" t="e">
        <f>Simulações!#REF!</f>
        <v>#REF!</v>
      </c>
      <c r="F88" s="114" t="e">
        <f>Simulações!#REF!</f>
        <v>#REF!</v>
      </c>
      <c r="G88" s="114" t="e">
        <f>Simulações!#REF!</f>
        <v>#REF!</v>
      </c>
      <c r="H88" s="114" t="e">
        <f>Simulações!#REF!</f>
        <v>#REF!</v>
      </c>
      <c r="I88" s="114" t="e">
        <f>IF(Simulações!#REF!="","",Simulações!#REF!)</f>
        <v>#REF!</v>
      </c>
      <c r="J88" s="114" t="e">
        <f>IF(Simulações!#REF!="","",Simulações!#REF!)</f>
        <v>#REF!</v>
      </c>
      <c r="K88" s="117" t="e">
        <f>Simulações!#REF!</f>
        <v>#REF!</v>
      </c>
      <c r="L88" s="117" t="e">
        <f>Simulações!#REF!</f>
        <v>#REF!</v>
      </c>
      <c r="M88" s="114" t="e">
        <f>IF(Simulações!#REF!="","",Simulações!#REF!)</f>
        <v>#REF!</v>
      </c>
      <c r="N88" s="114" t="e">
        <f>IF(Simulações!#REF!="","",Simulações!#REF!)</f>
        <v>#REF!</v>
      </c>
      <c r="O88" s="114">
        <v>1</v>
      </c>
    </row>
    <row r="89" spans="1:15" ht="15.75" hidden="1" customHeight="1" x14ac:dyDescent="0.3">
      <c r="A89" s="124" t="e">
        <f>Simulações!#REF!</f>
        <v>#REF!</v>
      </c>
      <c r="B89" s="114" t="e">
        <f>Simulações!#REF!</f>
        <v>#REF!</v>
      </c>
      <c r="C89" s="125" t="e">
        <f>Simulações!#REF!</f>
        <v>#REF!</v>
      </c>
      <c r="D89" s="114" t="e">
        <f>Simulações!#REF!</f>
        <v>#REF!</v>
      </c>
      <c r="E89" s="114" t="e">
        <f>Simulações!#REF!</f>
        <v>#REF!</v>
      </c>
      <c r="F89" s="114" t="e">
        <f>Simulações!#REF!</f>
        <v>#REF!</v>
      </c>
      <c r="G89" s="114" t="e">
        <f>Simulações!#REF!</f>
        <v>#REF!</v>
      </c>
      <c r="H89" s="114" t="e">
        <f>Simulações!#REF!</f>
        <v>#REF!</v>
      </c>
      <c r="I89" s="114" t="e">
        <f>IF(Simulações!#REF!="","",Simulações!#REF!)</f>
        <v>#REF!</v>
      </c>
      <c r="J89" s="114" t="e">
        <f>IF(Simulações!#REF!="","",Simulações!#REF!)</f>
        <v>#REF!</v>
      </c>
      <c r="K89" s="117" t="e">
        <f>Simulações!#REF!</f>
        <v>#REF!</v>
      </c>
      <c r="L89" s="117" t="e">
        <f>Simulações!#REF!</f>
        <v>#REF!</v>
      </c>
      <c r="M89" s="114" t="e">
        <f>IF(Simulações!#REF!="","",Simulações!#REF!)</f>
        <v>#REF!</v>
      </c>
      <c r="N89" s="114" t="e">
        <f>IF(Simulações!#REF!="","",Simulações!#REF!)</f>
        <v>#REF!</v>
      </c>
      <c r="O89" s="114">
        <v>1</v>
      </c>
    </row>
    <row r="90" spans="1:15" ht="15.75" hidden="1" customHeight="1" x14ac:dyDescent="0.3">
      <c r="A90" s="124" t="e">
        <f>Simulações!#REF!</f>
        <v>#REF!</v>
      </c>
      <c r="B90" s="114" t="e">
        <f>Simulações!#REF!</f>
        <v>#REF!</v>
      </c>
      <c r="C90" s="125" t="e">
        <f>Simulações!#REF!</f>
        <v>#REF!</v>
      </c>
      <c r="D90" s="114" t="e">
        <f>Simulações!#REF!</f>
        <v>#REF!</v>
      </c>
      <c r="E90" s="114" t="e">
        <f>Simulações!#REF!</f>
        <v>#REF!</v>
      </c>
      <c r="F90" s="114" t="e">
        <f>Simulações!#REF!</f>
        <v>#REF!</v>
      </c>
      <c r="G90" s="114" t="e">
        <f>Simulações!#REF!</f>
        <v>#REF!</v>
      </c>
      <c r="H90" s="114" t="e">
        <f>Simulações!#REF!</f>
        <v>#REF!</v>
      </c>
      <c r="I90" s="114" t="e">
        <f>IF(Simulações!#REF!="","",Simulações!#REF!)</f>
        <v>#REF!</v>
      </c>
      <c r="J90" s="114" t="e">
        <f>IF(Simulações!#REF!="","",Simulações!#REF!)</f>
        <v>#REF!</v>
      </c>
      <c r="K90" s="117" t="e">
        <f>Simulações!#REF!</f>
        <v>#REF!</v>
      </c>
      <c r="L90" s="117" t="e">
        <f>Simulações!#REF!</f>
        <v>#REF!</v>
      </c>
      <c r="M90" s="114" t="e">
        <f>IF(Simulações!#REF!="","",Simulações!#REF!)</f>
        <v>#REF!</v>
      </c>
      <c r="N90" s="114" t="e">
        <f>IF(Simulações!#REF!="","",Simulações!#REF!)</f>
        <v>#REF!</v>
      </c>
      <c r="O90" s="114">
        <v>1</v>
      </c>
    </row>
    <row r="91" spans="1:15" ht="15.75" hidden="1" customHeight="1" x14ac:dyDescent="0.3">
      <c r="A91" s="124" t="e">
        <f>Simulações!#REF!</f>
        <v>#REF!</v>
      </c>
      <c r="B91" s="114" t="e">
        <f>Simulações!#REF!</f>
        <v>#REF!</v>
      </c>
      <c r="C91" s="125" t="e">
        <f>Simulações!#REF!</f>
        <v>#REF!</v>
      </c>
      <c r="D91" s="114" t="e">
        <f>Simulações!#REF!</f>
        <v>#REF!</v>
      </c>
      <c r="E91" s="114" t="e">
        <f>Simulações!#REF!</f>
        <v>#REF!</v>
      </c>
      <c r="F91" s="114" t="e">
        <f>Simulações!#REF!</f>
        <v>#REF!</v>
      </c>
      <c r="G91" s="114" t="e">
        <f>Simulações!#REF!</f>
        <v>#REF!</v>
      </c>
      <c r="H91" s="114" t="e">
        <f>Simulações!#REF!</f>
        <v>#REF!</v>
      </c>
      <c r="I91" s="114" t="e">
        <f>IF(Simulações!#REF!="","",Simulações!#REF!)</f>
        <v>#REF!</v>
      </c>
      <c r="J91" s="114" t="e">
        <f>IF(Simulações!#REF!="","",Simulações!#REF!)</f>
        <v>#REF!</v>
      </c>
      <c r="K91" s="117" t="e">
        <f>Simulações!#REF!</f>
        <v>#REF!</v>
      </c>
      <c r="L91" s="117" t="e">
        <f>Simulações!#REF!</f>
        <v>#REF!</v>
      </c>
      <c r="M91" s="114" t="e">
        <f>IF(Simulações!#REF!="","",Simulações!#REF!)</f>
        <v>#REF!</v>
      </c>
      <c r="N91" s="114" t="e">
        <f>IF(Simulações!#REF!="","",Simulações!#REF!)</f>
        <v>#REF!</v>
      </c>
      <c r="O91" s="114">
        <v>1</v>
      </c>
    </row>
    <row r="92" spans="1:15" ht="15.75" hidden="1" customHeight="1" x14ac:dyDescent="0.3">
      <c r="A92" s="124" t="e">
        <f>Simulações!#REF!</f>
        <v>#REF!</v>
      </c>
      <c r="B92" s="114" t="e">
        <f>Simulações!#REF!</f>
        <v>#REF!</v>
      </c>
      <c r="C92" s="125" t="e">
        <f>Simulações!#REF!</f>
        <v>#REF!</v>
      </c>
      <c r="D92" s="114" t="e">
        <f>Simulações!#REF!</f>
        <v>#REF!</v>
      </c>
      <c r="E92" s="114" t="e">
        <f>Simulações!#REF!</f>
        <v>#REF!</v>
      </c>
      <c r="F92" s="114" t="e">
        <f>Simulações!#REF!</f>
        <v>#REF!</v>
      </c>
      <c r="G92" s="114" t="e">
        <f>Simulações!#REF!</f>
        <v>#REF!</v>
      </c>
      <c r="H92" s="114" t="e">
        <f>Simulações!#REF!</f>
        <v>#REF!</v>
      </c>
      <c r="I92" s="114" t="e">
        <f>IF(Simulações!#REF!="","",Simulações!#REF!)</f>
        <v>#REF!</v>
      </c>
      <c r="J92" s="114" t="e">
        <f>IF(Simulações!#REF!="","",Simulações!#REF!)</f>
        <v>#REF!</v>
      </c>
      <c r="K92" s="117" t="e">
        <f>Simulações!#REF!</f>
        <v>#REF!</v>
      </c>
      <c r="L92" s="117" t="e">
        <f>Simulações!#REF!</f>
        <v>#REF!</v>
      </c>
      <c r="M92" s="114" t="e">
        <f>IF(Simulações!#REF!="","",Simulações!#REF!)</f>
        <v>#REF!</v>
      </c>
      <c r="N92" s="114" t="e">
        <f>IF(Simulações!#REF!="","",Simulações!#REF!)</f>
        <v>#REF!</v>
      </c>
      <c r="O92" s="114">
        <v>1</v>
      </c>
    </row>
    <row r="93" spans="1:15" ht="15.75" hidden="1" customHeight="1" x14ac:dyDescent="0.3">
      <c r="A93" s="124" t="e">
        <f>Simulações!#REF!</f>
        <v>#REF!</v>
      </c>
      <c r="B93" s="114" t="e">
        <f>Simulações!#REF!</f>
        <v>#REF!</v>
      </c>
      <c r="C93" s="125" t="e">
        <f>Simulações!#REF!</f>
        <v>#REF!</v>
      </c>
      <c r="D93" s="114" t="e">
        <f>Simulações!#REF!</f>
        <v>#REF!</v>
      </c>
      <c r="E93" s="114" t="e">
        <f>Simulações!#REF!</f>
        <v>#REF!</v>
      </c>
      <c r="F93" s="114" t="e">
        <f>Simulações!#REF!</f>
        <v>#REF!</v>
      </c>
      <c r="G93" s="114" t="e">
        <f>Simulações!#REF!</f>
        <v>#REF!</v>
      </c>
      <c r="H93" s="114" t="e">
        <f>Simulações!#REF!</f>
        <v>#REF!</v>
      </c>
      <c r="I93" s="114" t="e">
        <f>IF(Simulações!#REF!="","",Simulações!#REF!)</f>
        <v>#REF!</v>
      </c>
      <c r="J93" s="114" t="e">
        <f>IF(Simulações!#REF!="","",Simulações!#REF!)</f>
        <v>#REF!</v>
      </c>
      <c r="K93" s="117" t="e">
        <f>Simulações!#REF!</f>
        <v>#REF!</v>
      </c>
      <c r="L93" s="117" t="e">
        <f>Simulações!#REF!</f>
        <v>#REF!</v>
      </c>
      <c r="M93" s="114" t="e">
        <f>IF(Simulações!#REF!="","",Simulações!#REF!)</f>
        <v>#REF!</v>
      </c>
      <c r="N93" s="114" t="e">
        <f>IF(Simulações!#REF!="","",Simulações!#REF!)</f>
        <v>#REF!</v>
      </c>
      <c r="O93" s="114">
        <v>1</v>
      </c>
    </row>
    <row r="94" spans="1:15" ht="15.75" hidden="1" customHeight="1" x14ac:dyDescent="0.3">
      <c r="A94" s="124" t="e">
        <f>Simulações!#REF!</f>
        <v>#REF!</v>
      </c>
      <c r="B94" s="114" t="e">
        <f>Simulações!#REF!</f>
        <v>#REF!</v>
      </c>
      <c r="C94" s="125" t="e">
        <f>Simulações!#REF!</f>
        <v>#REF!</v>
      </c>
      <c r="D94" s="114" t="e">
        <f>Simulações!#REF!</f>
        <v>#REF!</v>
      </c>
      <c r="E94" s="114" t="e">
        <f>Simulações!#REF!</f>
        <v>#REF!</v>
      </c>
      <c r="F94" s="114" t="e">
        <f>Simulações!#REF!</f>
        <v>#REF!</v>
      </c>
      <c r="G94" s="114" t="e">
        <f>Simulações!#REF!</f>
        <v>#REF!</v>
      </c>
      <c r="H94" s="114" t="e">
        <f>Simulações!#REF!</f>
        <v>#REF!</v>
      </c>
      <c r="I94" s="114" t="e">
        <f>IF(Simulações!#REF!="","",Simulações!#REF!)</f>
        <v>#REF!</v>
      </c>
      <c r="J94" s="114" t="e">
        <f>IF(Simulações!#REF!="","",Simulações!#REF!)</f>
        <v>#REF!</v>
      </c>
      <c r="K94" s="117" t="e">
        <f>Simulações!#REF!</f>
        <v>#REF!</v>
      </c>
      <c r="L94" s="117" t="e">
        <f>Simulações!#REF!</f>
        <v>#REF!</v>
      </c>
      <c r="M94" s="114" t="e">
        <f>IF(Simulações!#REF!="","",Simulações!#REF!)</f>
        <v>#REF!</v>
      </c>
      <c r="N94" s="114" t="e">
        <f>IF(Simulações!#REF!="","",Simulações!#REF!)</f>
        <v>#REF!</v>
      </c>
      <c r="O94" s="114">
        <v>1</v>
      </c>
    </row>
    <row r="95" spans="1:15" ht="15.75" hidden="1" customHeight="1" x14ac:dyDescent="0.3">
      <c r="A95" s="124" t="e">
        <f>Simulações!#REF!</f>
        <v>#REF!</v>
      </c>
      <c r="B95" s="114" t="e">
        <f>Simulações!#REF!</f>
        <v>#REF!</v>
      </c>
      <c r="C95" s="125" t="e">
        <f>Simulações!#REF!</f>
        <v>#REF!</v>
      </c>
      <c r="D95" s="114" t="e">
        <f>Simulações!#REF!</f>
        <v>#REF!</v>
      </c>
      <c r="E95" s="114" t="e">
        <f>Simulações!#REF!</f>
        <v>#REF!</v>
      </c>
      <c r="F95" s="114" t="e">
        <f>Simulações!#REF!</f>
        <v>#REF!</v>
      </c>
      <c r="G95" s="114" t="e">
        <f>Simulações!#REF!</f>
        <v>#REF!</v>
      </c>
      <c r="H95" s="114" t="e">
        <f>Simulações!#REF!</f>
        <v>#REF!</v>
      </c>
      <c r="I95" s="114" t="e">
        <f>IF(Simulações!#REF!="","",Simulações!#REF!)</f>
        <v>#REF!</v>
      </c>
      <c r="J95" s="114" t="e">
        <f>IF(Simulações!#REF!="","",Simulações!#REF!)</f>
        <v>#REF!</v>
      </c>
      <c r="K95" s="117" t="e">
        <f>Simulações!#REF!</f>
        <v>#REF!</v>
      </c>
      <c r="L95" s="117" t="e">
        <f>Simulações!#REF!</f>
        <v>#REF!</v>
      </c>
      <c r="M95" s="114" t="e">
        <f>IF(Simulações!#REF!="","",Simulações!#REF!)</f>
        <v>#REF!</v>
      </c>
      <c r="N95" s="114" t="e">
        <f>IF(Simulações!#REF!="","",Simulações!#REF!)</f>
        <v>#REF!</v>
      </c>
      <c r="O95" s="114">
        <v>1</v>
      </c>
    </row>
    <row r="96" spans="1:15" ht="15.75" hidden="1" customHeight="1" x14ac:dyDescent="0.3">
      <c r="A96" s="124" t="e">
        <f>Simulações!#REF!</f>
        <v>#REF!</v>
      </c>
      <c r="B96" s="114" t="e">
        <f>Simulações!#REF!</f>
        <v>#REF!</v>
      </c>
      <c r="C96" s="125" t="e">
        <f>Simulações!#REF!</f>
        <v>#REF!</v>
      </c>
      <c r="D96" s="114" t="e">
        <f>Simulações!#REF!</f>
        <v>#REF!</v>
      </c>
      <c r="E96" s="114" t="e">
        <f>Simulações!#REF!</f>
        <v>#REF!</v>
      </c>
      <c r="F96" s="114" t="e">
        <f>Simulações!#REF!</f>
        <v>#REF!</v>
      </c>
      <c r="G96" s="114" t="e">
        <f>Simulações!#REF!</f>
        <v>#REF!</v>
      </c>
      <c r="H96" s="114" t="e">
        <f>Simulações!#REF!</f>
        <v>#REF!</v>
      </c>
      <c r="I96" s="114" t="e">
        <f>IF(Simulações!#REF!="","",Simulações!#REF!)</f>
        <v>#REF!</v>
      </c>
      <c r="J96" s="114" t="e">
        <f>IF(Simulações!#REF!="","",Simulações!#REF!)</f>
        <v>#REF!</v>
      </c>
      <c r="K96" s="117" t="e">
        <f>Simulações!#REF!</f>
        <v>#REF!</v>
      </c>
      <c r="L96" s="117" t="e">
        <f>Simulações!#REF!</f>
        <v>#REF!</v>
      </c>
      <c r="M96" s="114" t="e">
        <f>IF(Simulações!#REF!="","",Simulações!#REF!)</f>
        <v>#REF!</v>
      </c>
      <c r="N96" s="114" t="e">
        <f>IF(Simulações!#REF!="","",Simulações!#REF!)</f>
        <v>#REF!</v>
      </c>
      <c r="O96" s="114">
        <v>1</v>
      </c>
    </row>
    <row r="97" spans="1:15" ht="15.75" hidden="1" customHeight="1" x14ac:dyDescent="0.3">
      <c r="A97" s="124" t="e">
        <f>Simulações!#REF!</f>
        <v>#REF!</v>
      </c>
      <c r="B97" s="114" t="e">
        <f>Simulações!#REF!</f>
        <v>#REF!</v>
      </c>
      <c r="C97" s="125" t="e">
        <f>Simulações!#REF!</f>
        <v>#REF!</v>
      </c>
      <c r="D97" s="114" t="e">
        <f>Simulações!#REF!</f>
        <v>#REF!</v>
      </c>
      <c r="E97" s="114" t="e">
        <f>Simulações!#REF!</f>
        <v>#REF!</v>
      </c>
      <c r="F97" s="114" t="e">
        <f>Simulações!#REF!</f>
        <v>#REF!</v>
      </c>
      <c r="G97" s="114" t="e">
        <f>Simulações!#REF!</f>
        <v>#REF!</v>
      </c>
      <c r="H97" s="114" t="e">
        <f>Simulações!#REF!</f>
        <v>#REF!</v>
      </c>
      <c r="I97" s="114" t="e">
        <f>IF(Simulações!#REF!="","",Simulações!#REF!)</f>
        <v>#REF!</v>
      </c>
      <c r="J97" s="114" t="e">
        <f>IF(Simulações!#REF!="","",Simulações!#REF!)</f>
        <v>#REF!</v>
      </c>
      <c r="K97" s="117" t="e">
        <f>Simulações!#REF!</f>
        <v>#REF!</v>
      </c>
      <c r="L97" s="117" t="e">
        <f>Simulações!#REF!</f>
        <v>#REF!</v>
      </c>
      <c r="M97" s="114" t="e">
        <f>IF(Simulações!#REF!="","",Simulações!#REF!)</f>
        <v>#REF!</v>
      </c>
      <c r="N97" s="114" t="e">
        <f>IF(Simulações!#REF!="","",Simulações!#REF!)</f>
        <v>#REF!</v>
      </c>
      <c r="O97" s="114">
        <v>1</v>
      </c>
    </row>
    <row r="98" spans="1:15" ht="15.75" hidden="1" customHeight="1" x14ac:dyDescent="0.3">
      <c r="A98" s="124" t="e">
        <f>Simulações!#REF!</f>
        <v>#REF!</v>
      </c>
      <c r="B98" s="114" t="e">
        <f>Simulações!#REF!</f>
        <v>#REF!</v>
      </c>
      <c r="C98" s="125" t="e">
        <f>Simulações!#REF!</f>
        <v>#REF!</v>
      </c>
      <c r="D98" s="114" t="e">
        <f>Simulações!#REF!</f>
        <v>#REF!</v>
      </c>
      <c r="E98" s="114" t="e">
        <f>Simulações!#REF!</f>
        <v>#REF!</v>
      </c>
      <c r="F98" s="114" t="e">
        <f>Simulações!#REF!</f>
        <v>#REF!</v>
      </c>
      <c r="G98" s="114" t="e">
        <f>Simulações!#REF!</f>
        <v>#REF!</v>
      </c>
      <c r="H98" s="114" t="e">
        <f>Simulações!#REF!</f>
        <v>#REF!</v>
      </c>
      <c r="I98" s="114" t="e">
        <f>IF(Simulações!#REF!="","",Simulações!#REF!)</f>
        <v>#REF!</v>
      </c>
      <c r="J98" s="114" t="e">
        <f>IF(Simulações!#REF!="","",Simulações!#REF!)</f>
        <v>#REF!</v>
      </c>
      <c r="K98" s="117" t="e">
        <f>Simulações!#REF!</f>
        <v>#REF!</v>
      </c>
      <c r="L98" s="117" t="e">
        <f>Simulações!#REF!</f>
        <v>#REF!</v>
      </c>
      <c r="M98" s="114" t="e">
        <f>IF(Simulações!#REF!="","",Simulações!#REF!)</f>
        <v>#REF!</v>
      </c>
      <c r="N98" s="114" t="e">
        <f>IF(Simulações!#REF!="","",Simulações!#REF!)</f>
        <v>#REF!</v>
      </c>
      <c r="O98" s="114">
        <v>1</v>
      </c>
    </row>
    <row r="99" spans="1:15" ht="15.75" hidden="1" customHeight="1" x14ac:dyDescent="0.3">
      <c r="A99" s="124" t="e">
        <f>Simulações!#REF!</f>
        <v>#REF!</v>
      </c>
      <c r="B99" s="114" t="e">
        <f>Simulações!#REF!</f>
        <v>#REF!</v>
      </c>
      <c r="C99" s="125" t="e">
        <f>Simulações!#REF!</f>
        <v>#REF!</v>
      </c>
      <c r="D99" s="114" t="e">
        <f>Simulações!#REF!</f>
        <v>#REF!</v>
      </c>
      <c r="E99" s="114" t="e">
        <f>Simulações!#REF!</f>
        <v>#REF!</v>
      </c>
      <c r="F99" s="114" t="e">
        <f>Simulações!#REF!</f>
        <v>#REF!</v>
      </c>
      <c r="G99" s="114" t="e">
        <f>Simulações!#REF!</f>
        <v>#REF!</v>
      </c>
      <c r="H99" s="114" t="e">
        <f>Simulações!#REF!</f>
        <v>#REF!</v>
      </c>
      <c r="I99" s="114" t="e">
        <f>IF(Simulações!#REF!="","",Simulações!#REF!)</f>
        <v>#REF!</v>
      </c>
      <c r="J99" s="114" t="e">
        <f>IF(Simulações!#REF!="","",Simulações!#REF!)</f>
        <v>#REF!</v>
      </c>
      <c r="K99" s="117" t="e">
        <f>Simulações!#REF!</f>
        <v>#REF!</v>
      </c>
      <c r="L99" s="117" t="e">
        <f>Simulações!#REF!</f>
        <v>#REF!</v>
      </c>
      <c r="M99" s="114" t="e">
        <f>IF(Simulações!#REF!="","",Simulações!#REF!)</f>
        <v>#REF!</v>
      </c>
      <c r="N99" s="114" t="e">
        <f>IF(Simulações!#REF!="","",Simulações!#REF!)</f>
        <v>#REF!</v>
      </c>
      <c r="O99" s="114">
        <v>1</v>
      </c>
    </row>
    <row r="100" spans="1:15" ht="15.75" hidden="1" customHeight="1" x14ac:dyDescent="0.3">
      <c r="A100" s="124" t="e">
        <f>Simulações!#REF!</f>
        <v>#REF!</v>
      </c>
      <c r="B100" s="114" t="e">
        <f>Simulações!#REF!</f>
        <v>#REF!</v>
      </c>
      <c r="C100" s="125" t="e">
        <f>Simulações!#REF!</f>
        <v>#REF!</v>
      </c>
      <c r="D100" s="114" t="e">
        <f>Simulações!#REF!</f>
        <v>#REF!</v>
      </c>
      <c r="E100" s="114" t="e">
        <f>Simulações!#REF!</f>
        <v>#REF!</v>
      </c>
      <c r="F100" s="114" t="e">
        <f>Simulações!#REF!</f>
        <v>#REF!</v>
      </c>
      <c r="G100" s="114" t="e">
        <f>Simulações!#REF!</f>
        <v>#REF!</v>
      </c>
      <c r="H100" s="114" t="e">
        <f>Simulações!#REF!</f>
        <v>#REF!</v>
      </c>
      <c r="I100" s="114" t="e">
        <f>IF(Simulações!#REF!="","",Simulações!#REF!)</f>
        <v>#REF!</v>
      </c>
      <c r="J100" s="114" t="e">
        <f>IF(Simulações!#REF!="","",Simulações!#REF!)</f>
        <v>#REF!</v>
      </c>
      <c r="K100" s="117" t="e">
        <f>Simulações!#REF!</f>
        <v>#REF!</v>
      </c>
      <c r="L100" s="117" t="e">
        <f>Simulações!#REF!</f>
        <v>#REF!</v>
      </c>
      <c r="M100" s="114" t="e">
        <f>IF(Simulações!#REF!="","",Simulações!#REF!)</f>
        <v>#REF!</v>
      </c>
      <c r="N100" s="114" t="e">
        <f>IF(Simulações!#REF!="","",Simulações!#REF!)</f>
        <v>#REF!</v>
      </c>
      <c r="O100" s="114">
        <v>1</v>
      </c>
    </row>
    <row r="101" spans="1:15" ht="15.75" hidden="1" customHeight="1" x14ac:dyDescent="0.3">
      <c r="A101" s="124" t="e">
        <f>Simulações!#REF!</f>
        <v>#REF!</v>
      </c>
      <c r="B101" s="114" t="e">
        <f>Simulações!#REF!</f>
        <v>#REF!</v>
      </c>
      <c r="C101" s="125" t="e">
        <f>Simulações!#REF!</f>
        <v>#REF!</v>
      </c>
      <c r="D101" s="114" t="e">
        <f>Simulações!#REF!</f>
        <v>#REF!</v>
      </c>
      <c r="E101" s="114" t="e">
        <f>Simulações!#REF!</f>
        <v>#REF!</v>
      </c>
      <c r="F101" s="114" t="e">
        <f>Simulações!#REF!</f>
        <v>#REF!</v>
      </c>
      <c r="G101" s="114" t="e">
        <f>Simulações!#REF!</f>
        <v>#REF!</v>
      </c>
      <c r="H101" s="114" t="e">
        <f>Simulações!#REF!</f>
        <v>#REF!</v>
      </c>
      <c r="I101" s="114" t="e">
        <f>IF(Simulações!#REF!="","",Simulações!#REF!)</f>
        <v>#REF!</v>
      </c>
      <c r="J101" s="114" t="e">
        <f>IF(Simulações!#REF!="","",Simulações!#REF!)</f>
        <v>#REF!</v>
      </c>
      <c r="K101" s="117" t="e">
        <f>Simulações!#REF!</f>
        <v>#REF!</v>
      </c>
      <c r="L101" s="117" t="e">
        <f>Simulações!#REF!</f>
        <v>#REF!</v>
      </c>
      <c r="M101" s="114" t="e">
        <f>IF(Simulações!#REF!="","",Simulações!#REF!)</f>
        <v>#REF!</v>
      </c>
      <c r="N101" s="114" t="e">
        <f>IF(Simulações!#REF!="","",Simulações!#REF!)</f>
        <v>#REF!</v>
      </c>
      <c r="O101" s="114">
        <v>1</v>
      </c>
    </row>
    <row r="102" spans="1:15" ht="15.75" hidden="1" customHeight="1" x14ac:dyDescent="0.3">
      <c r="A102" s="124" t="e">
        <f>Simulações!#REF!</f>
        <v>#REF!</v>
      </c>
      <c r="B102" s="114" t="e">
        <f>Simulações!#REF!</f>
        <v>#REF!</v>
      </c>
      <c r="C102" s="125" t="e">
        <f>Simulações!#REF!</f>
        <v>#REF!</v>
      </c>
      <c r="D102" s="114" t="e">
        <f>Simulações!#REF!</f>
        <v>#REF!</v>
      </c>
      <c r="E102" s="114" t="e">
        <f>Simulações!#REF!</f>
        <v>#REF!</v>
      </c>
      <c r="F102" s="114" t="e">
        <f>Simulações!#REF!</f>
        <v>#REF!</v>
      </c>
      <c r="G102" s="114" t="e">
        <f>Simulações!#REF!</f>
        <v>#REF!</v>
      </c>
      <c r="H102" s="114" t="e">
        <f>Simulações!#REF!</f>
        <v>#REF!</v>
      </c>
      <c r="I102" s="114" t="e">
        <f>IF(Simulações!#REF!="","",Simulações!#REF!)</f>
        <v>#REF!</v>
      </c>
      <c r="J102" s="114" t="e">
        <f>IF(Simulações!#REF!="","",Simulações!#REF!)</f>
        <v>#REF!</v>
      </c>
      <c r="K102" s="117" t="e">
        <f>Simulações!#REF!</f>
        <v>#REF!</v>
      </c>
      <c r="L102" s="117" t="e">
        <f>Simulações!#REF!</f>
        <v>#REF!</v>
      </c>
      <c r="M102" s="114" t="e">
        <f>IF(Simulações!#REF!="","",Simulações!#REF!)</f>
        <v>#REF!</v>
      </c>
      <c r="N102" s="114" t="e">
        <f>IF(Simulações!#REF!="","",Simulações!#REF!)</f>
        <v>#REF!</v>
      </c>
      <c r="O102" s="114">
        <v>1</v>
      </c>
    </row>
    <row r="103" spans="1:15" ht="15.75" hidden="1" customHeight="1" x14ac:dyDescent="0.3">
      <c r="A103" s="124" t="e">
        <f>Simulações!#REF!</f>
        <v>#REF!</v>
      </c>
      <c r="B103" s="114" t="e">
        <f>Simulações!#REF!</f>
        <v>#REF!</v>
      </c>
      <c r="C103" s="125" t="e">
        <f>Simulações!#REF!</f>
        <v>#REF!</v>
      </c>
      <c r="D103" s="114" t="e">
        <f>Simulações!#REF!</f>
        <v>#REF!</v>
      </c>
      <c r="E103" s="114" t="e">
        <f>Simulações!#REF!</f>
        <v>#REF!</v>
      </c>
      <c r="F103" s="114" t="e">
        <f>Simulações!#REF!</f>
        <v>#REF!</v>
      </c>
      <c r="G103" s="114" t="e">
        <f>Simulações!#REF!</f>
        <v>#REF!</v>
      </c>
      <c r="H103" s="114" t="e">
        <f>Simulações!#REF!</f>
        <v>#REF!</v>
      </c>
      <c r="I103" s="114" t="e">
        <f>IF(Simulações!#REF!="","",Simulações!#REF!)</f>
        <v>#REF!</v>
      </c>
      <c r="J103" s="114" t="e">
        <f>IF(Simulações!#REF!="","",Simulações!#REF!)</f>
        <v>#REF!</v>
      </c>
      <c r="K103" s="117" t="e">
        <f>Simulações!#REF!</f>
        <v>#REF!</v>
      </c>
      <c r="L103" s="117" t="e">
        <f>Simulações!#REF!</f>
        <v>#REF!</v>
      </c>
      <c r="M103" s="114" t="e">
        <f>IF(Simulações!#REF!="","",Simulações!#REF!)</f>
        <v>#REF!</v>
      </c>
      <c r="N103" s="114" t="e">
        <f>IF(Simulações!#REF!="","",Simulações!#REF!)</f>
        <v>#REF!</v>
      </c>
      <c r="O103" s="114">
        <v>1</v>
      </c>
    </row>
    <row r="104" spans="1:15" ht="15.75" customHeight="1" x14ac:dyDescent="0.3">
      <c r="A104" s="124" t="e">
        <f>Simulações!#REF!</f>
        <v>#REF!</v>
      </c>
      <c r="B104" s="114" t="s">
        <v>133</v>
      </c>
      <c r="C104" s="125" t="e">
        <f>Simulações!#REF!</f>
        <v>#REF!</v>
      </c>
      <c r="D104" s="114" t="e">
        <f>Simulações!#REF!</f>
        <v>#REF!</v>
      </c>
      <c r="E104" s="114" t="e">
        <f>Simulações!#REF!</f>
        <v>#REF!</v>
      </c>
      <c r="F104" s="114" t="e">
        <f>Simulações!#REF!</f>
        <v>#REF!</v>
      </c>
      <c r="G104" s="114" t="e">
        <f>Simulações!#REF!</f>
        <v>#REF!</v>
      </c>
      <c r="H104" s="114" t="e">
        <f>Simulações!#REF!</f>
        <v>#REF!</v>
      </c>
      <c r="I104" s="114" t="e">
        <f>IF(Simulações!#REF!="","",Simulações!#REF!)</f>
        <v>#REF!</v>
      </c>
      <c r="J104" s="114" t="e">
        <f>IF(Simulações!#REF!="","",Simulações!#REF!)</f>
        <v>#REF!</v>
      </c>
      <c r="K104" s="117" t="e">
        <f>Simulações!#REF!</f>
        <v>#REF!</v>
      </c>
      <c r="L104" s="117" t="e">
        <f>Simulações!#REF!</f>
        <v>#REF!</v>
      </c>
      <c r="M104" s="114" t="e">
        <f>IF(Simulações!#REF!="","",Simulações!#REF!)</f>
        <v>#REF!</v>
      </c>
      <c r="N104" s="114" t="e">
        <f>IF(Simulações!#REF!="","",Simulações!#REF!)</f>
        <v>#REF!</v>
      </c>
      <c r="O104" s="114">
        <v>1</v>
      </c>
    </row>
    <row r="105" spans="1:15" ht="15.75" customHeight="1" x14ac:dyDescent="0.3">
      <c r="A105" s="124" t="e">
        <f>Simulações!#REF!</f>
        <v>#REF!</v>
      </c>
      <c r="B105" s="114" t="s">
        <v>133</v>
      </c>
      <c r="C105" s="125" t="e">
        <f>Simulações!#REF!</f>
        <v>#REF!</v>
      </c>
      <c r="D105" s="114" t="e">
        <f>Simulações!#REF!</f>
        <v>#REF!</v>
      </c>
      <c r="E105" s="114" t="e">
        <f>Simulações!#REF!</f>
        <v>#REF!</v>
      </c>
      <c r="F105" s="114" t="e">
        <f>Simulações!#REF!</f>
        <v>#REF!</v>
      </c>
      <c r="G105" s="114" t="e">
        <f>Simulações!#REF!</f>
        <v>#REF!</v>
      </c>
      <c r="H105" s="114" t="e">
        <f>Simulações!#REF!</f>
        <v>#REF!</v>
      </c>
      <c r="I105" s="114" t="e">
        <f>IF(Simulações!#REF!="","",Simulações!#REF!)</f>
        <v>#REF!</v>
      </c>
      <c r="J105" s="114" t="e">
        <f>IF(Simulações!#REF!="","",Simulações!#REF!)</f>
        <v>#REF!</v>
      </c>
      <c r="K105" s="117" t="e">
        <f>Simulações!#REF!</f>
        <v>#REF!</v>
      </c>
      <c r="L105" s="117" t="e">
        <f>Simulações!#REF!</f>
        <v>#REF!</v>
      </c>
      <c r="M105" s="114" t="e">
        <f>IF(Simulações!#REF!="","",Simulações!#REF!)</f>
        <v>#REF!</v>
      </c>
      <c r="N105" s="114" t="e">
        <f>IF(Simulações!#REF!="","",Simulações!#REF!)</f>
        <v>#REF!</v>
      </c>
      <c r="O105" s="114">
        <v>1</v>
      </c>
    </row>
    <row r="106" spans="1:15" ht="15.75" customHeight="1" x14ac:dyDescent="0.3">
      <c r="A106" s="124" t="e">
        <f>Simulações!#REF!</f>
        <v>#REF!</v>
      </c>
      <c r="B106" s="114" t="s">
        <v>133</v>
      </c>
      <c r="C106" s="125" t="e">
        <f>Simulações!#REF!</f>
        <v>#REF!</v>
      </c>
      <c r="D106" s="114" t="e">
        <f>Simulações!#REF!</f>
        <v>#REF!</v>
      </c>
      <c r="E106" s="114" t="e">
        <f>Simulações!#REF!</f>
        <v>#REF!</v>
      </c>
      <c r="F106" s="114" t="e">
        <f>Simulações!#REF!</f>
        <v>#REF!</v>
      </c>
      <c r="G106" s="114" t="e">
        <f>Simulações!#REF!</f>
        <v>#REF!</v>
      </c>
      <c r="H106" s="114" t="e">
        <f>Simulações!#REF!</f>
        <v>#REF!</v>
      </c>
      <c r="I106" s="114" t="e">
        <f>IF(Simulações!#REF!="","",Simulações!#REF!)</f>
        <v>#REF!</v>
      </c>
      <c r="J106" s="114" t="e">
        <f>IF(Simulações!#REF!="","",Simulações!#REF!)</f>
        <v>#REF!</v>
      </c>
      <c r="K106" s="117" t="e">
        <f>Simulações!#REF!</f>
        <v>#REF!</v>
      </c>
      <c r="L106" s="117" t="e">
        <f>Simulações!#REF!</f>
        <v>#REF!</v>
      </c>
      <c r="M106" s="114" t="e">
        <f>IF(Simulações!#REF!="","",Simulações!#REF!)</f>
        <v>#REF!</v>
      </c>
      <c r="N106" s="114" t="e">
        <f>IF(Simulações!#REF!="","",Simulações!#REF!)</f>
        <v>#REF!</v>
      </c>
      <c r="O106" s="114">
        <v>1</v>
      </c>
    </row>
    <row r="107" spans="1:15" ht="15.75" hidden="1" customHeight="1" x14ac:dyDescent="0.3">
      <c r="A107" s="124" t="e">
        <f>Simulações!#REF!</f>
        <v>#REF!</v>
      </c>
      <c r="B107" s="114" t="e">
        <f>Simulações!#REF!</f>
        <v>#REF!</v>
      </c>
      <c r="C107" s="125" t="e">
        <f>Simulações!#REF!</f>
        <v>#REF!</v>
      </c>
      <c r="D107" s="114" t="e">
        <f>Simulações!#REF!</f>
        <v>#REF!</v>
      </c>
      <c r="E107" s="114" t="e">
        <f>Simulações!#REF!</f>
        <v>#REF!</v>
      </c>
      <c r="F107" s="114" t="e">
        <f>Simulações!#REF!</f>
        <v>#REF!</v>
      </c>
      <c r="G107" s="114" t="e">
        <f>Simulações!#REF!</f>
        <v>#REF!</v>
      </c>
      <c r="H107" s="114" t="e">
        <f>Simulações!#REF!</f>
        <v>#REF!</v>
      </c>
      <c r="I107" s="114" t="e">
        <f>IF(Simulações!#REF!="","",Simulações!#REF!)</f>
        <v>#REF!</v>
      </c>
      <c r="J107" s="114" t="e">
        <f>IF(Simulações!#REF!="","",Simulações!#REF!)</f>
        <v>#REF!</v>
      </c>
      <c r="K107" s="117" t="e">
        <f>Simulações!#REF!</f>
        <v>#REF!</v>
      </c>
      <c r="L107" s="117" t="e">
        <f>Simulações!#REF!</f>
        <v>#REF!</v>
      </c>
      <c r="M107" s="114" t="e">
        <f>IF(Simulações!#REF!="","",Simulações!#REF!)</f>
        <v>#REF!</v>
      </c>
      <c r="N107" s="114" t="e">
        <f>IF(Simulações!#REF!="","",Simulações!#REF!)</f>
        <v>#REF!</v>
      </c>
      <c r="O107" s="114">
        <v>1</v>
      </c>
    </row>
    <row r="108" spans="1:15" ht="15.75" hidden="1" customHeight="1" x14ac:dyDescent="0.3">
      <c r="A108" s="124" t="e">
        <f>Simulações!#REF!</f>
        <v>#REF!</v>
      </c>
      <c r="B108" s="114" t="e">
        <f>Simulações!#REF!</f>
        <v>#REF!</v>
      </c>
      <c r="C108" s="125" t="e">
        <f>Simulações!#REF!</f>
        <v>#REF!</v>
      </c>
      <c r="D108" s="114" t="e">
        <f>Simulações!#REF!</f>
        <v>#REF!</v>
      </c>
      <c r="E108" s="114" t="e">
        <f>Simulações!#REF!</f>
        <v>#REF!</v>
      </c>
      <c r="F108" s="114" t="e">
        <f>Simulações!#REF!</f>
        <v>#REF!</v>
      </c>
      <c r="G108" s="114" t="e">
        <f>Simulações!#REF!</f>
        <v>#REF!</v>
      </c>
      <c r="H108" s="114" t="e">
        <f>Simulações!#REF!</f>
        <v>#REF!</v>
      </c>
      <c r="I108" s="114" t="e">
        <f>IF(Simulações!#REF!="","",Simulações!#REF!)</f>
        <v>#REF!</v>
      </c>
      <c r="J108" s="114" t="e">
        <f>IF(Simulações!#REF!="","",Simulações!#REF!)</f>
        <v>#REF!</v>
      </c>
      <c r="K108" s="117" t="e">
        <f>Simulações!#REF!</f>
        <v>#REF!</v>
      </c>
      <c r="L108" s="117" t="e">
        <f>Simulações!#REF!</f>
        <v>#REF!</v>
      </c>
      <c r="M108" s="114" t="e">
        <f>IF(Simulações!#REF!="","",Simulações!#REF!)</f>
        <v>#REF!</v>
      </c>
      <c r="N108" s="114" t="e">
        <f>IF(Simulações!#REF!="","",Simulações!#REF!)</f>
        <v>#REF!</v>
      </c>
      <c r="O108" s="114">
        <v>1</v>
      </c>
    </row>
    <row r="109" spans="1:15" ht="15.75" hidden="1" customHeight="1" x14ac:dyDescent="0.3">
      <c r="A109" s="124" t="e">
        <f>Simulações!#REF!</f>
        <v>#REF!</v>
      </c>
      <c r="B109" s="114" t="e">
        <f>Simulações!#REF!</f>
        <v>#REF!</v>
      </c>
      <c r="C109" s="125" t="e">
        <f>Simulações!#REF!</f>
        <v>#REF!</v>
      </c>
      <c r="D109" s="114" t="e">
        <f>Simulações!#REF!</f>
        <v>#REF!</v>
      </c>
      <c r="E109" s="114" t="e">
        <f>Simulações!#REF!</f>
        <v>#REF!</v>
      </c>
      <c r="F109" s="114" t="e">
        <f>Simulações!#REF!</f>
        <v>#REF!</v>
      </c>
      <c r="G109" s="114" t="e">
        <f>Simulações!#REF!</f>
        <v>#REF!</v>
      </c>
      <c r="H109" s="114" t="e">
        <f>Simulações!#REF!</f>
        <v>#REF!</v>
      </c>
      <c r="I109" s="114" t="e">
        <f>IF(Simulações!#REF!="","",Simulações!#REF!)</f>
        <v>#REF!</v>
      </c>
      <c r="J109" s="114" t="e">
        <f>IF(Simulações!#REF!="","",Simulações!#REF!)</f>
        <v>#REF!</v>
      </c>
      <c r="K109" s="117" t="e">
        <f>Simulações!#REF!</f>
        <v>#REF!</v>
      </c>
      <c r="L109" s="117" t="e">
        <f>Simulações!#REF!</f>
        <v>#REF!</v>
      </c>
      <c r="M109" s="114" t="e">
        <f>IF(Simulações!#REF!="","",Simulações!#REF!)</f>
        <v>#REF!</v>
      </c>
      <c r="N109" s="114" t="e">
        <f>IF(Simulações!#REF!="","",Simulações!#REF!)</f>
        <v>#REF!</v>
      </c>
      <c r="O109" s="114">
        <v>1</v>
      </c>
    </row>
    <row r="110" spans="1:15" ht="15.75" hidden="1" customHeight="1" x14ac:dyDescent="0.3">
      <c r="A110" s="124" t="e">
        <f>Simulações!#REF!</f>
        <v>#REF!</v>
      </c>
      <c r="B110" s="114" t="e">
        <f>Simulações!#REF!</f>
        <v>#REF!</v>
      </c>
      <c r="C110" s="125" t="e">
        <f>Simulações!#REF!</f>
        <v>#REF!</v>
      </c>
      <c r="D110" s="114" t="e">
        <f>Simulações!#REF!</f>
        <v>#REF!</v>
      </c>
      <c r="E110" s="114" t="e">
        <f>Simulações!#REF!</f>
        <v>#REF!</v>
      </c>
      <c r="F110" s="114" t="e">
        <f>Simulações!#REF!</f>
        <v>#REF!</v>
      </c>
      <c r="G110" s="114" t="e">
        <f>Simulações!#REF!</f>
        <v>#REF!</v>
      </c>
      <c r="H110" s="114" t="e">
        <f>Simulações!#REF!</f>
        <v>#REF!</v>
      </c>
      <c r="I110" s="114" t="e">
        <f>IF(Simulações!#REF!="","",Simulações!#REF!)</f>
        <v>#REF!</v>
      </c>
      <c r="J110" s="114" t="e">
        <f>IF(Simulações!#REF!="","",Simulações!#REF!)</f>
        <v>#REF!</v>
      </c>
      <c r="K110" s="117" t="e">
        <f>Simulações!#REF!</f>
        <v>#REF!</v>
      </c>
      <c r="L110" s="117" t="e">
        <f>Simulações!#REF!</f>
        <v>#REF!</v>
      </c>
      <c r="M110" s="114" t="e">
        <f>IF(Simulações!#REF!="","",Simulações!#REF!)</f>
        <v>#REF!</v>
      </c>
      <c r="N110" s="114" t="e">
        <f>IF(Simulações!#REF!="","",Simulações!#REF!)</f>
        <v>#REF!</v>
      </c>
      <c r="O110" s="114">
        <v>1</v>
      </c>
    </row>
    <row r="111" spans="1:15" ht="15.75" hidden="1" customHeight="1" x14ac:dyDescent="0.3">
      <c r="A111" s="124" t="e">
        <f>Simulações!#REF!</f>
        <v>#REF!</v>
      </c>
      <c r="B111" s="114" t="e">
        <f>Simulações!#REF!</f>
        <v>#REF!</v>
      </c>
      <c r="C111" s="125" t="e">
        <f>Simulações!#REF!</f>
        <v>#REF!</v>
      </c>
      <c r="D111" s="114" t="e">
        <f>Simulações!#REF!</f>
        <v>#REF!</v>
      </c>
      <c r="E111" s="114" t="e">
        <f>Simulações!#REF!</f>
        <v>#REF!</v>
      </c>
      <c r="F111" s="114" t="e">
        <f>Simulações!#REF!</f>
        <v>#REF!</v>
      </c>
      <c r="G111" s="114" t="e">
        <f>Simulações!#REF!</f>
        <v>#REF!</v>
      </c>
      <c r="H111" s="114" t="e">
        <f>Simulações!#REF!</f>
        <v>#REF!</v>
      </c>
      <c r="I111" s="114" t="e">
        <f>IF(Simulações!#REF!="","",Simulações!#REF!)</f>
        <v>#REF!</v>
      </c>
      <c r="J111" s="114" t="e">
        <f>IF(Simulações!#REF!="","",Simulações!#REF!)</f>
        <v>#REF!</v>
      </c>
      <c r="K111" s="117" t="e">
        <f>Simulações!#REF!</f>
        <v>#REF!</v>
      </c>
      <c r="L111" s="117" t="e">
        <f>Simulações!#REF!</f>
        <v>#REF!</v>
      </c>
      <c r="M111" s="114" t="e">
        <f>IF(Simulações!#REF!="","",Simulações!#REF!)</f>
        <v>#REF!</v>
      </c>
      <c r="N111" s="114" t="e">
        <f>IF(Simulações!#REF!="","",Simulações!#REF!)</f>
        <v>#REF!</v>
      </c>
      <c r="O111" s="114">
        <v>1</v>
      </c>
    </row>
    <row r="112" spans="1:15" ht="15.75" hidden="1" customHeight="1" x14ac:dyDescent="0.3">
      <c r="A112" s="124" t="e">
        <f>Simulações!#REF!</f>
        <v>#REF!</v>
      </c>
      <c r="B112" s="114" t="e">
        <f>Simulações!#REF!</f>
        <v>#REF!</v>
      </c>
      <c r="C112" s="125" t="e">
        <f>Simulações!#REF!</f>
        <v>#REF!</v>
      </c>
      <c r="D112" s="114" t="e">
        <f>Simulações!#REF!</f>
        <v>#REF!</v>
      </c>
      <c r="E112" s="114" t="e">
        <f>Simulações!#REF!</f>
        <v>#REF!</v>
      </c>
      <c r="F112" s="114" t="e">
        <f>Simulações!#REF!</f>
        <v>#REF!</v>
      </c>
      <c r="G112" s="114" t="e">
        <f>Simulações!#REF!</f>
        <v>#REF!</v>
      </c>
      <c r="H112" s="114" t="e">
        <f>Simulações!#REF!</f>
        <v>#REF!</v>
      </c>
      <c r="I112" s="114" t="e">
        <f>IF(Simulações!#REF!="","",Simulações!#REF!)</f>
        <v>#REF!</v>
      </c>
      <c r="J112" s="114" t="e">
        <f>IF(Simulações!#REF!="","",Simulações!#REF!)</f>
        <v>#REF!</v>
      </c>
      <c r="K112" s="117" t="e">
        <f>Simulações!#REF!</f>
        <v>#REF!</v>
      </c>
      <c r="L112" s="117" t="e">
        <f>Simulações!#REF!</f>
        <v>#REF!</v>
      </c>
      <c r="M112" s="114" t="e">
        <f>IF(Simulações!#REF!="","",Simulações!#REF!)</f>
        <v>#REF!</v>
      </c>
      <c r="N112" s="114" t="e">
        <f>IF(Simulações!#REF!="","",Simulações!#REF!)</f>
        <v>#REF!</v>
      </c>
      <c r="O112" s="114">
        <v>1</v>
      </c>
    </row>
    <row r="113" spans="1:15" ht="15.75" hidden="1" customHeight="1" x14ac:dyDescent="0.3">
      <c r="A113" s="124" t="e">
        <f>Simulações!#REF!</f>
        <v>#REF!</v>
      </c>
      <c r="B113" s="114" t="e">
        <f>Simulações!#REF!</f>
        <v>#REF!</v>
      </c>
      <c r="C113" s="125" t="e">
        <f>Simulações!#REF!</f>
        <v>#REF!</v>
      </c>
      <c r="D113" s="114" t="e">
        <f>Simulações!#REF!</f>
        <v>#REF!</v>
      </c>
      <c r="E113" s="114" t="e">
        <f>Simulações!#REF!</f>
        <v>#REF!</v>
      </c>
      <c r="F113" s="114" t="e">
        <f>Simulações!#REF!</f>
        <v>#REF!</v>
      </c>
      <c r="G113" s="114" t="e">
        <f>Simulações!#REF!</f>
        <v>#REF!</v>
      </c>
      <c r="H113" s="114" t="e">
        <f>Simulações!#REF!</f>
        <v>#REF!</v>
      </c>
      <c r="I113" s="114" t="e">
        <f>IF(Simulações!#REF!="","",Simulações!#REF!)</f>
        <v>#REF!</v>
      </c>
      <c r="J113" s="114" t="e">
        <f>IF(Simulações!#REF!="","",Simulações!#REF!)</f>
        <v>#REF!</v>
      </c>
      <c r="K113" s="117" t="e">
        <f>Simulações!#REF!</f>
        <v>#REF!</v>
      </c>
      <c r="L113" s="117" t="e">
        <f>Simulações!#REF!</f>
        <v>#REF!</v>
      </c>
      <c r="M113" s="114" t="e">
        <f>IF(Simulações!#REF!="","",Simulações!#REF!)</f>
        <v>#REF!</v>
      </c>
      <c r="N113" s="114" t="e">
        <f>IF(Simulações!#REF!="","",Simulações!#REF!)</f>
        <v>#REF!</v>
      </c>
      <c r="O113" s="114">
        <v>1</v>
      </c>
    </row>
    <row r="114" spans="1:15" ht="15.75" hidden="1" customHeight="1" x14ac:dyDescent="0.3">
      <c r="A114" s="124" t="e">
        <f>Simulações!#REF!</f>
        <v>#REF!</v>
      </c>
      <c r="B114" s="114" t="e">
        <f>Simulações!#REF!</f>
        <v>#REF!</v>
      </c>
      <c r="C114" s="125" t="e">
        <f>Simulações!#REF!</f>
        <v>#REF!</v>
      </c>
      <c r="D114" s="114" t="e">
        <f>Simulações!#REF!</f>
        <v>#REF!</v>
      </c>
      <c r="E114" s="114" t="e">
        <f>Simulações!#REF!</f>
        <v>#REF!</v>
      </c>
      <c r="F114" s="114" t="e">
        <f>Simulações!#REF!</f>
        <v>#REF!</v>
      </c>
      <c r="G114" s="114" t="e">
        <f>Simulações!#REF!</f>
        <v>#REF!</v>
      </c>
      <c r="H114" s="114" t="e">
        <f>Simulações!#REF!</f>
        <v>#REF!</v>
      </c>
      <c r="I114" s="114" t="e">
        <f>IF(Simulações!#REF!="","",Simulações!#REF!)</f>
        <v>#REF!</v>
      </c>
      <c r="J114" s="114" t="e">
        <f>IF(Simulações!#REF!="","",Simulações!#REF!)</f>
        <v>#REF!</v>
      </c>
      <c r="K114" s="117" t="e">
        <f>Simulações!#REF!</f>
        <v>#REF!</v>
      </c>
      <c r="L114" s="117" t="e">
        <f>Simulações!#REF!</f>
        <v>#REF!</v>
      </c>
      <c r="M114" s="114" t="e">
        <f>IF(Simulações!#REF!="","",Simulações!#REF!)</f>
        <v>#REF!</v>
      </c>
      <c r="N114" s="114" t="e">
        <f>IF(Simulações!#REF!="","",Simulações!#REF!)</f>
        <v>#REF!</v>
      </c>
      <c r="O114" s="114">
        <v>1</v>
      </c>
    </row>
    <row r="115" spans="1:15" ht="15.75" hidden="1" customHeight="1" x14ac:dyDescent="0.3">
      <c r="A115" s="124" t="e">
        <f>Simulações!#REF!</f>
        <v>#REF!</v>
      </c>
      <c r="B115" s="114" t="e">
        <f>Simulações!#REF!</f>
        <v>#REF!</v>
      </c>
      <c r="C115" s="125" t="e">
        <f>Simulações!#REF!</f>
        <v>#REF!</v>
      </c>
      <c r="D115" s="114" t="e">
        <f>Simulações!#REF!</f>
        <v>#REF!</v>
      </c>
      <c r="E115" s="114" t="e">
        <f>Simulações!#REF!</f>
        <v>#REF!</v>
      </c>
      <c r="F115" s="114" t="e">
        <f>Simulações!#REF!</f>
        <v>#REF!</v>
      </c>
      <c r="G115" s="114" t="e">
        <f>Simulações!#REF!</f>
        <v>#REF!</v>
      </c>
      <c r="H115" s="114" t="e">
        <f>Simulações!#REF!</f>
        <v>#REF!</v>
      </c>
      <c r="I115" s="114" t="e">
        <f>IF(Simulações!#REF!="","",Simulações!#REF!)</f>
        <v>#REF!</v>
      </c>
      <c r="J115" s="114" t="e">
        <f>IF(Simulações!#REF!="","",Simulações!#REF!)</f>
        <v>#REF!</v>
      </c>
      <c r="K115" s="117" t="e">
        <f>Simulações!#REF!</f>
        <v>#REF!</v>
      </c>
      <c r="L115" s="117" t="e">
        <f>Simulações!#REF!</f>
        <v>#REF!</v>
      </c>
      <c r="M115" s="114" t="e">
        <f>IF(Simulações!#REF!="","",Simulações!#REF!)</f>
        <v>#REF!</v>
      </c>
      <c r="N115" s="114" t="e">
        <f>IF(Simulações!#REF!="","",Simulações!#REF!)</f>
        <v>#REF!</v>
      </c>
      <c r="O115" s="114">
        <v>1</v>
      </c>
    </row>
    <row r="116" spans="1:15" ht="15.75" hidden="1" customHeight="1" x14ac:dyDescent="0.3">
      <c r="A116" s="124" t="e">
        <f>Simulações!#REF!</f>
        <v>#REF!</v>
      </c>
      <c r="B116" s="114" t="e">
        <f>Simulações!#REF!</f>
        <v>#REF!</v>
      </c>
      <c r="C116" s="125" t="e">
        <f>Simulações!#REF!</f>
        <v>#REF!</v>
      </c>
      <c r="D116" s="114" t="e">
        <f>Simulações!#REF!</f>
        <v>#REF!</v>
      </c>
      <c r="E116" s="114" t="e">
        <f>Simulações!#REF!</f>
        <v>#REF!</v>
      </c>
      <c r="F116" s="114" t="e">
        <f>Simulações!#REF!</f>
        <v>#REF!</v>
      </c>
      <c r="G116" s="114" t="e">
        <f>Simulações!#REF!</f>
        <v>#REF!</v>
      </c>
      <c r="H116" s="114" t="e">
        <f>Simulações!#REF!</f>
        <v>#REF!</v>
      </c>
      <c r="I116" s="114" t="e">
        <f>IF(Simulações!#REF!="","",Simulações!#REF!)</f>
        <v>#REF!</v>
      </c>
      <c r="J116" s="114" t="e">
        <f>IF(Simulações!#REF!="","",Simulações!#REF!)</f>
        <v>#REF!</v>
      </c>
      <c r="K116" s="117" t="e">
        <f>Simulações!#REF!</f>
        <v>#REF!</v>
      </c>
      <c r="L116" s="117" t="e">
        <f>Simulações!#REF!</f>
        <v>#REF!</v>
      </c>
      <c r="M116" s="114" t="e">
        <f>IF(Simulações!#REF!="","",Simulações!#REF!)</f>
        <v>#REF!</v>
      </c>
      <c r="N116" s="114" t="e">
        <f>IF(Simulações!#REF!="","",Simulações!#REF!)</f>
        <v>#REF!</v>
      </c>
      <c r="O116" s="114">
        <v>1</v>
      </c>
    </row>
    <row r="117" spans="1:15" ht="15.75" hidden="1" customHeight="1" x14ac:dyDescent="0.3">
      <c r="A117" s="124" t="e">
        <f>Simulações!#REF!</f>
        <v>#REF!</v>
      </c>
      <c r="B117" s="114" t="e">
        <f>Simulações!#REF!</f>
        <v>#REF!</v>
      </c>
      <c r="C117" s="125" t="e">
        <f>Simulações!#REF!</f>
        <v>#REF!</v>
      </c>
      <c r="D117" s="114" t="e">
        <f>Simulações!#REF!</f>
        <v>#REF!</v>
      </c>
      <c r="E117" s="114" t="e">
        <f>Simulações!#REF!</f>
        <v>#REF!</v>
      </c>
      <c r="F117" s="114" t="e">
        <f>Simulações!#REF!</f>
        <v>#REF!</v>
      </c>
      <c r="G117" s="114" t="e">
        <f>Simulações!#REF!</f>
        <v>#REF!</v>
      </c>
      <c r="H117" s="114" t="e">
        <f>Simulações!#REF!</f>
        <v>#REF!</v>
      </c>
      <c r="I117" s="114" t="e">
        <f>IF(Simulações!#REF!="","",Simulações!#REF!)</f>
        <v>#REF!</v>
      </c>
      <c r="J117" s="114" t="e">
        <f>IF(Simulações!#REF!="","",Simulações!#REF!)</f>
        <v>#REF!</v>
      </c>
      <c r="K117" s="117" t="e">
        <f>Simulações!#REF!</f>
        <v>#REF!</v>
      </c>
      <c r="L117" s="117" t="e">
        <f>Simulações!#REF!</f>
        <v>#REF!</v>
      </c>
      <c r="M117" s="114" t="e">
        <f>IF(Simulações!#REF!="","",Simulações!#REF!)</f>
        <v>#REF!</v>
      </c>
      <c r="N117" s="114" t="e">
        <f>IF(Simulações!#REF!="","",Simulações!#REF!)</f>
        <v>#REF!</v>
      </c>
      <c r="O117" s="114">
        <v>1</v>
      </c>
    </row>
    <row r="118" spans="1:15" ht="15.75" hidden="1" customHeight="1" x14ac:dyDescent="0.3">
      <c r="A118" s="124" t="e">
        <f>Simulações!#REF!</f>
        <v>#REF!</v>
      </c>
      <c r="B118" s="114" t="e">
        <f>Simulações!#REF!</f>
        <v>#REF!</v>
      </c>
      <c r="C118" s="125" t="e">
        <f>Simulações!#REF!</f>
        <v>#REF!</v>
      </c>
      <c r="D118" s="114" t="e">
        <f>Simulações!#REF!</f>
        <v>#REF!</v>
      </c>
      <c r="E118" s="114" t="e">
        <f>Simulações!#REF!</f>
        <v>#REF!</v>
      </c>
      <c r="F118" s="114" t="e">
        <f>Simulações!#REF!</f>
        <v>#REF!</v>
      </c>
      <c r="G118" s="114" t="e">
        <f>Simulações!#REF!</f>
        <v>#REF!</v>
      </c>
      <c r="H118" s="114" t="e">
        <f>Simulações!#REF!</f>
        <v>#REF!</v>
      </c>
      <c r="I118" s="114" t="e">
        <f>IF(Simulações!#REF!="","",Simulações!#REF!)</f>
        <v>#REF!</v>
      </c>
      <c r="J118" s="114" t="e">
        <f>IF(Simulações!#REF!="","",Simulações!#REF!)</f>
        <v>#REF!</v>
      </c>
      <c r="K118" s="117" t="e">
        <f>Simulações!#REF!</f>
        <v>#REF!</v>
      </c>
      <c r="L118" s="117" t="e">
        <f>Simulações!#REF!</f>
        <v>#REF!</v>
      </c>
      <c r="M118" s="114" t="e">
        <f>IF(Simulações!#REF!="","",Simulações!#REF!)</f>
        <v>#REF!</v>
      </c>
      <c r="N118" s="114" t="e">
        <f>IF(Simulações!#REF!="","",Simulações!#REF!)</f>
        <v>#REF!</v>
      </c>
      <c r="O118" s="114">
        <v>1</v>
      </c>
    </row>
    <row r="119" spans="1:15" ht="15.75" hidden="1" customHeight="1" x14ac:dyDescent="0.3">
      <c r="A119" s="124" t="e">
        <f>Simulações!#REF!</f>
        <v>#REF!</v>
      </c>
      <c r="B119" s="114" t="e">
        <f>Simulações!#REF!</f>
        <v>#REF!</v>
      </c>
      <c r="C119" s="125" t="e">
        <f>Simulações!#REF!</f>
        <v>#REF!</v>
      </c>
      <c r="D119" s="114" t="e">
        <f>Simulações!#REF!</f>
        <v>#REF!</v>
      </c>
      <c r="E119" s="114" t="e">
        <f>Simulações!#REF!</f>
        <v>#REF!</v>
      </c>
      <c r="F119" s="114" t="e">
        <f>Simulações!#REF!</f>
        <v>#REF!</v>
      </c>
      <c r="G119" s="114" t="e">
        <f>Simulações!#REF!</f>
        <v>#REF!</v>
      </c>
      <c r="H119" s="114" t="e">
        <f>Simulações!#REF!</f>
        <v>#REF!</v>
      </c>
      <c r="I119" s="114" t="e">
        <f>IF(Simulações!#REF!="","",Simulações!#REF!)</f>
        <v>#REF!</v>
      </c>
      <c r="J119" s="114" t="e">
        <f>IF(Simulações!#REF!="","",Simulações!#REF!)</f>
        <v>#REF!</v>
      </c>
      <c r="K119" s="117" t="e">
        <f>Simulações!#REF!</f>
        <v>#REF!</v>
      </c>
      <c r="L119" s="117" t="e">
        <f>Simulações!#REF!</f>
        <v>#REF!</v>
      </c>
      <c r="M119" s="114" t="e">
        <f>IF(Simulações!#REF!="","",Simulações!#REF!)</f>
        <v>#REF!</v>
      </c>
      <c r="N119" s="114" t="e">
        <f>IF(Simulações!#REF!="","",Simulações!#REF!)</f>
        <v>#REF!</v>
      </c>
      <c r="O119" s="114">
        <v>1</v>
      </c>
    </row>
    <row r="120" spans="1:15" ht="15.75" hidden="1" customHeight="1" x14ac:dyDescent="0.3">
      <c r="A120" s="124" t="e">
        <f>Simulações!#REF!</f>
        <v>#REF!</v>
      </c>
      <c r="B120" s="114" t="e">
        <f>Simulações!#REF!</f>
        <v>#REF!</v>
      </c>
      <c r="C120" s="125" t="e">
        <f>Simulações!#REF!</f>
        <v>#REF!</v>
      </c>
      <c r="D120" s="114" t="e">
        <f>Simulações!#REF!</f>
        <v>#REF!</v>
      </c>
      <c r="E120" s="114" t="e">
        <f>Simulações!#REF!</f>
        <v>#REF!</v>
      </c>
      <c r="F120" s="114" t="e">
        <f>Simulações!#REF!</f>
        <v>#REF!</v>
      </c>
      <c r="G120" s="114" t="e">
        <f>Simulações!#REF!</f>
        <v>#REF!</v>
      </c>
      <c r="H120" s="114" t="e">
        <f>Simulações!#REF!</f>
        <v>#REF!</v>
      </c>
      <c r="I120" s="114" t="e">
        <f>IF(Simulações!#REF!="","",Simulações!#REF!)</f>
        <v>#REF!</v>
      </c>
      <c r="J120" s="114" t="e">
        <f>IF(Simulações!#REF!="","",Simulações!#REF!)</f>
        <v>#REF!</v>
      </c>
      <c r="K120" s="117" t="e">
        <f>Simulações!#REF!</f>
        <v>#REF!</v>
      </c>
      <c r="L120" s="117" t="e">
        <f>Simulações!#REF!</f>
        <v>#REF!</v>
      </c>
      <c r="M120" s="114" t="e">
        <f>IF(Simulações!#REF!="","",Simulações!#REF!)</f>
        <v>#REF!</v>
      </c>
      <c r="N120" s="114" t="e">
        <f>IF(Simulações!#REF!="","",Simulações!#REF!)</f>
        <v>#REF!</v>
      </c>
      <c r="O120" s="114">
        <v>1</v>
      </c>
    </row>
    <row r="121" spans="1:15" ht="15.75" hidden="1" customHeight="1" x14ac:dyDescent="0.3">
      <c r="A121" s="124" t="e">
        <f>Simulações!#REF!</f>
        <v>#REF!</v>
      </c>
      <c r="B121" s="114" t="e">
        <f>Simulações!#REF!</f>
        <v>#REF!</v>
      </c>
      <c r="C121" s="125" t="e">
        <f>Simulações!#REF!</f>
        <v>#REF!</v>
      </c>
      <c r="D121" s="114" t="e">
        <f>Simulações!#REF!</f>
        <v>#REF!</v>
      </c>
      <c r="E121" s="114" t="e">
        <f>Simulações!#REF!</f>
        <v>#REF!</v>
      </c>
      <c r="F121" s="114" t="e">
        <f>Simulações!#REF!</f>
        <v>#REF!</v>
      </c>
      <c r="G121" s="114" t="e">
        <f>Simulações!#REF!</f>
        <v>#REF!</v>
      </c>
      <c r="H121" s="114" t="e">
        <f>Simulações!#REF!</f>
        <v>#REF!</v>
      </c>
      <c r="I121" s="114" t="e">
        <f>IF(Simulações!#REF!="","",Simulações!#REF!)</f>
        <v>#REF!</v>
      </c>
      <c r="J121" s="114" t="e">
        <f>IF(Simulações!#REF!="","",Simulações!#REF!)</f>
        <v>#REF!</v>
      </c>
      <c r="K121" s="117" t="e">
        <f>Simulações!#REF!</f>
        <v>#REF!</v>
      </c>
      <c r="L121" s="117" t="e">
        <f>Simulações!#REF!</f>
        <v>#REF!</v>
      </c>
      <c r="M121" s="114" t="e">
        <f>IF(Simulações!#REF!="","",Simulações!#REF!)</f>
        <v>#REF!</v>
      </c>
      <c r="N121" s="114" t="e">
        <f>IF(Simulações!#REF!="","",Simulações!#REF!)</f>
        <v>#REF!</v>
      </c>
      <c r="O121" s="114">
        <v>1</v>
      </c>
    </row>
    <row r="122" spans="1:15" ht="15.75" hidden="1" customHeight="1" x14ac:dyDescent="0.3">
      <c r="A122" s="124" t="e">
        <f>Simulações!#REF!</f>
        <v>#REF!</v>
      </c>
      <c r="B122" s="114" t="e">
        <f>Simulações!#REF!</f>
        <v>#REF!</v>
      </c>
      <c r="C122" s="125" t="e">
        <f>Simulações!#REF!</f>
        <v>#REF!</v>
      </c>
      <c r="D122" s="114" t="e">
        <f>Simulações!#REF!</f>
        <v>#REF!</v>
      </c>
      <c r="E122" s="114" t="e">
        <f>Simulações!#REF!</f>
        <v>#REF!</v>
      </c>
      <c r="F122" s="114" t="e">
        <f>Simulações!#REF!</f>
        <v>#REF!</v>
      </c>
      <c r="G122" s="114" t="e">
        <f>Simulações!#REF!</f>
        <v>#REF!</v>
      </c>
      <c r="H122" s="114" t="e">
        <f>Simulações!#REF!</f>
        <v>#REF!</v>
      </c>
      <c r="I122" s="114" t="e">
        <f>IF(Simulações!#REF!="","",Simulações!#REF!)</f>
        <v>#REF!</v>
      </c>
      <c r="J122" s="114" t="e">
        <f>IF(Simulações!#REF!="","",Simulações!#REF!)</f>
        <v>#REF!</v>
      </c>
      <c r="K122" s="117" t="e">
        <f>Simulações!#REF!</f>
        <v>#REF!</v>
      </c>
      <c r="L122" s="117" t="e">
        <f>Simulações!#REF!</f>
        <v>#REF!</v>
      </c>
      <c r="M122" s="114" t="e">
        <f>IF(Simulações!#REF!="","",Simulações!#REF!)</f>
        <v>#REF!</v>
      </c>
      <c r="N122" s="114" t="e">
        <f>IF(Simulações!#REF!="","",Simulações!#REF!)</f>
        <v>#REF!</v>
      </c>
      <c r="O122" s="114">
        <v>1</v>
      </c>
    </row>
    <row r="123" spans="1:15" ht="15.75" hidden="1" customHeight="1" x14ac:dyDescent="0.3">
      <c r="A123" s="124" t="e">
        <f>Simulações!#REF!</f>
        <v>#REF!</v>
      </c>
      <c r="B123" s="114" t="e">
        <f>Simulações!#REF!</f>
        <v>#REF!</v>
      </c>
      <c r="C123" s="125" t="e">
        <f>Simulações!#REF!</f>
        <v>#REF!</v>
      </c>
      <c r="D123" s="114" t="e">
        <f>Simulações!#REF!</f>
        <v>#REF!</v>
      </c>
      <c r="E123" s="114" t="e">
        <f>Simulações!#REF!</f>
        <v>#REF!</v>
      </c>
      <c r="F123" s="114" t="e">
        <f>Simulações!#REF!</f>
        <v>#REF!</v>
      </c>
      <c r="G123" s="114" t="e">
        <f>Simulações!#REF!</f>
        <v>#REF!</v>
      </c>
      <c r="H123" s="114" t="e">
        <f>Simulações!#REF!</f>
        <v>#REF!</v>
      </c>
      <c r="I123" s="114" t="e">
        <f>IF(Simulações!#REF!="","",Simulações!#REF!)</f>
        <v>#REF!</v>
      </c>
      <c r="J123" s="114" t="e">
        <f>IF(Simulações!#REF!="","",Simulações!#REF!)</f>
        <v>#REF!</v>
      </c>
      <c r="K123" s="117" t="e">
        <f>Simulações!#REF!</f>
        <v>#REF!</v>
      </c>
      <c r="L123" s="117" t="e">
        <f>Simulações!#REF!</f>
        <v>#REF!</v>
      </c>
      <c r="M123" s="114" t="e">
        <f>IF(Simulações!#REF!="","",Simulações!#REF!)</f>
        <v>#REF!</v>
      </c>
      <c r="N123" s="114" t="e">
        <f>IF(Simulações!#REF!="","",Simulações!#REF!)</f>
        <v>#REF!</v>
      </c>
      <c r="O123" s="114">
        <v>1</v>
      </c>
    </row>
    <row r="124" spans="1:15" ht="15.75" hidden="1" customHeight="1" x14ac:dyDescent="0.3">
      <c r="A124" s="124" t="e">
        <f>Simulações!#REF!</f>
        <v>#REF!</v>
      </c>
      <c r="B124" s="114" t="e">
        <f>Simulações!#REF!</f>
        <v>#REF!</v>
      </c>
      <c r="C124" s="125" t="e">
        <f>Simulações!#REF!</f>
        <v>#REF!</v>
      </c>
      <c r="D124" s="114" t="e">
        <f>Simulações!#REF!</f>
        <v>#REF!</v>
      </c>
      <c r="E124" s="114" t="e">
        <f>Simulações!#REF!</f>
        <v>#REF!</v>
      </c>
      <c r="F124" s="114" t="e">
        <f>Simulações!#REF!</f>
        <v>#REF!</v>
      </c>
      <c r="G124" s="114" t="e">
        <f>Simulações!#REF!</f>
        <v>#REF!</v>
      </c>
      <c r="H124" s="114" t="e">
        <f>Simulações!#REF!</f>
        <v>#REF!</v>
      </c>
      <c r="I124" s="114" t="e">
        <f>IF(Simulações!#REF!="","",Simulações!#REF!)</f>
        <v>#REF!</v>
      </c>
      <c r="J124" s="114" t="e">
        <f>IF(Simulações!#REF!="","",Simulações!#REF!)</f>
        <v>#REF!</v>
      </c>
      <c r="K124" s="117" t="e">
        <f>Simulações!#REF!</f>
        <v>#REF!</v>
      </c>
      <c r="L124" s="117" t="e">
        <f>Simulações!#REF!</f>
        <v>#REF!</v>
      </c>
      <c r="M124" s="114" t="e">
        <f>IF(Simulações!#REF!="","",Simulações!#REF!)</f>
        <v>#REF!</v>
      </c>
      <c r="N124" s="114" t="e">
        <f>IF(Simulações!#REF!="","",Simulações!#REF!)</f>
        <v>#REF!</v>
      </c>
      <c r="O124" s="114">
        <v>1</v>
      </c>
    </row>
    <row r="125" spans="1:15" ht="15.75" hidden="1" customHeight="1" x14ac:dyDescent="0.3">
      <c r="A125" s="124" t="e">
        <f>Simulações!#REF!</f>
        <v>#REF!</v>
      </c>
      <c r="B125" s="114" t="e">
        <f>Simulações!#REF!</f>
        <v>#REF!</v>
      </c>
      <c r="C125" s="125" t="e">
        <f>Simulações!#REF!</f>
        <v>#REF!</v>
      </c>
      <c r="D125" s="114" t="e">
        <f>Simulações!#REF!</f>
        <v>#REF!</v>
      </c>
      <c r="E125" s="114" t="e">
        <f>Simulações!#REF!</f>
        <v>#REF!</v>
      </c>
      <c r="F125" s="114" t="e">
        <f>Simulações!#REF!</f>
        <v>#REF!</v>
      </c>
      <c r="G125" s="114" t="e">
        <f>Simulações!#REF!</f>
        <v>#REF!</v>
      </c>
      <c r="H125" s="114" t="e">
        <f>Simulações!#REF!</f>
        <v>#REF!</v>
      </c>
      <c r="I125" s="114" t="e">
        <f>IF(Simulações!#REF!="","",Simulações!#REF!)</f>
        <v>#REF!</v>
      </c>
      <c r="J125" s="114" t="e">
        <f>IF(Simulações!#REF!="","",Simulações!#REF!)</f>
        <v>#REF!</v>
      </c>
      <c r="K125" s="117" t="e">
        <f>Simulações!#REF!</f>
        <v>#REF!</v>
      </c>
      <c r="L125" s="117" t="e">
        <f>Simulações!#REF!</f>
        <v>#REF!</v>
      </c>
      <c r="M125" s="114" t="e">
        <f>IF(Simulações!#REF!="","",Simulações!#REF!)</f>
        <v>#REF!</v>
      </c>
      <c r="N125" s="114" t="e">
        <f>IF(Simulações!#REF!="","",Simulações!#REF!)</f>
        <v>#REF!</v>
      </c>
      <c r="O125" s="114">
        <v>1</v>
      </c>
    </row>
    <row r="126" spans="1:15" ht="15.75" hidden="1" customHeight="1" x14ac:dyDescent="0.3">
      <c r="A126" s="124" t="e">
        <f>Simulações!#REF!</f>
        <v>#REF!</v>
      </c>
      <c r="B126" s="114" t="e">
        <f>Simulações!#REF!</f>
        <v>#REF!</v>
      </c>
      <c r="C126" s="125" t="e">
        <f>Simulações!#REF!</f>
        <v>#REF!</v>
      </c>
      <c r="D126" s="114" t="e">
        <f>Simulações!#REF!</f>
        <v>#REF!</v>
      </c>
      <c r="E126" s="114" t="e">
        <f>Simulações!#REF!</f>
        <v>#REF!</v>
      </c>
      <c r="F126" s="114" t="e">
        <f>Simulações!#REF!</f>
        <v>#REF!</v>
      </c>
      <c r="G126" s="114" t="e">
        <f>Simulações!#REF!</f>
        <v>#REF!</v>
      </c>
      <c r="H126" s="114" t="e">
        <f>Simulações!#REF!</f>
        <v>#REF!</v>
      </c>
      <c r="I126" s="114" t="e">
        <f>IF(Simulações!#REF!="","",Simulações!#REF!)</f>
        <v>#REF!</v>
      </c>
      <c r="J126" s="114" t="e">
        <f>IF(Simulações!#REF!="","",Simulações!#REF!)</f>
        <v>#REF!</v>
      </c>
      <c r="K126" s="117" t="e">
        <f>Simulações!#REF!</f>
        <v>#REF!</v>
      </c>
      <c r="L126" s="117" t="e">
        <f>Simulações!#REF!</f>
        <v>#REF!</v>
      </c>
      <c r="M126" s="114" t="e">
        <f>IF(Simulações!#REF!="","",Simulações!#REF!)</f>
        <v>#REF!</v>
      </c>
      <c r="N126" s="114" t="e">
        <f>IF(Simulações!#REF!="","",Simulações!#REF!)</f>
        <v>#REF!</v>
      </c>
      <c r="O126" s="114">
        <v>1</v>
      </c>
    </row>
    <row r="127" spans="1:15" ht="15.75" hidden="1" customHeight="1" x14ac:dyDescent="0.3">
      <c r="A127" s="124" t="e">
        <f>Simulações!#REF!</f>
        <v>#REF!</v>
      </c>
      <c r="B127" s="114" t="e">
        <f>Simulações!#REF!</f>
        <v>#REF!</v>
      </c>
      <c r="C127" s="125" t="e">
        <f>Simulações!#REF!</f>
        <v>#REF!</v>
      </c>
      <c r="D127" s="114" t="e">
        <f>Simulações!#REF!</f>
        <v>#REF!</v>
      </c>
      <c r="E127" s="114" t="e">
        <f>Simulações!#REF!</f>
        <v>#REF!</v>
      </c>
      <c r="F127" s="114" t="e">
        <f>Simulações!#REF!</f>
        <v>#REF!</v>
      </c>
      <c r="G127" s="114" t="e">
        <f>Simulações!#REF!</f>
        <v>#REF!</v>
      </c>
      <c r="H127" s="114" t="e">
        <f>Simulações!#REF!</f>
        <v>#REF!</v>
      </c>
      <c r="I127" s="114" t="e">
        <f>IF(Simulações!#REF!="","",Simulações!#REF!)</f>
        <v>#REF!</v>
      </c>
      <c r="J127" s="114" t="e">
        <f>IF(Simulações!#REF!="","",Simulações!#REF!)</f>
        <v>#REF!</v>
      </c>
      <c r="K127" s="117" t="e">
        <f>Simulações!#REF!</f>
        <v>#REF!</v>
      </c>
      <c r="L127" s="117" t="e">
        <f>Simulações!#REF!</f>
        <v>#REF!</v>
      </c>
      <c r="M127" s="114" t="e">
        <f>IF(Simulações!#REF!="","",Simulações!#REF!)</f>
        <v>#REF!</v>
      </c>
      <c r="N127" s="114" t="e">
        <f>IF(Simulações!#REF!="","",Simulações!#REF!)</f>
        <v>#REF!</v>
      </c>
      <c r="O127" s="114">
        <v>1</v>
      </c>
    </row>
    <row r="128" spans="1:15" ht="15.75" hidden="1" customHeight="1" x14ac:dyDescent="0.3">
      <c r="A128" s="124" t="e">
        <f>Simulações!#REF!</f>
        <v>#REF!</v>
      </c>
      <c r="B128" s="114" t="e">
        <f>Simulações!#REF!</f>
        <v>#REF!</v>
      </c>
      <c r="C128" s="125" t="e">
        <f>Simulações!#REF!</f>
        <v>#REF!</v>
      </c>
      <c r="D128" s="114" t="e">
        <f>Simulações!#REF!</f>
        <v>#REF!</v>
      </c>
      <c r="E128" s="114" t="e">
        <f>Simulações!#REF!</f>
        <v>#REF!</v>
      </c>
      <c r="F128" s="114" t="e">
        <f>Simulações!#REF!</f>
        <v>#REF!</v>
      </c>
      <c r="G128" s="114" t="e">
        <f>Simulações!#REF!</f>
        <v>#REF!</v>
      </c>
      <c r="H128" s="114" t="e">
        <f>Simulações!#REF!</f>
        <v>#REF!</v>
      </c>
      <c r="I128" s="114" t="e">
        <f>IF(Simulações!#REF!="","",Simulações!#REF!)</f>
        <v>#REF!</v>
      </c>
      <c r="J128" s="114" t="e">
        <f>IF(Simulações!#REF!="","",Simulações!#REF!)</f>
        <v>#REF!</v>
      </c>
      <c r="K128" s="117" t="e">
        <f>Simulações!#REF!</f>
        <v>#REF!</v>
      </c>
      <c r="L128" s="117" t="e">
        <f>Simulações!#REF!</f>
        <v>#REF!</v>
      </c>
      <c r="M128" s="114" t="e">
        <f>IF(Simulações!#REF!="","",Simulações!#REF!)</f>
        <v>#REF!</v>
      </c>
      <c r="N128" s="114" t="e">
        <f>IF(Simulações!#REF!="","",Simulações!#REF!)</f>
        <v>#REF!</v>
      </c>
      <c r="O128" s="114">
        <v>1</v>
      </c>
    </row>
    <row r="129" spans="1:15" ht="15.75" hidden="1" customHeight="1" x14ac:dyDescent="0.3">
      <c r="A129" s="124" t="e">
        <f>Simulações!#REF!</f>
        <v>#REF!</v>
      </c>
      <c r="B129" s="114" t="e">
        <f>Simulações!#REF!</f>
        <v>#REF!</v>
      </c>
      <c r="C129" s="125" t="e">
        <f>Simulações!#REF!</f>
        <v>#REF!</v>
      </c>
      <c r="D129" s="114" t="e">
        <f>Simulações!#REF!</f>
        <v>#REF!</v>
      </c>
      <c r="E129" s="114" t="e">
        <f>Simulações!#REF!</f>
        <v>#REF!</v>
      </c>
      <c r="F129" s="114" t="e">
        <f>Simulações!#REF!</f>
        <v>#REF!</v>
      </c>
      <c r="G129" s="114" t="e">
        <f>Simulações!#REF!</f>
        <v>#REF!</v>
      </c>
      <c r="H129" s="114" t="e">
        <f>Simulações!#REF!</f>
        <v>#REF!</v>
      </c>
      <c r="I129" s="114" t="e">
        <f>IF(Simulações!#REF!="","",Simulações!#REF!)</f>
        <v>#REF!</v>
      </c>
      <c r="J129" s="114" t="e">
        <f>IF(Simulações!#REF!="","",Simulações!#REF!)</f>
        <v>#REF!</v>
      </c>
      <c r="K129" s="117" t="e">
        <f>Simulações!#REF!</f>
        <v>#REF!</v>
      </c>
      <c r="L129" s="117" t="e">
        <f>Simulações!#REF!</f>
        <v>#REF!</v>
      </c>
      <c r="M129" s="114" t="e">
        <f>IF(Simulações!#REF!="","",Simulações!#REF!)</f>
        <v>#REF!</v>
      </c>
      <c r="N129" s="114" t="e">
        <f>IF(Simulações!#REF!="","",Simulações!#REF!)</f>
        <v>#REF!</v>
      </c>
      <c r="O129" s="114">
        <v>1</v>
      </c>
    </row>
    <row r="130" spans="1:15" ht="15.75" hidden="1" customHeight="1" x14ac:dyDescent="0.3">
      <c r="A130" s="124" t="e">
        <f>Simulações!#REF!</f>
        <v>#REF!</v>
      </c>
      <c r="B130" s="114" t="e">
        <f>Simulações!#REF!</f>
        <v>#REF!</v>
      </c>
      <c r="C130" s="125" t="e">
        <f>Simulações!#REF!</f>
        <v>#REF!</v>
      </c>
      <c r="D130" s="114" t="e">
        <f>Simulações!#REF!</f>
        <v>#REF!</v>
      </c>
      <c r="E130" s="114" t="e">
        <f>Simulações!#REF!</f>
        <v>#REF!</v>
      </c>
      <c r="F130" s="114" t="e">
        <f>Simulações!#REF!</f>
        <v>#REF!</v>
      </c>
      <c r="G130" s="114" t="e">
        <f>Simulações!#REF!</f>
        <v>#REF!</v>
      </c>
      <c r="H130" s="114" t="e">
        <f>Simulações!#REF!</f>
        <v>#REF!</v>
      </c>
      <c r="I130" s="114" t="e">
        <f>IF(Simulações!#REF!="","",Simulações!#REF!)</f>
        <v>#REF!</v>
      </c>
      <c r="J130" s="114" t="e">
        <f>IF(Simulações!#REF!="","",Simulações!#REF!)</f>
        <v>#REF!</v>
      </c>
      <c r="K130" s="117" t="e">
        <f>Simulações!#REF!</f>
        <v>#REF!</v>
      </c>
      <c r="L130" s="117" t="e">
        <f>Simulações!#REF!</f>
        <v>#REF!</v>
      </c>
      <c r="M130" s="114" t="e">
        <f>IF(Simulações!#REF!="","",Simulações!#REF!)</f>
        <v>#REF!</v>
      </c>
      <c r="N130" s="114" t="e">
        <f>IF(Simulações!#REF!="","",Simulações!#REF!)</f>
        <v>#REF!</v>
      </c>
      <c r="O130" s="114">
        <v>1</v>
      </c>
    </row>
    <row r="131" spans="1:15" ht="15.75" hidden="1" customHeight="1" x14ac:dyDescent="0.3">
      <c r="A131" s="124" t="e">
        <f>Simulações!#REF!</f>
        <v>#REF!</v>
      </c>
      <c r="B131" s="114" t="e">
        <f>Simulações!#REF!</f>
        <v>#REF!</v>
      </c>
      <c r="C131" s="125" t="e">
        <f>Simulações!#REF!</f>
        <v>#REF!</v>
      </c>
      <c r="D131" s="114" t="e">
        <f>Simulações!#REF!</f>
        <v>#REF!</v>
      </c>
      <c r="E131" s="114" t="e">
        <f>Simulações!#REF!</f>
        <v>#REF!</v>
      </c>
      <c r="F131" s="114" t="e">
        <f>Simulações!#REF!</f>
        <v>#REF!</v>
      </c>
      <c r="G131" s="114" t="e">
        <f>Simulações!#REF!</f>
        <v>#REF!</v>
      </c>
      <c r="H131" s="114" t="e">
        <f>Simulações!#REF!</f>
        <v>#REF!</v>
      </c>
      <c r="I131" s="114" t="e">
        <f>IF(Simulações!#REF!="","",Simulações!#REF!)</f>
        <v>#REF!</v>
      </c>
      <c r="J131" s="114" t="e">
        <f>IF(Simulações!#REF!="","",Simulações!#REF!)</f>
        <v>#REF!</v>
      </c>
      <c r="K131" s="117" t="e">
        <f>Simulações!#REF!</f>
        <v>#REF!</v>
      </c>
      <c r="L131" s="117" t="e">
        <f>Simulações!#REF!</f>
        <v>#REF!</v>
      </c>
      <c r="M131" s="114" t="e">
        <f>IF(Simulações!#REF!="","",Simulações!#REF!)</f>
        <v>#REF!</v>
      </c>
      <c r="N131" s="114" t="e">
        <f>IF(Simulações!#REF!="","",Simulações!#REF!)</f>
        <v>#REF!</v>
      </c>
      <c r="O131" s="114">
        <v>1</v>
      </c>
    </row>
    <row r="132" spans="1:15" ht="15.75" hidden="1" customHeight="1" x14ac:dyDescent="0.3">
      <c r="A132" s="124" t="e">
        <f>Simulações!#REF!</f>
        <v>#REF!</v>
      </c>
      <c r="B132" s="114" t="e">
        <f>Simulações!#REF!</f>
        <v>#REF!</v>
      </c>
      <c r="C132" s="125" t="e">
        <f>Simulações!#REF!</f>
        <v>#REF!</v>
      </c>
      <c r="D132" s="114" t="e">
        <f>Simulações!#REF!</f>
        <v>#REF!</v>
      </c>
      <c r="E132" s="114" t="e">
        <f>Simulações!#REF!</f>
        <v>#REF!</v>
      </c>
      <c r="F132" s="114" t="e">
        <f>Simulações!#REF!</f>
        <v>#REF!</v>
      </c>
      <c r="G132" s="114" t="e">
        <f>Simulações!#REF!</f>
        <v>#REF!</v>
      </c>
      <c r="H132" s="114" t="e">
        <f>Simulações!#REF!</f>
        <v>#REF!</v>
      </c>
      <c r="I132" s="114" t="e">
        <f>IF(Simulações!#REF!="","",Simulações!#REF!)</f>
        <v>#REF!</v>
      </c>
      <c r="J132" s="114" t="e">
        <f>IF(Simulações!#REF!="","",Simulações!#REF!)</f>
        <v>#REF!</v>
      </c>
      <c r="K132" s="117" t="e">
        <f>Simulações!#REF!</f>
        <v>#REF!</v>
      </c>
      <c r="L132" s="117" t="e">
        <f>Simulações!#REF!</f>
        <v>#REF!</v>
      </c>
      <c r="M132" s="114" t="e">
        <f>IF(Simulações!#REF!="","",Simulações!#REF!)</f>
        <v>#REF!</v>
      </c>
      <c r="N132" s="114" t="e">
        <f>IF(Simulações!#REF!="","",Simulações!#REF!)</f>
        <v>#REF!</v>
      </c>
      <c r="O132" s="114">
        <v>1</v>
      </c>
    </row>
    <row r="133" spans="1:15" ht="15.75" hidden="1" customHeight="1" x14ac:dyDescent="0.3">
      <c r="A133" s="124" t="e">
        <f>Simulações!#REF!</f>
        <v>#REF!</v>
      </c>
      <c r="B133" s="114" t="e">
        <f>Simulações!#REF!</f>
        <v>#REF!</v>
      </c>
      <c r="C133" s="125" t="e">
        <f>Simulações!#REF!</f>
        <v>#REF!</v>
      </c>
      <c r="D133" s="114" t="e">
        <f>Simulações!#REF!</f>
        <v>#REF!</v>
      </c>
      <c r="E133" s="114" t="e">
        <f>Simulações!#REF!</f>
        <v>#REF!</v>
      </c>
      <c r="F133" s="114" t="e">
        <f>Simulações!#REF!</f>
        <v>#REF!</v>
      </c>
      <c r="G133" s="114" t="e">
        <f>Simulações!#REF!</f>
        <v>#REF!</v>
      </c>
      <c r="H133" s="114" t="e">
        <f>Simulações!#REF!</f>
        <v>#REF!</v>
      </c>
      <c r="I133" s="114" t="e">
        <f>IF(Simulações!#REF!="","",Simulações!#REF!)</f>
        <v>#REF!</v>
      </c>
      <c r="J133" s="114" t="e">
        <f>IF(Simulações!#REF!="","",Simulações!#REF!)</f>
        <v>#REF!</v>
      </c>
      <c r="K133" s="117" t="e">
        <f>Simulações!#REF!</f>
        <v>#REF!</v>
      </c>
      <c r="L133" s="117" t="e">
        <f>Simulações!#REF!</f>
        <v>#REF!</v>
      </c>
      <c r="M133" s="114" t="e">
        <f>IF(Simulações!#REF!="","",Simulações!#REF!)</f>
        <v>#REF!</v>
      </c>
      <c r="N133" s="114" t="e">
        <f>IF(Simulações!#REF!="","",Simulações!#REF!)</f>
        <v>#REF!</v>
      </c>
      <c r="O133" s="114">
        <v>1</v>
      </c>
    </row>
    <row r="134" spans="1:15" ht="15.75" hidden="1" customHeight="1" x14ac:dyDescent="0.3">
      <c r="A134" s="124" t="e">
        <f>Simulações!#REF!</f>
        <v>#REF!</v>
      </c>
      <c r="B134" s="114" t="e">
        <f>Simulações!#REF!</f>
        <v>#REF!</v>
      </c>
      <c r="C134" s="125" t="e">
        <f>Simulações!#REF!</f>
        <v>#REF!</v>
      </c>
      <c r="D134" s="114" t="e">
        <f>Simulações!#REF!</f>
        <v>#REF!</v>
      </c>
      <c r="E134" s="114" t="e">
        <f>Simulações!#REF!</f>
        <v>#REF!</v>
      </c>
      <c r="F134" s="114" t="e">
        <f>Simulações!#REF!</f>
        <v>#REF!</v>
      </c>
      <c r="G134" s="114" t="e">
        <f>Simulações!#REF!</f>
        <v>#REF!</v>
      </c>
      <c r="H134" s="114" t="e">
        <f>Simulações!#REF!</f>
        <v>#REF!</v>
      </c>
      <c r="I134" s="114" t="e">
        <f>IF(Simulações!#REF!="","",Simulações!#REF!)</f>
        <v>#REF!</v>
      </c>
      <c r="J134" s="114" t="e">
        <f>IF(Simulações!#REF!="","",Simulações!#REF!)</f>
        <v>#REF!</v>
      </c>
      <c r="K134" s="117" t="e">
        <f>Simulações!#REF!</f>
        <v>#REF!</v>
      </c>
      <c r="L134" s="117" t="e">
        <f>Simulações!#REF!</f>
        <v>#REF!</v>
      </c>
      <c r="M134" s="114" t="e">
        <f>IF(Simulações!#REF!="","",Simulações!#REF!)</f>
        <v>#REF!</v>
      </c>
      <c r="N134" s="114" t="e">
        <f>IF(Simulações!#REF!="","",Simulações!#REF!)</f>
        <v>#REF!</v>
      </c>
      <c r="O134" s="114">
        <v>1</v>
      </c>
    </row>
    <row r="135" spans="1:15" ht="15.75" hidden="1" customHeight="1" x14ac:dyDescent="0.3">
      <c r="A135" s="124" t="e">
        <f>Simulações!#REF!</f>
        <v>#REF!</v>
      </c>
      <c r="B135" s="114" t="e">
        <f>Simulações!#REF!</f>
        <v>#REF!</v>
      </c>
      <c r="C135" s="125" t="e">
        <f>Simulações!#REF!</f>
        <v>#REF!</v>
      </c>
      <c r="D135" s="114" t="e">
        <f>Simulações!#REF!</f>
        <v>#REF!</v>
      </c>
      <c r="E135" s="114" t="e">
        <f>Simulações!#REF!</f>
        <v>#REF!</v>
      </c>
      <c r="F135" s="114" t="e">
        <f>Simulações!#REF!</f>
        <v>#REF!</v>
      </c>
      <c r="G135" s="114" t="e">
        <f>Simulações!#REF!</f>
        <v>#REF!</v>
      </c>
      <c r="H135" s="114" t="e">
        <f>Simulações!#REF!</f>
        <v>#REF!</v>
      </c>
      <c r="I135" s="114" t="e">
        <f>IF(Simulações!#REF!="","",Simulações!#REF!)</f>
        <v>#REF!</v>
      </c>
      <c r="J135" s="114" t="e">
        <f>IF(Simulações!#REF!="","",Simulações!#REF!)</f>
        <v>#REF!</v>
      </c>
      <c r="K135" s="117" t="e">
        <f>Simulações!#REF!</f>
        <v>#REF!</v>
      </c>
      <c r="L135" s="117" t="e">
        <f>Simulações!#REF!</f>
        <v>#REF!</v>
      </c>
      <c r="M135" s="114" t="e">
        <f>IF(Simulações!#REF!="","",Simulações!#REF!)</f>
        <v>#REF!</v>
      </c>
      <c r="N135" s="114" t="e">
        <f>IF(Simulações!#REF!="","",Simulações!#REF!)</f>
        <v>#REF!</v>
      </c>
      <c r="O135" s="114">
        <v>1</v>
      </c>
    </row>
    <row r="136" spans="1:15" ht="15.75" hidden="1" customHeight="1" x14ac:dyDescent="0.3">
      <c r="A136" s="124" t="e">
        <f>Simulações!#REF!</f>
        <v>#REF!</v>
      </c>
      <c r="B136" s="114" t="e">
        <f>Simulações!#REF!</f>
        <v>#REF!</v>
      </c>
      <c r="C136" s="125" t="e">
        <f>Simulações!#REF!</f>
        <v>#REF!</v>
      </c>
      <c r="D136" s="114" t="e">
        <f>Simulações!#REF!</f>
        <v>#REF!</v>
      </c>
      <c r="E136" s="114" t="e">
        <f>Simulações!#REF!</f>
        <v>#REF!</v>
      </c>
      <c r="F136" s="114" t="e">
        <f>Simulações!#REF!</f>
        <v>#REF!</v>
      </c>
      <c r="G136" s="114" t="e">
        <f>Simulações!#REF!</f>
        <v>#REF!</v>
      </c>
      <c r="H136" s="114" t="e">
        <f>Simulações!#REF!</f>
        <v>#REF!</v>
      </c>
      <c r="I136" s="114" t="e">
        <f>IF(Simulações!#REF!="","",Simulações!#REF!)</f>
        <v>#REF!</v>
      </c>
      <c r="J136" s="114" t="e">
        <f>IF(Simulações!#REF!="","",Simulações!#REF!)</f>
        <v>#REF!</v>
      </c>
      <c r="K136" s="117" t="e">
        <f>Simulações!#REF!</f>
        <v>#REF!</v>
      </c>
      <c r="L136" s="117" t="e">
        <f>Simulações!#REF!</f>
        <v>#REF!</v>
      </c>
      <c r="M136" s="114" t="e">
        <f>IF(Simulações!#REF!="","",Simulações!#REF!)</f>
        <v>#REF!</v>
      </c>
      <c r="N136" s="114" t="e">
        <f>IF(Simulações!#REF!="","",Simulações!#REF!)</f>
        <v>#REF!</v>
      </c>
      <c r="O136" s="114">
        <v>1</v>
      </c>
    </row>
    <row r="137" spans="1:15" ht="15.75" hidden="1" customHeight="1" x14ac:dyDescent="0.3">
      <c r="A137" s="124" t="e">
        <f>Simulações!#REF!</f>
        <v>#REF!</v>
      </c>
      <c r="B137" s="114" t="e">
        <f>Simulações!#REF!</f>
        <v>#REF!</v>
      </c>
      <c r="C137" s="125" t="e">
        <f>Simulações!#REF!</f>
        <v>#REF!</v>
      </c>
      <c r="D137" s="114" t="e">
        <f>Simulações!#REF!</f>
        <v>#REF!</v>
      </c>
      <c r="E137" s="114" t="e">
        <f>Simulações!#REF!</f>
        <v>#REF!</v>
      </c>
      <c r="F137" s="114" t="e">
        <f>Simulações!#REF!</f>
        <v>#REF!</v>
      </c>
      <c r="G137" s="114" t="e">
        <f>Simulações!#REF!</f>
        <v>#REF!</v>
      </c>
      <c r="H137" s="114" t="e">
        <f>Simulações!#REF!</f>
        <v>#REF!</v>
      </c>
      <c r="I137" s="114" t="e">
        <f>IF(Simulações!#REF!="","",Simulações!#REF!)</f>
        <v>#REF!</v>
      </c>
      <c r="J137" s="114" t="e">
        <f>IF(Simulações!#REF!="","",Simulações!#REF!)</f>
        <v>#REF!</v>
      </c>
      <c r="K137" s="117" t="e">
        <f>Simulações!#REF!</f>
        <v>#REF!</v>
      </c>
      <c r="L137" s="117" t="e">
        <f>Simulações!#REF!</f>
        <v>#REF!</v>
      </c>
      <c r="M137" s="114" t="e">
        <f>IF(Simulações!#REF!="","",Simulações!#REF!)</f>
        <v>#REF!</v>
      </c>
      <c r="N137" s="114" t="e">
        <f>IF(Simulações!#REF!="","",Simulações!#REF!)</f>
        <v>#REF!</v>
      </c>
      <c r="O137" s="114">
        <v>1</v>
      </c>
    </row>
    <row r="138" spans="1:15" ht="15.75" hidden="1" customHeight="1" x14ac:dyDescent="0.3">
      <c r="A138" s="124" t="e">
        <f>Simulações!#REF!</f>
        <v>#REF!</v>
      </c>
      <c r="B138" s="114" t="e">
        <f>Simulações!#REF!</f>
        <v>#REF!</v>
      </c>
      <c r="C138" s="125" t="e">
        <f>Simulações!#REF!</f>
        <v>#REF!</v>
      </c>
      <c r="D138" s="114" t="e">
        <f>Simulações!#REF!</f>
        <v>#REF!</v>
      </c>
      <c r="E138" s="114" t="e">
        <f>Simulações!#REF!</f>
        <v>#REF!</v>
      </c>
      <c r="F138" s="114" t="e">
        <f>Simulações!#REF!</f>
        <v>#REF!</v>
      </c>
      <c r="G138" s="114" t="e">
        <f>Simulações!#REF!</f>
        <v>#REF!</v>
      </c>
      <c r="H138" s="114" t="e">
        <f>Simulações!#REF!</f>
        <v>#REF!</v>
      </c>
      <c r="I138" s="114" t="e">
        <f>IF(Simulações!#REF!="","",Simulações!#REF!)</f>
        <v>#REF!</v>
      </c>
      <c r="J138" s="114" t="e">
        <f>IF(Simulações!#REF!="","",Simulações!#REF!)</f>
        <v>#REF!</v>
      </c>
      <c r="K138" s="117" t="e">
        <f>Simulações!#REF!</f>
        <v>#REF!</v>
      </c>
      <c r="L138" s="117" t="e">
        <f>Simulações!#REF!</f>
        <v>#REF!</v>
      </c>
      <c r="M138" s="114" t="e">
        <f>IF(Simulações!#REF!="","",Simulações!#REF!)</f>
        <v>#REF!</v>
      </c>
      <c r="N138" s="114" t="e">
        <f>IF(Simulações!#REF!="","",Simulações!#REF!)</f>
        <v>#REF!</v>
      </c>
      <c r="O138" s="114">
        <v>1</v>
      </c>
    </row>
    <row r="139" spans="1:15" ht="15.75" hidden="1" customHeight="1" x14ac:dyDescent="0.3">
      <c r="A139" s="124" t="e">
        <f>Simulações!#REF!</f>
        <v>#REF!</v>
      </c>
      <c r="B139" s="114" t="e">
        <f>Simulações!#REF!</f>
        <v>#REF!</v>
      </c>
      <c r="C139" s="125" t="e">
        <f>Simulações!#REF!</f>
        <v>#REF!</v>
      </c>
      <c r="D139" s="114" t="e">
        <f>Simulações!#REF!</f>
        <v>#REF!</v>
      </c>
      <c r="E139" s="114" t="e">
        <f>Simulações!#REF!</f>
        <v>#REF!</v>
      </c>
      <c r="F139" s="114" t="e">
        <f>Simulações!#REF!</f>
        <v>#REF!</v>
      </c>
      <c r="G139" s="114" t="e">
        <f>Simulações!#REF!</f>
        <v>#REF!</v>
      </c>
      <c r="H139" s="114" t="e">
        <f>Simulações!#REF!</f>
        <v>#REF!</v>
      </c>
      <c r="I139" s="114" t="e">
        <f>IF(Simulações!#REF!="","",Simulações!#REF!)</f>
        <v>#REF!</v>
      </c>
      <c r="J139" s="114" t="e">
        <f>IF(Simulações!#REF!="","",Simulações!#REF!)</f>
        <v>#REF!</v>
      </c>
      <c r="K139" s="117" t="e">
        <f>Simulações!#REF!</f>
        <v>#REF!</v>
      </c>
      <c r="L139" s="117" t="e">
        <f>Simulações!#REF!</f>
        <v>#REF!</v>
      </c>
      <c r="M139" s="114" t="e">
        <f>IF(Simulações!#REF!="","",Simulações!#REF!)</f>
        <v>#REF!</v>
      </c>
      <c r="N139" s="114" t="e">
        <f>IF(Simulações!#REF!="","",Simulações!#REF!)</f>
        <v>#REF!</v>
      </c>
      <c r="O139" s="114">
        <v>1</v>
      </c>
    </row>
    <row r="140" spans="1:15" ht="15.75" hidden="1" customHeight="1" x14ac:dyDescent="0.3">
      <c r="A140" s="124" t="e">
        <f>Simulações!#REF!</f>
        <v>#REF!</v>
      </c>
      <c r="B140" s="114" t="e">
        <f>Simulações!#REF!</f>
        <v>#REF!</v>
      </c>
      <c r="C140" s="125" t="e">
        <f>Simulações!#REF!</f>
        <v>#REF!</v>
      </c>
      <c r="D140" s="114" t="e">
        <f>Simulações!#REF!</f>
        <v>#REF!</v>
      </c>
      <c r="E140" s="114" t="e">
        <f>Simulações!#REF!</f>
        <v>#REF!</v>
      </c>
      <c r="F140" s="114" t="e">
        <f>Simulações!#REF!</f>
        <v>#REF!</v>
      </c>
      <c r="G140" s="114" t="e">
        <f>Simulações!#REF!</f>
        <v>#REF!</v>
      </c>
      <c r="H140" s="114" t="e">
        <f>Simulações!#REF!</f>
        <v>#REF!</v>
      </c>
      <c r="I140" s="114" t="e">
        <f>IF(Simulações!#REF!="","",Simulações!#REF!)</f>
        <v>#REF!</v>
      </c>
      <c r="J140" s="114" t="e">
        <f>IF(Simulações!#REF!="","",Simulações!#REF!)</f>
        <v>#REF!</v>
      </c>
      <c r="K140" s="117" t="e">
        <f>Simulações!#REF!</f>
        <v>#REF!</v>
      </c>
      <c r="L140" s="117" t="e">
        <f>Simulações!#REF!</f>
        <v>#REF!</v>
      </c>
      <c r="M140" s="114" t="e">
        <f>IF(Simulações!#REF!="","",Simulações!#REF!)</f>
        <v>#REF!</v>
      </c>
      <c r="N140" s="114" t="e">
        <f>IF(Simulações!#REF!="","",Simulações!#REF!)</f>
        <v>#REF!</v>
      </c>
      <c r="O140" s="114">
        <v>1</v>
      </c>
    </row>
    <row r="141" spans="1:15" ht="15.75" hidden="1" customHeight="1" x14ac:dyDescent="0.3">
      <c r="A141" s="124" t="e">
        <f>Simulações!#REF!</f>
        <v>#REF!</v>
      </c>
      <c r="B141" s="114" t="e">
        <f>Simulações!#REF!</f>
        <v>#REF!</v>
      </c>
      <c r="C141" s="125" t="e">
        <f>Simulações!#REF!</f>
        <v>#REF!</v>
      </c>
      <c r="D141" s="114" t="e">
        <f>Simulações!#REF!</f>
        <v>#REF!</v>
      </c>
      <c r="E141" s="114" t="e">
        <f>Simulações!#REF!</f>
        <v>#REF!</v>
      </c>
      <c r="F141" s="114" t="e">
        <f>Simulações!#REF!</f>
        <v>#REF!</v>
      </c>
      <c r="G141" s="114" t="e">
        <f>Simulações!#REF!</f>
        <v>#REF!</v>
      </c>
      <c r="H141" s="114" t="e">
        <f>Simulações!#REF!</f>
        <v>#REF!</v>
      </c>
      <c r="I141" s="114" t="e">
        <f>IF(Simulações!#REF!="","",Simulações!#REF!)</f>
        <v>#REF!</v>
      </c>
      <c r="J141" s="114" t="e">
        <f>IF(Simulações!#REF!="","",Simulações!#REF!)</f>
        <v>#REF!</v>
      </c>
      <c r="K141" s="117" t="e">
        <f>Simulações!#REF!</f>
        <v>#REF!</v>
      </c>
      <c r="L141" s="117" t="e">
        <f>Simulações!#REF!</f>
        <v>#REF!</v>
      </c>
      <c r="M141" s="114" t="e">
        <f>IF(Simulações!#REF!="","",Simulações!#REF!)</f>
        <v>#REF!</v>
      </c>
      <c r="N141" s="114" t="e">
        <f>IF(Simulações!#REF!="","",Simulações!#REF!)</f>
        <v>#REF!</v>
      </c>
      <c r="O141" s="114">
        <v>1</v>
      </c>
    </row>
    <row r="142" spans="1:15" ht="15.75" hidden="1" customHeight="1" x14ac:dyDescent="0.3">
      <c r="A142" s="124" t="e">
        <f>Simulações!#REF!</f>
        <v>#REF!</v>
      </c>
      <c r="B142" s="114" t="e">
        <f>Simulações!#REF!</f>
        <v>#REF!</v>
      </c>
      <c r="C142" s="125" t="e">
        <f>Simulações!#REF!</f>
        <v>#REF!</v>
      </c>
      <c r="D142" s="114" t="e">
        <f>Simulações!#REF!</f>
        <v>#REF!</v>
      </c>
      <c r="E142" s="114" t="e">
        <f>Simulações!#REF!</f>
        <v>#REF!</v>
      </c>
      <c r="F142" s="114" t="e">
        <f>Simulações!#REF!</f>
        <v>#REF!</v>
      </c>
      <c r="G142" s="114" t="e">
        <f>Simulações!#REF!</f>
        <v>#REF!</v>
      </c>
      <c r="H142" s="114" t="e">
        <f>Simulações!#REF!</f>
        <v>#REF!</v>
      </c>
      <c r="I142" s="114" t="e">
        <f>IF(Simulações!#REF!="","",Simulações!#REF!)</f>
        <v>#REF!</v>
      </c>
      <c r="J142" s="114" t="e">
        <f>IF(Simulações!#REF!="","",Simulações!#REF!)</f>
        <v>#REF!</v>
      </c>
      <c r="K142" s="117" t="e">
        <f>Simulações!#REF!</f>
        <v>#REF!</v>
      </c>
      <c r="L142" s="117" t="e">
        <f>Simulações!#REF!</f>
        <v>#REF!</v>
      </c>
      <c r="M142" s="114" t="e">
        <f>IF(Simulações!#REF!="","",Simulações!#REF!)</f>
        <v>#REF!</v>
      </c>
      <c r="N142" s="114" t="e">
        <f>IF(Simulações!#REF!="","",Simulações!#REF!)</f>
        <v>#REF!</v>
      </c>
      <c r="O142" s="114">
        <v>1</v>
      </c>
    </row>
    <row r="143" spans="1:15" ht="15.75" hidden="1" customHeight="1" x14ac:dyDescent="0.3">
      <c r="A143" s="124" t="e">
        <f>Simulações!#REF!</f>
        <v>#REF!</v>
      </c>
      <c r="B143" s="114" t="e">
        <f>Simulações!#REF!</f>
        <v>#REF!</v>
      </c>
      <c r="C143" s="125" t="e">
        <f>Simulações!#REF!</f>
        <v>#REF!</v>
      </c>
      <c r="D143" s="114" t="e">
        <f>Simulações!#REF!</f>
        <v>#REF!</v>
      </c>
      <c r="E143" s="114" t="e">
        <f>Simulações!#REF!</f>
        <v>#REF!</v>
      </c>
      <c r="F143" s="114" t="e">
        <f>Simulações!#REF!</f>
        <v>#REF!</v>
      </c>
      <c r="G143" s="114" t="e">
        <f>Simulações!#REF!</f>
        <v>#REF!</v>
      </c>
      <c r="H143" s="114" t="e">
        <f>Simulações!#REF!</f>
        <v>#REF!</v>
      </c>
      <c r="I143" s="114" t="e">
        <f>IF(Simulações!#REF!="","",Simulações!#REF!)</f>
        <v>#REF!</v>
      </c>
      <c r="J143" s="114" t="e">
        <f>IF(Simulações!#REF!="","",Simulações!#REF!)</f>
        <v>#REF!</v>
      </c>
      <c r="K143" s="117" t="e">
        <f>Simulações!#REF!</f>
        <v>#REF!</v>
      </c>
      <c r="L143" s="117" t="e">
        <f>Simulações!#REF!</f>
        <v>#REF!</v>
      </c>
      <c r="M143" s="114" t="e">
        <f>IF(Simulações!#REF!="","",Simulações!#REF!)</f>
        <v>#REF!</v>
      </c>
      <c r="N143" s="114" t="e">
        <f>IF(Simulações!#REF!="","",Simulações!#REF!)</f>
        <v>#REF!</v>
      </c>
      <c r="O143" s="114">
        <v>1</v>
      </c>
    </row>
    <row r="144" spans="1:15" ht="15.75" hidden="1" customHeight="1" x14ac:dyDescent="0.3">
      <c r="A144" s="124" t="e">
        <f>Simulações!#REF!</f>
        <v>#REF!</v>
      </c>
      <c r="B144" s="114" t="e">
        <f>Simulações!#REF!</f>
        <v>#REF!</v>
      </c>
      <c r="C144" s="125" t="e">
        <f>Simulações!#REF!</f>
        <v>#REF!</v>
      </c>
      <c r="D144" s="114" t="e">
        <f>Simulações!#REF!</f>
        <v>#REF!</v>
      </c>
      <c r="E144" s="114" t="e">
        <f>Simulações!#REF!</f>
        <v>#REF!</v>
      </c>
      <c r="F144" s="114" t="e">
        <f>Simulações!#REF!</f>
        <v>#REF!</v>
      </c>
      <c r="G144" s="114" t="e">
        <f>Simulações!#REF!</f>
        <v>#REF!</v>
      </c>
      <c r="H144" s="114" t="e">
        <f>Simulações!#REF!</f>
        <v>#REF!</v>
      </c>
      <c r="I144" s="114" t="e">
        <f>IF(Simulações!#REF!="","",Simulações!#REF!)</f>
        <v>#REF!</v>
      </c>
      <c r="J144" s="114" t="e">
        <f>IF(Simulações!#REF!="","",Simulações!#REF!)</f>
        <v>#REF!</v>
      </c>
      <c r="K144" s="117" t="e">
        <f>Simulações!#REF!</f>
        <v>#REF!</v>
      </c>
      <c r="L144" s="117" t="e">
        <f>Simulações!#REF!</f>
        <v>#REF!</v>
      </c>
      <c r="M144" s="114" t="e">
        <f>IF(Simulações!#REF!="","",Simulações!#REF!)</f>
        <v>#REF!</v>
      </c>
      <c r="N144" s="114" t="e">
        <f>IF(Simulações!#REF!="","",Simulações!#REF!)</f>
        <v>#REF!</v>
      </c>
      <c r="O144" s="114">
        <v>1</v>
      </c>
    </row>
    <row r="145" spans="1:15" ht="15.75" hidden="1" customHeight="1" x14ac:dyDescent="0.3">
      <c r="A145" s="124" t="e">
        <f>Simulações!#REF!</f>
        <v>#REF!</v>
      </c>
      <c r="B145" s="114" t="e">
        <f>Simulações!#REF!</f>
        <v>#REF!</v>
      </c>
      <c r="C145" s="125" t="e">
        <f>Simulações!#REF!</f>
        <v>#REF!</v>
      </c>
      <c r="D145" s="114" t="e">
        <f>Simulações!#REF!</f>
        <v>#REF!</v>
      </c>
      <c r="E145" s="114" t="e">
        <f>Simulações!#REF!</f>
        <v>#REF!</v>
      </c>
      <c r="F145" s="114" t="e">
        <f>Simulações!#REF!</f>
        <v>#REF!</v>
      </c>
      <c r="G145" s="114" t="e">
        <f>Simulações!#REF!</f>
        <v>#REF!</v>
      </c>
      <c r="H145" s="114" t="e">
        <f>Simulações!#REF!</f>
        <v>#REF!</v>
      </c>
      <c r="I145" s="114" t="e">
        <f>IF(Simulações!#REF!="","",Simulações!#REF!)</f>
        <v>#REF!</v>
      </c>
      <c r="J145" s="114" t="e">
        <f>IF(Simulações!#REF!="","",Simulações!#REF!)</f>
        <v>#REF!</v>
      </c>
      <c r="K145" s="117" t="e">
        <f>Simulações!#REF!</f>
        <v>#REF!</v>
      </c>
      <c r="L145" s="117" t="e">
        <f>Simulações!#REF!</f>
        <v>#REF!</v>
      </c>
      <c r="M145" s="114" t="e">
        <f>IF(Simulações!#REF!="","",Simulações!#REF!)</f>
        <v>#REF!</v>
      </c>
      <c r="N145" s="114" t="e">
        <f>IF(Simulações!#REF!="","",Simulações!#REF!)</f>
        <v>#REF!</v>
      </c>
      <c r="O145" s="114">
        <v>1</v>
      </c>
    </row>
    <row r="146" spans="1:15" ht="15.75" hidden="1" customHeight="1" x14ac:dyDescent="0.3">
      <c r="A146" s="124" t="e">
        <f>Simulações!#REF!</f>
        <v>#REF!</v>
      </c>
      <c r="B146" s="114" t="e">
        <f>Simulações!#REF!</f>
        <v>#REF!</v>
      </c>
      <c r="C146" s="125" t="e">
        <f>Simulações!#REF!</f>
        <v>#REF!</v>
      </c>
      <c r="D146" s="114" t="e">
        <f>Simulações!#REF!</f>
        <v>#REF!</v>
      </c>
      <c r="E146" s="114" t="e">
        <f>Simulações!#REF!</f>
        <v>#REF!</v>
      </c>
      <c r="F146" s="114" t="e">
        <f>Simulações!#REF!</f>
        <v>#REF!</v>
      </c>
      <c r="G146" s="114" t="e">
        <f>Simulações!#REF!</f>
        <v>#REF!</v>
      </c>
      <c r="H146" s="114" t="e">
        <f>Simulações!#REF!</f>
        <v>#REF!</v>
      </c>
      <c r="I146" s="114" t="e">
        <f>IF(Simulações!#REF!="","",Simulações!#REF!)</f>
        <v>#REF!</v>
      </c>
      <c r="J146" s="114" t="e">
        <f>IF(Simulações!#REF!="","",Simulações!#REF!)</f>
        <v>#REF!</v>
      </c>
      <c r="K146" s="117" t="e">
        <f>Simulações!#REF!</f>
        <v>#REF!</v>
      </c>
      <c r="L146" s="117" t="e">
        <f>Simulações!#REF!</f>
        <v>#REF!</v>
      </c>
      <c r="M146" s="114" t="e">
        <f>IF(Simulações!#REF!="","",Simulações!#REF!)</f>
        <v>#REF!</v>
      </c>
      <c r="N146" s="114" t="e">
        <f>IF(Simulações!#REF!="","",Simulações!#REF!)</f>
        <v>#REF!</v>
      </c>
      <c r="O146" s="114">
        <v>1</v>
      </c>
    </row>
    <row r="147" spans="1:15" ht="15.75" hidden="1" customHeight="1" x14ac:dyDescent="0.3">
      <c r="A147" s="124" t="e">
        <f>Simulações!#REF!</f>
        <v>#REF!</v>
      </c>
      <c r="B147" s="114" t="e">
        <f>Simulações!#REF!</f>
        <v>#REF!</v>
      </c>
      <c r="C147" s="125" t="e">
        <f>Simulações!#REF!</f>
        <v>#REF!</v>
      </c>
      <c r="D147" s="114" t="e">
        <f>Simulações!#REF!</f>
        <v>#REF!</v>
      </c>
      <c r="E147" s="114" t="e">
        <f>Simulações!#REF!</f>
        <v>#REF!</v>
      </c>
      <c r="F147" s="114" t="e">
        <f>Simulações!#REF!</f>
        <v>#REF!</v>
      </c>
      <c r="G147" s="114" t="e">
        <f>Simulações!#REF!</f>
        <v>#REF!</v>
      </c>
      <c r="H147" s="114" t="e">
        <f>Simulações!#REF!</f>
        <v>#REF!</v>
      </c>
      <c r="I147" s="114" t="e">
        <f>IF(Simulações!#REF!="","",Simulações!#REF!)</f>
        <v>#REF!</v>
      </c>
      <c r="J147" s="114" t="e">
        <f>IF(Simulações!#REF!="","",Simulações!#REF!)</f>
        <v>#REF!</v>
      </c>
      <c r="K147" s="117" t="e">
        <f>Simulações!#REF!</f>
        <v>#REF!</v>
      </c>
      <c r="L147" s="117" t="e">
        <f>Simulações!#REF!</f>
        <v>#REF!</v>
      </c>
      <c r="M147" s="114" t="e">
        <f>IF(Simulações!#REF!="","",Simulações!#REF!)</f>
        <v>#REF!</v>
      </c>
      <c r="N147" s="114" t="e">
        <f>IF(Simulações!#REF!="","",Simulações!#REF!)</f>
        <v>#REF!</v>
      </c>
      <c r="O147" s="114">
        <v>1</v>
      </c>
    </row>
    <row r="148" spans="1:15" ht="15.75" hidden="1" customHeight="1" x14ac:dyDescent="0.3">
      <c r="A148" s="124" t="e">
        <f>Simulações!#REF!</f>
        <v>#REF!</v>
      </c>
      <c r="B148" s="114" t="e">
        <f>Simulações!#REF!</f>
        <v>#REF!</v>
      </c>
      <c r="C148" s="125" t="e">
        <f>Simulações!#REF!</f>
        <v>#REF!</v>
      </c>
      <c r="D148" s="114" t="e">
        <f>Simulações!#REF!</f>
        <v>#REF!</v>
      </c>
      <c r="E148" s="114" t="e">
        <f>Simulações!#REF!</f>
        <v>#REF!</v>
      </c>
      <c r="F148" s="114" t="e">
        <f>Simulações!#REF!</f>
        <v>#REF!</v>
      </c>
      <c r="G148" s="114" t="e">
        <f>Simulações!#REF!</f>
        <v>#REF!</v>
      </c>
      <c r="H148" s="114" t="e">
        <f>Simulações!#REF!</f>
        <v>#REF!</v>
      </c>
      <c r="I148" s="114" t="e">
        <f>IF(Simulações!#REF!="","",Simulações!#REF!)</f>
        <v>#REF!</v>
      </c>
      <c r="J148" s="114" t="e">
        <f>IF(Simulações!#REF!="","",Simulações!#REF!)</f>
        <v>#REF!</v>
      </c>
      <c r="K148" s="117" t="e">
        <f>Simulações!#REF!</f>
        <v>#REF!</v>
      </c>
      <c r="L148" s="117" t="e">
        <f>Simulações!#REF!</f>
        <v>#REF!</v>
      </c>
      <c r="M148" s="114" t="e">
        <f>IF(Simulações!#REF!="","",Simulações!#REF!)</f>
        <v>#REF!</v>
      </c>
      <c r="N148" s="114" t="e">
        <f>IF(Simulações!#REF!="","",Simulações!#REF!)</f>
        <v>#REF!</v>
      </c>
      <c r="O148" s="114">
        <v>1</v>
      </c>
    </row>
    <row r="149" spans="1:15" ht="15.75" hidden="1" customHeight="1" x14ac:dyDescent="0.3">
      <c r="A149" s="124" t="e">
        <f>Simulações!#REF!</f>
        <v>#REF!</v>
      </c>
      <c r="B149" s="114" t="e">
        <f>Simulações!#REF!</f>
        <v>#REF!</v>
      </c>
      <c r="C149" s="125" t="e">
        <f>Simulações!#REF!</f>
        <v>#REF!</v>
      </c>
      <c r="D149" s="114" t="e">
        <f>Simulações!#REF!</f>
        <v>#REF!</v>
      </c>
      <c r="E149" s="114" t="e">
        <f>Simulações!#REF!</f>
        <v>#REF!</v>
      </c>
      <c r="F149" s="114" t="e">
        <f>Simulações!#REF!</f>
        <v>#REF!</v>
      </c>
      <c r="G149" s="114" t="e">
        <f>Simulações!#REF!</f>
        <v>#REF!</v>
      </c>
      <c r="H149" s="114" t="e">
        <f>Simulações!#REF!</f>
        <v>#REF!</v>
      </c>
      <c r="I149" s="114" t="e">
        <f>IF(Simulações!#REF!="","",Simulações!#REF!)</f>
        <v>#REF!</v>
      </c>
      <c r="J149" s="114" t="e">
        <f>IF(Simulações!#REF!="","",Simulações!#REF!)</f>
        <v>#REF!</v>
      </c>
      <c r="K149" s="117" t="e">
        <f>Simulações!#REF!</f>
        <v>#REF!</v>
      </c>
      <c r="L149" s="117" t="e">
        <f>Simulações!#REF!</f>
        <v>#REF!</v>
      </c>
      <c r="M149" s="114" t="e">
        <f>IF(Simulações!#REF!="","",Simulações!#REF!)</f>
        <v>#REF!</v>
      </c>
      <c r="N149" s="114" t="e">
        <f>IF(Simulações!#REF!="","",Simulações!#REF!)</f>
        <v>#REF!</v>
      </c>
      <c r="O149" s="114">
        <v>1</v>
      </c>
    </row>
    <row r="150" spans="1:15" ht="15.75" hidden="1" customHeight="1" x14ac:dyDescent="0.3">
      <c r="A150" s="124" t="e">
        <f>Simulações!#REF!</f>
        <v>#REF!</v>
      </c>
      <c r="B150" s="114" t="e">
        <f>Simulações!#REF!</f>
        <v>#REF!</v>
      </c>
      <c r="C150" s="125" t="e">
        <f>Simulações!#REF!</f>
        <v>#REF!</v>
      </c>
      <c r="D150" s="114" t="e">
        <f>Simulações!#REF!</f>
        <v>#REF!</v>
      </c>
      <c r="E150" s="114" t="e">
        <f>Simulações!#REF!</f>
        <v>#REF!</v>
      </c>
      <c r="F150" s="114" t="e">
        <f>Simulações!#REF!</f>
        <v>#REF!</v>
      </c>
      <c r="G150" s="114" t="e">
        <f>Simulações!#REF!</f>
        <v>#REF!</v>
      </c>
      <c r="H150" s="114" t="e">
        <f>Simulações!#REF!</f>
        <v>#REF!</v>
      </c>
      <c r="I150" s="114" t="e">
        <f>IF(Simulações!#REF!="","",Simulações!#REF!)</f>
        <v>#REF!</v>
      </c>
      <c r="J150" s="114" t="e">
        <f>IF(Simulações!#REF!="","",Simulações!#REF!)</f>
        <v>#REF!</v>
      </c>
      <c r="K150" s="117" t="e">
        <f>Simulações!#REF!</f>
        <v>#REF!</v>
      </c>
      <c r="L150" s="117" t="e">
        <f>Simulações!#REF!</f>
        <v>#REF!</v>
      </c>
      <c r="M150" s="114" t="e">
        <f>IF(Simulações!#REF!="","",Simulações!#REF!)</f>
        <v>#REF!</v>
      </c>
      <c r="N150" s="114" t="e">
        <f>IF(Simulações!#REF!="","",Simulações!#REF!)</f>
        <v>#REF!</v>
      </c>
      <c r="O150" s="114">
        <v>1</v>
      </c>
    </row>
    <row r="151" spans="1:15" ht="15.75" hidden="1" customHeight="1" x14ac:dyDescent="0.3">
      <c r="A151" s="124" t="e">
        <f>Simulações!#REF!</f>
        <v>#REF!</v>
      </c>
      <c r="B151" s="114" t="e">
        <f>Simulações!#REF!</f>
        <v>#REF!</v>
      </c>
      <c r="C151" s="125" t="e">
        <f>Simulações!#REF!</f>
        <v>#REF!</v>
      </c>
      <c r="D151" s="114" t="e">
        <f>Simulações!#REF!</f>
        <v>#REF!</v>
      </c>
      <c r="E151" s="114" t="e">
        <f>Simulações!#REF!</f>
        <v>#REF!</v>
      </c>
      <c r="F151" s="114" t="e">
        <f>Simulações!#REF!</f>
        <v>#REF!</v>
      </c>
      <c r="G151" s="114" t="e">
        <f>Simulações!#REF!</f>
        <v>#REF!</v>
      </c>
      <c r="H151" s="114" t="e">
        <f>Simulações!#REF!</f>
        <v>#REF!</v>
      </c>
      <c r="I151" s="114" t="e">
        <f>IF(Simulações!#REF!="","",Simulações!#REF!)</f>
        <v>#REF!</v>
      </c>
      <c r="J151" s="114" t="e">
        <f>IF(Simulações!#REF!="","",Simulações!#REF!)</f>
        <v>#REF!</v>
      </c>
      <c r="K151" s="117" t="e">
        <f>Simulações!#REF!</f>
        <v>#REF!</v>
      </c>
      <c r="L151" s="117" t="e">
        <f>Simulações!#REF!</f>
        <v>#REF!</v>
      </c>
      <c r="M151" s="114" t="e">
        <f>IF(Simulações!#REF!="","",Simulações!#REF!)</f>
        <v>#REF!</v>
      </c>
      <c r="N151" s="114" t="e">
        <f>IF(Simulações!#REF!="","",Simulações!#REF!)</f>
        <v>#REF!</v>
      </c>
      <c r="O151" s="114">
        <v>1</v>
      </c>
    </row>
    <row r="152" spans="1:15" ht="15.75" hidden="1" customHeight="1" x14ac:dyDescent="0.3">
      <c r="A152" s="124" t="e">
        <f>Simulações!#REF!</f>
        <v>#REF!</v>
      </c>
      <c r="B152" s="114" t="e">
        <f>Simulações!#REF!</f>
        <v>#REF!</v>
      </c>
      <c r="C152" s="125" t="e">
        <f>Simulações!#REF!</f>
        <v>#REF!</v>
      </c>
      <c r="D152" s="114" t="e">
        <f>Simulações!#REF!</f>
        <v>#REF!</v>
      </c>
      <c r="E152" s="114" t="e">
        <f>Simulações!#REF!</f>
        <v>#REF!</v>
      </c>
      <c r="F152" s="114" t="e">
        <f>Simulações!#REF!</f>
        <v>#REF!</v>
      </c>
      <c r="G152" s="114" t="e">
        <f>Simulações!#REF!</f>
        <v>#REF!</v>
      </c>
      <c r="H152" s="114" t="e">
        <f>Simulações!#REF!</f>
        <v>#REF!</v>
      </c>
      <c r="I152" s="114" t="e">
        <f>IF(Simulações!#REF!="","",Simulações!#REF!)</f>
        <v>#REF!</v>
      </c>
      <c r="J152" s="114" t="e">
        <f>IF(Simulações!#REF!="","",Simulações!#REF!)</f>
        <v>#REF!</v>
      </c>
      <c r="K152" s="117" t="e">
        <f>Simulações!#REF!</f>
        <v>#REF!</v>
      </c>
      <c r="L152" s="117" t="e">
        <f>Simulações!#REF!</f>
        <v>#REF!</v>
      </c>
      <c r="M152" s="114" t="e">
        <f>IF(Simulações!#REF!="","",Simulações!#REF!)</f>
        <v>#REF!</v>
      </c>
      <c r="N152" s="114" t="e">
        <f>IF(Simulações!#REF!="","",Simulações!#REF!)</f>
        <v>#REF!</v>
      </c>
      <c r="O152" s="114">
        <v>1</v>
      </c>
    </row>
    <row r="153" spans="1:15" ht="15.75" hidden="1" customHeight="1" x14ac:dyDescent="0.3">
      <c r="A153" s="124" t="e">
        <f>Simulações!#REF!</f>
        <v>#REF!</v>
      </c>
      <c r="B153" s="114" t="e">
        <f>Simulações!#REF!</f>
        <v>#REF!</v>
      </c>
      <c r="C153" s="125" t="e">
        <f>Simulações!#REF!</f>
        <v>#REF!</v>
      </c>
      <c r="D153" s="114" t="e">
        <f>Simulações!#REF!</f>
        <v>#REF!</v>
      </c>
      <c r="E153" s="114" t="e">
        <f>Simulações!#REF!</f>
        <v>#REF!</v>
      </c>
      <c r="F153" s="114" t="e">
        <f>Simulações!#REF!</f>
        <v>#REF!</v>
      </c>
      <c r="G153" s="114" t="e">
        <f>Simulações!#REF!</f>
        <v>#REF!</v>
      </c>
      <c r="H153" s="114" t="e">
        <f>Simulações!#REF!</f>
        <v>#REF!</v>
      </c>
      <c r="I153" s="114" t="e">
        <f>IF(Simulações!#REF!="","",Simulações!#REF!)</f>
        <v>#REF!</v>
      </c>
      <c r="J153" s="114" t="e">
        <f>IF(Simulações!#REF!="","",Simulações!#REF!)</f>
        <v>#REF!</v>
      </c>
      <c r="K153" s="117" t="e">
        <f>Simulações!#REF!</f>
        <v>#REF!</v>
      </c>
      <c r="L153" s="117" t="e">
        <f>Simulações!#REF!</f>
        <v>#REF!</v>
      </c>
      <c r="M153" s="114" t="e">
        <f>IF(Simulações!#REF!="","",Simulações!#REF!)</f>
        <v>#REF!</v>
      </c>
      <c r="N153" s="114" t="e">
        <f>IF(Simulações!#REF!="","",Simulações!#REF!)</f>
        <v>#REF!</v>
      </c>
      <c r="O153" s="114">
        <v>1</v>
      </c>
    </row>
    <row r="154" spans="1:15" ht="15.75" hidden="1" customHeight="1" x14ac:dyDescent="0.3">
      <c r="A154" s="124" t="e">
        <f>Simulações!#REF!</f>
        <v>#REF!</v>
      </c>
      <c r="B154" s="114" t="e">
        <f>Simulações!#REF!</f>
        <v>#REF!</v>
      </c>
      <c r="C154" s="125" t="e">
        <f>Simulações!#REF!</f>
        <v>#REF!</v>
      </c>
      <c r="D154" s="114" t="e">
        <f>Simulações!#REF!</f>
        <v>#REF!</v>
      </c>
      <c r="E154" s="114" t="e">
        <f>Simulações!#REF!</f>
        <v>#REF!</v>
      </c>
      <c r="F154" s="114" t="e">
        <f>Simulações!#REF!</f>
        <v>#REF!</v>
      </c>
      <c r="G154" s="114" t="e">
        <f>Simulações!#REF!</f>
        <v>#REF!</v>
      </c>
      <c r="H154" s="114" t="e">
        <f>Simulações!#REF!</f>
        <v>#REF!</v>
      </c>
      <c r="I154" s="114" t="e">
        <f>IF(Simulações!#REF!="","",Simulações!#REF!)</f>
        <v>#REF!</v>
      </c>
      <c r="J154" s="114" t="e">
        <f>IF(Simulações!#REF!="","",Simulações!#REF!)</f>
        <v>#REF!</v>
      </c>
      <c r="K154" s="117" t="e">
        <f>Simulações!#REF!</f>
        <v>#REF!</v>
      </c>
      <c r="L154" s="117" t="e">
        <f>Simulações!#REF!</f>
        <v>#REF!</v>
      </c>
      <c r="M154" s="114" t="e">
        <f>IF(Simulações!#REF!="","",Simulações!#REF!)</f>
        <v>#REF!</v>
      </c>
      <c r="N154" s="114" t="e">
        <f>IF(Simulações!#REF!="","",Simulações!#REF!)</f>
        <v>#REF!</v>
      </c>
      <c r="O154" s="114">
        <v>1</v>
      </c>
    </row>
    <row r="155" spans="1:15" ht="15.75" hidden="1" customHeight="1" x14ac:dyDescent="0.3">
      <c r="A155" s="124" t="e">
        <f>Simulações!#REF!</f>
        <v>#REF!</v>
      </c>
      <c r="B155" s="114" t="e">
        <f>Simulações!#REF!</f>
        <v>#REF!</v>
      </c>
      <c r="C155" s="125" t="e">
        <f>Simulações!#REF!</f>
        <v>#REF!</v>
      </c>
      <c r="D155" s="114" t="e">
        <f>Simulações!#REF!</f>
        <v>#REF!</v>
      </c>
      <c r="E155" s="114" t="e">
        <f>Simulações!#REF!</f>
        <v>#REF!</v>
      </c>
      <c r="F155" s="114" t="e">
        <f>Simulações!#REF!</f>
        <v>#REF!</v>
      </c>
      <c r="G155" s="114" t="e">
        <f>Simulações!#REF!</f>
        <v>#REF!</v>
      </c>
      <c r="H155" s="114" t="e">
        <f>Simulações!#REF!</f>
        <v>#REF!</v>
      </c>
      <c r="I155" s="114" t="e">
        <f>IF(Simulações!#REF!="","",Simulações!#REF!)</f>
        <v>#REF!</v>
      </c>
      <c r="J155" s="114" t="e">
        <f>IF(Simulações!#REF!="","",Simulações!#REF!)</f>
        <v>#REF!</v>
      </c>
      <c r="K155" s="117" t="e">
        <f>Simulações!#REF!</f>
        <v>#REF!</v>
      </c>
      <c r="L155" s="117" t="e">
        <f>Simulações!#REF!</f>
        <v>#REF!</v>
      </c>
      <c r="M155" s="114" t="e">
        <f>IF(Simulações!#REF!="","",Simulações!#REF!)</f>
        <v>#REF!</v>
      </c>
      <c r="N155" s="114" t="e">
        <f>IF(Simulações!#REF!="","",Simulações!#REF!)</f>
        <v>#REF!</v>
      </c>
      <c r="O155" s="114">
        <v>1</v>
      </c>
    </row>
    <row r="156" spans="1:15" ht="15.75" hidden="1" customHeight="1" x14ac:dyDescent="0.3">
      <c r="A156" s="124" t="e">
        <f>Simulações!#REF!</f>
        <v>#REF!</v>
      </c>
      <c r="B156" s="114" t="e">
        <f>Simulações!#REF!</f>
        <v>#REF!</v>
      </c>
      <c r="C156" s="125" t="e">
        <f>Simulações!#REF!</f>
        <v>#REF!</v>
      </c>
      <c r="D156" s="114" t="e">
        <f>Simulações!#REF!</f>
        <v>#REF!</v>
      </c>
      <c r="E156" s="114" t="e">
        <f>Simulações!#REF!</f>
        <v>#REF!</v>
      </c>
      <c r="F156" s="114" t="e">
        <f>Simulações!#REF!</f>
        <v>#REF!</v>
      </c>
      <c r="G156" s="114" t="e">
        <f>Simulações!#REF!</f>
        <v>#REF!</v>
      </c>
      <c r="H156" s="114" t="e">
        <f>Simulações!#REF!</f>
        <v>#REF!</v>
      </c>
      <c r="I156" s="114" t="e">
        <f>IF(Simulações!#REF!="","",Simulações!#REF!)</f>
        <v>#REF!</v>
      </c>
      <c r="J156" s="114" t="e">
        <f>IF(Simulações!#REF!="","",Simulações!#REF!)</f>
        <v>#REF!</v>
      </c>
      <c r="K156" s="117" t="e">
        <f>Simulações!#REF!</f>
        <v>#REF!</v>
      </c>
      <c r="L156" s="117" t="e">
        <f>Simulações!#REF!</f>
        <v>#REF!</v>
      </c>
      <c r="M156" s="114" t="e">
        <f>IF(Simulações!#REF!="","",Simulações!#REF!)</f>
        <v>#REF!</v>
      </c>
      <c r="N156" s="114" t="e">
        <f>IF(Simulações!#REF!="","",Simulações!#REF!)</f>
        <v>#REF!</v>
      </c>
      <c r="O156" s="114">
        <v>1</v>
      </c>
    </row>
    <row r="157" spans="1:15" ht="15.75" hidden="1" customHeight="1" x14ac:dyDescent="0.3">
      <c r="A157" s="124" t="e">
        <f>Simulações!#REF!</f>
        <v>#REF!</v>
      </c>
      <c r="B157" s="114" t="e">
        <f>Simulações!#REF!</f>
        <v>#REF!</v>
      </c>
      <c r="C157" s="125" t="e">
        <f>Simulações!#REF!</f>
        <v>#REF!</v>
      </c>
      <c r="D157" s="114" t="e">
        <f>Simulações!#REF!</f>
        <v>#REF!</v>
      </c>
      <c r="E157" s="114" t="e">
        <f>Simulações!#REF!</f>
        <v>#REF!</v>
      </c>
      <c r="F157" s="114" t="e">
        <f>Simulações!#REF!</f>
        <v>#REF!</v>
      </c>
      <c r="G157" s="114" t="e">
        <f>Simulações!#REF!</f>
        <v>#REF!</v>
      </c>
      <c r="H157" s="114" t="e">
        <f>Simulações!#REF!</f>
        <v>#REF!</v>
      </c>
      <c r="I157" s="114" t="e">
        <f>IF(Simulações!#REF!="","",Simulações!#REF!)</f>
        <v>#REF!</v>
      </c>
      <c r="J157" s="114" t="e">
        <f>IF(Simulações!#REF!="","",Simulações!#REF!)</f>
        <v>#REF!</v>
      </c>
      <c r="K157" s="117" t="e">
        <f>Simulações!#REF!</f>
        <v>#REF!</v>
      </c>
      <c r="L157" s="117" t="e">
        <f>Simulações!#REF!</f>
        <v>#REF!</v>
      </c>
      <c r="M157" s="114" t="e">
        <f>IF(Simulações!#REF!="","",Simulações!#REF!)</f>
        <v>#REF!</v>
      </c>
      <c r="N157" s="114" t="e">
        <f>IF(Simulações!#REF!="","",Simulações!#REF!)</f>
        <v>#REF!</v>
      </c>
      <c r="O157" s="114">
        <v>1</v>
      </c>
    </row>
    <row r="158" spans="1:15" ht="15.75" hidden="1" customHeight="1" x14ac:dyDescent="0.3">
      <c r="A158" s="124" t="e">
        <f>Simulações!#REF!</f>
        <v>#REF!</v>
      </c>
      <c r="B158" s="114" t="e">
        <f>Simulações!#REF!</f>
        <v>#REF!</v>
      </c>
      <c r="C158" s="125" t="e">
        <f>Simulações!#REF!</f>
        <v>#REF!</v>
      </c>
      <c r="D158" s="114" t="e">
        <f>Simulações!#REF!</f>
        <v>#REF!</v>
      </c>
      <c r="E158" s="114" t="e">
        <f>Simulações!#REF!</f>
        <v>#REF!</v>
      </c>
      <c r="F158" s="114" t="e">
        <f>Simulações!#REF!</f>
        <v>#REF!</v>
      </c>
      <c r="G158" s="114" t="e">
        <f>Simulações!#REF!</f>
        <v>#REF!</v>
      </c>
      <c r="H158" s="114" t="e">
        <f>Simulações!#REF!</f>
        <v>#REF!</v>
      </c>
      <c r="I158" s="114" t="e">
        <f>IF(Simulações!#REF!="","",Simulações!#REF!)</f>
        <v>#REF!</v>
      </c>
      <c r="J158" s="114" t="e">
        <f>IF(Simulações!#REF!="","",Simulações!#REF!)</f>
        <v>#REF!</v>
      </c>
      <c r="K158" s="117" t="e">
        <f>Simulações!#REF!</f>
        <v>#REF!</v>
      </c>
      <c r="L158" s="117" t="e">
        <f>Simulações!#REF!</f>
        <v>#REF!</v>
      </c>
      <c r="M158" s="114" t="e">
        <f>IF(Simulações!#REF!="","",Simulações!#REF!)</f>
        <v>#REF!</v>
      </c>
      <c r="N158" s="114" t="e">
        <f>IF(Simulações!#REF!="","",Simulações!#REF!)</f>
        <v>#REF!</v>
      </c>
      <c r="O158" s="114">
        <v>1</v>
      </c>
    </row>
    <row r="159" spans="1:15" ht="15.75" hidden="1" customHeight="1" x14ac:dyDescent="0.3">
      <c r="A159" s="124" t="e">
        <f>Simulações!#REF!</f>
        <v>#REF!</v>
      </c>
      <c r="B159" s="114" t="e">
        <f>Simulações!#REF!</f>
        <v>#REF!</v>
      </c>
      <c r="C159" s="125" t="e">
        <f>Simulações!#REF!</f>
        <v>#REF!</v>
      </c>
      <c r="D159" s="114" t="e">
        <f>Simulações!#REF!</f>
        <v>#REF!</v>
      </c>
      <c r="E159" s="114" t="e">
        <f>Simulações!#REF!</f>
        <v>#REF!</v>
      </c>
      <c r="F159" s="114" t="e">
        <f>Simulações!#REF!</f>
        <v>#REF!</v>
      </c>
      <c r="G159" s="114" t="e">
        <f>Simulações!#REF!</f>
        <v>#REF!</v>
      </c>
      <c r="H159" s="114" t="e">
        <f>Simulações!#REF!</f>
        <v>#REF!</v>
      </c>
      <c r="I159" s="114" t="e">
        <f>IF(Simulações!#REF!="","",Simulações!#REF!)</f>
        <v>#REF!</v>
      </c>
      <c r="J159" s="114" t="e">
        <f>IF(Simulações!#REF!="","",Simulações!#REF!)</f>
        <v>#REF!</v>
      </c>
      <c r="K159" s="117" t="e">
        <f>Simulações!#REF!</f>
        <v>#REF!</v>
      </c>
      <c r="L159" s="117" t="e">
        <f>Simulações!#REF!</f>
        <v>#REF!</v>
      </c>
      <c r="M159" s="114" t="e">
        <f>IF(Simulações!#REF!="","",Simulações!#REF!)</f>
        <v>#REF!</v>
      </c>
      <c r="N159" s="114" t="e">
        <f>IF(Simulações!#REF!="","",Simulações!#REF!)</f>
        <v>#REF!</v>
      </c>
      <c r="O159" s="114">
        <v>1</v>
      </c>
    </row>
    <row r="160" spans="1:15" ht="15.75" hidden="1" customHeight="1" x14ac:dyDescent="0.3">
      <c r="A160" s="124" t="e">
        <f>Simulações!#REF!</f>
        <v>#REF!</v>
      </c>
      <c r="B160" s="114" t="e">
        <f>Simulações!#REF!</f>
        <v>#REF!</v>
      </c>
      <c r="C160" s="125" t="e">
        <f>Simulações!#REF!</f>
        <v>#REF!</v>
      </c>
      <c r="D160" s="114" t="e">
        <f>Simulações!#REF!</f>
        <v>#REF!</v>
      </c>
      <c r="E160" s="114" t="e">
        <f>Simulações!#REF!</f>
        <v>#REF!</v>
      </c>
      <c r="F160" s="114" t="e">
        <f>Simulações!#REF!</f>
        <v>#REF!</v>
      </c>
      <c r="G160" s="114" t="e">
        <f>Simulações!#REF!</f>
        <v>#REF!</v>
      </c>
      <c r="H160" s="114" t="e">
        <f>Simulações!#REF!</f>
        <v>#REF!</v>
      </c>
      <c r="I160" s="114" t="e">
        <f>IF(Simulações!#REF!="","",Simulações!#REF!)</f>
        <v>#REF!</v>
      </c>
      <c r="J160" s="114" t="e">
        <f>IF(Simulações!#REF!="","",Simulações!#REF!)</f>
        <v>#REF!</v>
      </c>
      <c r="K160" s="117" t="e">
        <f>Simulações!#REF!</f>
        <v>#REF!</v>
      </c>
      <c r="L160" s="117" t="e">
        <f>Simulações!#REF!</f>
        <v>#REF!</v>
      </c>
      <c r="M160" s="114" t="e">
        <f>IF(Simulações!#REF!="","",Simulações!#REF!)</f>
        <v>#REF!</v>
      </c>
      <c r="N160" s="114" t="e">
        <f>IF(Simulações!#REF!="","",Simulações!#REF!)</f>
        <v>#REF!</v>
      </c>
      <c r="O160" s="114">
        <v>1</v>
      </c>
    </row>
    <row r="161" spans="1:15" ht="15.75" hidden="1" customHeight="1" x14ac:dyDescent="0.3">
      <c r="A161" s="124" t="e">
        <f>Simulações!#REF!</f>
        <v>#REF!</v>
      </c>
      <c r="B161" s="114" t="e">
        <f>Simulações!#REF!</f>
        <v>#REF!</v>
      </c>
      <c r="C161" s="125" t="e">
        <f>Simulações!#REF!</f>
        <v>#REF!</v>
      </c>
      <c r="D161" s="114" t="e">
        <f>Simulações!#REF!</f>
        <v>#REF!</v>
      </c>
      <c r="E161" s="114" t="e">
        <f>Simulações!#REF!</f>
        <v>#REF!</v>
      </c>
      <c r="F161" s="114" t="e">
        <f>Simulações!#REF!</f>
        <v>#REF!</v>
      </c>
      <c r="G161" s="114" t="e">
        <f>Simulações!#REF!</f>
        <v>#REF!</v>
      </c>
      <c r="H161" s="114" t="e">
        <f>Simulações!#REF!</f>
        <v>#REF!</v>
      </c>
      <c r="I161" s="114" t="e">
        <f>IF(Simulações!#REF!="","",Simulações!#REF!)</f>
        <v>#REF!</v>
      </c>
      <c r="J161" s="114" t="e">
        <f>IF(Simulações!#REF!="","",Simulações!#REF!)</f>
        <v>#REF!</v>
      </c>
      <c r="K161" s="117" t="e">
        <f>Simulações!#REF!</f>
        <v>#REF!</v>
      </c>
      <c r="L161" s="117" t="e">
        <f>Simulações!#REF!</f>
        <v>#REF!</v>
      </c>
      <c r="M161" s="114" t="e">
        <f>IF(Simulações!#REF!="","",Simulações!#REF!)</f>
        <v>#REF!</v>
      </c>
      <c r="N161" s="114" t="e">
        <f>IF(Simulações!#REF!="","",Simulações!#REF!)</f>
        <v>#REF!</v>
      </c>
      <c r="O161" s="114">
        <v>1</v>
      </c>
    </row>
    <row r="162" spans="1:15" ht="15.75" hidden="1" customHeight="1" x14ac:dyDescent="0.3">
      <c r="A162" s="124" t="e">
        <f>Simulações!#REF!</f>
        <v>#REF!</v>
      </c>
      <c r="B162" s="114" t="e">
        <f>Simulações!#REF!</f>
        <v>#REF!</v>
      </c>
      <c r="C162" s="125" t="e">
        <f>Simulações!#REF!</f>
        <v>#REF!</v>
      </c>
      <c r="D162" s="114" t="e">
        <f>Simulações!#REF!</f>
        <v>#REF!</v>
      </c>
      <c r="E162" s="114" t="e">
        <f>Simulações!#REF!</f>
        <v>#REF!</v>
      </c>
      <c r="F162" s="114" t="e">
        <f>Simulações!#REF!</f>
        <v>#REF!</v>
      </c>
      <c r="G162" s="114" t="e">
        <f>Simulações!#REF!</f>
        <v>#REF!</v>
      </c>
      <c r="H162" s="114" t="e">
        <f>Simulações!#REF!</f>
        <v>#REF!</v>
      </c>
      <c r="I162" s="114" t="e">
        <f>IF(Simulações!#REF!="","",Simulações!#REF!)</f>
        <v>#REF!</v>
      </c>
      <c r="J162" s="114" t="e">
        <f>IF(Simulações!#REF!="","",Simulações!#REF!)</f>
        <v>#REF!</v>
      </c>
      <c r="K162" s="117" t="e">
        <f>Simulações!#REF!</f>
        <v>#REF!</v>
      </c>
      <c r="L162" s="117" t="e">
        <f>Simulações!#REF!</f>
        <v>#REF!</v>
      </c>
      <c r="M162" s="114" t="e">
        <f>IF(Simulações!#REF!="","",Simulações!#REF!)</f>
        <v>#REF!</v>
      </c>
      <c r="N162" s="114" t="e">
        <f>IF(Simulações!#REF!="","",Simulações!#REF!)</f>
        <v>#REF!</v>
      </c>
      <c r="O162" s="114">
        <v>1</v>
      </c>
    </row>
    <row r="163" spans="1:15" ht="15.75" hidden="1" customHeight="1" x14ac:dyDescent="0.3">
      <c r="A163" s="124" t="e">
        <f>Simulações!#REF!</f>
        <v>#REF!</v>
      </c>
      <c r="B163" s="114" t="e">
        <f>Simulações!#REF!</f>
        <v>#REF!</v>
      </c>
      <c r="C163" s="125" t="e">
        <f>Simulações!#REF!</f>
        <v>#REF!</v>
      </c>
      <c r="D163" s="114" t="e">
        <f>Simulações!#REF!</f>
        <v>#REF!</v>
      </c>
      <c r="E163" s="114" t="e">
        <f>Simulações!#REF!</f>
        <v>#REF!</v>
      </c>
      <c r="F163" s="114" t="e">
        <f>Simulações!#REF!</f>
        <v>#REF!</v>
      </c>
      <c r="G163" s="114" t="e">
        <f>Simulações!#REF!</f>
        <v>#REF!</v>
      </c>
      <c r="H163" s="114" t="e">
        <f>Simulações!#REF!</f>
        <v>#REF!</v>
      </c>
      <c r="I163" s="114" t="e">
        <f>IF(Simulações!#REF!="","",Simulações!#REF!)</f>
        <v>#REF!</v>
      </c>
      <c r="J163" s="114" t="e">
        <f>IF(Simulações!#REF!="","",Simulações!#REF!)</f>
        <v>#REF!</v>
      </c>
      <c r="K163" s="117" t="e">
        <f>Simulações!#REF!</f>
        <v>#REF!</v>
      </c>
      <c r="L163" s="117" t="e">
        <f>Simulações!#REF!</f>
        <v>#REF!</v>
      </c>
      <c r="M163" s="114" t="e">
        <f>IF(Simulações!#REF!="","",Simulações!#REF!)</f>
        <v>#REF!</v>
      </c>
      <c r="N163" s="114" t="e">
        <f>IF(Simulações!#REF!="","",Simulações!#REF!)</f>
        <v>#REF!</v>
      </c>
      <c r="O163" s="114">
        <v>1</v>
      </c>
    </row>
    <row r="164" spans="1:15" ht="15.75" hidden="1" customHeight="1" x14ac:dyDescent="0.3">
      <c r="A164" s="124" t="e">
        <f>Simulações!#REF!</f>
        <v>#REF!</v>
      </c>
      <c r="B164" s="114" t="e">
        <f>Simulações!#REF!</f>
        <v>#REF!</v>
      </c>
      <c r="C164" s="125" t="e">
        <f>Simulações!#REF!</f>
        <v>#REF!</v>
      </c>
      <c r="D164" s="114" t="e">
        <f>Simulações!#REF!</f>
        <v>#REF!</v>
      </c>
      <c r="E164" s="114" t="e">
        <f>Simulações!#REF!</f>
        <v>#REF!</v>
      </c>
      <c r="F164" s="114" t="e">
        <f>Simulações!#REF!</f>
        <v>#REF!</v>
      </c>
      <c r="G164" s="114" t="e">
        <f>Simulações!#REF!</f>
        <v>#REF!</v>
      </c>
      <c r="H164" s="114" t="e">
        <f>Simulações!#REF!</f>
        <v>#REF!</v>
      </c>
      <c r="I164" s="114" t="e">
        <f>IF(Simulações!#REF!="","",Simulações!#REF!)</f>
        <v>#REF!</v>
      </c>
      <c r="J164" s="114" t="e">
        <f>IF(Simulações!#REF!="","",Simulações!#REF!)</f>
        <v>#REF!</v>
      </c>
      <c r="K164" s="117" t="e">
        <f>Simulações!#REF!</f>
        <v>#REF!</v>
      </c>
      <c r="L164" s="117" t="e">
        <f>Simulações!#REF!</f>
        <v>#REF!</v>
      </c>
      <c r="M164" s="114" t="e">
        <f>IF(Simulações!#REF!="","",Simulações!#REF!)</f>
        <v>#REF!</v>
      </c>
      <c r="N164" s="114" t="e">
        <f>IF(Simulações!#REF!="","",Simulações!#REF!)</f>
        <v>#REF!</v>
      </c>
      <c r="O164" s="114">
        <v>1</v>
      </c>
    </row>
    <row r="165" spans="1:15" ht="15.75" hidden="1" customHeight="1" x14ac:dyDescent="0.3">
      <c r="A165" s="124" t="e">
        <f>Simulações!#REF!</f>
        <v>#REF!</v>
      </c>
      <c r="B165" s="114" t="e">
        <f>Simulações!#REF!</f>
        <v>#REF!</v>
      </c>
      <c r="C165" s="125" t="e">
        <f>Simulações!#REF!</f>
        <v>#REF!</v>
      </c>
      <c r="D165" s="114" t="e">
        <f>Simulações!#REF!</f>
        <v>#REF!</v>
      </c>
      <c r="E165" s="114" t="e">
        <f>Simulações!#REF!</f>
        <v>#REF!</v>
      </c>
      <c r="F165" s="114" t="e">
        <f>Simulações!#REF!</f>
        <v>#REF!</v>
      </c>
      <c r="G165" s="114" t="e">
        <f>Simulações!#REF!</f>
        <v>#REF!</v>
      </c>
      <c r="H165" s="114" t="e">
        <f>Simulações!#REF!</f>
        <v>#REF!</v>
      </c>
      <c r="I165" s="114" t="e">
        <f>IF(Simulações!#REF!="","",Simulações!#REF!)</f>
        <v>#REF!</v>
      </c>
      <c r="J165" s="114" t="e">
        <f>IF(Simulações!#REF!="","",Simulações!#REF!)</f>
        <v>#REF!</v>
      </c>
      <c r="K165" s="117" t="e">
        <f>Simulações!#REF!</f>
        <v>#REF!</v>
      </c>
      <c r="L165" s="117" t="e">
        <f>Simulações!#REF!</f>
        <v>#REF!</v>
      </c>
      <c r="M165" s="114" t="e">
        <f>IF(Simulações!#REF!="","",Simulações!#REF!)</f>
        <v>#REF!</v>
      </c>
      <c r="N165" s="114" t="e">
        <f>IF(Simulações!#REF!="","",Simulações!#REF!)</f>
        <v>#REF!</v>
      </c>
      <c r="O165" s="114">
        <v>1</v>
      </c>
    </row>
    <row r="166" spans="1:15" ht="15.75" hidden="1" customHeight="1" x14ac:dyDescent="0.3">
      <c r="A166" s="124" t="e">
        <f>Simulações!#REF!</f>
        <v>#REF!</v>
      </c>
      <c r="B166" s="114" t="e">
        <f>Simulações!#REF!</f>
        <v>#REF!</v>
      </c>
      <c r="C166" s="125" t="e">
        <f>Simulações!#REF!</f>
        <v>#REF!</v>
      </c>
      <c r="D166" s="114" t="e">
        <f>Simulações!#REF!</f>
        <v>#REF!</v>
      </c>
      <c r="E166" s="114" t="e">
        <f>Simulações!#REF!</f>
        <v>#REF!</v>
      </c>
      <c r="F166" s="114" t="e">
        <f>Simulações!#REF!</f>
        <v>#REF!</v>
      </c>
      <c r="G166" s="114" t="e">
        <f>Simulações!#REF!</f>
        <v>#REF!</v>
      </c>
      <c r="H166" s="114" t="e">
        <f>Simulações!#REF!</f>
        <v>#REF!</v>
      </c>
      <c r="I166" s="114" t="e">
        <f>IF(Simulações!#REF!="","",Simulações!#REF!)</f>
        <v>#REF!</v>
      </c>
      <c r="J166" s="114" t="e">
        <f>IF(Simulações!#REF!="","",Simulações!#REF!)</f>
        <v>#REF!</v>
      </c>
      <c r="K166" s="117" t="e">
        <f>Simulações!#REF!</f>
        <v>#REF!</v>
      </c>
      <c r="L166" s="117" t="e">
        <f>Simulações!#REF!</f>
        <v>#REF!</v>
      </c>
      <c r="M166" s="114" t="e">
        <f>IF(Simulações!#REF!="","",Simulações!#REF!)</f>
        <v>#REF!</v>
      </c>
      <c r="N166" s="114" t="e">
        <f>IF(Simulações!#REF!="","",Simulações!#REF!)</f>
        <v>#REF!</v>
      </c>
      <c r="O166" s="114">
        <v>1</v>
      </c>
    </row>
    <row r="167" spans="1:15" ht="15.75" hidden="1" customHeight="1" x14ac:dyDescent="0.3">
      <c r="A167" s="124" t="e">
        <f>Simulações!#REF!</f>
        <v>#REF!</v>
      </c>
      <c r="B167" s="114" t="e">
        <f>Simulações!#REF!</f>
        <v>#REF!</v>
      </c>
      <c r="C167" s="125" t="e">
        <f>Simulações!#REF!</f>
        <v>#REF!</v>
      </c>
      <c r="D167" s="114" t="e">
        <f>Simulações!#REF!</f>
        <v>#REF!</v>
      </c>
      <c r="E167" s="114" t="e">
        <f>Simulações!#REF!</f>
        <v>#REF!</v>
      </c>
      <c r="F167" s="114" t="e">
        <f>Simulações!#REF!</f>
        <v>#REF!</v>
      </c>
      <c r="G167" s="114" t="e">
        <f>Simulações!#REF!</f>
        <v>#REF!</v>
      </c>
      <c r="H167" s="114" t="e">
        <f>Simulações!#REF!</f>
        <v>#REF!</v>
      </c>
      <c r="I167" s="114" t="e">
        <f>IF(Simulações!#REF!="","",Simulações!#REF!)</f>
        <v>#REF!</v>
      </c>
      <c r="J167" s="114" t="e">
        <f>IF(Simulações!#REF!="","",Simulações!#REF!)</f>
        <v>#REF!</v>
      </c>
      <c r="K167" s="117" t="e">
        <f>Simulações!#REF!</f>
        <v>#REF!</v>
      </c>
      <c r="L167" s="117" t="e">
        <f>Simulações!#REF!</f>
        <v>#REF!</v>
      </c>
      <c r="M167" s="114" t="e">
        <f>IF(Simulações!#REF!="","",Simulações!#REF!)</f>
        <v>#REF!</v>
      </c>
      <c r="N167" s="114" t="e">
        <f>IF(Simulações!#REF!="","",Simulações!#REF!)</f>
        <v>#REF!</v>
      </c>
      <c r="O167" s="114">
        <v>1</v>
      </c>
    </row>
    <row r="168" spans="1:15" ht="15.75" hidden="1" customHeight="1" x14ac:dyDescent="0.3">
      <c r="A168" s="124" t="e">
        <f>Simulações!#REF!</f>
        <v>#REF!</v>
      </c>
      <c r="B168" s="114" t="e">
        <f>Simulações!#REF!</f>
        <v>#REF!</v>
      </c>
      <c r="C168" s="125" t="e">
        <f>Simulações!#REF!</f>
        <v>#REF!</v>
      </c>
      <c r="D168" s="114" t="e">
        <f>Simulações!#REF!</f>
        <v>#REF!</v>
      </c>
      <c r="E168" s="114" t="e">
        <f>Simulações!#REF!</f>
        <v>#REF!</v>
      </c>
      <c r="F168" s="114" t="e">
        <f>Simulações!#REF!</f>
        <v>#REF!</v>
      </c>
      <c r="G168" s="114" t="e">
        <f>Simulações!#REF!</f>
        <v>#REF!</v>
      </c>
      <c r="H168" s="114" t="e">
        <f>Simulações!#REF!</f>
        <v>#REF!</v>
      </c>
      <c r="I168" s="114" t="e">
        <f>IF(Simulações!#REF!="","",Simulações!#REF!)</f>
        <v>#REF!</v>
      </c>
      <c r="J168" s="114" t="e">
        <f>IF(Simulações!#REF!="","",Simulações!#REF!)</f>
        <v>#REF!</v>
      </c>
      <c r="K168" s="117" t="e">
        <f>Simulações!#REF!</f>
        <v>#REF!</v>
      </c>
      <c r="L168" s="117" t="e">
        <f>Simulações!#REF!</f>
        <v>#REF!</v>
      </c>
      <c r="M168" s="114" t="e">
        <f>IF(Simulações!#REF!="","",Simulações!#REF!)</f>
        <v>#REF!</v>
      </c>
      <c r="N168" s="114" t="e">
        <f>IF(Simulações!#REF!="","",Simulações!#REF!)</f>
        <v>#REF!</v>
      </c>
      <c r="O168" s="114">
        <v>1</v>
      </c>
    </row>
    <row r="169" spans="1:15" ht="15.75" hidden="1" customHeight="1" x14ac:dyDescent="0.3">
      <c r="A169" s="124" t="e">
        <f>Simulações!#REF!</f>
        <v>#REF!</v>
      </c>
      <c r="B169" s="114" t="e">
        <f>Simulações!#REF!</f>
        <v>#REF!</v>
      </c>
      <c r="C169" s="125" t="e">
        <f>Simulações!#REF!</f>
        <v>#REF!</v>
      </c>
      <c r="D169" s="114" t="e">
        <f>Simulações!#REF!</f>
        <v>#REF!</v>
      </c>
      <c r="E169" s="114" t="e">
        <f>Simulações!#REF!</f>
        <v>#REF!</v>
      </c>
      <c r="F169" s="114" t="e">
        <f>Simulações!#REF!</f>
        <v>#REF!</v>
      </c>
      <c r="G169" s="114" t="e">
        <f>Simulações!#REF!</f>
        <v>#REF!</v>
      </c>
      <c r="H169" s="114" t="e">
        <f>Simulações!#REF!</f>
        <v>#REF!</v>
      </c>
      <c r="I169" s="114" t="e">
        <f>IF(Simulações!#REF!="","",Simulações!#REF!)</f>
        <v>#REF!</v>
      </c>
      <c r="J169" s="114" t="e">
        <f>IF(Simulações!#REF!="","",Simulações!#REF!)</f>
        <v>#REF!</v>
      </c>
      <c r="K169" s="117" t="e">
        <f>Simulações!#REF!</f>
        <v>#REF!</v>
      </c>
      <c r="L169" s="117" t="e">
        <f>Simulações!#REF!</f>
        <v>#REF!</v>
      </c>
      <c r="M169" s="114" t="e">
        <f>IF(Simulações!#REF!="","",Simulações!#REF!)</f>
        <v>#REF!</v>
      </c>
      <c r="N169" s="114" t="e">
        <f>IF(Simulações!#REF!="","",Simulações!#REF!)</f>
        <v>#REF!</v>
      </c>
      <c r="O169" s="114">
        <v>1</v>
      </c>
    </row>
    <row r="170" spans="1:15" ht="15.75" hidden="1" customHeight="1" x14ac:dyDescent="0.3">
      <c r="A170" s="124" t="e">
        <f>Simulações!#REF!</f>
        <v>#REF!</v>
      </c>
      <c r="B170" s="114" t="e">
        <f>Simulações!#REF!</f>
        <v>#REF!</v>
      </c>
      <c r="C170" s="125" t="e">
        <f>Simulações!#REF!</f>
        <v>#REF!</v>
      </c>
      <c r="D170" s="114" t="e">
        <f>Simulações!#REF!</f>
        <v>#REF!</v>
      </c>
      <c r="E170" s="114" t="e">
        <f>Simulações!#REF!</f>
        <v>#REF!</v>
      </c>
      <c r="F170" s="114" t="e">
        <f>Simulações!#REF!</f>
        <v>#REF!</v>
      </c>
      <c r="G170" s="114" t="e">
        <f>Simulações!#REF!</f>
        <v>#REF!</v>
      </c>
      <c r="H170" s="114" t="e">
        <f>Simulações!#REF!</f>
        <v>#REF!</v>
      </c>
      <c r="I170" s="114" t="e">
        <f>IF(Simulações!#REF!="","",Simulações!#REF!)</f>
        <v>#REF!</v>
      </c>
      <c r="J170" s="114" t="e">
        <f>IF(Simulações!#REF!="","",Simulações!#REF!)</f>
        <v>#REF!</v>
      </c>
      <c r="K170" s="117" t="e">
        <f>Simulações!#REF!</f>
        <v>#REF!</v>
      </c>
      <c r="L170" s="117" t="e">
        <f>Simulações!#REF!</f>
        <v>#REF!</v>
      </c>
      <c r="M170" s="114" t="e">
        <f>IF(Simulações!#REF!="","",Simulações!#REF!)</f>
        <v>#REF!</v>
      </c>
      <c r="N170" s="114" t="e">
        <f>IF(Simulações!#REF!="","",Simulações!#REF!)</f>
        <v>#REF!</v>
      </c>
      <c r="O170" s="114">
        <v>1</v>
      </c>
    </row>
    <row r="171" spans="1:15" ht="15.75" hidden="1" customHeight="1" x14ac:dyDescent="0.3">
      <c r="A171" s="124" t="e">
        <f>Simulações!#REF!</f>
        <v>#REF!</v>
      </c>
      <c r="B171" s="114" t="e">
        <f>Simulações!#REF!</f>
        <v>#REF!</v>
      </c>
      <c r="C171" s="125" t="e">
        <f>Simulações!#REF!</f>
        <v>#REF!</v>
      </c>
      <c r="D171" s="114" t="e">
        <f>Simulações!#REF!</f>
        <v>#REF!</v>
      </c>
      <c r="E171" s="114" t="e">
        <f>Simulações!#REF!</f>
        <v>#REF!</v>
      </c>
      <c r="F171" s="114" t="e">
        <f>Simulações!#REF!</f>
        <v>#REF!</v>
      </c>
      <c r="G171" s="114" t="e">
        <f>Simulações!#REF!</f>
        <v>#REF!</v>
      </c>
      <c r="H171" s="114" t="e">
        <f>Simulações!#REF!</f>
        <v>#REF!</v>
      </c>
      <c r="I171" s="114" t="e">
        <f>IF(Simulações!#REF!="","",Simulações!#REF!)</f>
        <v>#REF!</v>
      </c>
      <c r="J171" s="114" t="e">
        <f>IF(Simulações!#REF!="","",Simulações!#REF!)</f>
        <v>#REF!</v>
      </c>
      <c r="K171" s="117" t="e">
        <f>Simulações!#REF!</f>
        <v>#REF!</v>
      </c>
      <c r="L171" s="117" t="e">
        <f>Simulações!#REF!</f>
        <v>#REF!</v>
      </c>
      <c r="M171" s="114" t="e">
        <f>IF(Simulações!#REF!="","",Simulações!#REF!)</f>
        <v>#REF!</v>
      </c>
      <c r="N171" s="114" t="e">
        <f>IF(Simulações!#REF!="","",Simulações!#REF!)</f>
        <v>#REF!</v>
      </c>
      <c r="O171" s="114">
        <v>1</v>
      </c>
    </row>
    <row r="172" spans="1:15" ht="15.75" hidden="1" customHeight="1" x14ac:dyDescent="0.3">
      <c r="A172" s="124" t="e">
        <f>Simulações!#REF!</f>
        <v>#REF!</v>
      </c>
      <c r="B172" s="114" t="e">
        <f>Simulações!#REF!</f>
        <v>#REF!</v>
      </c>
      <c r="C172" s="125" t="e">
        <f>Simulações!#REF!</f>
        <v>#REF!</v>
      </c>
      <c r="D172" s="114" t="e">
        <f>Simulações!#REF!</f>
        <v>#REF!</v>
      </c>
      <c r="E172" s="114" t="e">
        <f>Simulações!#REF!</f>
        <v>#REF!</v>
      </c>
      <c r="F172" s="114" t="e">
        <f>Simulações!#REF!</f>
        <v>#REF!</v>
      </c>
      <c r="G172" s="114" t="e">
        <f>Simulações!#REF!</f>
        <v>#REF!</v>
      </c>
      <c r="H172" s="114" t="e">
        <f>Simulações!#REF!</f>
        <v>#REF!</v>
      </c>
      <c r="I172" s="114" t="e">
        <f>IF(Simulações!#REF!="","",Simulações!#REF!)</f>
        <v>#REF!</v>
      </c>
      <c r="J172" s="114" t="e">
        <f>IF(Simulações!#REF!="","",Simulações!#REF!)</f>
        <v>#REF!</v>
      </c>
      <c r="K172" s="117" t="e">
        <f>Simulações!#REF!</f>
        <v>#REF!</v>
      </c>
      <c r="L172" s="117" t="e">
        <f>Simulações!#REF!</f>
        <v>#REF!</v>
      </c>
      <c r="M172" s="114" t="e">
        <f>IF(Simulações!#REF!="","",Simulações!#REF!)</f>
        <v>#REF!</v>
      </c>
      <c r="N172" s="114" t="e">
        <f>IF(Simulações!#REF!="","",Simulações!#REF!)</f>
        <v>#REF!</v>
      </c>
      <c r="O172" s="114">
        <v>1</v>
      </c>
    </row>
    <row r="173" spans="1:15" ht="15.75" hidden="1" customHeight="1" x14ac:dyDescent="0.3">
      <c r="A173" s="124" t="e">
        <f>Simulações!#REF!</f>
        <v>#REF!</v>
      </c>
      <c r="B173" s="114" t="e">
        <f>Simulações!#REF!</f>
        <v>#REF!</v>
      </c>
      <c r="C173" s="125" t="e">
        <f>Simulações!#REF!</f>
        <v>#REF!</v>
      </c>
      <c r="D173" s="114" t="e">
        <f>Simulações!#REF!</f>
        <v>#REF!</v>
      </c>
      <c r="E173" s="114" t="e">
        <f>Simulações!#REF!</f>
        <v>#REF!</v>
      </c>
      <c r="F173" s="114" t="e">
        <f>Simulações!#REF!</f>
        <v>#REF!</v>
      </c>
      <c r="G173" s="114" t="e">
        <f>Simulações!#REF!</f>
        <v>#REF!</v>
      </c>
      <c r="H173" s="114" t="e">
        <f>Simulações!#REF!</f>
        <v>#REF!</v>
      </c>
      <c r="I173" s="114" t="e">
        <f>IF(Simulações!#REF!="","",Simulações!#REF!)</f>
        <v>#REF!</v>
      </c>
      <c r="J173" s="114" t="e">
        <f>IF(Simulações!#REF!="","",Simulações!#REF!)</f>
        <v>#REF!</v>
      </c>
      <c r="K173" s="117" t="e">
        <f>Simulações!#REF!</f>
        <v>#REF!</v>
      </c>
      <c r="L173" s="117" t="e">
        <f>Simulações!#REF!</f>
        <v>#REF!</v>
      </c>
      <c r="M173" s="114" t="e">
        <f>IF(Simulações!#REF!="","",Simulações!#REF!)</f>
        <v>#REF!</v>
      </c>
      <c r="N173" s="114" t="e">
        <f>IF(Simulações!#REF!="","",Simulações!#REF!)</f>
        <v>#REF!</v>
      </c>
      <c r="O173" s="114">
        <v>1</v>
      </c>
    </row>
    <row r="174" spans="1:15" ht="15.75" hidden="1" customHeight="1" x14ac:dyDescent="0.3">
      <c r="A174" s="124" t="e">
        <f>Simulações!#REF!</f>
        <v>#REF!</v>
      </c>
      <c r="B174" s="114" t="e">
        <f>Simulações!#REF!</f>
        <v>#REF!</v>
      </c>
      <c r="C174" s="125" t="e">
        <f>Simulações!#REF!</f>
        <v>#REF!</v>
      </c>
      <c r="D174" s="114" t="e">
        <f>Simulações!#REF!</f>
        <v>#REF!</v>
      </c>
      <c r="E174" s="114" t="e">
        <f>Simulações!#REF!</f>
        <v>#REF!</v>
      </c>
      <c r="F174" s="114" t="e">
        <f>Simulações!#REF!</f>
        <v>#REF!</v>
      </c>
      <c r="G174" s="114" t="e">
        <f>Simulações!#REF!</f>
        <v>#REF!</v>
      </c>
      <c r="H174" s="114" t="e">
        <f>Simulações!#REF!</f>
        <v>#REF!</v>
      </c>
      <c r="I174" s="114" t="e">
        <f>IF(Simulações!#REF!="","",Simulações!#REF!)</f>
        <v>#REF!</v>
      </c>
      <c r="J174" s="114" t="e">
        <f>IF(Simulações!#REF!="","",Simulações!#REF!)</f>
        <v>#REF!</v>
      </c>
      <c r="K174" s="117" t="e">
        <f>Simulações!#REF!</f>
        <v>#REF!</v>
      </c>
      <c r="L174" s="117" t="e">
        <f>Simulações!#REF!</f>
        <v>#REF!</v>
      </c>
      <c r="M174" s="114" t="e">
        <f>IF(Simulações!#REF!="","",Simulações!#REF!)</f>
        <v>#REF!</v>
      </c>
      <c r="N174" s="114" t="e">
        <f>IF(Simulações!#REF!="","",Simulações!#REF!)</f>
        <v>#REF!</v>
      </c>
      <c r="O174" s="114">
        <v>1</v>
      </c>
    </row>
    <row r="175" spans="1:15" ht="15.75" hidden="1" customHeight="1" x14ac:dyDescent="0.3">
      <c r="A175" s="124" t="e">
        <f>Simulações!#REF!</f>
        <v>#REF!</v>
      </c>
      <c r="B175" s="114" t="e">
        <f>Simulações!#REF!</f>
        <v>#REF!</v>
      </c>
      <c r="C175" s="125" t="e">
        <f>Simulações!#REF!</f>
        <v>#REF!</v>
      </c>
      <c r="D175" s="114" t="e">
        <f>Simulações!#REF!</f>
        <v>#REF!</v>
      </c>
      <c r="E175" s="114" t="e">
        <f>Simulações!#REF!</f>
        <v>#REF!</v>
      </c>
      <c r="F175" s="114" t="e">
        <f>Simulações!#REF!</f>
        <v>#REF!</v>
      </c>
      <c r="G175" s="114" t="e">
        <f>Simulações!#REF!</f>
        <v>#REF!</v>
      </c>
      <c r="H175" s="114" t="e">
        <f>Simulações!#REF!</f>
        <v>#REF!</v>
      </c>
      <c r="I175" s="114" t="e">
        <f>IF(Simulações!#REF!="","",Simulações!#REF!)</f>
        <v>#REF!</v>
      </c>
      <c r="J175" s="114" t="e">
        <f>IF(Simulações!#REF!="","",Simulações!#REF!)</f>
        <v>#REF!</v>
      </c>
      <c r="K175" s="117" t="e">
        <f>Simulações!#REF!</f>
        <v>#REF!</v>
      </c>
      <c r="L175" s="117" t="e">
        <f>Simulações!#REF!</f>
        <v>#REF!</v>
      </c>
      <c r="M175" s="114" t="e">
        <f>IF(Simulações!#REF!="","",Simulações!#REF!)</f>
        <v>#REF!</v>
      </c>
      <c r="N175" s="114" t="e">
        <f>IF(Simulações!#REF!="","",Simulações!#REF!)</f>
        <v>#REF!</v>
      </c>
      <c r="O175" s="114">
        <v>1</v>
      </c>
    </row>
    <row r="176" spans="1:15" ht="15.75" hidden="1" customHeight="1" x14ac:dyDescent="0.3">
      <c r="A176" s="124" t="e">
        <f>Simulações!#REF!</f>
        <v>#REF!</v>
      </c>
      <c r="B176" s="114" t="e">
        <f>Simulações!#REF!</f>
        <v>#REF!</v>
      </c>
      <c r="C176" s="125" t="e">
        <f>Simulações!#REF!</f>
        <v>#REF!</v>
      </c>
      <c r="D176" s="114" t="e">
        <f>Simulações!#REF!</f>
        <v>#REF!</v>
      </c>
      <c r="E176" s="114" t="e">
        <f>Simulações!#REF!</f>
        <v>#REF!</v>
      </c>
      <c r="F176" s="114" t="e">
        <f>Simulações!#REF!</f>
        <v>#REF!</v>
      </c>
      <c r="G176" s="114" t="e">
        <f>Simulações!#REF!</f>
        <v>#REF!</v>
      </c>
      <c r="H176" s="114" t="e">
        <f>Simulações!#REF!</f>
        <v>#REF!</v>
      </c>
      <c r="I176" s="114" t="e">
        <f>IF(Simulações!#REF!="","",Simulações!#REF!)</f>
        <v>#REF!</v>
      </c>
      <c r="J176" s="114" t="e">
        <f>IF(Simulações!#REF!="","",Simulações!#REF!)</f>
        <v>#REF!</v>
      </c>
      <c r="K176" s="117" t="e">
        <f>Simulações!#REF!</f>
        <v>#REF!</v>
      </c>
      <c r="L176" s="117" t="e">
        <f>Simulações!#REF!</f>
        <v>#REF!</v>
      </c>
      <c r="M176" s="114" t="e">
        <f>IF(Simulações!#REF!="","",Simulações!#REF!)</f>
        <v>#REF!</v>
      </c>
      <c r="N176" s="114" t="e">
        <f>IF(Simulações!#REF!="","",Simulações!#REF!)</f>
        <v>#REF!</v>
      </c>
      <c r="O176" s="114">
        <v>1</v>
      </c>
    </row>
    <row r="177" spans="1:15" ht="15.75" hidden="1" customHeight="1" x14ac:dyDescent="0.3">
      <c r="A177" s="124" t="e">
        <f>Simulações!#REF!</f>
        <v>#REF!</v>
      </c>
      <c r="B177" s="114" t="e">
        <f>Simulações!#REF!</f>
        <v>#REF!</v>
      </c>
      <c r="C177" s="125" t="e">
        <f>Simulações!#REF!</f>
        <v>#REF!</v>
      </c>
      <c r="D177" s="114" t="e">
        <f>Simulações!#REF!</f>
        <v>#REF!</v>
      </c>
      <c r="E177" s="114" t="e">
        <f>Simulações!#REF!</f>
        <v>#REF!</v>
      </c>
      <c r="F177" s="114" t="e">
        <f>Simulações!#REF!</f>
        <v>#REF!</v>
      </c>
      <c r="G177" s="114" t="e">
        <f>Simulações!#REF!</f>
        <v>#REF!</v>
      </c>
      <c r="H177" s="114" t="e">
        <f>Simulações!#REF!</f>
        <v>#REF!</v>
      </c>
      <c r="I177" s="114" t="e">
        <f>IF(Simulações!#REF!="","",Simulações!#REF!)</f>
        <v>#REF!</v>
      </c>
      <c r="J177" s="114" t="e">
        <f>IF(Simulações!#REF!="","",Simulações!#REF!)</f>
        <v>#REF!</v>
      </c>
      <c r="K177" s="117" t="e">
        <f>Simulações!#REF!</f>
        <v>#REF!</v>
      </c>
      <c r="L177" s="117" t="e">
        <f>Simulações!#REF!</f>
        <v>#REF!</v>
      </c>
      <c r="M177" s="114" t="e">
        <f>IF(Simulações!#REF!="","",Simulações!#REF!)</f>
        <v>#REF!</v>
      </c>
      <c r="N177" s="114" t="e">
        <f>IF(Simulações!#REF!="","",Simulações!#REF!)</f>
        <v>#REF!</v>
      </c>
      <c r="O177" s="114">
        <v>1</v>
      </c>
    </row>
    <row r="178" spans="1:15" ht="15.75" hidden="1" customHeight="1" x14ac:dyDescent="0.3">
      <c r="A178" s="124" t="e">
        <f>Simulações!#REF!</f>
        <v>#REF!</v>
      </c>
      <c r="B178" s="114" t="e">
        <f>Simulações!#REF!</f>
        <v>#REF!</v>
      </c>
      <c r="C178" s="125" t="e">
        <f>Simulações!#REF!</f>
        <v>#REF!</v>
      </c>
      <c r="D178" s="114" t="e">
        <f>Simulações!#REF!</f>
        <v>#REF!</v>
      </c>
      <c r="E178" s="114" t="e">
        <f>Simulações!#REF!</f>
        <v>#REF!</v>
      </c>
      <c r="F178" s="114" t="e">
        <f>Simulações!#REF!</f>
        <v>#REF!</v>
      </c>
      <c r="G178" s="114" t="e">
        <f>Simulações!#REF!</f>
        <v>#REF!</v>
      </c>
      <c r="H178" s="114" t="e">
        <f>Simulações!#REF!</f>
        <v>#REF!</v>
      </c>
      <c r="I178" s="114" t="e">
        <f>IF(Simulações!#REF!="","",Simulações!#REF!)</f>
        <v>#REF!</v>
      </c>
      <c r="J178" s="114" t="e">
        <f>IF(Simulações!#REF!="","",Simulações!#REF!)</f>
        <v>#REF!</v>
      </c>
      <c r="K178" s="117" t="e">
        <f>Simulações!#REF!</f>
        <v>#REF!</v>
      </c>
      <c r="L178" s="117" t="e">
        <f>Simulações!#REF!</f>
        <v>#REF!</v>
      </c>
      <c r="M178" s="114" t="e">
        <f>IF(Simulações!#REF!="","",Simulações!#REF!)</f>
        <v>#REF!</v>
      </c>
      <c r="N178" s="114" t="e">
        <f>IF(Simulações!#REF!="","",Simulações!#REF!)</f>
        <v>#REF!</v>
      </c>
      <c r="O178" s="114">
        <v>1</v>
      </c>
    </row>
    <row r="179" spans="1:15" ht="15.75" hidden="1" customHeight="1" x14ac:dyDescent="0.3">
      <c r="A179" s="124" t="e">
        <f>Simulações!#REF!</f>
        <v>#REF!</v>
      </c>
      <c r="B179" s="114" t="e">
        <f>Simulações!#REF!</f>
        <v>#REF!</v>
      </c>
      <c r="C179" s="125" t="e">
        <f>Simulações!#REF!</f>
        <v>#REF!</v>
      </c>
      <c r="D179" s="114" t="e">
        <f>Simulações!#REF!</f>
        <v>#REF!</v>
      </c>
      <c r="E179" s="114" t="e">
        <f>Simulações!#REF!</f>
        <v>#REF!</v>
      </c>
      <c r="F179" s="114" t="e">
        <f>Simulações!#REF!</f>
        <v>#REF!</v>
      </c>
      <c r="G179" s="114" t="e">
        <f>Simulações!#REF!</f>
        <v>#REF!</v>
      </c>
      <c r="H179" s="114" t="e">
        <f>Simulações!#REF!</f>
        <v>#REF!</v>
      </c>
      <c r="I179" s="114" t="e">
        <f>IF(Simulações!#REF!="","",Simulações!#REF!)</f>
        <v>#REF!</v>
      </c>
      <c r="J179" s="114" t="e">
        <f>IF(Simulações!#REF!="","",Simulações!#REF!)</f>
        <v>#REF!</v>
      </c>
      <c r="K179" s="117" t="e">
        <f>Simulações!#REF!</f>
        <v>#REF!</v>
      </c>
      <c r="L179" s="117" t="e">
        <f>Simulações!#REF!</f>
        <v>#REF!</v>
      </c>
      <c r="M179" s="114" t="e">
        <f>IF(Simulações!#REF!="","",Simulações!#REF!)</f>
        <v>#REF!</v>
      </c>
      <c r="N179" s="114" t="e">
        <f>IF(Simulações!#REF!="","",Simulações!#REF!)</f>
        <v>#REF!</v>
      </c>
      <c r="O179" s="114">
        <v>1</v>
      </c>
    </row>
    <row r="180" spans="1:15" ht="15.75" hidden="1" customHeight="1" x14ac:dyDescent="0.3">
      <c r="A180" s="124" t="e">
        <f>Simulações!#REF!</f>
        <v>#REF!</v>
      </c>
      <c r="B180" s="114" t="e">
        <f>Simulações!#REF!</f>
        <v>#REF!</v>
      </c>
      <c r="C180" s="125" t="e">
        <f>Simulações!#REF!</f>
        <v>#REF!</v>
      </c>
      <c r="D180" s="114" t="e">
        <f>Simulações!#REF!</f>
        <v>#REF!</v>
      </c>
      <c r="E180" s="114" t="e">
        <f>Simulações!#REF!</f>
        <v>#REF!</v>
      </c>
      <c r="F180" s="114" t="e">
        <f>Simulações!#REF!</f>
        <v>#REF!</v>
      </c>
      <c r="G180" s="114" t="e">
        <f>Simulações!#REF!</f>
        <v>#REF!</v>
      </c>
      <c r="H180" s="114" t="e">
        <f>Simulações!#REF!</f>
        <v>#REF!</v>
      </c>
      <c r="I180" s="114" t="e">
        <f>IF(Simulações!#REF!="","",Simulações!#REF!)</f>
        <v>#REF!</v>
      </c>
      <c r="J180" s="114" t="e">
        <f>IF(Simulações!#REF!="","",Simulações!#REF!)</f>
        <v>#REF!</v>
      </c>
      <c r="K180" s="117" t="e">
        <f>Simulações!#REF!</f>
        <v>#REF!</v>
      </c>
      <c r="L180" s="117" t="e">
        <f>Simulações!#REF!</f>
        <v>#REF!</v>
      </c>
      <c r="M180" s="114" t="e">
        <f>IF(Simulações!#REF!="","",Simulações!#REF!)</f>
        <v>#REF!</v>
      </c>
      <c r="N180" s="114" t="e">
        <f>IF(Simulações!#REF!="","",Simulações!#REF!)</f>
        <v>#REF!</v>
      </c>
      <c r="O180" s="114">
        <v>1</v>
      </c>
    </row>
    <row r="181" spans="1:15" ht="15.75" hidden="1" customHeight="1" x14ac:dyDescent="0.3">
      <c r="A181" s="124" t="e">
        <f>Simulações!#REF!</f>
        <v>#REF!</v>
      </c>
      <c r="B181" s="114" t="e">
        <f>Simulações!#REF!</f>
        <v>#REF!</v>
      </c>
      <c r="C181" s="125" t="e">
        <f>Simulações!#REF!</f>
        <v>#REF!</v>
      </c>
      <c r="D181" s="114" t="e">
        <f>Simulações!#REF!</f>
        <v>#REF!</v>
      </c>
      <c r="E181" s="114" t="e">
        <f>Simulações!#REF!</f>
        <v>#REF!</v>
      </c>
      <c r="F181" s="114" t="e">
        <f>Simulações!#REF!</f>
        <v>#REF!</v>
      </c>
      <c r="G181" s="114" t="e">
        <f>Simulações!#REF!</f>
        <v>#REF!</v>
      </c>
      <c r="H181" s="114" t="e">
        <f>Simulações!#REF!</f>
        <v>#REF!</v>
      </c>
      <c r="I181" s="114" t="e">
        <f>IF(Simulações!#REF!="","",Simulações!#REF!)</f>
        <v>#REF!</v>
      </c>
      <c r="J181" s="114" t="e">
        <f>IF(Simulações!#REF!="","",Simulações!#REF!)</f>
        <v>#REF!</v>
      </c>
      <c r="K181" s="117" t="e">
        <f>Simulações!#REF!</f>
        <v>#REF!</v>
      </c>
      <c r="L181" s="117" t="e">
        <f>Simulações!#REF!</f>
        <v>#REF!</v>
      </c>
      <c r="M181" s="114" t="e">
        <f>IF(Simulações!#REF!="","",Simulações!#REF!)</f>
        <v>#REF!</v>
      </c>
      <c r="N181" s="114" t="e">
        <f>IF(Simulações!#REF!="","",Simulações!#REF!)</f>
        <v>#REF!</v>
      </c>
      <c r="O181" s="114">
        <v>1</v>
      </c>
    </row>
    <row r="182" spans="1:15" ht="15.75" hidden="1" customHeight="1" x14ac:dyDescent="0.3">
      <c r="A182" s="124" t="e">
        <f>Simulações!#REF!</f>
        <v>#REF!</v>
      </c>
      <c r="B182" s="114" t="e">
        <f>Simulações!#REF!</f>
        <v>#REF!</v>
      </c>
      <c r="C182" s="125" t="e">
        <f>Simulações!#REF!</f>
        <v>#REF!</v>
      </c>
      <c r="D182" s="114" t="e">
        <f>Simulações!#REF!</f>
        <v>#REF!</v>
      </c>
      <c r="E182" s="114" t="e">
        <f>Simulações!#REF!</f>
        <v>#REF!</v>
      </c>
      <c r="F182" s="114" t="e">
        <f>Simulações!#REF!</f>
        <v>#REF!</v>
      </c>
      <c r="G182" s="114" t="e">
        <f>Simulações!#REF!</f>
        <v>#REF!</v>
      </c>
      <c r="H182" s="114" t="e">
        <f>Simulações!#REF!</f>
        <v>#REF!</v>
      </c>
      <c r="I182" s="114" t="e">
        <f>IF(Simulações!#REF!="","",Simulações!#REF!)</f>
        <v>#REF!</v>
      </c>
      <c r="J182" s="114" t="e">
        <f>IF(Simulações!#REF!="","",Simulações!#REF!)</f>
        <v>#REF!</v>
      </c>
      <c r="K182" s="117" t="e">
        <f>Simulações!#REF!</f>
        <v>#REF!</v>
      </c>
      <c r="L182" s="117" t="e">
        <f>Simulações!#REF!</f>
        <v>#REF!</v>
      </c>
      <c r="M182" s="114" t="e">
        <f>IF(Simulações!#REF!="","",Simulações!#REF!)</f>
        <v>#REF!</v>
      </c>
      <c r="N182" s="114" t="e">
        <f>IF(Simulações!#REF!="","",Simulações!#REF!)</f>
        <v>#REF!</v>
      </c>
      <c r="O182" s="114">
        <v>1</v>
      </c>
    </row>
    <row r="183" spans="1:15" ht="15.75" hidden="1" customHeight="1" x14ac:dyDescent="0.3">
      <c r="A183" s="124" t="e">
        <f>Simulações!#REF!</f>
        <v>#REF!</v>
      </c>
      <c r="B183" s="114" t="e">
        <f>Simulações!#REF!</f>
        <v>#REF!</v>
      </c>
      <c r="C183" s="125" t="e">
        <f>Simulações!#REF!</f>
        <v>#REF!</v>
      </c>
      <c r="D183" s="114" t="e">
        <f>Simulações!#REF!</f>
        <v>#REF!</v>
      </c>
      <c r="E183" s="114" t="e">
        <f>Simulações!#REF!</f>
        <v>#REF!</v>
      </c>
      <c r="F183" s="114" t="e">
        <f>Simulações!#REF!</f>
        <v>#REF!</v>
      </c>
      <c r="G183" s="114" t="e">
        <f>Simulações!#REF!</f>
        <v>#REF!</v>
      </c>
      <c r="H183" s="114" t="e">
        <f>Simulações!#REF!</f>
        <v>#REF!</v>
      </c>
      <c r="I183" s="114" t="e">
        <f>IF(Simulações!#REF!="","",Simulações!#REF!)</f>
        <v>#REF!</v>
      </c>
      <c r="J183" s="114" t="e">
        <f>IF(Simulações!#REF!="","",Simulações!#REF!)</f>
        <v>#REF!</v>
      </c>
      <c r="K183" s="117" t="e">
        <f>Simulações!#REF!</f>
        <v>#REF!</v>
      </c>
      <c r="L183" s="117" t="e">
        <f>Simulações!#REF!</f>
        <v>#REF!</v>
      </c>
      <c r="M183" s="114" t="e">
        <f>IF(Simulações!#REF!="","",Simulações!#REF!)</f>
        <v>#REF!</v>
      </c>
      <c r="N183" s="114" t="e">
        <f>IF(Simulações!#REF!="","",Simulações!#REF!)</f>
        <v>#REF!</v>
      </c>
      <c r="O183" s="114">
        <v>1</v>
      </c>
    </row>
    <row r="184" spans="1:15" ht="15.75" hidden="1" customHeight="1" x14ac:dyDescent="0.3">
      <c r="A184" s="124" t="e">
        <f>Simulações!#REF!</f>
        <v>#REF!</v>
      </c>
      <c r="B184" s="114" t="e">
        <f>Simulações!#REF!</f>
        <v>#REF!</v>
      </c>
      <c r="C184" s="125" t="e">
        <f>Simulações!#REF!</f>
        <v>#REF!</v>
      </c>
      <c r="D184" s="114" t="e">
        <f>Simulações!#REF!</f>
        <v>#REF!</v>
      </c>
      <c r="E184" s="114" t="e">
        <f>Simulações!#REF!</f>
        <v>#REF!</v>
      </c>
      <c r="F184" s="114" t="e">
        <f>Simulações!#REF!</f>
        <v>#REF!</v>
      </c>
      <c r="G184" s="114" t="e">
        <f>Simulações!#REF!</f>
        <v>#REF!</v>
      </c>
      <c r="H184" s="114" t="e">
        <f>Simulações!#REF!</f>
        <v>#REF!</v>
      </c>
      <c r="I184" s="114" t="e">
        <f>IF(Simulações!#REF!="","",Simulações!#REF!)</f>
        <v>#REF!</v>
      </c>
      <c r="J184" s="114" t="e">
        <f>IF(Simulações!#REF!="","",Simulações!#REF!)</f>
        <v>#REF!</v>
      </c>
      <c r="K184" s="117" t="e">
        <f>Simulações!#REF!</f>
        <v>#REF!</v>
      </c>
      <c r="L184" s="117" t="e">
        <f>Simulações!#REF!</f>
        <v>#REF!</v>
      </c>
      <c r="M184" s="114" t="e">
        <f>IF(Simulações!#REF!="","",Simulações!#REF!)</f>
        <v>#REF!</v>
      </c>
      <c r="N184" s="114" t="e">
        <f>IF(Simulações!#REF!="","",Simulações!#REF!)</f>
        <v>#REF!</v>
      </c>
      <c r="O184" s="114">
        <v>1</v>
      </c>
    </row>
    <row r="185" spans="1:15" ht="15.75" hidden="1" customHeight="1" x14ac:dyDescent="0.3">
      <c r="A185" s="124" t="e">
        <f>Simulações!#REF!</f>
        <v>#REF!</v>
      </c>
      <c r="B185" s="114" t="e">
        <f>Simulações!#REF!</f>
        <v>#REF!</v>
      </c>
      <c r="C185" s="125" t="e">
        <f>Simulações!#REF!</f>
        <v>#REF!</v>
      </c>
      <c r="D185" s="114" t="e">
        <f>Simulações!#REF!</f>
        <v>#REF!</v>
      </c>
      <c r="E185" s="114" t="e">
        <f>Simulações!#REF!</f>
        <v>#REF!</v>
      </c>
      <c r="F185" s="114" t="e">
        <f>Simulações!#REF!</f>
        <v>#REF!</v>
      </c>
      <c r="G185" s="114" t="e">
        <f>Simulações!#REF!</f>
        <v>#REF!</v>
      </c>
      <c r="H185" s="114" t="e">
        <f>Simulações!#REF!</f>
        <v>#REF!</v>
      </c>
      <c r="I185" s="114" t="e">
        <f>IF(Simulações!#REF!="","",Simulações!#REF!)</f>
        <v>#REF!</v>
      </c>
      <c r="J185" s="114" t="e">
        <f>IF(Simulações!#REF!="","",Simulações!#REF!)</f>
        <v>#REF!</v>
      </c>
      <c r="K185" s="117" t="e">
        <f>Simulações!#REF!</f>
        <v>#REF!</v>
      </c>
      <c r="L185" s="117" t="e">
        <f>Simulações!#REF!</f>
        <v>#REF!</v>
      </c>
      <c r="M185" s="114" t="e">
        <f>IF(Simulações!#REF!="","",Simulações!#REF!)</f>
        <v>#REF!</v>
      </c>
      <c r="N185" s="114" t="e">
        <f>IF(Simulações!#REF!="","",Simulações!#REF!)</f>
        <v>#REF!</v>
      </c>
      <c r="O185" s="114">
        <v>1</v>
      </c>
    </row>
    <row r="186" spans="1:15" ht="15.75" hidden="1" customHeight="1" x14ac:dyDescent="0.3">
      <c r="A186" s="124" t="e">
        <f>Simulações!#REF!</f>
        <v>#REF!</v>
      </c>
      <c r="B186" s="114" t="e">
        <f>Simulações!#REF!</f>
        <v>#REF!</v>
      </c>
      <c r="C186" s="125" t="e">
        <f>Simulações!#REF!</f>
        <v>#REF!</v>
      </c>
      <c r="D186" s="114" t="e">
        <f>Simulações!#REF!</f>
        <v>#REF!</v>
      </c>
      <c r="E186" s="114" t="e">
        <f>Simulações!#REF!</f>
        <v>#REF!</v>
      </c>
      <c r="F186" s="114" t="e">
        <f>Simulações!#REF!</f>
        <v>#REF!</v>
      </c>
      <c r="G186" s="114" t="e">
        <f>Simulações!#REF!</f>
        <v>#REF!</v>
      </c>
      <c r="H186" s="114" t="e">
        <f>Simulações!#REF!</f>
        <v>#REF!</v>
      </c>
      <c r="I186" s="114" t="e">
        <f>IF(Simulações!#REF!="","",Simulações!#REF!)</f>
        <v>#REF!</v>
      </c>
      <c r="J186" s="114" t="e">
        <f>IF(Simulações!#REF!="","",Simulações!#REF!)</f>
        <v>#REF!</v>
      </c>
      <c r="K186" s="117" t="e">
        <f>Simulações!#REF!</f>
        <v>#REF!</v>
      </c>
      <c r="L186" s="117" t="e">
        <f>Simulações!#REF!</f>
        <v>#REF!</v>
      </c>
      <c r="M186" s="114" t="e">
        <f>IF(Simulações!#REF!="","",Simulações!#REF!)</f>
        <v>#REF!</v>
      </c>
      <c r="N186" s="114" t="e">
        <f>IF(Simulações!#REF!="","",Simulações!#REF!)</f>
        <v>#REF!</v>
      </c>
      <c r="O186" s="114">
        <v>1</v>
      </c>
    </row>
    <row r="187" spans="1:15" ht="15.75" hidden="1" customHeight="1" x14ac:dyDescent="0.3">
      <c r="A187" s="124" t="e">
        <f>Simulações!#REF!</f>
        <v>#REF!</v>
      </c>
      <c r="B187" s="114" t="e">
        <f>Simulações!#REF!</f>
        <v>#REF!</v>
      </c>
      <c r="C187" s="125" t="e">
        <f>Simulações!#REF!</f>
        <v>#REF!</v>
      </c>
      <c r="D187" s="114" t="e">
        <f>Simulações!#REF!</f>
        <v>#REF!</v>
      </c>
      <c r="E187" s="114" t="e">
        <f>Simulações!#REF!</f>
        <v>#REF!</v>
      </c>
      <c r="F187" s="114" t="e">
        <f>Simulações!#REF!</f>
        <v>#REF!</v>
      </c>
      <c r="G187" s="114" t="e">
        <f>Simulações!#REF!</f>
        <v>#REF!</v>
      </c>
      <c r="H187" s="114" t="e">
        <f>Simulações!#REF!</f>
        <v>#REF!</v>
      </c>
      <c r="I187" s="114" t="e">
        <f>IF(Simulações!#REF!="","",Simulações!#REF!)</f>
        <v>#REF!</v>
      </c>
      <c r="J187" s="114" t="e">
        <f>IF(Simulações!#REF!="","",Simulações!#REF!)</f>
        <v>#REF!</v>
      </c>
      <c r="K187" s="117" t="e">
        <f>Simulações!#REF!</f>
        <v>#REF!</v>
      </c>
      <c r="L187" s="117" t="e">
        <f>Simulações!#REF!</f>
        <v>#REF!</v>
      </c>
      <c r="M187" s="114" t="e">
        <f>IF(Simulações!#REF!="","",Simulações!#REF!)</f>
        <v>#REF!</v>
      </c>
      <c r="N187" s="114" t="e">
        <f>IF(Simulações!#REF!="","",Simulações!#REF!)</f>
        <v>#REF!</v>
      </c>
      <c r="O187" s="114">
        <v>1</v>
      </c>
    </row>
    <row r="188" spans="1:15" ht="15.75" hidden="1" customHeight="1" x14ac:dyDescent="0.3">
      <c r="A188" s="124" t="e">
        <f>Simulações!#REF!</f>
        <v>#REF!</v>
      </c>
      <c r="B188" s="114" t="e">
        <f>Simulações!#REF!</f>
        <v>#REF!</v>
      </c>
      <c r="C188" s="125" t="e">
        <f>Simulações!#REF!</f>
        <v>#REF!</v>
      </c>
      <c r="D188" s="114" t="e">
        <f>Simulações!#REF!</f>
        <v>#REF!</v>
      </c>
      <c r="E188" s="114" t="e">
        <f>Simulações!#REF!</f>
        <v>#REF!</v>
      </c>
      <c r="F188" s="114" t="e">
        <f>Simulações!#REF!</f>
        <v>#REF!</v>
      </c>
      <c r="G188" s="114" t="e">
        <f>Simulações!#REF!</f>
        <v>#REF!</v>
      </c>
      <c r="H188" s="114" t="e">
        <f>Simulações!#REF!</f>
        <v>#REF!</v>
      </c>
      <c r="I188" s="114" t="e">
        <f>IF(Simulações!#REF!="","",Simulações!#REF!)</f>
        <v>#REF!</v>
      </c>
      <c r="J188" s="114" t="e">
        <f>IF(Simulações!#REF!="","",Simulações!#REF!)</f>
        <v>#REF!</v>
      </c>
      <c r="K188" s="117" t="e">
        <f>Simulações!#REF!</f>
        <v>#REF!</v>
      </c>
      <c r="L188" s="117" t="e">
        <f>Simulações!#REF!</f>
        <v>#REF!</v>
      </c>
      <c r="M188" s="114" t="e">
        <f>IF(Simulações!#REF!="","",Simulações!#REF!)</f>
        <v>#REF!</v>
      </c>
      <c r="N188" s="114" t="e">
        <f>IF(Simulações!#REF!="","",Simulações!#REF!)</f>
        <v>#REF!</v>
      </c>
      <c r="O188" s="114">
        <v>1</v>
      </c>
    </row>
    <row r="189" spans="1:15" ht="15.75" hidden="1" customHeight="1" x14ac:dyDescent="0.3">
      <c r="A189" s="124" t="e">
        <f>Simulações!#REF!</f>
        <v>#REF!</v>
      </c>
      <c r="B189" s="114" t="e">
        <f>Simulações!#REF!</f>
        <v>#REF!</v>
      </c>
      <c r="C189" s="125" t="e">
        <f>Simulações!#REF!</f>
        <v>#REF!</v>
      </c>
      <c r="D189" s="114" t="e">
        <f>Simulações!#REF!</f>
        <v>#REF!</v>
      </c>
      <c r="E189" s="114" t="e">
        <f>Simulações!#REF!</f>
        <v>#REF!</v>
      </c>
      <c r="F189" s="114" t="e">
        <f>Simulações!#REF!</f>
        <v>#REF!</v>
      </c>
      <c r="G189" s="114" t="e">
        <f>Simulações!#REF!</f>
        <v>#REF!</v>
      </c>
      <c r="H189" s="114" t="e">
        <f>Simulações!#REF!</f>
        <v>#REF!</v>
      </c>
      <c r="I189" s="114" t="e">
        <f>IF(Simulações!#REF!="","",Simulações!#REF!)</f>
        <v>#REF!</v>
      </c>
      <c r="J189" s="114" t="e">
        <f>IF(Simulações!#REF!="","",Simulações!#REF!)</f>
        <v>#REF!</v>
      </c>
      <c r="K189" s="117" t="e">
        <f>Simulações!#REF!</f>
        <v>#REF!</v>
      </c>
      <c r="L189" s="117" t="e">
        <f>Simulações!#REF!</f>
        <v>#REF!</v>
      </c>
      <c r="M189" s="114" t="e">
        <f>IF(Simulações!#REF!="","",Simulações!#REF!)</f>
        <v>#REF!</v>
      </c>
      <c r="N189" s="114" t="e">
        <f>IF(Simulações!#REF!="","",Simulações!#REF!)</f>
        <v>#REF!</v>
      </c>
      <c r="O189" s="114">
        <v>1</v>
      </c>
    </row>
    <row r="190" spans="1:15" ht="15.75" hidden="1" customHeight="1" x14ac:dyDescent="0.3">
      <c r="A190" s="124" t="e">
        <f>Simulações!#REF!</f>
        <v>#REF!</v>
      </c>
      <c r="B190" s="114" t="e">
        <f>Simulações!#REF!</f>
        <v>#REF!</v>
      </c>
      <c r="C190" s="125" t="e">
        <f>Simulações!#REF!</f>
        <v>#REF!</v>
      </c>
      <c r="D190" s="114" t="e">
        <f>Simulações!#REF!</f>
        <v>#REF!</v>
      </c>
      <c r="E190" s="114" t="e">
        <f>Simulações!#REF!</f>
        <v>#REF!</v>
      </c>
      <c r="F190" s="114" t="e">
        <f>Simulações!#REF!</f>
        <v>#REF!</v>
      </c>
      <c r="G190" s="114" t="e">
        <f>Simulações!#REF!</f>
        <v>#REF!</v>
      </c>
      <c r="H190" s="114" t="e">
        <f>Simulações!#REF!</f>
        <v>#REF!</v>
      </c>
      <c r="I190" s="114" t="e">
        <f>IF(Simulações!#REF!="","",Simulações!#REF!)</f>
        <v>#REF!</v>
      </c>
      <c r="J190" s="114" t="e">
        <f>IF(Simulações!#REF!="","",Simulações!#REF!)</f>
        <v>#REF!</v>
      </c>
      <c r="K190" s="117" t="e">
        <f>Simulações!#REF!</f>
        <v>#REF!</v>
      </c>
      <c r="L190" s="117" t="e">
        <f>Simulações!#REF!</f>
        <v>#REF!</v>
      </c>
      <c r="M190" s="114" t="e">
        <f>IF(Simulações!#REF!="","",Simulações!#REF!)</f>
        <v>#REF!</v>
      </c>
      <c r="N190" s="114" t="e">
        <f>IF(Simulações!#REF!="","",Simulações!#REF!)</f>
        <v>#REF!</v>
      </c>
      <c r="O190" s="114">
        <v>1</v>
      </c>
    </row>
    <row r="191" spans="1:15" ht="15.75" hidden="1" customHeight="1" x14ac:dyDescent="0.3">
      <c r="A191" s="124" t="e">
        <f>Simulações!#REF!</f>
        <v>#REF!</v>
      </c>
      <c r="B191" s="114" t="e">
        <f>Simulações!#REF!</f>
        <v>#REF!</v>
      </c>
      <c r="C191" s="125" t="e">
        <f>Simulações!#REF!</f>
        <v>#REF!</v>
      </c>
      <c r="D191" s="114" t="e">
        <f>Simulações!#REF!</f>
        <v>#REF!</v>
      </c>
      <c r="E191" s="114" t="e">
        <f>Simulações!#REF!</f>
        <v>#REF!</v>
      </c>
      <c r="F191" s="114" t="e">
        <f>Simulações!#REF!</f>
        <v>#REF!</v>
      </c>
      <c r="G191" s="114" t="e">
        <f>Simulações!#REF!</f>
        <v>#REF!</v>
      </c>
      <c r="H191" s="114" t="e">
        <f>Simulações!#REF!</f>
        <v>#REF!</v>
      </c>
      <c r="I191" s="114" t="e">
        <f>IF(Simulações!#REF!="","",Simulações!#REF!)</f>
        <v>#REF!</v>
      </c>
      <c r="J191" s="114" t="e">
        <f>IF(Simulações!#REF!="","",Simulações!#REF!)</f>
        <v>#REF!</v>
      </c>
      <c r="K191" s="117" t="e">
        <f>Simulações!#REF!</f>
        <v>#REF!</v>
      </c>
      <c r="L191" s="117" t="e">
        <f>Simulações!#REF!</f>
        <v>#REF!</v>
      </c>
      <c r="M191" s="114" t="e">
        <f>IF(Simulações!#REF!="","",Simulações!#REF!)</f>
        <v>#REF!</v>
      </c>
      <c r="N191" s="114" t="e">
        <f>IF(Simulações!#REF!="","",Simulações!#REF!)</f>
        <v>#REF!</v>
      </c>
      <c r="O191" s="114">
        <v>1</v>
      </c>
    </row>
    <row r="192" spans="1:15" ht="15.75" hidden="1" customHeight="1" x14ac:dyDescent="0.3">
      <c r="A192" s="124" t="e">
        <f>Simulações!#REF!</f>
        <v>#REF!</v>
      </c>
      <c r="B192" s="114" t="e">
        <f>Simulações!#REF!</f>
        <v>#REF!</v>
      </c>
      <c r="C192" s="125" t="e">
        <f>Simulações!#REF!</f>
        <v>#REF!</v>
      </c>
      <c r="D192" s="114" t="e">
        <f>Simulações!#REF!</f>
        <v>#REF!</v>
      </c>
      <c r="E192" s="114" t="e">
        <f>Simulações!#REF!</f>
        <v>#REF!</v>
      </c>
      <c r="F192" s="114" t="e">
        <f>Simulações!#REF!</f>
        <v>#REF!</v>
      </c>
      <c r="G192" s="114" t="e">
        <f>Simulações!#REF!</f>
        <v>#REF!</v>
      </c>
      <c r="H192" s="114" t="e">
        <f>Simulações!#REF!</f>
        <v>#REF!</v>
      </c>
      <c r="I192" s="114" t="e">
        <f>IF(Simulações!#REF!="","",Simulações!#REF!)</f>
        <v>#REF!</v>
      </c>
      <c r="J192" s="114" t="e">
        <f>IF(Simulações!#REF!="","",Simulações!#REF!)</f>
        <v>#REF!</v>
      </c>
      <c r="K192" s="117" t="e">
        <f>Simulações!#REF!</f>
        <v>#REF!</v>
      </c>
      <c r="L192" s="117" t="e">
        <f>Simulações!#REF!</f>
        <v>#REF!</v>
      </c>
      <c r="M192" s="114" t="e">
        <f>IF(Simulações!#REF!="","",Simulações!#REF!)</f>
        <v>#REF!</v>
      </c>
      <c r="N192" s="114" t="e">
        <f>IF(Simulações!#REF!="","",Simulações!#REF!)</f>
        <v>#REF!</v>
      </c>
      <c r="O192" s="114">
        <v>1</v>
      </c>
    </row>
    <row r="193" spans="1:15" ht="15.75" hidden="1" customHeight="1" x14ac:dyDescent="0.3">
      <c r="A193" s="124" t="e">
        <f>Simulações!#REF!</f>
        <v>#REF!</v>
      </c>
      <c r="B193" s="114" t="e">
        <f>Simulações!#REF!</f>
        <v>#REF!</v>
      </c>
      <c r="C193" s="125" t="e">
        <f>Simulações!#REF!</f>
        <v>#REF!</v>
      </c>
      <c r="D193" s="114" t="e">
        <f>Simulações!#REF!</f>
        <v>#REF!</v>
      </c>
      <c r="E193" s="114" t="e">
        <f>Simulações!#REF!</f>
        <v>#REF!</v>
      </c>
      <c r="F193" s="114" t="e">
        <f>Simulações!#REF!</f>
        <v>#REF!</v>
      </c>
      <c r="G193" s="114" t="e">
        <f>Simulações!#REF!</f>
        <v>#REF!</v>
      </c>
      <c r="H193" s="114" t="e">
        <f>Simulações!#REF!</f>
        <v>#REF!</v>
      </c>
      <c r="I193" s="114" t="e">
        <f>IF(Simulações!#REF!="","",Simulações!#REF!)</f>
        <v>#REF!</v>
      </c>
      <c r="J193" s="114" t="e">
        <f>IF(Simulações!#REF!="","",Simulações!#REF!)</f>
        <v>#REF!</v>
      </c>
      <c r="K193" s="117" t="e">
        <f>Simulações!#REF!</f>
        <v>#REF!</v>
      </c>
      <c r="L193" s="117" t="e">
        <f>Simulações!#REF!</f>
        <v>#REF!</v>
      </c>
      <c r="M193" s="114" t="e">
        <f>IF(Simulações!#REF!="","",Simulações!#REF!)</f>
        <v>#REF!</v>
      </c>
      <c r="N193" s="114" t="e">
        <f>IF(Simulações!#REF!="","",Simulações!#REF!)</f>
        <v>#REF!</v>
      </c>
      <c r="O193" s="114">
        <v>1</v>
      </c>
    </row>
    <row r="194" spans="1:15" ht="15.75" hidden="1" customHeight="1" x14ac:dyDescent="0.3">
      <c r="A194" s="124" t="e">
        <f>Simulações!#REF!</f>
        <v>#REF!</v>
      </c>
      <c r="B194" s="114" t="e">
        <f>Simulações!#REF!</f>
        <v>#REF!</v>
      </c>
      <c r="C194" s="125" t="e">
        <f>Simulações!#REF!</f>
        <v>#REF!</v>
      </c>
      <c r="D194" s="114" t="e">
        <f>Simulações!#REF!</f>
        <v>#REF!</v>
      </c>
      <c r="E194" s="114" t="e">
        <f>Simulações!#REF!</f>
        <v>#REF!</v>
      </c>
      <c r="F194" s="114" t="e">
        <f>Simulações!#REF!</f>
        <v>#REF!</v>
      </c>
      <c r="G194" s="114" t="e">
        <f>Simulações!#REF!</f>
        <v>#REF!</v>
      </c>
      <c r="H194" s="114" t="e">
        <f>Simulações!#REF!</f>
        <v>#REF!</v>
      </c>
      <c r="I194" s="114" t="e">
        <f>IF(Simulações!#REF!="","",Simulações!#REF!)</f>
        <v>#REF!</v>
      </c>
      <c r="J194" s="114" t="e">
        <f>IF(Simulações!#REF!="","",Simulações!#REF!)</f>
        <v>#REF!</v>
      </c>
      <c r="K194" s="117" t="e">
        <f>Simulações!#REF!</f>
        <v>#REF!</v>
      </c>
      <c r="L194" s="117" t="e">
        <f>Simulações!#REF!</f>
        <v>#REF!</v>
      </c>
      <c r="M194" s="114" t="e">
        <f>IF(Simulações!#REF!="","",Simulações!#REF!)</f>
        <v>#REF!</v>
      </c>
      <c r="N194" s="114" t="e">
        <f>IF(Simulações!#REF!="","",Simulações!#REF!)</f>
        <v>#REF!</v>
      </c>
      <c r="O194" s="114">
        <v>1</v>
      </c>
    </row>
    <row r="195" spans="1:15" ht="15.75" hidden="1" customHeight="1" x14ac:dyDescent="0.3">
      <c r="A195" s="124" t="e">
        <f>Simulações!#REF!</f>
        <v>#REF!</v>
      </c>
      <c r="B195" s="114" t="e">
        <f>Simulações!#REF!</f>
        <v>#REF!</v>
      </c>
      <c r="C195" s="125" t="e">
        <f>Simulações!#REF!</f>
        <v>#REF!</v>
      </c>
      <c r="D195" s="114" t="e">
        <f>Simulações!#REF!</f>
        <v>#REF!</v>
      </c>
      <c r="E195" s="114" t="e">
        <f>Simulações!#REF!</f>
        <v>#REF!</v>
      </c>
      <c r="F195" s="114" t="e">
        <f>Simulações!#REF!</f>
        <v>#REF!</v>
      </c>
      <c r="G195" s="114" t="e">
        <f>Simulações!#REF!</f>
        <v>#REF!</v>
      </c>
      <c r="H195" s="114" t="e">
        <f>Simulações!#REF!</f>
        <v>#REF!</v>
      </c>
      <c r="I195" s="114" t="e">
        <f>IF(Simulações!#REF!="","",Simulações!#REF!)</f>
        <v>#REF!</v>
      </c>
      <c r="J195" s="114" t="e">
        <f>IF(Simulações!#REF!="","",Simulações!#REF!)</f>
        <v>#REF!</v>
      </c>
      <c r="K195" s="117" t="e">
        <f>Simulações!#REF!</f>
        <v>#REF!</v>
      </c>
      <c r="L195" s="117" t="e">
        <f>Simulações!#REF!</f>
        <v>#REF!</v>
      </c>
      <c r="M195" s="114" t="e">
        <f>IF(Simulações!#REF!="","",Simulações!#REF!)</f>
        <v>#REF!</v>
      </c>
      <c r="N195" s="114" t="e">
        <f>IF(Simulações!#REF!="","",Simulações!#REF!)</f>
        <v>#REF!</v>
      </c>
      <c r="O195" s="114">
        <v>1</v>
      </c>
    </row>
    <row r="196" spans="1:15" ht="15.75" hidden="1" customHeight="1" x14ac:dyDescent="0.3">
      <c r="A196" s="124" t="e">
        <f>Simulações!#REF!</f>
        <v>#REF!</v>
      </c>
      <c r="B196" s="114" t="e">
        <f>Simulações!#REF!</f>
        <v>#REF!</v>
      </c>
      <c r="C196" s="125" t="e">
        <f>Simulações!#REF!</f>
        <v>#REF!</v>
      </c>
      <c r="D196" s="114" t="e">
        <f>Simulações!#REF!</f>
        <v>#REF!</v>
      </c>
      <c r="E196" s="114" t="e">
        <f>Simulações!#REF!</f>
        <v>#REF!</v>
      </c>
      <c r="F196" s="114" t="e">
        <f>Simulações!#REF!</f>
        <v>#REF!</v>
      </c>
      <c r="G196" s="114" t="e">
        <f>Simulações!#REF!</f>
        <v>#REF!</v>
      </c>
      <c r="H196" s="114" t="e">
        <f>Simulações!#REF!</f>
        <v>#REF!</v>
      </c>
      <c r="I196" s="114" t="e">
        <f>IF(Simulações!#REF!="","",Simulações!#REF!)</f>
        <v>#REF!</v>
      </c>
      <c r="J196" s="114" t="e">
        <f>IF(Simulações!#REF!="","",Simulações!#REF!)</f>
        <v>#REF!</v>
      </c>
      <c r="K196" s="117" t="e">
        <f>Simulações!#REF!</f>
        <v>#REF!</v>
      </c>
      <c r="L196" s="117" t="e">
        <f>Simulações!#REF!</f>
        <v>#REF!</v>
      </c>
      <c r="M196" s="114" t="e">
        <f>IF(Simulações!#REF!="","",Simulações!#REF!)</f>
        <v>#REF!</v>
      </c>
      <c r="N196" s="114" t="e">
        <f>IF(Simulações!#REF!="","",Simulações!#REF!)</f>
        <v>#REF!</v>
      </c>
      <c r="O196" s="114">
        <v>1</v>
      </c>
    </row>
    <row r="197" spans="1:15" ht="15.75" hidden="1" customHeight="1" x14ac:dyDescent="0.3">
      <c r="A197" s="124" t="e">
        <f>Simulações!#REF!</f>
        <v>#REF!</v>
      </c>
      <c r="B197" s="114" t="e">
        <f>Simulações!#REF!</f>
        <v>#REF!</v>
      </c>
      <c r="C197" s="125" t="e">
        <f>Simulações!#REF!</f>
        <v>#REF!</v>
      </c>
      <c r="D197" s="114" t="e">
        <f>Simulações!#REF!</f>
        <v>#REF!</v>
      </c>
      <c r="E197" s="114" t="e">
        <f>Simulações!#REF!</f>
        <v>#REF!</v>
      </c>
      <c r="F197" s="114" t="e">
        <f>Simulações!#REF!</f>
        <v>#REF!</v>
      </c>
      <c r="G197" s="114" t="e">
        <f>Simulações!#REF!</f>
        <v>#REF!</v>
      </c>
      <c r="H197" s="114" t="e">
        <f>Simulações!#REF!</f>
        <v>#REF!</v>
      </c>
      <c r="I197" s="114" t="e">
        <f>IF(Simulações!#REF!="","",Simulações!#REF!)</f>
        <v>#REF!</v>
      </c>
      <c r="J197" s="114" t="e">
        <f>IF(Simulações!#REF!="","",Simulações!#REF!)</f>
        <v>#REF!</v>
      </c>
      <c r="K197" s="117" t="e">
        <f>Simulações!#REF!</f>
        <v>#REF!</v>
      </c>
      <c r="L197" s="117" t="e">
        <f>Simulações!#REF!</f>
        <v>#REF!</v>
      </c>
      <c r="M197" s="114" t="e">
        <f>IF(Simulações!#REF!="","",Simulações!#REF!)</f>
        <v>#REF!</v>
      </c>
      <c r="N197" s="114" t="e">
        <f>IF(Simulações!#REF!="","",Simulações!#REF!)</f>
        <v>#REF!</v>
      </c>
      <c r="O197" s="114">
        <v>1</v>
      </c>
    </row>
    <row r="198" spans="1:15" ht="15.75" hidden="1" customHeight="1" x14ac:dyDescent="0.3">
      <c r="A198" s="124" t="e">
        <f>Simulações!#REF!</f>
        <v>#REF!</v>
      </c>
      <c r="B198" s="114" t="e">
        <f>Simulações!#REF!</f>
        <v>#REF!</v>
      </c>
      <c r="C198" s="125" t="e">
        <f>Simulações!#REF!</f>
        <v>#REF!</v>
      </c>
      <c r="D198" s="114" t="e">
        <f>Simulações!#REF!</f>
        <v>#REF!</v>
      </c>
      <c r="E198" s="114" t="e">
        <f>Simulações!#REF!</f>
        <v>#REF!</v>
      </c>
      <c r="F198" s="114" t="e">
        <f>Simulações!#REF!</f>
        <v>#REF!</v>
      </c>
      <c r="G198" s="114" t="e">
        <f>Simulações!#REF!</f>
        <v>#REF!</v>
      </c>
      <c r="H198" s="114" t="e">
        <f>Simulações!#REF!</f>
        <v>#REF!</v>
      </c>
      <c r="I198" s="114" t="e">
        <f>IF(Simulações!#REF!="","",Simulações!#REF!)</f>
        <v>#REF!</v>
      </c>
      <c r="J198" s="114" t="e">
        <f>IF(Simulações!#REF!="","",Simulações!#REF!)</f>
        <v>#REF!</v>
      </c>
      <c r="K198" s="117" t="e">
        <f>Simulações!#REF!</f>
        <v>#REF!</v>
      </c>
      <c r="L198" s="117" t="e">
        <f>Simulações!#REF!</f>
        <v>#REF!</v>
      </c>
      <c r="M198" s="114" t="e">
        <f>IF(Simulações!#REF!="","",Simulações!#REF!)</f>
        <v>#REF!</v>
      </c>
      <c r="N198" s="114" t="e">
        <f>IF(Simulações!#REF!="","",Simulações!#REF!)</f>
        <v>#REF!</v>
      </c>
      <c r="O198" s="114">
        <v>1</v>
      </c>
    </row>
    <row r="199" spans="1:15" ht="15.75" hidden="1" customHeight="1" x14ac:dyDescent="0.3">
      <c r="A199" s="124" t="e">
        <f>Simulações!#REF!</f>
        <v>#REF!</v>
      </c>
      <c r="B199" s="114" t="e">
        <f>Simulações!#REF!</f>
        <v>#REF!</v>
      </c>
      <c r="C199" s="125" t="e">
        <f>Simulações!#REF!</f>
        <v>#REF!</v>
      </c>
      <c r="D199" s="114" t="e">
        <f>Simulações!#REF!</f>
        <v>#REF!</v>
      </c>
      <c r="E199" s="114" t="e">
        <f>Simulações!#REF!</f>
        <v>#REF!</v>
      </c>
      <c r="F199" s="114" t="e">
        <f>Simulações!#REF!</f>
        <v>#REF!</v>
      </c>
      <c r="G199" s="114" t="e">
        <f>Simulações!#REF!</f>
        <v>#REF!</v>
      </c>
      <c r="H199" s="114" t="e">
        <f>Simulações!#REF!</f>
        <v>#REF!</v>
      </c>
      <c r="I199" s="114" t="e">
        <f>IF(Simulações!#REF!="","",Simulações!#REF!)</f>
        <v>#REF!</v>
      </c>
      <c r="J199" s="114" t="e">
        <f>IF(Simulações!#REF!="","",Simulações!#REF!)</f>
        <v>#REF!</v>
      </c>
      <c r="K199" s="117" t="e">
        <f>Simulações!#REF!</f>
        <v>#REF!</v>
      </c>
      <c r="L199" s="117" t="e">
        <f>Simulações!#REF!</f>
        <v>#REF!</v>
      </c>
      <c r="M199" s="114" t="e">
        <f>IF(Simulações!#REF!="","",Simulações!#REF!)</f>
        <v>#REF!</v>
      </c>
      <c r="N199" s="114" t="e">
        <f>IF(Simulações!#REF!="","",Simulações!#REF!)</f>
        <v>#REF!</v>
      </c>
      <c r="O199" s="114">
        <v>1</v>
      </c>
    </row>
    <row r="200" spans="1:15" ht="15.75" hidden="1" customHeight="1" x14ac:dyDescent="0.3">
      <c r="A200" s="124" t="e">
        <f>Simulações!#REF!</f>
        <v>#REF!</v>
      </c>
      <c r="B200" s="114" t="e">
        <f>Simulações!#REF!</f>
        <v>#REF!</v>
      </c>
      <c r="C200" s="125" t="e">
        <f>Simulações!#REF!</f>
        <v>#REF!</v>
      </c>
      <c r="D200" s="114" t="e">
        <f>Simulações!#REF!</f>
        <v>#REF!</v>
      </c>
      <c r="E200" s="114" t="e">
        <f>Simulações!#REF!</f>
        <v>#REF!</v>
      </c>
      <c r="F200" s="114" t="e">
        <f>Simulações!#REF!</f>
        <v>#REF!</v>
      </c>
      <c r="G200" s="114" t="e">
        <f>Simulações!#REF!</f>
        <v>#REF!</v>
      </c>
      <c r="H200" s="114" t="e">
        <f>Simulações!#REF!</f>
        <v>#REF!</v>
      </c>
      <c r="I200" s="114" t="e">
        <f>IF(Simulações!#REF!="","",Simulações!#REF!)</f>
        <v>#REF!</v>
      </c>
      <c r="J200" s="114" t="e">
        <f>IF(Simulações!#REF!="","",Simulações!#REF!)</f>
        <v>#REF!</v>
      </c>
      <c r="K200" s="117" t="e">
        <f>Simulações!#REF!</f>
        <v>#REF!</v>
      </c>
      <c r="L200" s="117" t="e">
        <f>Simulações!#REF!</f>
        <v>#REF!</v>
      </c>
      <c r="M200" s="114" t="e">
        <f>IF(Simulações!#REF!="","",Simulações!#REF!)</f>
        <v>#REF!</v>
      </c>
      <c r="N200" s="114" t="e">
        <f>IF(Simulações!#REF!="","",Simulações!#REF!)</f>
        <v>#REF!</v>
      </c>
      <c r="O200" s="114">
        <v>1</v>
      </c>
    </row>
    <row r="201" spans="1:15" ht="15.75" hidden="1" customHeight="1" x14ac:dyDescent="0.3">
      <c r="A201" s="124" t="e">
        <f>Simulações!#REF!</f>
        <v>#REF!</v>
      </c>
      <c r="B201" s="114" t="e">
        <f>Simulações!#REF!</f>
        <v>#REF!</v>
      </c>
      <c r="C201" s="125" t="e">
        <f>Simulações!#REF!</f>
        <v>#REF!</v>
      </c>
      <c r="D201" s="114" t="e">
        <f>Simulações!#REF!</f>
        <v>#REF!</v>
      </c>
      <c r="E201" s="114" t="e">
        <f>Simulações!#REF!</f>
        <v>#REF!</v>
      </c>
      <c r="F201" s="114" t="e">
        <f>Simulações!#REF!</f>
        <v>#REF!</v>
      </c>
      <c r="G201" s="114" t="e">
        <f>Simulações!#REF!</f>
        <v>#REF!</v>
      </c>
      <c r="H201" s="114" t="e">
        <f>Simulações!#REF!</f>
        <v>#REF!</v>
      </c>
      <c r="I201" s="114" t="e">
        <f>IF(Simulações!#REF!="","",Simulações!#REF!)</f>
        <v>#REF!</v>
      </c>
      <c r="J201" s="114" t="e">
        <f>IF(Simulações!#REF!="","",Simulações!#REF!)</f>
        <v>#REF!</v>
      </c>
      <c r="K201" s="117" t="e">
        <f>Simulações!#REF!</f>
        <v>#REF!</v>
      </c>
      <c r="L201" s="117" t="e">
        <f>Simulações!#REF!</f>
        <v>#REF!</v>
      </c>
      <c r="M201" s="114" t="e">
        <f>IF(Simulações!#REF!="","",Simulações!#REF!)</f>
        <v>#REF!</v>
      </c>
      <c r="N201" s="114" t="e">
        <f>IF(Simulações!#REF!="","",Simulações!#REF!)</f>
        <v>#REF!</v>
      </c>
      <c r="O201" s="114">
        <v>1</v>
      </c>
    </row>
    <row r="202" spans="1:15" ht="15.75" hidden="1" customHeight="1" x14ac:dyDescent="0.3">
      <c r="A202" s="124" t="e">
        <f>Simulações!#REF!</f>
        <v>#REF!</v>
      </c>
      <c r="B202" s="114" t="e">
        <f>Simulações!#REF!</f>
        <v>#REF!</v>
      </c>
      <c r="C202" s="125" t="e">
        <f>Simulações!#REF!</f>
        <v>#REF!</v>
      </c>
      <c r="D202" s="114" t="e">
        <f>Simulações!#REF!</f>
        <v>#REF!</v>
      </c>
      <c r="E202" s="114" t="e">
        <f>Simulações!#REF!</f>
        <v>#REF!</v>
      </c>
      <c r="F202" s="114" t="e">
        <f>Simulações!#REF!</f>
        <v>#REF!</v>
      </c>
      <c r="G202" s="114" t="e">
        <f>Simulações!#REF!</f>
        <v>#REF!</v>
      </c>
      <c r="H202" s="114" t="e">
        <f>Simulações!#REF!</f>
        <v>#REF!</v>
      </c>
      <c r="I202" s="114" t="e">
        <f>IF(Simulações!#REF!="","",Simulações!#REF!)</f>
        <v>#REF!</v>
      </c>
      <c r="J202" s="114" t="e">
        <f>IF(Simulações!#REF!="","",Simulações!#REF!)</f>
        <v>#REF!</v>
      </c>
      <c r="K202" s="117" t="e">
        <f>Simulações!#REF!</f>
        <v>#REF!</v>
      </c>
      <c r="L202" s="117" t="e">
        <f>Simulações!#REF!</f>
        <v>#REF!</v>
      </c>
      <c r="M202" s="114" t="e">
        <f>IF(Simulações!#REF!="","",Simulações!#REF!)</f>
        <v>#REF!</v>
      </c>
      <c r="N202" s="114" t="e">
        <f>IF(Simulações!#REF!="","",Simulações!#REF!)</f>
        <v>#REF!</v>
      </c>
      <c r="O202" s="114">
        <v>1</v>
      </c>
    </row>
    <row r="203" spans="1:15" ht="15.75" hidden="1" customHeight="1" x14ac:dyDescent="0.3">
      <c r="A203" s="124" t="e">
        <f>Simulações!#REF!</f>
        <v>#REF!</v>
      </c>
      <c r="B203" s="114" t="e">
        <f>Simulações!#REF!</f>
        <v>#REF!</v>
      </c>
      <c r="C203" s="125" t="e">
        <f>Simulações!#REF!</f>
        <v>#REF!</v>
      </c>
      <c r="D203" s="114" t="e">
        <f>Simulações!#REF!</f>
        <v>#REF!</v>
      </c>
      <c r="E203" s="114" t="e">
        <f>Simulações!#REF!</f>
        <v>#REF!</v>
      </c>
      <c r="F203" s="114" t="e">
        <f>Simulações!#REF!</f>
        <v>#REF!</v>
      </c>
      <c r="G203" s="114" t="e">
        <f>Simulações!#REF!</f>
        <v>#REF!</v>
      </c>
      <c r="H203" s="114" t="e">
        <f>Simulações!#REF!</f>
        <v>#REF!</v>
      </c>
      <c r="I203" s="114" t="e">
        <f>IF(Simulações!#REF!="","",Simulações!#REF!)</f>
        <v>#REF!</v>
      </c>
      <c r="J203" s="114" t="e">
        <f>IF(Simulações!#REF!="","",Simulações!#REF!)</f>
        <v>#REF!</v>
      </c>
      <c r="K203" s="117" t="e">
        <f>Simulações!#REF!</f>
        <v>#REF!</v>
      </c>
      <c r="L203" s="117" t="e">
        <f>Simulações!#REF!</f>
        <v>#REF!</v>
      </c>
      <c r="M203" s="114" t="e">
        <f>IF(Simulações!#REF!="","",Simulações!#REF!)</f>
        <v>#REF!</v>
      </c>
      <c r="N203" s="114" t="e">
        <f>IF(Simulações!#REF!="","",Simulações!#REF!)</f>
        <v>#REF!</v>
      </c>
      <c r="O203" s="114">
        <v>1</v>
      </c>
    </row>
    <row r="204" spans="1:15" ht="15.75" hidden="1" customHeight="1" x14ac:dyDescent="0.3">
      <c r="A204" s="124" t="e">
        <f>Simulações!#REF!</f>
        <v>#REF!</v>
      </c>
      <c r="B204" s="114" t="e">
        <f>Simulações!#REF!</f>
        <v>#REF!</v>
      </c>
      <c r="C204" s="125" t="e">
        <f>Simulações!#REF!</f>
        <v>#REF!</v>
      </c>
      <c r="D204" s="114" t="e">
        <f>Simulações!#REF!</f>
        <v>#REF!</v>
      </c>
      <c r="E204" s="114" t="e">
        <f>Simulações!#REF!</f>
        <v>#REF!</v>
      </c>
      <c r="F204" s="114" t="e">
        <f>Simulações!#REF!</f>
        <v>#REF!</v>
      </c>
      <c r="G204" s="114" t="e">
        <f>Simulações!#REF!</f>
        <v>#REF!</v>
      </c>
      <c r="H204" s="114" t="e">
        <f>Simulações!#REF!</f>
        <v>#REF!</v>
      </c>
      <c r="I204" s="114" t="e">
        <f>IF(Simulações!#REF!="","",Simulações!#REF!)</f>
        <v>#REF!</v>
      </c>
      <c r="J204" s="114" t="e">
        <f>IF(Simulações!#REF!="","",Simulações!#REF!)</f>
        <v>#REF!</v>
      </c>
      <c r="K204" s="117" t="e">
        <f>Simulações!#REF!</f>
        <v>#REF!</v>
      </c>
      <c r="L204" s="117" t="e">
        <f>Simulações!#REF!</f>
        <v>#REF!</v>
      </c>
      <c r="M204" s="114" t="e">
        <f>IF(Simulações!#REF!="","",Simulações!#REF!)</f>
        <v>#REF!</v>
      </c>
      <c r="N204" s="114" t="e">
        <f>IF(Simulações!#REF!="","",Simulações!#REF!)</f>
        <v>#REF!</v>
      </c>
      <c r="O204" s="114">
        <v>1</v>
      </c>
    </row>
    <row r="205" spans="1:15" ht="15.75" hidden="1" customHeight="1" x14ac:dyDescent="0.3">
      <c r="A205" s="124" t="e">
        <f>Simulações!#REF!</f>
        <v>#REF!</v>
      </c>
      <c r="B205" s="114" t="e">
        <f>Simulações!#REF!</f>
        <v>#REF!</v>
      </c>
      <c r="C205" s="125" t="e">
        <f>Simulações!#REF!</f>
        <v>#REF!</v>
      </c>
      <c r="D205" s="114" t="e">
        <f>Simulações!#REF!</f>
        <v>#REF!</v>
      </c>
      <c r="E205" s="114" t="e">
        <f>Simulações!#REF!</f>
        <v>#REF!</v>
      </c>
      <c r="F205" s="114" t="e">
        <f>Simulações!#REF!</f>
        <v>#REF!</v>
      </c>
      <c r="G205" s="114" t="e">
        <f>Simulações!#REF!</f>
        <v>#REF!</v>
      </c>
      <c r="H205" s="114" t="e">
        <f>Simulações!#REF!</f>
        <v>#REF!</v>
      </c>
      <c r="I205" s="114" t="e">
        <f>IF(Simulações!#REF!="","",Simulações!#REF!)</f>
        <v>#REF!</v>
      </c>
      <c r="J205" s="114" t="e">
        <f>IF(Simulações!#REF!="","",Simulações!#REF!)</f>
        <v>#REF!</v>
      </c>
      <c r="K205" s="117" t="e">
        <f>Simulações!#REF!</f>
        <v>#REF!</v>
      </c>
      <c r="L205" s="117" t="e">
        <f>Simulações!#REF!</f>
        <v>#REF!</v>
      </c>
      <c r="M205" s="114" t="e">
        <f>IF(Simulações!#REF!="","",Simulações!#REF!)</f>
        <v>#REF!</v>
      </c>
      <c r="N205" s="114" t="e">
        <f>IF(Simulações!#REF!="","",Simulações!#REF!)</f>
        <v>#REF!</v>
      </c>
      <c r="O205" s="114">
        <v>1</v>
      </c>
    </row>
    <row r="206" spans="1:15" ht="15.75" hidden="1" customHeight="1" x14ac:dyDescent="0.3">
      <c r="A206" s="124" t="e">
        <f>Simulações!#REF!</f>
        <v>#REF!</v>
      </c>
      <c r="B206" s="114" t="e">
        <f>Simulações!#REF!</f>
        <v>#REF!</v>
      </c>
      <c r="C206" s="125" t="e">
        <f>Simulações!#REF!</f>
        <v>#REF!</v>
      </c>
      <c r="D206" s="114" t="e">
        <f>Simulações!#REF!</f>
        <v>#REF!</v>
      </c>
      <c r="E206" s="114" t="e">
        <f>Simulações!#REF!</f>
        <v>#REF!</v>
      </c>
      <c r="F206" s="114" t="e">
        <f>Simulações!#REF!</f>
        <v>#REF!</v>
      </c>
      <c r="G206" s="114" t="e">
        <f>Simulações!#REF!</f>
        <v>#REF!</v>
      </c>
      <c r="H206" s="114" t="e">
        <f>Simulações!#REF!</f>
        <v>#REF!</v>
      </c>
      <c r="I206" s="114" t="e">
        <f>IF(Simulações!#REF!="","",Simulações!#REF!)</f>
        <v>#REF!</v>
      </c>
      <c r="J206" s="114" t="e">
        <f>IF(Simulações!#REF!="","",Simulações!#REF!)</f>
        <v>#REF!</v>
      </c>
      <c r="K206" s="117" t="e">
        <f>Simulações!#REF!</f>
        <v>#REF!</v>
      </c>
      <c r="L206" s="117" t="e">
        <f>Simulações!#REF!</f>
        <v>#REF!</v>
      </c>
      <c r="M206" s="114" t="e">
        <f>IF(Simulações!#REF!="","",Simulações!#REF!)</f>
        <v>#REF!</v>
      </c>
      <c r="N206" s="114" t="e">
        <f>IF(Simulações!#REF!="","",Simulações!#REF!)</f>
        <v>#REF!</v>
      </c>
      <c r="O206" s="114">
        <v>1</v>
      </c>
    </row>
    <row r="207" spans="1:15" ht="15.75" hidden="1" customHeight="1" x14ac:dyDescent="0.3">
      <c r="A207" s="124" t="e">
        <f>Simulações!#REF!</f>
        <v>#REF!</v>
      </c>
      <c r="B207" s="114" t="e">
        <f>Simulações!#REF!</f>
        <v>#REF!</v>
      </c>
      <c r="C207" s="125" t="e">
        <f>Simulações!#REF!</f>
        <v>#REF!</v>
      </c>
      <c r="D207" s="114" t="e">
        <f>Simulações!#REF!</f>
        <v>#REF!</v>
      </c>
      <c r="E207" s="114" t="e">
        <f>Simulações!#REF!</f>
        <v>#REF!</v>
      </c>
      <c r="F207" s="114" t="e">
        <f>Simulações!#REF!</f>
        <v>#REF!</v>
      </c>
      <c r="G207" s="114" t="e">
        <f>Simulações!#REF!</f>
        <v>#REF!</v>
      </c>
      <c r="H207" s="114" t="e">
        <f>Simulações!#REF!</f>
        <v>#REF!</v>
      </c>
      <c r="I207" s="114" t="e">
        <f>IF(Simulações!#REF!="","",Simulações!#REF!)</f>
        <v>#REF!</v>
      </c>
      <c r="J207" s="114" t="e">
        <f>IF(Simulações!#REF!="","",Simulações!#REF!)</f>
        <v>#REF!</v>
      </c>
      <c r="K207" s="117" t="e">
        <f>Simulações!#REF!</f>
        <v>#REF!</v>
      </c>
      <c r="L207" s="117" t="e">
        <f>Simulações!#REF!</f>
        <v>#REF!</v>
      </c>
      <c r="M207" s="114" t="e">
        <f>IF(Simulações!#REF!="","",Simulações!#REF!)</f>
        <v>#REF!</v>
      </c>
      <c r="N207" s="114" t="e">
        <f>IF(Simulações!#REF!="","",Simulações!#REF!)</f>
        <v>#REF!</v>
      </c>
      <c r="O207" s="114">
        <v>1</v>
      </c>
    </row>
    <row r="208" spans="1:15" ht="15.75" hidden="1" customHeight="1" x14ac:dyDescent="0.3">
      <c r="A208" s="124" t="e">
        <f>Simulações!#REF!</f>
        <v>#REF!</v>
      </c>
      <c r="B208" s="114" t="e">
        <f>Simulações!#REF!</f>
        <v>#REF!</v>
      </c>
      <c r="C208" s="125" t="e">
        <f>Simulações!#REF!</f>
        <v>#REF!</v>
      </c>
      <c r="D208" s="114" t="e">
        <f>Simulações!#REF!</f>
        <v>#REF!</v>
      </c>
      <c r="E208" s="114" t="e">
        <f>Simulações!#REF!</f>
        <v>#REF!</v>
      </c>
      <c r="F208" s="114" t="e">
        <f>Simulações!#REF!</f>
        <v>#REF!</v>
      </c>
      <c r="G208" s="114" t="e">
        <f>Simulações!#REF!</f>
        <v>#REF!</v>
      </c>
      <c r="H208" s="114" t="e">
        <f>Simulações!#REF!</f>
        <v>#REF!</v>
      </c>
      <c r="I208" s="114" t="e">
        <f>IF(Simulações!#REF!="","",Simulações!#REF!)</f>
        <v>#REF!</v>
      </c>
      <c r="J208" s="114" t="e">
        <f>IF(Simulações!#REF!="","",Simulações!#REF!)</f>
        <v>#REF!</v>
      </c>
      <c r="K208" s="117" t="e">
        <f>Simulações!#REF!</f>
        <v>#REF!</v>
      </c>
      <c r="L208" s="117" t="e">
        <f>Simulações!#REF!</f>
        <v>#REF!</v>
      </c>
      <c r="M208" s="114" t="e">
        <f>IF(Simulações!#REF!="","",Simulações!#REF!)</f>
        <v>#REF!</v>
      </c>
      <c r="N208" s="114" t="e">
        <f>IF(Simulações!#REF!="","",Simulações!#REF!)</f>
        <v>#REF!</v>
      </c>
      <c r="O208" s="114">
        <v>1</v>
      </c>
    </row>
    <row r="209" spans="1:15" ht="15.75" hidden="1" customHeight="1" x14ac:dyDescent="0.3">
      <c r="A209" s="124" t="e">
        <f>Simulações!#REF!</f>
        <v>#REF!</v>
      </c>
      <c r="B209" s="114" t="e">
        <f>Simulações!#REF!</f>
        <v>#REF!</v>
      </c>
      <c r="C209" s="125" t="e">
        <f>Simulações!#REF!</f>
        <v>#REF!</v>
      </c>
      <c r="D209" s="114" t="e">
        <f>Simulações!#REF!</f>
        <v>#REF!</v>
      </c>
      <c r="E209" s="114" t="e">
        <f>Simulações!#REF!</f>
        <v>#REF!</v>
      </c>
      <c r="F209" s="114" t="e">
        <f>Simulações!#REF!</f>
        <v>#REF!</v>
      </c>
      <c r="G209" s="114" t="e">
        <f>Simulações!#REF!</f>
        <v>#REF!</v>
      </c>
      <c r="H209" s="114" t="e">
        <f>Simulações!#REF!</f>
        <v>#REF!</v>
      </c>
      <c r="I209" s="114" t="e">
        <f>IF(Simulações!#REF!="","",Simulações!#REF!)</f>
        <v>#REF!</v>
      </c>
      <c r="J209" s="114" t="e">
        <f>IF(Simulações!#REF!="","",Simulações!#REF!)</f>
        <v>#REF!</v>
      </c>
      <c r="K209" s="117" t="e">
        <f>Simulações!#REF!</f>
        <v>#REF!</v>
      </c>
      <c r="L209" s="117" t="e">
        <f>Simulações!#REF!</f>
        <v>#REF!</v>
      </c>
      <c r="M209" s="114" t="e">
        <f>IF(Simulações!#REF!="","",Simulações!#REF!)</f>
        <v>#REF!</v>
      </c>
      <c r="N209" s="114" t="e">
        <f>IF(Simulações!#REF!="","",Simulações!#REF!)</f>
        <v>#REF!</v>
      </c>
      <c r="O209" s="114">
        <v>1</v>
      </c>
    </row>
    <row r="210" spans="1:15" ht="15.75" hidden="1" customHeight="1" x14ac:dyDescent="0.3">
      <c r="A210" s="124" t="e">
        <f>Simulações!#REF!</f>
        <v>#REF!</v>
      </c>
      <c r="B210" s="114" t="e">
        <f>Simulações!#REF!</f>
        <v>#REF!</v>
      </c>
      <c r="C210" s="125" t="e">
        <f>Simulações!#REF!</f>
        <v>#REF!</v>
      </c>
      <c r="D210" s="114" t="e">
        <f>Simulações!#REF!</f>
        <v>#REF!</v>
      </c>
      <c r="E210" s="114" t="e">
        <f>Simulações!#REF!</f>
        <v>#REF!</v>
      </c>
      <c r="F210" s="114" t="e">
        <f>Simulações!#REF!</f>
        <v>#REF!</v>
      </c>
      <c r="G210" s="114" t="e">
        <f>Simulações!#REF!</f>
        <v>#REF!</v>
      </c>
      <c r="H210" s="114" t="e">
        <f>Simulações!#REF!</f>
        <v>#REF!</v>
      </c>
      <c r="I210" s="114" t="e">
        <f>IF(Simulações!#REF!="","",Simulações!#REF!)</f>
        <v>#REF!</v>
      </c>
      <c r="J210" s="114" t="e">
        <f>IF(Simulações!#REF!="","",Simulações!#REF!)</f>
        <v>#REF!</v>
      </c>
      <c r="K210" s="117" t="e">
        <f>Simulações!#REF!</f>
        <v>#REF!</v>
      </c>
      <c r="L210" s="117" t="e">
        <f>Simulações!#REF!</f>
        <v>#REF!</v>
      </c>
      <c r="M210" s="114" t="e">
        <f>IF(Simulações!#REF!="","",Simulações!#REF!)</f>
        <v>#REF!</v>
      </c>
      <c r="N210" s="114" t="e">
        <f>IF(Simulações!#REF!="","",Simulações!#REF!)</f>
        <v>#REF!</v>
      </c>
      <c r="O210" s="114">
        <v>1</v>
      </c>
    </row>
    <row r="211" spans="1:15" ht="15.75" hidden="1" customHeight="1" x14ac:dyDescent="0.3">
      <c r="A211" s="124" t="e">
        <f>Simulações!#REF!</f>
        <v>#REF!</v>
      </c>
      <c r="B211" s="114" t="e">
        <f>Simulações!#REF!</f>
        <v>#REF!</v>
      </c>
      <c r="C211" s="125" t="e">
        <f>Simulações!#REF!</f>
        <v>#REF!</v>
      </c>
      <c r="D211" s="114" t="e">
        <f>Simulações!#REF!</f>
        <v>#REF!</v>
      </c>
      <c r="E211" s="114" t="e">
        <f>Simulações!#REF!</f>
        <v>#REF!</v>
      </c>
      <c r="F211" s="114" t="e">
        <f>Simulações!#REF!</f>
        <v>#REF!</v>
      </c>
      <c r="G211" s="114" t="e">
        <f>Simulações!#REF!</f>
        <v>#REF!</v>
      </c>
      <c r="H211" s="114" t="e">
        <f>Simulações!#REF!</f>
        <v>#REF!</v>
      </c>
      <c r="I211" s="114" t="e">
        <f>IF(Simulações!#REF!="","",Simulações!#REF!)</f>
        <v>#REF!</v>
      </c>
      <c r="J211" s="114" t="e">
        <f>IF(Simulações!#REF!="","",Simulações!#REF!)</f>
        <v>#REF!</v>
      </c>
      <c r="K211" s="117" t="e">
        <f>Simulações!#REF!</f>
        <v>#REF!</v>
      </c>
      <c r="L211" s="117" t="e">
        <f>Simulações!#REF!</f>
        <v>#REF!</v>
      </c>
      <c r="M211" s="114" t="e">
        <f>IF(Simulações!#REF!="","",Simulações!#REF!)</f>
        <v>#REF!</v>
      </c>
      <c r="N211" s="114" t="e">
        <f>IF(Simulações!#REF!="","",Simulações!#REF!)</f>
        <v>#REF!</v>
      </c>
      <c r="O211" s="114">
        <v>1</v>
      </c>
    </row>
    <row r="212" spans="1:15" ht="15.75" hidden="1" customHeight="1" x14ac:dyDescent="0.3">
      <c r="A212" s="124" t="e">
        <f>Simulações!#REF!</f>
        <v>#REF!</v>
      </c>
      <c r="B212" s="114" t="e">
        <f>Simulações!#REF!</f>
        <v>#REF!</v>
      </c>
      <c r="C212" s="125" t="e">
        <f>Simulações!#REF!</f>
        <v>#REF!</v>
      </c>
      <c r="D212" s="114" t="e">
        <f>Simulações!#REF!</f>
        <v>#REF!</v>
      </c>
      <c r="E212" s="114" t="e">
        <f>Simulações!#REF!</f>
        <v>#REF!</v>
      </c>
      <c r="F212" s="114" t="e">
        <f>Simulações!#REF!</f>
        <v>#REF!</v>
      </c>
      <c r="G212" s="114" t="e">
        <f>Simulações!#REF!</f>
        <v>#REF!</v>
      </c>
      <c r="H212" s="114" t="e">
        <f>Simulações!#REF!</f>
        <v>#REF!</v>
      </c>
      <c r="I212" s="114" t="e">
        <f>IF(Simulações!#REF!="","",Simulações!#REF!)</f>
        <v>#REF!</v>
      </c>
      <c r="J212" s="114" t="e">
        <f>IF(Simulações!#REF!="","",Simulações!#REF!)</f>
        <v>#REF!</v>
      </c>
      <c r="K212" s="117" t="e">
        <f>Simulações!#REF!</f>
        <v>#REF!</v>
      </c>
      <c r="L212" s="117" t="e">
        <f>Simulações!#REF!</f>
        <v>#REF!</v>
      </c>
      <c r="M212" s="114" t="e">
        <f>IF(Simulações!#REF!="","",Simulações!#REF!)</f>
        <v>#REF!</v>
      </c>
      <c r="N212" s="114" t="e">
        <f>IF(Simulações!#REF!="","",Simulações!#REF!)</f>
        <v>#REF!</v>
      </c>
      <c r="O212" s="114">
        <v>1</v>
      </c>
    </row>
    <row r="213" spans="1:15" ht="15.75" hidden="1" customHeight="1" x14ac:dyDescent="0.3">
      <c r="A213" s="124" t="e">
        <f>Simulações!#REF!</f>
        <v>#REF!</v>
      </c>
      <c r="B213" s="114" t="e">
        <f>Simulações!#REF!</f>
        <v>#REF!</v>
      </c>
      <c r="C213" s="125" t="e">
        <f>Simulações!#REF!</f>
        <v>#REF!</v>
      </c>
      <c r="D213" s="114" t="e">
        <f>Simulações!#REF!</f>
        <v>#REF!</v>
      </c>
      <c r="E213" s="114" t="e">
        <f>Simulações!#REF!</f>
        <v>#REF!</v>
      </c>
      <c r="F213" s="114" t="e">
        <f>Simulações!#REF!</f>
        <v>#REF!</v>
      </c>
      <c r="G213" s="114" t="e">
        <f>Simulações!#REF!</f>
        <v>#REF!</v>
      </c>
      <c r="H213" s="114" t="e">
        <f>Simulações!#REF!</f>
        <v>#REF!</v>
      </c>
      <c r="I213" s="114" t="e">
        <f>IF(Simulações!#REF!="","",Simulações!#REF!)</f>
        <v>#REF!</v>
      </c>
      <c r="J213" s="114" t="e">
        <f>IF(Simulações!#REF!="","",Simulações!#REF!)</f>
        <v>#REF!</v>
      </c>
      <c r="K213" s="117" t="e">
        <f>Simulações!#REF!</f>
        <v>#REF!</v>
      </c>
      <c r="L213" s="117" t="e">
        <f>Simulações!#REF!</f>
        <v>#REF!</v>
      </c>
      <c r="M213" s="114" t="e">
        <f>IF(Simulações!#REF!="","",Simulações!#REF!)</f>
        <v>#REF!</v>
      </c>
      <c r="N213" s="114" t="e">
        <f>IF(Simulações!#REF!="","",Simulações!#REF!)</f>
        <v>#REF!</v>
      </c>
      <c r="O213" s="114">
        <v>1</v>
      </c>
    </row>
    <row r="214" spans="1:15" ht="15.75" hidden="1" customHeight="1" x14ac:dyDescent="0.3">
      <c r="A214" s="124" t="e">
        <f>Simulações!#REF!</f>
        <v>#REF!</v>
      </c>
      <c r="B214" s="114" t="e">
        <f>Simulações!#REF!</f>
        <v>#REF!</v>
      </c>
      <c r="C214" s="125" t="e">
        <f>Simulações!#REF!</f>
        <v>#REF!</v>
      </c>
      <c r="D214" s="114" t="e">
        <f>Simulações!#REF!</f>
        <v>#REF!</v>
      </c>
      <c r="E214" s="114" t="e">
        <f>Simulações!#REF!</f>
        <v>#REF!</v>
      </c>
      <c r="F214" s="114" t="e">
        <f>Simulações!#REF!</f>
        <v>#REF!</v>
      </c>
      <c r="G214" s="114" t="e">
        <f>Simulações!#REF!</f>
        <v>#REF!</v>
      </c>
      <c r="H214" s="114" t="e">
        <f>Simulações!#REF!</f>
        <v>#REF!</v>
      </c>
      <c r="I214" s="114" t="e">
        <f>IF(Simulações!#REF!="","",Simulações!#REF!)</f>
        <v>#REF!</v>
      </c>
      <c r="J214" s="114" t="e">
        <f>IF(Simulações!#REF!="","",Simulações!#REF!)</f>
        <v>#REF!</v>
      </c>
      <c r="K214" s="117" t="e">
        <f>Simulações!#REF!</f>
        <v>#REF!</v>
      </c>
      <c r="L214" s="117" t="e">
        <f>Simulações!#REF!</f>
        <v>#REF!</v>
      </c>
      <c r="M214" s="114" t="e">
        <f>IF(Simulações!#REF!="","",Simulações!#REF!)</f>
        <v>#REF!</v>
      </c>
      <c r="N214" s="114" t="e">
        <f>IF(Simulações!#REF!="","",Simulações!#REF!)</f>
        <v>#REF!</v>
      </c>
      <c r="O214" s="114">
        <v>1</v>
      </c>
    </row>
    <row r="215" spans="1:15" ht="15.75" hidden="1" customHeight="1" x14ac:dyDescent="0.3">
      <c r="A215" s="124" t="e">
        <f>Simulações!#REF!</f>
        <v>#REF!</v>
      </c>
      <c r="B215" s="114" t="e">
        <f>Simulações!#REF!</f>
        <v>#REF!</v>
      </c>
      <c r="C215" s="125" t="e">
        <f>Simulações!#REF!</f>
        <v>#REF!</v>
      </c>
      <c r="D215" s="114" t="e">
        <f>Simulações!#REF!</f>
        <v>#REF!</v>
      </c>
      <c r="E215" s="114" t="e">
        <f>Simulações!#REF!</f>
        <v>#REF!</v>
      </c>
      <c r="F215" s="114" t="e">
        <f>Simulações!#REF!</f>
        <v>#REF!</v>
      </c>
      <c r="G215" s="114" t="e">
        <f>Simulações!#REF!</f>
        <v>#REF!</v>
      </c>
      <c r="H215" s="114" t="e">
        <f>Simulações!#REF!</f>
        <v>#REF!</v>
      </c>
      <c r="I215" s="114" t="e">
        <f>IF(Simulações!#REF!="","",Simulações!#REF!)</f>
        <v>#REF!</v>
      </c>
      <c r="J215" s="114" t="e">
        <f>IF(Simulações!#REF!="","",Simulações!#REF!)</f>
        <v>#REF!</v>
      </c>
      <c r="K215" s="117" t="e">
        <f>Simulações!#REF!</f>
        <v>#REF!</v>
      </c>
      <c r="L215" s="117" t="e">
        <f>Simulações!#REF!</f>
        <v>#REF!</v>
      </c>
      <c r="M215" s="114" t="e">
        <f>IF(Simulações!#REF!="","",Simulações!#REF!)</f>
        <v>#REF!</v>
      </c>
      <c r="N215" s="114" t="e">
        <f>IF(Simulações!#REF!="","",Simulações!#REF!)</f>
        <v>#REF!</v>
      </c>
      <c r="O215" s="114">
        <v>1</v>
      </c>
    </row>
    <row r="216" spans="1:15" ht="15.75" hidden="1" customHeight="1" x14ac:dyDescent="0.3">
      <c r="A216" s="124" t="e">
        <f>Simulações!#REF!</f>
        <v>#REF!</v>
      </c>
      <c r="B216" s="114" t="e">
        <f>Simulações!#REF!</f>
        <v>#REF!</v>
      </c>
      <c r="C216" s="125" t="e">
        <f>Simulações!#REF!</f>
        <v>#REF!</v>
      </c>
      <c r="D216" s="114" t="e">
        <f>Simulações!#REF!</f>
        <v>#REF!</v>
      </c>
      <c r="E216" s="114" t="e">
        <f>Simulações!#REF!</f>
        <v>#REF!</v>
      </c>
      <c r="F216" s="114" t="e">
        <f>Simulações!#REF!</f>
        <v>#REF!</v>
      </c>
      <c r="G216" s="114" t="e">
        <f>Simulações!#REF!</f>
        <v>#REF!</v>
      </c>
      <c r="H216" s="114" t="e">
        <f>Simulações!#REF!</f>
        <v>#REF!</v>
      </c>
      <c r="I216" s="114" t="e">
        <f>IF(Simulações!#REF!="","",Simulações!#REF!)</f>
        <v>#REF!</v>
      </c>
      <c r="J216" s="114" t="e">
        <f>IF(Simulações!#REF!="","",Simulações!#REF!)</f>
        <v>#REF!</v>
      </c>
      <c r="K216" s="117" t="e">
        <f>Simulações!#REF!</f>
        <v>#REF!</v>
      </c>
      <c r="L216" s="117" t="e">
        <f>Simulações!#REF!</f>
        <v>#REF!</v>
      </c>
      <c r="M216" s="114" t="e">
        <f>IF(Simulações!#REF!="","",Simulações!#REF!)</f>
        <v>#REF!</v>
      </c>
      <c r="N216" s="114" t="e">
        <f>IF(Simulações!#REF!="","",Simulações!#REF!)</f>
        <v>#REF!</v>
      </c>
      <c r="O216" s="114">
        <v>1</v>
      </c>
    </row>
    <row r="217" spans="1:15" ht="15.75" hidden="1" customHeight="1" x14ac:dyDescent="0.3">
      <c r="A217" s="124" t="e">
        <f>Simulações!#REF!</f>
        <v>#REF!</v>
      </c>
      <c r="B217" s="114" t="e">
        <f>Simulações!#REF!</f>
        <v>#REF!</v>
      </c>
      <c r="C217" s="125" t="e">
        <f>Simulações!#REF!</f>
        <v>#REF!</v>
      </c>
      <c r="D217" s="114" t="e">
        <f>Simulações!#REF!</f>
        <v>#REF!</v>
      </c>
      <c r="E217" s="114" t="e">
        <f>Simulações!#REF!</f>
        <v>#REF!</v>
      </c>
      <c r="F217" s="114" t="e">
        <f>Simulações!#REF!</f>
        <v>#REF!</v>
      </c>
      <c r="G217" s="114" t="e">
        <f>Simulações!#REF!</f>
        <v>#REF!</v>
      </c>
      <c r="H217" s="114" t="e">
        <f>Simulações!#REF!</f>
        <v>#REF!</v>
      </c>
      <c r="I217" s="114" t="e">
        <f>IF(Simulações!#REF!="","",Simulações!#REF!)</f>
        <v>#REF!</v>
      </c>
      <c r="J217" s="114" t="e">
        <f>IF(Simulações!#REF!="","",Simulações!#REF!)</f>
        <v>#REF!</v>
      </c>
      <c r="K217" s="117" t="e">
        <f>Simulações!#REF!</f>
        <v>#REF!</v>
      </c>
      <c r="L217" s="117" t="e">
        <f>Simulações!#REF!</f>
        <v>#REF!</v>
      </c>
      <c r="M217" s="114" t="e">
        <f>IF(Simulações!#REF!="","",Simulações!#REF!)</f>
        <v>#REF!</v>
      </c>
      <c r="N217" s="114" t="e">
        <f>IF(Simulações!#REF!="","",Simulações!#REF!)</f>
        <v>#REF!</v>
      </c>
      <c r="O217" s="114">
        <v>1</v>
      </c>
    </row>
    <row r="218" spans="1:15" ht="15.75" hidden="1" customHeight="1" x14ac:dyDescent="0.3">
      <c r="A218" s="124" t="e">
        <f>Simulações!#REF!</f>
        <v>#REF!</v>
      </c>
      <c r="B218" s="114" t="e">
        <f>Simulações!#REF!</f>
        <v>#REF!</v>
      </c>
      <c r="C218" s="125" t="e">
        <f>Simulações!#REF!</f>
        <v>#REF!</v>
      </c>
      <c r="D218" s="114" t="e">
        <f>Simulações!#REF!</f>
        <v>#REF!</v>
      </c>
      <c r="E218" s="114" t="e">
        <f>Simulações!#REF!</f>
        <v>#REF!</v>
      </c>
      <c r="F218" s="114" t="e">
        <f>Simulações!#REF!</f>
        <v>#REF!</v>
      </c>
      <c r="G218" s="114" t="e">
        <f>Simulações!#REF!</f>
        <v>#REF!</v>
      </c>
      <c r="H218" s="114" t="e">
        <f>Simulações!#REF!</f>
        <v>#REF!</v>
      </c>
      <c r="I218" s="114" t="e">
        <f>IF(Simulações!#REF!="","",Simulações!#REF!)</f>
        <v>#REF!</v>
      </c>
      <c r="J218" s="114" t="e">
        <f>IF(Simulações!#REF!="","",Simulações!#REF!)</f>
        <v>#REF!</v>
      </c>
      <c r="K218" s="117" t="e">
        <f>Simulações!#REF!</f>
        <v>#REF!</v>
      </c>
      <c r="L218" s="117" t="e">
        <f>Simulações!#REF!</f>
        <v>#REF!</v>
      </c>
      <c r="M218" s="114" t="e">
        <f>IF(Simulações!#REF!="","",Simulações!#REF!)</f>
        <v>#REF!</v>
      </c>
      <c r="N218" s="114" t="e">
        <f>IF(Simulações!#REF!="","",Simulações!#REF!)</f>
        <v>#REF!</v>
      </c>
      <c r="O218" s="114">
        <v>1</v>
      </c>
    </row>
    <row r="219" spans="1:15" ht="15.75" hidden="1" customHeight="1" x14ac:dyDescent="0.3">
      <c r="A219" s="124" t="e">
        <f>Simulações!#REF!</f>
        <v>#REF!</v>
      </c>
      <c r="B219" s="114" t="e">
        <f>Simulações!#REF!</f>
        <v>#REF!</v>
      </c>
      <c r="C219" s="125" t="e">
        <f>Simulações!#REF!</f>
        <v>#REF!</v>
      </c>
      <c r="D219" s="114" t="e">
        <f>Simulações!#REF!</f>
        <v>#REF!</v>
      </c>
      <c r="E219" s="114" t="e">
        <f>Simulações!#REF!</f>
        <v>#REF!</v>
      </c>
      <c r="F219" s="114" t="e">
        <f>Simulações!#REF!</f>
        <v>#REF!</v>
      </c>
      <c r="G219" s="114" t="e">
        <f>Simulações!#REF!</f>
        <v>#REF!</v>
      </c>
      <c r="H219" s="114" t="e">
        <f>Simulações!#REF!</f>
        <v>#REF!</v>
      </c>
      <c r="I219" s="114" t="e">
        <f>IF(Simulações!#REF!="","",Simulações!#REF!)</f>
        <v>#REF!</v>
      </c>
      <c r="J219" s="114" t="e">
        <f>IF(Simulações!#REF!="","",Simulações!#REF!)</f>
        <v>#REF!</v>
      </c>
      <c r="K219" s="117" t="e">
        <f>Simulações!#REF!</f>
        <v>#REF!</v>
      </c>
      <c r="L219" s="117" t="e">
        <f>Simulações!#REF!</f>
        <v>#REF!</v>
      </c>
      <c r="M219" s="114" t="e">
        <f>IF(Simulações!#REF!="","",Simulações!#REF!)</f>
        <v>#REF!</v>
      </c>
      <c r="N219" s="114" t="e">
        <f>IF(Simulações!#REF!="","",Simulações!#REF!)</f>
        <v>#REF!</v>
      </c>
      <c r="O219" s="114">
        <v>1</v>
      </c>
    </row>
    <row r="220" spans="1:15" ht="15.75" hidden="1" customHeight="1" x14ac:dyDescent="0.3">
      <c r="A220" s="124" t="e">
        <f>Simulações!#REF!</f>
        <v>#REF!</v>
      </c>
      <c r="B220" s="114" t="e">
        <f>Simulações!#REF!</f>
        <v>#REF!</v>
      </c>
      <c r="C220" s="125" t="e">
        <f>Simulações!#REF!</f>
        <v>#REF!</v>
      </c>
      <c r="D220" s="114" t="e">
        <f>Simulações!#REF!</f>
        <v>#REF!</v>
      </c>
      <c r="E220" s="114" t="e">
        <f>Simulações!#REF!</f>
        <v>#REF!</v>
      </c>
      <c r="F220" s="114" t="e">
        <f>Simulações!#REF!</f>
        <v>#REF!</v>
      </c>
      <c r="G220" s="114" t="e">
        <f>Simulações!#REF!</f>
        <v>#REF!</v>
      </c>
      <c r="H220" s="114" t="e">
        <f>Simulações!#REF!</f>
        <v>#REF!</v>
      </c>
      <c r="I220" s="114" t="e">
        <f>IF(Simulações!#REF!="","",Simulações!#REF!)</f>
        <v>#REF!</v>
      </c>
      <c r="J220" s="114" t="e">
        <f>IF(Simulações!#REF!="","",Simulações!#REF!)</f>
        <v>#REF!</v>
      </c>
      <c r="K220" s="117" t="e">
        <f>Simulações!#REF!</f>
        <v>#REF!</v>
      </c>
      <c r="L220" s="117" t="e">
        <f>Simulações!#REF!</f>
        <v>#REF!</v>
      </c>
      <c r="M220" s="114" t="e">
        <f>IF(Simulações!#REF!="","",Simulações!#REF!)</f>
        <v>#REF!</v>
      </c>
      <c r="N220" s="114" t="e">
        <f>IF(Simulações!#REF!="","",Simulações!#REF!)</f>
        <v>#REF!</v>
      </c>
      <c r="O220" s="114">
        <v>1</v>
      </c>
    </row>
    <row r="221" spans="1:15" ht="15.75" hidden="1" customHeight="1" x14ac:dyDescent="0.3">
      <c r="A221" s="124" t="e">
        <f>Simulações!#REF!</f>
        <v>#REF!</v>
      </c>
      <c r="B221" s="114" t="e">
        <f>Simulações!#REF!</f>
        <v>#REF!</v>
      </c>
      <c r="C221" s="125" t="e">
        <f>Simulações!#REF!</f>
        <v>#REF!</v>
      </c>
      <c r="D221" s="114" t="e">
        <f>Simulações!#REF!</f>
        <v>#REF!</v>
      </c>
      <c r="E221" s="114" t="e">
        <f>Simulações!#REF!</f>
        <v>#REF!</v>
      </c>
      <c r="F221" s="114" t="e">
        <f>Simulações!#REF!</f>
        <v>#REF!</v>
      </c>
      <c r="G221" s="114" t="e">
        <f>Simulações!#REF!</f>
        <v>#REF!</v>
      </c>
      <c r="H221" s="114" t="e">
        <f>Simulações!#REF!</f>
        <v>#REF!</v>
      </c>
      <c r="I221" s="114" t="e">
        <f>IF(Simulações!#REF!="","",Simulações!#REF!)</f>
        <v>#REF!</v>
      </c>
      <c r="J221" s="114" t="e">
        <f>IF(Simulações!#REF!="","",Simulações!#REF!)</f>
        <v>#REF!</v>
      </c>
      <c r="K221" s="117" t="e">
        <f>Simulações!#REF!</f>
        <v>#REF!</v>
      </c>
      <c r="L221" s="117" t="e">
        <f>Simulações!#REF!</f>
        <v>#REF!</v>
      </c>
      <c r="M221" s="114" t="e">
        <f>IF(Simulações!#REF!="","",Simulações!#REF!)</f>
        <v>#REF!</v>
      </c>
      <c r="N221" s="114" t="e">
        <f>IF(Simulações!#REF!="","",Simulações!#REF!)</f>
        <v>#REF!</v>
      </c>
      <c r="O221" s="114">
        <v>1</v>
      </c>
    </row>
    <row r="222" spans="1:15" ht="15.75" hidden="1" customHeight="1" x14ac:dyDescent="0.3">
      <c r="A222" s="124" t="e">
        <f>Simulações!#REF!</f>
        <v>#REF!</v>
      </c>
      <c r="B222" s="114" t="e">
        <f>Simulações!#REF!</f>
        <v>#REF!</v>
      </c>
      <c r="C222" s="125" t="e">
        <f>Simulações!#REF!</f>
        <v>#REF!</v>
      </c>
      <c r="D222" s="114" t="e">
        <f>Simulações!#REF!</f>
        <v>#REF!</v>
      </c>
      <c r="E222" s="114" t="e">
        <f>Simulações!#REF!</f>
        <v>#REF!</v>
      </c>
      <c r="F222" s="114" t="e">
        <f>Simulações!#REF!</f>
        <v>#REF!</v>
      </c>
      <c r="G222" s="114" t="e">
        <f>Simulações!#REF!</f>
        <v>#REF!</v>
      </c>
      <c r="H222" s="114" t="e">
        <f>Simulações!#REF!</f>
        <v>#REF!</v>
      </c>
      <c r="I222" s="114" t="e">
        <f>IF(Simulações!#REF!="","",Simulações!#REF!)</f>
        <v>#REF!</v>
      </c>
      <c r="J222" s="114" t="e">
        <f>IF(Simulações!#REF!="","",Simulações!#REF!)</f>
        <v>#REF!</v>
      </c>
      <c r="K222" s="117" t="e">
        <f>Simulações!#REF!</f>
        <v>#REF!</v>
      </c>
      <c r="L222" s="117" t="e">
        <f>Simulações!#REF!</f>
        <v>#REF!</v>
      </c>
      <c r="M222" s="114" t="e">
        <f>IF(Simulações!#REF!="","",Simulações!#REF!)</f>
        <v>#REF!</v>
      </c>
      <c r="N222" s="114" t="e">
        <f>IF(Simulações!#REF!="","",Simulações!#REF!)</f>
        <v>#REF!</v>
      </c>
      <c r="O222" s="114">
        <v>1</v>
      </c>
    </row>
    <row r="223" spans="1:15" ht="15.75" hidden="1" customHeight="1" x14ac:dyDescent="0.3">
      <c r="A223" s="124" t="e">
        <f>Simulações!#REF!</f>
        <v>#REF!</v>
      </c>
      <c r="B223" s="114" t="e">
        <f>Simulações!#REF!</f>
        <v>#REF!</v>
      </c>
      <c r="C223" s="125" t="e">
        <f>Simulações!#REF!</f>
        <v>#REF!</v>
      </c>
      <c r="D223" s="114" t="e">
        <f>Simulações!#REF!</f>
        <v>#REF!</v>
      </c>
      <c r="E223" s="114" t="e">
        <f>Simulações!#REF!</f>
        <v>#REF!</v>
      </c>
      <c r="F223" s="114" t="e">
        <f>Simulações!#REF!</f>
        <v>#REF!</v>
      </c>
      <c r="G223" s="114" t="e">
        <f>Simulações!#REF!</f>
        <v>#REF!</v>
      </c>
      <c r="H223" s="114" t="e">
        <f>Simulações!#REF!</f>
        <v>#REF!</v>
      </c>
      <c r="I223" s="114" t="e">
        <f>IF(Simulações!#REF!="","",Simulações!#REF!)</f>
        <v>#REF!</v>
      </c>
      <c r="J223" s="114" t="e">
        <f>IF(Simulações!#REF!="","",Simulações!#REF!)</f>
        <v>#REF!</v>
      </c>
      <c r="K223" s="117" t="e">
        <f>Simulações!#REF!</f>
        <v>#REF!</v>
      </c>
      <c r="L223" s="117" t="e">
        <f>Simulações!#REF!</f>
        <v>#REF!</v>
      </c>
      <c r="M223" s="114" t="e">
        <f>IF(Simulações!#REF!="","",Simulações!#REF!)</f>
        <v>#REF!</v>
      </c>
      <c r="N223" s="114" t="e">
        <f>IF(Simulações!#REF!="","",Simulações!#REF!)</f>
        <v>#REF!</v>
      </c>
      <c r="O223" s="114">
        <v>1</v>
      </c>
    </row>
    <row r="224" spans="1:15" ht="15.75" hidden="1" customHeight="1" x14ac:dyDescent="0.3">
      <c r="A224" s="124" t="e">
        <f>Simulações!#REF!</f>
        <v>#REF!</v>
      </c>
      <c r="B224" s="114" t="e">
        <f>Simulações!#REF!</f>
        <v>#REF!</v>
      </c>
      <c r="C224" s="125" t="e">
        <f>Simulações!#REF!</f>
        <v>#REF!</v>
      </c>
      <c r="D224" s="114" t="e">
        <f>Simulações!#REF!</f>
        <v>#REF!</v>
      </c>
      <c r="E224" s="114" t="e">
        <f>Simulações!#REF!</f>
        <v>#REF!</v>
      </c>
      <c r="F224" s="114" t="e">
        <f>Simulações!#REF!</f>
        <v>#REF!</v>
      </c>
      <c r="G224" s="114" t="e">
        <f>Simulações!#REF!</f>
        <v>#REF!</v>
      </c>
      <c r="H224" s="114" t="e">
        <f>Simulações!#REF!</f>
        <v>#REF!</v>
      </c>
      <c r="I224" s="114" t="e">
        <f>IF(Simulações!#REF!="","",Simulações!#REF!)</f>
        <v>#REF!</v>
      </c>
      <c r="J224" s="114" t="e">
        <f>IF(Simulações!#REF!="","",Simulações!#REF!)</f>
        <v>#REF!</v>
      </c>
      <c r="K224" s="117" t="e">
        <f>Simulações!#REF!</f>
        <v>#REF!</v>
      </c>
      <c r="L224" s="117" t="e">
        <f>Simulações!#REF!</f>
        <v>#REF!</v>
      </c>
      <c r="M224" s="114" t="e">
        <f>IF(Simulações!#REF!="","",Simulações!#REF!)</f>
        <v>#REF!</v>
      </c>
      <c r="N224" s="114" t="e">
        <f>IF(Simulações!#REF!="","",Simulações!#REF!)</f>
        <v>#REF!</v>
      </c>
      <c r="O224" s="114">
        <v>1</v>
      </c>
    </row>
    <row r="225" spans="1:15" ht="15.75" hidden="1" customHeight="1" x14ac:dyDescent="0.3">
      <c r="A225" s="124" t="e">
        <f>Simulações!#REF!</f>
        <v>#REF!</v>
      </c>
      <c r="B225" s="114" t="e">
        <f>Simulações!#REF!</f>
        <v>#REF!</v>
      </c>
      <c r="C225" s="125" t="e">
        <f>Simulações!#REF!</f>
        <v>#REF!</v>
      </c>
      <c r="D225" s="114" t="e">
        <f>Simulações!#REF!</f>
        <v>#REF!</v>
      </c>
      <c r="E225" s="114" t="e">
        <f>Simulações!#REF!</f>
        <v>#REF!</v>
      </c>
      <c r="F225" s="114" t="e">
        <f>Simulações!#REF!</f>
        <v>#REF!</v>
      </c>
      <c r="G225" s="114" t="e">
        <f>Simulações!#REF!</f>
        <v>#REF!</v>
      </c>
      <c r="H225" s="114" t="e">
        <f>Simulações!#REF!</f>
        <v>#REF!</v>
      </c>
      <c r="I225" s="114" t="e">
        <f>IF(Simulações!#REF!="","",Simulações!#REF!)</f>
        <v>#REF!</v>
      </c>
      <c r="J225" s="114" t="e">
        <f>IF(Simulações!#REF!="","",Simulações!#REF!)</f>
        <v>#REF!</v>
      </c>
      <c r="K225" s="117" t="e">
        <f>Simulações!#REF!</f>
        <v>#REF!</v>
      </c>
      <c r="L225" s="117" t="e">
        <f>Simulações!#REF!</f>
        <v>#REF!</v>
      </c>
      <c r="M225" s="114" t="e">
        <f>IF(Simulações!#REF!="","",Simulações!#REF!)</f>
        <v>#REF!</v>
      </c>
      <c r="N225" s="114" t="e">
        <f>IF(Simulações!#REF!="","",Simulações!#REF!)</f>
        <v>#REF!</v>
      </c>
      <c r="O225" s="114">
        <v>1</v>
      </c>
    </row>
    <row r="226" spans="1:15" ht="15.75" hidden="1" customHeight="1" x14ac:dyDescent="0.3">
      <c r="A226" s="124" t="e">
        <f>Simulações!#REF!</f>
        <v>#REF!</v>
      </c>
      <c r="B226" s="114" t="e">
        <f>Simulações!#REF!</f>
        <v>#REF!</v>
      </c>
      <c r="C226" s="125" t="e">
        <f>Simulações!#REF!</f>
        <v>#REF!</v>
      </c>
      <c r="D226" s="114" t="e">
        <f>Simulações!#REF!</f>
        <v>#REF!</v>
      </c>
      <c r="E226" s="114" t="e">
        <f>Simulações!#REF!</f>
        <v>#REF!</v>
      </c>
      <c r="F226" s="114" t="e">
        <f>Simulações!#REF!</f>
        <v>#REF!</v>
      </c>
      <c r="G226" s="114" t="e">
        <f>Simulações!#REF!</f>
        <v>#REF!</v>
      </c>
      <c r="H226" s="114" t="e">
        <f>Simulações!#REF!</f>
        <v>#REF!</v>
      </c>
      <c r="I226" s="114" t="e">
        <f>IF(Simulações!#REF!="","",Simulações!#REF!)</f>
        <v>#REF!</v>
      </c>
      <c r="J226" s="114" t="e">
        <f>IF(Simulações!#REF!="","",Simulações!#REF!)</f>
        <v>#REF!</v>
      </c>
      <c r="K226" s="117" t="e">
        <f>Simulações!#REF!</f>
        <v>#REF!</v>
      </c>
      <c r="L226" s="117" t="e">
        <f>Simulações!#REF!</f>
        <v>#REF!</v>
      </c>
      <c r="M226" s="114" t="e">
        <f>IF(Simulações!#REF!="","",Simulações!#REF!)</f>
        <v>#REF!</v>
      </c>
      <c r="N226" s="114" t="e">
        <f>IF(Simulações!#REF!="","",Simulações!#REF!)</f>
        <v>#REF!</v>
      </c>
      <c r="O226" s="114">
        <v>1</v>
      </c>
    </row>
    <row r="227" spans="1:15" ht="15.75" hidden="1" customHeight="1" x14ac:dyDescent="0.3">
      <c r="A227" s="124" t="e">
        <f>Simulações!#REF!</f>
        <v>#REF!</v>
      </c>
      <c r="B227" s="114" t="e">
        <f>Simulações!#REF!</f>
        <v>#REF!</v>
      </c>
      <c r="C227" s="125" t="e">
        <f>Simulações!#REF!</f>
        <v>#REF!</v>
      </c>
      <c r="D227" s="114" t="e">
        <f>Simulações!#REF!</f>
        <v>#REF!</v>
      </c>
      <c r="E227" s="114" t="e">
        <f>Simulações!#REF!</f>
        <v>#REF!</v>
      </c>
      <c r="F227" s="114" t="e">
        <f>Simulações!#REF!</f>
        <v>#REF!</v>
      </c>
      <c r="G227" s="114" t="e">
        <f>Simulações!#REF!</f>
        <v>#REF!</v>
      </c>
      <c r="H227" s="114" t="e">
        <f>Simulações!#REF!</f>
        <v>#REF!</v>
      </c>
      <c r="I227" s="114" t="e">
        <f>IF(Simulações!#REF!="","",Simulações!#REF!)</f>
        <v>#REF!</v>
      </c>
      <c r="J227" s="114" t="e">
        <f>IF(Simulações!#REF!="","",Simulações!#REF!)</f>
        <v>#REF!</v>
      </c>
      <c r="K227" s="117" t="e">
        <f>Simulações!#REF!</f>
        <v>#REF!</v>
      </c>
      <c r="L227" s="117" t="e">
        <f>Simulações!#REF!</f>
        <v>#REF!</v>
      </c>
      <c r="M227" s="114" t="e">
        <f>IF(Simulações!#REF!="","",Simulações!#REF!)</f>
        <v>#REF!</v>
      </c>
      <c r="N227" s="114" t="e">
        <f>IF(Simulações!#REF!="","",Simulações!#REF!)</f>
        <v>#REF!</v>
      </c>
      <c r="O227" s="114">
        <v>1</v>
      </c>
    </row>
    <row r="228" spans="1:15" ht="15.75" hidden="1" customHeight="1" x14ac:dyDescent="0.3">
      <c r="A228" s="124" t="e">
        <f>Simulações!#REF!</f>
        <v>#REF!</v>
      </c>
      <c r="B228" s="114" t="e">
        <f>Simulações!#REF!</f>
        <v>#REF!</v>
      </c>
      <c r="C228" s="125" t="e">
        <f>Simulações!#REF!</f>
        <v>#REF!</v>
      </c>
      <c r="D228" s="114" t="e">
        <f>Simulações!#REF!</f>
        <v>#REF!</v>
      </c>
      <c r="E228" s="114" t="e">
        <f>Simulações!#REF!</f>
        <v>#REF!</v>
      </c>
      <c r="F228" s="114" t="e">
        <f>Simulações!#REF!</f>
        <v>#REF!</v>
      </c>
      <c r="G228" s="114" t="e">
        <f>Simulações!#REF!</f>
        <v>#REF!</v>
      </c>
      <c r="H228" s="114" t="e">
        <f>Simulações!#REF!</f>
        <v>#REF!</v>
      </c>
      <c r="I228" s="114" t="e">
        <f>IF(Simulações!#REF!="","",Simulações!#REF!)</f>
        <v>#REF!</v>
      </c>
      <c r="J228" s="114" t="e">
        <f>IF(Simulações!#REF!="","",Simulações!#REF!)</f>
        <v>#REF!</v>
      </c>
      <c r="K228" s="117" t="e">
        <f>Simulações!#REF!</f>
        <v>#REF!</v>
      </c>
      <c r="L228" s="117" t="e">
        <f>Simulações!#REF!</f>
        <v>#REF!</v>
      </c>
      <c r="M228" s="114" t="e">
        <f>IF(Simulações!#REF!="","",Simulações!#REF!)</f>
        <v>#REF!</v>
      </c>
      <c r="N228" s="114" t="e">
        <f>IF(Simulações!#REF!="","",Simulações!#REF!)</f>
        <v>#REF!</v>
      </c>
      <c r="O228" s="114">
        <v>1</v>
      </c>
    </row>
    <row r="229" spans="1:15" ht="15.75" hidden="1" customHeight="1" x14ac:dyDescent="0.3">
      <c r="A229" s="124" t="e">
        <f>Simulações!#REF!</f>
        <v>#REF!</v>
      </c>
      <c r="B229" s="114" t="e">
        <f>Simulações!#REF!</f>
        <v>#REF!</v>
      </c>
      <c r="C229" s="125" t="e">
        <f>Simulações!#REF!</f>
        <v>#REF!</v>
      </c>
      <c r="D229" s="114" t="e">
        <f>Simulações!#REF!</f>
        <v>#REF!</v>
      </c>
      <c r="E229" s="114" t="e">
        <f>Simulações!#REF!</f>
        <v>#REF!</v>
      </c>
      <c r="F229" s="114" t="e">
        <f>Simulações!#REF!</f>
        <v>#REF!</v>
      </c>
      <c r="G229" s="114" t="e">
        <f>Simulações!#REF!</f>
        <v>#REF!</v>
      </c>
      <c r="H229" s="114" t="e">
        <f>Simulações!#REF!</f>
        <v>#REF!</v>
      </c>
      <c r="I229" s="114" t="e">
        <f>IF(Simulações!#REF!="","",Simulações!#REF!)</f>
        <v>#REF!</v>
      </c>
      <c r="J229" s="114" t="e">
        <f>IF(Simulações!#REF!="","",Simulações!#REF!)</f>
        <v>#REF!</v>
      </c>
      <c r="K229" s="117" t="e">
        <f>Simulações!#REF!</f>
        <v>#REF!</v>
      </c>
      <c r="L229" s="117" t="e">
        <f>Simulações!#REF!</f>
        <v>#REF!</v>
      </c>
      <c r="M229" s="114" t="e">
        <f>IF(Simulações!#REF!="","",Simulações!#REF!)</f>
        <v>#REF!</v>
      </c>
      <c r="N229" s="114" t="e">
        <f>IF(Simulações!#REF!="","",Simulações!#REF!)</f>
        <v>#REF!</v>
      </c>
      <c r="O229" s="114">
        <v>1</v>
      </c>
    </row>
    <row r="230" spans="1:15" ht="15.75" hidden="1" customHeight="1" x14ac:dyDescent="0.3">
      <c r="A230" s="124" t="e">
        <f>Simulações!#REF!</f>
        <v>#REF!</v>
      </c>
      <c r="B230" s="114" t="e">
        <f>Simulações!#REF!</f>
        <v>#REF!</v>
      </c>
      <c r="C230" s="125" t="e">
        <f>Simulações!#REF!</f>
        <v>#REF!</v>
      </c>
      <c r="D230" s="114" t="e">
        <f>Simulações!#REF!</f>
        <v>#REF!</v>
      </c>
      <c r="E230" s="114" t="e">
        <f>Simulações!#REF!</f>
        <v>#REF!</v>
      </c>
      <c r="F230" s="114" t="e">
        <f>Simulações!#REF!</f>
        <v>#REF!</v>
      </c>
      <c r="G230" s="114" t="e">
        <f>Simulações!#REF!</f>
        <v>#REF!</v>
      </c>
      <c r="H230" s="114" t="e">
        <f>Simulações!#REF!</f>
        <v>#REF!</v>
      </c>
      <c r="I230" s="114" t="e">
        <f>IF(Simulações!#REF!="","",Simulações!#REF!)</f>
        <v>#REF!</v>
      </c>
      <c r="J230" s="114" t="e">
        <f>IF(Simulações!#REF!="","",Simulações!#REF!)</f>
        <v>#REF!</v>
      </c>
      <c r="K230" s="117" t="e">
        <f>Simulações!#REF!</f>
        <v>#REF!</v>
      </c>
      <c r="L230" s="117" t="e">
        <f>Simulações!#REF!</f>
        <v>#REF!</v>
      </c>
      <c r="M230" s="114" t="e">
        <f>IF(Simulações!#REF!="","",Simulações!#REF!)</f>
        <v>#REF!</v>
      </c>
      <c r="N230" s="114" t="e">
        <f>IF(Simulações!#REF!="","",Simulações!#REF!)</f>
        <v>#REF!</v>
      </c>
      <c r="O230" s="114">
        <v>1</v>
      </c>
    </row>
    <row r="231" spans="1:15" ht="15.75" hidden="1" customHeight="1" x14ac:dyDescent="0.3">
      <c r="A231" s="124" t="e">
        <f>Simulações!#REF!</f>
        <v>#REF!</v>
      </c>
      <c r="B231" s="114" t="e">
        <f>Simulações!#REF!</f>
        <v>#REF!</v>
      </c>
      <c r="C231" s="125" t="e">
        <f>Simulações!#REF!</f>
        <v>#REF!</v>
      </c>
      <c r="D231" s="114" t="e">
        <f>Simulações!#REF!</f>
        <v>#REF!</v>
      </c>
      <c r="E231" s="114" t="e">
        <f>Simulações!#REF!</f>
        <v>#REF!</v>
      </c>
      <c r="F231" s="114" t="e">
        <f>Simulações!#REF!</f>
        <v>#REF!</v>
      </c>
      <c r="G231" s="114" t="e">
        <f>Simulações!#REF!</f>
        <v>#REF!</v>
      </c>
      <c r="H231" s="114" t="e">
        <f>Simulações!#REF!</f>
        <v>#REF!</v>
      </c>
      <c r="I231" s="114" t="e">
        <f>IF(Simulações!#REF!="","",Simulações!#REF!)</f>
        <v>#REF!</v>
      </c>
      <c r="J231" s="114" t="e">
        <f>IF(Simulações!#REF!="","",Simulações!#REF!)</f>
        <v>#REF!</v>
      </c>
      <c r="K231" s="117" t="e">
        <f>Simulações!#REF!</f>
        <v>#REF!</v>
      </c>
      <c r="L231" s="117" t="e">
        <f>Simulações!#REF!</f>
        <v>#REF!</v>
      </c>
      <c r="M231" s="114" t="e">
        <f>IF(Simulações!#REF!="","",Simulações!#REF!)</f>
        <v>#REF!</v>
      </c>
      <c r="N231" s="114" t="e">
        <f>IF(Simulações!#REF!="","",Simulações!#REF!)</f>
        <v>#REF!</v>
      </c>
      <c r="O231" s="114">
        <v>1</v>
      </c>
    </row>
    <row r="232" spans="1:15" ht="15.75" hidden="1" customHeight="1" x14ac:dyDescent="0.3">
      <c r="A232" s="124" t="e">
        <f>Simulações!#REF!</f>
        <v>#REF!</v>
      </c>
      <c r="B232" s="114" t="e">
        <f>Simulações!#REF!</f>
        <v>#REF!</v>
      </c>
      <c r="C232" s="125" t="e">
        <f>Simulações!#REF!</f>
        <v>#REF!</v>
      </c>
      <c r="D232" s="114" t="e">
        <f>Simulações!#REF!</f>
        <v>#REF!</v>
      </c>
      <c r="E232" s="114" t="e">
        <f>Simulações!#REF!</f>
        <v>#REF!</v>
      </c>
      <c r="F232" s="114" t="e">
        <f>Simulações!#REF!</f>
        <v>#REF!</v>
      </c>
      <c r="G232" s="114" t="e">
        <f>Simulações!#REF!</f>
        <v>#REF!</v>
      </c>
      <c r="H232" s="114" t="e">
        <f>Simulações!#REF!</f>
        <v>#REF!</v>
      </c>
      <c r="I232" s="114" t="e">
        <f>IF(Simulações!#REF!="","",Simulações!#REF!)</f>
        <v>#REF!</v>
      </c>
      <c r="J232" s="114" t="e">
        <f>IF(Simulações!#REF!="","",Simulações!#REF!)</f>
        <v>#REF!</v>
      </c>
      <c r="K232" s="117" t="e">
        <f>Simulações!#REF!</f>
        <v>#REF!</v>
      </c>
      <c r="L232" s="117" t="e">
        <f>Simulações!#REF!</f>
        <v>#REF!</v>
      </c>
      <c r="M232" s="114" t="e">
        <f>IF(Simulações!#REF!="","",Simulações!#REF!)</f>
        <v>#REF!</v>
      </c>
      <c r="N232" s="114" t="e">
        <f>IF(Simulações!#REF!="","",Simulações!#REF!)</f>
        <v>#REF!</v>
      </c>
      <c r="O232" s="114">
        <v>1</v>
      </c>
    </row>
    <row r="233" spans="1:15" ht="15.75" hidden="1" customHeight="1" x14ac:dyDescent="0.3">
      <c r="A233" s="124" t="e">
        <f>Simulações!#REF!</f>
        <v>#REF!</v>
      </c>
      <c r="B233" s="114" t="e">
        <f>Simulações!#REF!</f>
        <v>#REF!</v>
      </c>
      <c r="C233" s="125" t="e">
        <f>Simulações!#REF!</f>
        <v>#REF!</v>
      </c>
      <c r="D233" s="114" t="e">
        <f>Simulações!#REF!</f>
        <v>#REF!</v>
      </c>
      <c r="E233" s="114" t="e">
        <f>Simulações!#REF!</f>
        <v>#REF!</v>
      </c>
      <c r="F233" s="114" t="e">
        <f>Simulações!#REF!</f>
        <v>#REF!</v>
      </c>
      <c r="G233" s="114" t="e">
        <f>Simulações!#REF!</f>
        <v>#REF!</v>
      </c>
      <c r="H233" s="114" t="e">
        <f>Simulações!#REF!</f>
        <v>#REF!</v>
      </c>
      <c r="I233" s="114" t="e">
        <f>IF(Simulações!#REF!="","",Simulações!#REF!)</f>
        <v>#REF!</v>
      </c>
      <c r="J233" s="114" t="e">
        <f>IF(Simulações!#REF!="","",Simulações!#REF!)</f>
        <v>#REF!</v>
      </c>
      <c r="K233" s="117" t="e">
        <f>Simulações!#REF!</f>
        <v>#REF!</v>
      </c>
      <c r="L233" s="117" t="e">
        <f>Simulações!#REF!</f>
        <v>#REF!</v>
      </c>
      <c r="M233" s="114" t="e">
        <f>IF(Simulações!#REF!="","",Simulações!#REF!)</f>
        <v>#REF!</v>
      </c>
      <c r="N233" s="114" t="e">
        <f>IF(Simulações!#REF!="","",Simulações!#REF!)</f>
        <v>#REF!</v>
      </c>
      <c r="O233" s="114">
        <v>1</v>
      </c>
    </row>
    <row r="234" spans="1:15" ht="15.75" hidden="1" customHeight="1" x14ac:dyDescent="0.3">
      <c r="A234" s="124" t="e">
        <f>Simulações!#REF!</f>
        <v>#REF!</v>
      </c>
      <c r="B234" s="114" t="e">
        <f>Simulações!#REF!</f>
        <v>#REF!</v>
      </c>
      <c r="C234" s="125" t="e">
        <f>Simulações!#REF!</f>
        <v>#REF!</v>
      </c>
      <c r="D234" s="114" t="e">
        <f>Simulações!#REF!</f>
        <v>#REF!</v>
      </c>
      <c r="E234" s="114" t="e">
        <f>Simulações!#REF!</f>
        <v>#REF!</v>
      </c>
      <c r="F234" s="114" t="e">
        <f>Simulações!#REF!</f>
        <v>#REF!</v>
      </c>
      <c r="G234" s="114" t="e">
        <f>Simulações!#REF!</f>
        <v>#REF!</v>
      </c>
      <c r="H234" s="114" t="e">
        <f>Simulações!#REF!</f>
        <v>#REF!</v>
      </c>
      <c r="I234" s="114" t="e">
        <f>IF(Simulações!#REF!="","",Simulações!#REF!)</f>
        <v>#REF!</v>
      </c>
      <c r="J234" s="114" t="e">
        <f>IF(Simulações!#REF!="","",Simulações!#REF!)</f>
        <v>#REF!</v>
      </c>
      <c r="K234" s="117" t="e">
        <f>Simulações!#REF!</f>
        <v>#REF!</v>
      </c>
      <c r="L234" s="117" t="e">
        <f>Simulações!#REF!</f>
        <v>#REF!</v>
      </c>
      <c r="M234" s="114" t="e">
        <f>IF(Simulações!#REF!="","",Simulações!#REF!)</f>
        <v>#REF!</v>
      </c>
      <c r="N234" s="114" t="e">
        <f>IF(Simulações!#REF!="","",Simulações!#REF!)</f>
        <v>#REF!</v>
      </c>
      <c r="O234" s="114">
        <v>1</v>
      </c>
    </row>
    <row r="235" spans="1:15" ht="15.75" hidden="1" customHeight="1" x14ac:dyDescent="0.3">
      <c r="A235" s="124" t="e">
        <f>Simulações!#REF!</f>
        <v>#REF!</v>
      </c>
      <c r="B235" s="114" t="e">
        <f>Simulações!#REF!</f>
        <v>#REF!</v>
      </c>
      <c r="C235" s="125" t="e">
        <f>Simulações!#REF!</f>
        <v>#REF!</v>
      </c>
      <c r="D235" s="114" t="e">
        <f>Simulações!#REF!</f>
        <v>#REF!</v>
      </c>
      <c r="E235" s="114" t="e">
        <f>Simulações!#REF!</f>
        <v>#REF!</v>
      </c>
      <c r="F235" s="114" t="e">
        <f>Simulações!#REF!</f>
        <v>#REF!</v>
      </c>
      <c r="G235" s="114" t="e">
        <f>Simulações!#REF!</f>
        <v>#REF!</v>
      </c>
      <c r="H235" s="114" t="e">
        <f>Simulações!#REF!</f>
        <v>#REF!</v>
      </c>
      <c r="I235" s="114" t="e">
        <f>IF(Simulações!#REF!="","",Simulações!#REF!)</f>
        <v>#REF!</v>
      </c>
      <c r="J235" s="114" t="e">
        <f>IF(Simulações!#REF!="","",Simulações!#REF!)</f>
        <v>#REF!</v>
      </c>
      <c r="K235" s="117" t="e">
        <f>Simulações!#REF!</f>
        <v>#REF!</v>
      </c>
      <c r="L235" s="117" t="e">
        <f>Simulações!#REF!</f>
        <v>#REF!</v>
      </c>
      <c r="M235" s="114" t="e">
        <f>IF(Simulações!#REF!="","",Simulações!#REF!)</f>
        <v>#REF!</v>
      </c>
      <c r="N235" s="114" t="e">
        <f>IF(Simulações!#REF!="","",Simulações!#REF!)</f>
        <v>#REF!</v>
      </c>
      <c r="O235" s="114">
        <v>1</v>
      </c>
    </row>
    <row r="236" spans="1:15" ht="15.75" hidden="1" customHeight="1" x14ac:dyDescent="0.3">
      <c r="A236" s="124" t="e">
        <f>Simulações!#REF!</f>
        <v>#REF!</v>
      </c>
      <c r="B236" s="114" t="e">
        <f>Simulações!#REF!</f>
        <v>#REF!</v>
      </c>
      <c r="C236" s="125" t="e">
        <f>Simulações!#REF!</f>
        <v>#REF!</v>
      </c>
      <c r="D236" s="114" t="e">
        <f>Simulações!#REF!</f>
        <v>#REF!</v>
      </c>
      <c r="E236" s="114" t="e">
        <f>Simulações!#REF!</f>
        <v>#REF!</v>
      </c>
      <c r="F236" s="114" t="e">
        <f>Simulações!#REF!</f>
        <v>#REF!</v>
      </c>
      <c r="G236" s="114" t="e">
        <f>Simulações!#REF!</f>
        <v>#REF!</v>
      </c>
      <c r="H236" s="114" t="e">
        <f>Simulações!#REF!</f>
        <v>#REF!</v>
      </c>
      <c r="I236" s="114" t="e">
        <f>IF(Simulações!#REF!="","",Simulações!#REF!)</f>
        <v>#REF!</v>
      </c>
      <c r="J236" s="114" t="e">
        <f>IF(Simulações!#REF!="","",Simulações!#REF!)</f>
        <v>#REF!</v>
      </c>
      <c r="K236" s="117" t="e">
        <f>Simulações!#REF!</f>
        <v>#REF!</v>
      </c>
      <c r="L236" s="117" t="e">
        <f>Simulações!#REF!</f>
        <v>#REF!</v>
      </c>
      <c r="M236" s="114" t="e">
        <f>IF(Simulações!#REF!="","",Simulações!#REF!)</f>
        <v>#REF!</v>
      </c>
      <c r="N236" s="114" t="e">
        <f>IF(Simulações!#REF!="","",Simulações!#REF!)</f>
        <v>#REF!</v>
      </c>
      <c r="O236" s="114">
        <v>1</v>
      </c>
    </row>
    <row r="237" spans="1:15" ht="15.75" hidden="1" customHeight="1" x14ac:dyDescent="0.3">
      <c r="A237" s="124" t="e">
        <f>Simulações!#REF!</f>
        <v>#REF!</v>
      </c>
      <c r="B237" s="114" t="e">
        <f>Simulações!#REF!</f>
        <v>#REF!</v>
      </c>
      <c r="C237" s="125" t="e">
        <f>Simulações!#REF!</f>
        <v>#REF!</v>
      </c>
      <c r="D237" s="114" t="e">
        <f>Simulações!#REF!</f>
        <v>#REF!</v>
      </c>
      <c r="E237" s="114" t="e">
        <f>Simulações!#REF!</f>
        <v>#REF!</v>
      </c>
      <c r="F237" s="114" t="e">
        <f>Simulações!#REF!</f>
        <v>#REF!</v>
      </c>
      <c r="G237" s="114" t="e">
        <f>Simulações!#REF!</f>
        <v>#REF!</v>
      </c>
      <c r="H237" s="114" t="e">
        <f>Simulações!#REF!</f>
        <v>#REF!</v>
      </c>
      <c r="I237" s="114" t="e">
        <f>IF(Simulações!#REF!="","",Simulações!#REF!)</f>
        <v>#REF!</v>
      </c>
      <c r="J237" s="114" t="e">
        <f>IF(Simulações!#REF!="","",Simulações!#REF!)</f>
        <v>#REF!</v>
      </c>
      <c r="K237" s="117" t="e">
        <f>Simulações!#REF!</f>
        <v>#REF!</v>
      </c>
      <c r="L237" s="117" t="e">
        <f>Simulações!#REF!</f>
        <v>#REF!</v>
      </c>
      <c r="M237" s="114" t="e">
        <f>IF(Simulações!#REF!="","",Simulações!#REF!)</f>
        <v>#REF!</v>
      </c>
      <c r="N237" s="114" t="e">
        <f>IF(Simulações!#REF!="","",Simulações!#REF!)</f>
        <v>#REF!</v>
      </c>
      <c r="O237" s="114">
        <v>1</v>
      </c>
    </row>
    <row r="238" spans="1:15" ht="15.75" hidden="1" customHeight="1" x14ac:dyDescent="0.3">
      <c r="A238" s="124" t="e">
        <f>Simulações!#REF!</f>
        <v>#REF!</v>
      </c>
      <c r="B238" s="114" t="e">
        <f>Simulações!#REF!</f>
        <v>#REF!</v>
      </c>
      <c r="C238" s="125" t="e">
        <f>Simulações!#REF!</f>
        <v>#REF!</v>
      </c>
      <c r="D238" s="114" t="e">
        <f>Simulações!#REF!</f>
        <v>#REF!</v>
      </c>
      <c r="E238" s="114" t="e">
        <f>Simulações!#REF!</f>
        <v>#REF!</v>
      </c>
      <c r="F238" s="114" t="e">
        <f>Simulações!#REF!</f>
        <v>#REF!</v>
      </c>
      <c r="G238" s="114" t="e">
        <f>Simulações!#REF!</f>
        <v>#REF!</v>
      </c>
      <c r="H238" s="114" t="e">
        <f>Simulações!#REF!</f>
        <v>#REF!</v>
      </c>
      <c r="I238" s="114" t="e">
        <f>IF(Simulações!#REF!="","",Simulações!#REF!)</f>
        <v>#REF!</v>
      </c>
      <c r="J238" s="114" t="e">
        <f>IF(Simulações!#REF!="","",Simulações!#REF!)</f>
        <v>#REF!</v>
      </c>
      <c r="K238" s="117" t="e">
        <f>Simulações!#REF!</f>
        <v>#REF!</v>
      </c>
      <c r="L238" s="117" t="e">
        <f>Simulações!#REF!</f>
        <v>#REF!</v>
      </c>
      <c r="M238" s="114" t="e">
        <f>IF(Simulações!#REF!="","",Simulações!#REF!)</f>
        <v>#REF!</v>
      </c>
      <c r="N238" s="114" t="e">
        <f>IF(Simulações!#REF!="","",Simulações!#REF!)</f>
        <v>#REF!</v>
      </c>
      <c r="O238" s="114">
        <v>1</v>
      </c>
    </row>
    <row r="239" spans="1:15" ht="15.75" hidden="1" customHeight="1" x14ac:dyDescent="0.3">
      <c r="A239" s="124" t="e">
        <f>Simulações!#REF!</f>
        <v>#REF!</v>
      </c>
      <c r="B239" s="114" t="e">
        <f>Simulações!#REF!</f>
        <v>#REF!</v>
      </c>
      <c r="C239" s="125" t="e">
        <f>Simulações!#REF!</f>
        <v>#REF!</v>
      </c>
      <c r="D239" s="114" t="e">
        <f>Simulações!#REF!</f>
        <v>#REF!</v>
      </c>
      <c r="E239" s="114" t="e">
        <f>Simulações!#REF!</f>
        <v>#REF!</v>
      </c>
      <c r="F239" s="114" t="e">
        <f>Simulações!#REF!</f>
        <v>#REF!</v>
      </c>
      <c r="G239" s="114" t="e">
        <f>Simulações!#REF!</f>
        <v>#REF!</v>
      </c>
      <c r="H239" s="114" t="e">
        <f>Simulações!#REF!</f>
        <v>#REF!</v>
      </c>
      <c r="I239" s="114" t="e">
        <f>IF(Simulações!#REF!="","",Simulações!#REF!)</f>
        <v>#REF!</v>
      </c>
      <c r="J239" s="114" t="e">
        <f>IF(Simulações!#REF!="","",Simulações!#REF!)</f>
        <v>#REF!</v>
      </c>
      <c r="K239" s="117" t="e">
        <f>Simulações!#REF!</f>
        <v>#REF!</v>
      </c>
      <c r="L239" s="117" t="e">
        <f>Simulações!#REF!</f>
        <v>#REF!</v>
      </c>
      <c r="M239" s="114" t="e">
        <f>IF(Simulações!#REF!="","",Simulações!#REF!)</f>
        <v>#REF!</v>
      </c>
      <c r="N239" s="114" t="e">
        <f>IF(Simulações!#REF!="","",Simulações!#REF!)</f>
        <v>#REF!</v>
      </c>
      <c r="O239" s="114">
        <v>1</v>
      </c>
    </row>
    <row r="240" spans="1:15" ht="15.75" hidden="1" customHeight="1" x14ac:dyDescent="0.3">
      <c r="A240" s="124" t="e">
        <f>Simulações!#REF!</f>
        <v>#REF!</v>
      </c>
      <c r="B240" s="114" t="e">
        <f>Simulações!#REF!</f>
        <v>#REF!</v>
      </c>
      <c r="C240" s="125" t="e">
        <f>Simulações!#REF!</f>
        <v>#REF!</v>
      </c>
      <c r="D240" s="114" t="e">
        <f>Simulações!#REF!</f>
        <v>#REF!</v>
      </c>
      <c r="E240" s="114" t="e">
        <f>Simulações!#REF!</f>
        <v>#REF!</v>
      </c>
      <c r="F240" s="114" t="e">
        <f>Simulações!#REF!</f>
        <v>#REF!</v>
      </c>
      <c r="G240" s="114" t="e">
        <f>Simulações!#REF!</f>
        <v>#REF!</v>
      </c>
      <c r="H240" s="114" t="e">
        <f>Simulações!#REF!</f>
        <v>#REF!</v>
      </c>
      <c r="I240" s="114" t="e">
        <f>IF(Simulações!#REF!="","",Simulações!#REF!)</f>
        <v>#REF!</v>
      </c>
      <c r="J240" s="114" t="e">
        <f>IF(Simulações!#REF!="","",Simulações!#REF!)</f>
        <v>#REF!</v>
      </c>
      <c r="K240" s="117" t="e">
        <f>Simulações!#REF!</f>
        <v>#REF!</v>
      </c>
      <c r="L240" s="117" t="e">
        <f>Simulações!#REF!</f>
        <v>#REF!</v>
      </c>
      <c r="M240" s="114" t="e">
        <f>IF(Simulações!#REF!="","",Simulações!#REF!)</f>
        <v>#REF!</v>
      </c>
      <c r="N240" s="114" t="e">
        <f>IF(Simulações!#REF!="","",Simulações!#REF!)</f>
        <v>#REF!</v>
      </c>
      <c r="O240" s="114">
        <v>1</v>
      </c>
    </row>
    <row r="241" spans="1:15" ht="15.75" hidden="1" customHeight="1" x14ac:dyDescent="0.3">
      <c r="A241" s="124" t="e">
        <f>Simulações!#REF!</f>
        <v>#REF!</v>
      </c>
      <c r="B241" s="114" t="e">
        <f>Simulações!#REF!</f>
        <v>#REF!</v>
      </c>
      <c r="C241" s="125" t="e">
        <f>Simulações!#REF!</f>
        <v>#REF!</v>
      </c>
      <c r="D241" s="114" t="e">
        <f>Simulações!#REF!</f>
        <v>#REF!</v>
      </c>
      <c r="E241" s="114" t="e">
        <f>Simulações!#REF!</f>
        <v>#REF!</v>
      </c>
      <c r="F241" s="114" t="e">
        <f>Simulações!#REF!</f>
        <v>#REF!</v>
      </c>
      <c r="G241" s="114" t="e">
        <f>Simulações!#REF!</f>
        <v>#REF!</v>
      </c>
      <c r="H241" s="114" t="e">
        <f>Simulações!#REF!</f>
        <v>#REF!</v>
      </c>
      <c r="I241" s="114" t="e">
        <f>IF(Simulações!#REF!="","",Simulações!#REF!)</f>
        <v>#REF!</v>
      </c>
      <c r="J241" s="114" t="e">
        <f>IF(Simulações!#REF!="","",Simulações!#REF!)</f>
        <v>#REF!</v>
      </c>
      <c r="K241" s="117" t="e">
        <f>Simulações!#REF!</f>
        <v>#REF!</v>
      </c>
      <c r="L241" s="117" t="e">
        <f>Simulações!#REF!</f>
        <v>#REF!</v>
      </c>
      <c r="M241" s="114" t="e">
        <f>IF(Simulações!#REF!="","",Simulações!#REF!)</f>
        <v>#REF!</v>
      </c>
      <c r="N241" s="114" t="e">
        <f>IF(Simulações!#REF!="","",Simulações!#REF!)</f>
        <v>#REF!</v>
      </c>
      <c r="O241" s="114">
        <v>1</v>
      </c>
    </row>
    <row r="242" spans="1:15" ht="15.75" hidden="1" customHeight="1" x14ac:dyDescent="0.3">
      <c r="A242" s="124" t="e">
        <f>Simulações!#REF!</f>
        <v>#REF!</v>
      </c>
      <c r="B242" s="114" t="e">
        <f>Simulações!#REF!</f>
        <v>#REF!</v>
      </c>
      <c r="C242" s="125" t="e">
        <f>Simulações!#REF!</f>
        <v>#REF!</v>
      </c>
      <c r="D242" s="114" t="e">
        <f>Simulações!#REF!</f>
        <v>#REF!</v>
      </c>
      <c r="E242" s="114" t="e">
        <f>Simulações!#REF!</f>
        <v>#REF!</v>
      </c>
      <c r="F242" s="114" t="e">
        <f>Simulações!#REF!</f>
        <v>#REF!</v>
      </c>
      <c r="G242" s="114" t="e">
        <f>Simulações!#REF!</f>
        <v>#REF!</v>
      </c>
      <c r="H242" s="114" t="e">
        <f>Simulações!#REF!</f>
        <v>#REF!</v>
      </c>
      <c r="I242" s="114" t="e">
        <f>IF(Simulações!#REF!="","",Simulações!#REF!)</f>
        <v>#REF!</v>
      </c>
      <c r="J242" s="114" t="e">
        <f>IF(Simulações!#REF!="","",Simulações!#REF!)</f>
        <v>#REF!</v>
      </c>
      <c r="K242" s="117" t="e">
        <f>Simulações!#REF!</f>
        <v>#REF!</v>
      </c>
      <c r="L242" s="117" t="e">
        <f>Simulações!#REF!</f>
        <v>#REF!</v>
      </c>
      <c r="M242" s="114" t="e">
        <f>IF(Simulações!#REF!="","",Simulações!#REF!)</f>
        <v>#REF!</v>
      </c>
      <c r="N242" s="114" t="e">
        <f>IF(Simulações!#REF!="","",Simulações!#REF!)</f>
        <v>#REF!</v>
      </c>
      <c r="O242" s="114">
        <v>1</v>
      </c>
    </row>
    <row r="243" spans="1:15" ht="15.75" hidden="1" customHeight="1" x14ac:dyDescent="0.3">
      <c r="A243" s="124" t="e">
        <f>Simulações!#REF!</f>
        <v>#REF!</v>
      </c>
      <c r="B243" s="114" t="e">
        <f>Simulações!#REF!</f>
        <v>#REF!</v>
      </c>
      <c r="C243" s="125" t="e">
        <f>Simulações!#REF!</f>
        <v>#REF!</v>
      </c>
      <c r="D243" s="114" t="e">
        <f>Simulações!#REF!</f>
        <v>#REF!</v>
      </c>
      <c r="E243" s="114" t="e">
        <f>Simulações!#REF!</f>
        <v>#REF!</v>
      </c>
      <c r="F243" s="114" t="e">
        <f>Simulações!#REF!</f>
        <v>#REF!</v>
      </c>
      <c r="G243" s="114" t="e">
        <f>Simulações!#REF!</f>
        <v>#REF!</v>
      </c>
      <c r="H243" s="114" t="e">
        <f>Simulações!#REF!</f>
        <v>#REF!</v>
      </c>
      <c r="I243" s="114" t="e">
        <f>IF(Simulações!#REF!="","",Simulações!#REF!)</f>
        <v>#REF!</v>
      </c>
      <c r="J243" s="114" t="e">
        <f>IF(Simulações!#REF!="","",Simulações!#REF!)</f>
        <v>#REF!</v>
      </c>
      <c r="K243" s="117" t="e">
        <f>Simulações!#REF!</f>
        <v>#REF!</v>
      </c>
      <c r="L243" s="117" t="e">
        <f>Simulações!#REF!</f>
        <v>#REF!</v>
      </c>
      <c r="M243" s="114" t="e">
        <f>IF(Simulações!#REF!="","",Simulações!#REF!)</f>
        <v>#REF!</v>
      </c>
      <c r="N243" s="114" t="e">
        <f>IF(Simulações!#REF!="","",Simulações!#REF!)</f>
        <v>#REF!</v>
      </c>
      <c r="O243" s="114">
        <v>1</v>
      </c>
    </row>
    <row r="244" spans="1:15" ht="15.75" hidden="1" customHeight="1" x14ac:dyDescent="0.3">
      <c r="A244" s="124" t="e">
        <f>Simulações!#REF!</f>
        <v>#REF!</v>
      </c>
      <c r="B244" s="114" t="e">
        <f>Simulações!#REF!</f>
        <v>#REF!</v>
      </c>
      <c r="C244" s="125" t="e">
        <f>Simulações!#REF!</f>
        <v>#REF!</v>
      </c>
      <c r="D244" s="114" t="e">
        <f>Simulações!#REF!</f>
        <v>#REF!</v>
      </c>
      <c r="E244" s="114" t="e">
        <f>Simulações!#REF!</f>
        <v>#REF!</v>
      </c>
      <c r="F244" s="114" t="e">
        <f>Simulações!#REF!</f>
        <v>#REF!</v>
      </c>
      <c r="G244" s="114" t="e">
        <f>Simulações!#REF!</f>
        <v>#REF!</v>
      </c>
      <c r="H244" s="114" t="e">
        <f>Simulações!#REF!</f>
        <v>#REF!</v>
      </c>
      <c r="I244" s="114" t="e">
        <f>IF(Simulações!#REF!="","",Simulações!#REF!)</f>
        <v>#REF!</v>
      </c>
      <c r="J244" s="114" t="e">
        <f>IF(Simulações!#REF!="","",Simulações!#REF!)</f>
        <v>#REF!</v>
      </c>
      <c r="K244" s="117" t="e">
        <f>Simulações!#REF!</f>
        <v>#REF!</v>
      </c>
      <c r="L244" s="117" t="e">
        <f>Simulações!#REF!</f>
        <v>#REF!</v>
      </c>
      <c r="M244" s="114" t="e">
        <f>IF(Simulações!#REF!="","",Simulações!#REF!)</f>
        <v>#REF!</v>
      </c>
      <c r="N244" s="114" t="e">
        <f>IF(Simulações!#REF!="","",Simulações!#REF!)</f>
        <v>#REF!</v>
      </c>
      <c r="O244" s="114">
        <v>1</v>
      </c>
    </row>
    <row r="245" spans="1:15" ht="15.75" hidden="1" customHeight="1" x14ac:dyDescent="0.3">
      <c r="A245" s="124" t="e">
        <f>Simulações!#REF!</f>
        <v>#REF!</v>
      </c>
      <c r="B245" s="114" t="e">
        <f>Simulações!#REF!</f>
        <v>#REF!</v>
      </c>
      <c r="C245" s="125" t="e">
        <f>Simulações!#REF!</f>
        <v>#REF!</v>
      </c>
      <c r="D245" s="114" t="e">
        <f>Simulações!#REF!</f>
        <v>#REF!</v>
      </c>
      <c r="E245" s="114" t="e">
        <f>Simulações!#REF!</f>
        <v>#REF!</v>
      </c>
      <c r="F245" s="114" t="e">
        <f>Simulações!#REF!</f>
        <v>#REF!</v>
      </c>
      <c r="G245" s="114" t="e">
        <f>Simulações!#REF!</f>
        <v>#REF!</v>
      </c>
      <c r="H245" s="114" t="e">
        <f>Simulações!#REF!</f>
        <v>#REF!</v>
      </c>
      <c r="I245" s="114" t="e">
        <f>IF(Simulações!#REF!="","",Simulações!#REF!)</f>
        <v>#REF!</v>
      </c>
      <c r="J245" s="114" t="e">
        <f>IF(Simulações!#REF!="","",Simulações!#REF!)</f>
        <v>#REF!</v>
      </c>
      <c r="K245" s="117" t="e">
        <f>Simulações!#REF!</f>
        <v>#REF!</v>
      </c>
      <c r="L245" s="117" t="e">
        <f>Simulações!#REF!</f>
        <v>#REF!</v>
      </c>
      <c r="M245" s="114" t="e">
        <f>IF(Simulações!#REF!="","",Simulações!#REF!)</f>
        <v>#REF!</v>
      </c>
      <c r="N245" s="114" t="e">
        <f>IF(Simulações!#REF!="","",Simulações!#REF!)</f>
        <v>#REF!</v>
      </c>
      <c r="O245" s="114">
        <v>1</v>
      </c>
    </row>
    <row r="246" spans="1:15" ht="15.75" hidden="1" customHeight="1" x14ac:dyDescent="0.3">
      <c r="A246" s="124" t="e">
        <f>Simulações!#REF!</f>
        <v>#REF!</v>
      </c>
      <c r="B246" s="114" t="e">
        <f>Simulações!#REF!</f>
        <v>#REF!</v>
      </c>
      <c r="C246" s="125" t="e">
        <f>Simulações!#REF!</f>
        <v>#REF!</v>
      </c>
      <c r="D246" s="114" t="e">
        <f>Simulações!#REF!</f>
        <v>#REF!</v>
      </c>
      <c r="E246" s="114" t="e">
        <f>Simulações!#REF!</f>
        <v>#REF!</v>
      </c>
      <c r="F246" s="114" t="e">
        <f>Simulações!#REF!</f>
        <v>#REF!</v>
      </c>
      <c r="G246" s="114" t="e">
        <f>Simulações!#REF!</f>
        <v>#REF!</v>
      </c>
      <c r="H246" s="114" t="e">
        <f>Simulações!#REF!</f>
        <v>#REF!</v>
      </c>
      <c r="I246" s="114" t="e">
        <f>IF(Simulações!#REF!="","",Simulações!#REF!)</f>
        <v>#REF!</v>
      </c>
      <c r="J246" s="114" t="e">
        <f>IF(Simulações!#REF!="","",Simulações!#REF!)</f>
        <v>#REF!</v>
      </c>
      <c r="K246" s="117" t="e">
        <f>Simulações!#REF!</f>
        <v>#REF!</v>
      </c>
      <c r="L246" s="117" t="e">
        <f>Simulações!#REF!</f>
        <v>#REF!</v>
      </c>
      <c r="M246" s="114" t="e">
        <f>IF(Simulações!#REF!="","",Simulações!#REF!)</f>
        <v>#REF!</v>
      </c>
      <c r="N246" s="114" t="e">
        <f>IF(Simulações!#REF!="","",Simulações!#REF!)</f>
        <v>#REF!</v>
      </c>
      <c r="O246" s="114">
        <v>1</v>
      </c>
    </row>
    <row r="247" spans="1:15" ht="15.75" hidden="1" customHeight="1" x14ac:dyDescent="0.3">
      <c r="A247" s="124" t="e">
        <f>Simulações!#REF!</f>
        <v>#REF!</v>
      </c>
      <c r="B247" s="114" t="e">
        <f>Simulações!#REF!</f>
        <v>#REF!</v>
      </c>
      <c r="C247" s="125" t="e">
        <f>Simulações!#REF!</f>
        <v>#REF!</v>
      </c>
      <c r="D247" s="114" t="e">
        <f>Simulações!#REF!</f>
        <v>#REF!</v>
      </c>
      <c r="E247" s="114" t="e">
        <f>Simulações!#REF!</f>
        <v>#REF!</v>
      </c>
      <c r="F247" s="114" t="e">
        <f>Simulações!#REF!</f>
        <v>#REF!</v>
      </c>
      <c r="G247" s="114" t="e">
        <f>Simulações!#REF!</f>
        <v>#REF!</v>
      </c>
      <c r="H247" s="114" t="e">
        <f>Simulações!#REF!</f>
        <v>#REF!</v>
      </c>
      <c r="I247" s="114" t="e">
        <f>IF(Simulações!#REF!="","",Simulações!#REF!)</f>
        <v>#REF!</v>
      </c>
      <c r="J247" s="114" t="e">
        <f>IF(Simulações!#REF!="","",Simulações!#REF!)</f>
        <v>#REF!</v>
      </c>
      <c r="K247" s="117" t="e">
        <f>Simulações!#REF!</f>
        <v>#REF!</v>
      </c>
      <c r="L247" s="117" t="e">
        <f>Simulações!#REF!</f>
        <v>#REF!</v>
      </c>
      <c r="M247" s="114" t="e">
        <f>IF(Simulações!#REF!="","",Simulações!#REF!)</f>
        <v>#REF!</v>
      </c>
      <c r="N247" s="114" t="e">
        <f>IF(Simulações!#REF!="","",Simulações!#REF!)</f>
        <v>#REF!</v>
      </c>
      <c r="O247" s="114">
        <v>1</v>
      </c>
    </row>
    <row r="248" spans="1:15" ht="15.75" hidden="1" customHeight="1" x14ac:dyDescent="0.3">
      <c r="A248" s="124" t="e">
        <f>Simulações!#REF!</f>
        <v>#REF!</v>
      </c>
      <c r="B248" s="114" t="e">
        <f>Simulações!#REF!</f>
        <v>#REF!</v>
      </c>
      <c r="C248" s="125" t="e">
        <f>Simulações!#REF!</f>
        <v>#REF!</v>
      </c>
      <c r="D248" s="114" t="e">
        <f>Simulações!#REF!</f>
        <v>#REF!</v>
      </c>
      <c r="E248" s="114" t="e">
        <f>Simulações!#REF!</f>
        <v>#REF!</v>
      </c>
      <c r="F248" s="114" t="e">
        <f>Simulações!#REF!</f>
        <v>#REF!</v>
      </c>
      <c r="G248" s="114" t="e">
        <f>Simulações!#REF!</f>
        <v>#REF!</v>
      </c>
      <c r="H248" s="114" t="e">
        <f>Simulações!#REF!</f>
        <v>#REF!</v>
      </c>
      <c r="I248" s="114" t="e">
        <f>IF(Simulações!#REF!="","",Simulações!#REF!)</f>
        <v>#REF!</v>
      </c>
      <c r="J248" s="114" t="e">
        <f>IF(Simulações!#REF!="","",Simulações!#REF!)</f>
        <v>#REF!</v>
      </c>
      <c r="K248" s="117" t="e">
        <f>Simulações!#REF!</f>
        <v>#REF!</v>
      </c>
      <c r="L248" s="117" t="e">
        <f>Simulações!#REF!</f>
        <v>#REF!</v>
      </c>
      <c r="M248" s="114" t="e">
        <f>IF(Simulações!#REF!="","",Simulações!#REF!)</f>
        <v>#REF!</v>
      </c>
      <c r="N248" s="114" t="e">
        <f>IF(Simulações!#REF!="","",Simulações!#REF!)</f>
        <v>#REF!</v>
      </c>
      <c r="O248" s="114">
        <v>1</v>
      </c>
    </row>
    <row r="249" spans="1:15" ht="15.75" hidden="1" customHeight="1" x14ac:dyDescent="0.3">
      <c r="A249" s="124" t="e">
        <f>Simulações!#REF!</f>
        <v>#REF!</v>
      </c>
      <c r="B249" s="114" t="e">
        <f>Simulações!#REF!</f>
        <v>#REF!</v>
      </c>
      <c r="C249" s="125" t="e">
        <f>Simulações!#REF!</f>
        <v>#REF!</v>
      </c>
      <c r="D249" s="114" t="e">
        <f>Simulações!#REF!</f>
        <v>#REF!</v>
      </c>
      <c r="E249" s="114" t="e">
        <f>Simulações!#REF!</f>
        <v>#REF!</v>
      </c>
      <c r="F249" s="114" t="e">
        <f>Simulações!#REF!</f>
        <v>#REF!</v>
      </c>
      <c r="G249" s="114" t="e">
        <f>Simulações!#REF!</f>
        <v>#REF!</v>
      </c>
      <c r="H249" s="114" t="e">
        <f>Simulações!#REF!</f>
        <v>#REF!</v>
      </c>
      <c r="I249" s="114" t="e">
        <f>IF(Simulações!#REF!="","",Simulações!#REF!)</f>
        <v>#REF!</v>
      </c>
      <c r="J249" s="114" t="e">
        <f>IF(Simulações!#REF!="","",Simulações!#REF!)</f>
        <v>#REF!</v>
      </c>
      <c r="K249" s="117" t="e">
        <f>Simulações!#REF!</f>
        <v>#REF!</v>
      </c>
      <c r="L249" s="117" t="e">
        <f>Simulações!#REF!</f>
        <v>#REF!</v>
      </c>
      <c r="M249" s="114" t="e">
        <f>IF(Simulações!#REF!="","",Simulações!#REF!)</f>
        <v>#REF!</v>
      </c>
      <c r="N249" s="114" t="e">
        <f>IF(Simulações!#REF!="","",Simulações!#REF!)</f>
        <v>#REF!</v>
      </c>
      <c r="O249" s="114">
        <v>1</v>
      </c>
    </row>
    <row r="250" spans="1:15" ht="15.75" hidden="1" customHeight="1" x14ac:dyDescent="0.3">
      <c r="A250" s="124" t="e">
        <f>Simulações!#REF!</f>
        <v>#REF!</v>
      </c>
      <c r="B250" s="114" t="e">
        <f>Simulações!#REF!</f>
        <v>#REF!</v>
      </c>
      <c r="C250" s="125" t="e">
        <f>Simulações!#REF!</f>
        <v>#REF!</v>
      </c>
      <c r="D250" s="114" t="e">
        <f>Simulações!#REF!</f>
        <v>#REF!</v>
      </c>
      <c r="E250" s="114" t="e">
        <f>Simulações!#REF!</f>
        <v>#REF!</v>
      </c>
      <c r="F250" s="114" t="e">
        <f>Simulações!#REF!</f>
        <v>#REF!</v>
      </c>
      <c r="G250" s="114" t="e">
        <f>Simulações!#REF!</f>
        <v>#REF!</v>
      </c>
      <c r="H250" s="114" t="e">
        <f>Simulações!#REF!</f>
        <v>#REF!</v>
      </c>
      <c r="I250" s="114" t="e">
        <f>IF(Simulações!#REF!="","",Simulações!#REF!)</f>
        <v>#REF!</v>
      </c>
      <c r="J250" s="114" t="e">
        <f>IF(Simulações!#REF!="","",Simulações!#REF!)</f>
        <v>#REF!</v>
      </c>
      <c r="K250" s="117" t="e">
        <f>Simulações!#REF!</f>
        <v>#REF!</v>
      </c>
      <c r="L250" s="117" t="e">
        <f>Simulações!#REF!</f>
        <v>#REF!</v>
      </c>
      <c r="M250" s="114" t="e">
        <f>IF(Simulações!#REF!="","",Simulações!#REF!)</f>
        <v>#REF!</v>
      </c>
      <c r="N250" s="114" t="e">
        <f>IF(Simulações!#REF!="","",Simulações!#REF!)</f>
        <v>#REF!</v>
      </c>
      <c r="O250" s="114">
        <v>1</v>
      </c>
    </row>
    <row r="251" spans="1:15" ht="15.75" hidden="1" customHeight="1" x14ac:dyDescent="0.3">
      <c r="A251" s="124" t="e">
        <f>Simulações!#REF!</f>
        <v>#REF!</v>
      </c>
      <c r="B251" s="114" t="e">
        <f>Simulações!#REF!</f>
        <v>#REF!</v>
      </c>
      <c r="C251" s="125" t="e">
        <f>Simulações!#REF!</f>
        <v>#REF!</v>
      </c>
      <c r="D251" s="114" t="e">
        <f>Simulações!#REF!</f>
        <v>#REF!</v>
      </c>
      <c r="E251" s="114" t="e">
        <f>Simulações!#REF!</f>
        <v>#REF!</v>
      </c>
      <c r="F251" s="114" t="e">
        <f>Simulações!#REF!</f>
        <v>#REF!</v>
      </c>
      <c r="G251" s="114" t="e">
        <f>Simulações!#REF!</f>
        <v>#REF!</v>
      </c>
      <c r="H251" s="114" t="e">
        <f>Simulações!#REF!</f>
        <v>#REF!</v>
      </c>
      <c r="I251" s="114" t="e">
        <f>IF(Simulações!#REF!="","",Simulações!#REF!)</f>
        <v>#REF!</v>
      </c>
      <c r="J251" s="114" t="e">
        <f>IF(Simulações!#REF!="","",Simulações!#REF!)</f>
        <v>#REF!</v>
      </c>
      <c r="K251" s="117" t="e">
        <f>Simulações!#REF!</f>
        <v>#REF!</v>
      </c>
      <c r="L251" s="117" t="e">
        <f>Simulações!#REF!</f>
        <v>#REF!</v>
      </c>
      <c r="M251" s="114" t="e">
        <f>IF(Simulações!#REF!="","",Simulações!#REF!)</f>
        <v>#REF!</v>
      </c>
      <c r="N251" s="114" t="e">
        <f>IF(Simulações!#REF!="","",Simulações!#REF!)</f>
        <v>#REF!</v>
      </c>
      <c r="O251" s="114">
        <v>1</v>
      </c>
    </row>
    <row r="252" spans="1:15" ht="15.75" hidden="1" customHeight="1" x14ac:dyDescent="0.3">
      <c r="A252" s="124" t="e">
        <f>Simulações!#REF!</f>
        <v>#REF!</v>
      </c>
      <c r="B252" s="114" t="e">
        <f>Simulações!#REF!</f>
        <v>#REF!</v>
      </c>
      <c r="C252" s="125" t="e">
        <f>Simulações!#REF!</f>
        <v>#REF!</v>
      </c>
      <c r="D252" s="114" t="e">
        <f>Simulações!#REF!</f>
        <v>#REF!</v>
      </c>
      <c r="E252" s="114" t="e">
        <f>Simulações!#REF!</f>
        <v>#REF!</v>
      </c>
      <c r="F252" s="114" t="e">
        <f>Simulações!#REF!</f>
        <v>#REF!</v>
      </c>
      <c r="G252" s="114" t="e">
        <f>Simulações!#REF!</f>
        <v>#REF!</v>
      </c>
      <c r="H252" s="114" t="e">
        <f>Simulações!#REF!</f>
        <v>#REF!</v>
      </c>
      <c r="I252" s="114" t="e">
        <f>IF(Simulações!#REF!="","",Simulações!#REF!)</f>
        <v>#REF!</v>
      </c>
      <c r="J252" s="114" t="e">
        <f>IF(Simulações!#REF!="","",Simulações!#REF!)</f>
        <v>#REF!</v>
      </c>
      <c r="K252" s="117" t="e">
        <f>Simulações!#REF!</f>
        <v>#REF!</v>
      </c>
      <c r="L252" s="117" t="e">
        <f>Simulações!#REF!</f>
        <v>#REF!</v>
      </c>
      <c r="M252" s="114" t="e">
        <f>IF(Simulações!#REF!="","",Simulações!#REF!)</f>
        <v>#REF!</v>
      </c>
      <c r="N252" s="114" t="e">
        <f>IF(Simulações!#REF!="","",Simulações!#REF!)</f>
        <v>#REF!</v>
      </c>
      <c r="O252" s="114">
        <v>1</v>
      </c>
    </row>
    <row r="253" spans="1:15" ht="15.75" hidden="1" customHeight="1" x14ac:dyDescent="0.3">
      <c r="A253" s="124" t="e">
        <f>Simulações!#REF!</f>
        <v>#REF!</v>
      </c>
      <c r="B253" s="114" t="e">
        <f>Simulações!#REF!</f>
        <v>#REF!</v>
      </c>
      <c r="C253" s="125" t="e">
        <f>Simulações!#REF!</f>
        <v>#REF!</v>
      </c>
      <c r="D253" s="114" t="e">
        <f>Simulações!#REF!</f>
        <v>#REF!</v>
      </c>
      <c r="E253" s="114" t="e">
        <f>Simulações!#REF!</f>
        <v>#REF!</v>
      </c>
      <c r="F253" s="114" t="e">
        <f>Simulações!#REF!</f>
        <v>#REF!</v>
      </c>
      <c r="G253" s="114" t="e">
        <f>Simulações!#REF!</f>
        <v>#REF!</v>
      </c>
      <c r="H253" s="114" t="e">
        <f>Simulações!#REF!</f>
        <v>#REF!</v>
      </c>
      <c r="I253" s="114" t="e">
        <f>IF(Simulações!#REF!="","",Simulações!#REF!)</f>
        <v>#REF!</v>
      </c>
      <c r="J253" s="114" t="e">
        <f>IF(Simulações!#REF!="","",Simulações!#REF!)</f>
        <v>#REF!</v>
      </c>
      <c r="K253" s="117" t="e">
        <f>Simulações!#REF!</f>
        <v>#REF!</v>
      </c>
      <c r="L253" s="117" t="e">
        <f>Simulações!#REF!</f>
        <v>#REF!</v>
      </c>
      <c r="M253" s="114" t="e">
        <f>IF(Simulações!#REF!="","",Simulações!#REF!)</f>
        <v>#REF!</v>
      </c>
      <c r="N253" s="114" t="e">
        <f>IF(Simulações!#REF!="","",Simulações!#REF!)</f>
        <v>#REF!</v>
      </c>
      <c r="O253" s="114">
        <v>1</v>
      </c>
    </row>
    <row r="254" spans="1:15" ht="15.75" hidden="1" customHeight="1" x14ac:dyDescent="0.3">
      <c r="A254" s="124" t="e">
        <f>Simulações!#REF!</f>
        <v>#REF!</v>
      </c>
      <c r="B254" s="114" t="e">
        <f>Simulações!#REF!</f>
        <v>#REF!</v>
      </c>
      <c r="C254" s="125" t="e">
        <f>Simulações!#REF!</f>
        <v>#REF!</v>
      </c>
      <c r="D254" s="114" t="e">
        <f>Simulações!#REF!</f>
        <v>#REF!</v>
      </c>
      <c r="E254" s="114" t="e">
        <f>Simulações!#REF!</f>
        <v>#REF!</v>
      </c>
      <c r="F254" s="114" t="e">
        <f>Simulações!#REF!</f>
        <v>#REF!</v>
      </c>
      <c r="G254" s="114" t="e">
        <f>Simulações!#REF!</f>
        <v>#REF!</v>
      </c>
      <c r="H254" s="114" t="e">
        <f>Simulações!#REF!</f>
        <v>#REF!</v>
      </c>
      <c r="I254" s="114" t="e">
        <f>IF(Simulações!#REF!="","",Simulações!#REF!)</f>
        <v>#REF!</v>
      </c>
      <c r="J254" s="114" t="e">
        <f>IF(Simulações!#REF!="","",Simulações!#REF!)</f>
        <v>#REF!</v>
      </c>
      <c r="K254" s="117" t="e">
        <f>Simulações!#REF!</f>
        <v>#REF!</v>
      </c>
      <c r="L254" s="117" t="e">
        <f>Simulações!#REF!</f>
        <v>#REF!</v>
      </c>
      <c r="M254" s="114" t="e">
        <f>IF(Simulações!#REF!="","",Simulações!#REF!)</f>
        <v>#REF!</v>
      </c>
      <c r="N254" s="114" t="e">
        <f>IF(Simulações!#REF!="","",Simulações!#REF!)</f>
        <v>#REF!</v>
      </c>
      <c r="O254" s="114">
        <v>1</v>
      </c>
    </row>
    <row r="255" spans="1:15" ht="15.75" hidden="1" customHeight="1" x14ac:dyDescent="0.3">
      <c r="A255" s="124" t="e">
        <f>Simulações!#REF!</f>
        <v>#REF!</v>
      </c>
      <c r="B255" s="114" t="e">
        <f>Simulações!#REF!</f>
        <v>#REF!</v>
      </c>
      <c r="C255" s="125" t="e">
        <f>Simulações!#REF!</f>
        <v>#REF!</v>
      </c>
      <c r="D255" s="114" t="e">
        <f>Simulações!#REF!</f>
        <v>#REF!</v>
      </c>
      <c r="E255" s="114" t="e">
        <f>Simulações!#REF!</f>
        <v>#REF!</v>
      </c>
      <c r="F255" s="114" t="e">
        <f>Simulações!#REF!</f>
        <v>#REF!</v>
      </c>
      <c r="G255" s="114" t="e">
        <f>Simulações!#REF!</f>
        <v>#REF!</v>
      </c>
      <c r="H255" s="114" t="e">
        <f>Simulações!#REF!</f>
        <v>#REF!</v>
      </c>
      <c r="I255" s="114" t="e">
        <f>IF(Simulações!#REF!="","",Simulações!#REF!)</f>
        <v>#REF!</v>
      </c>
      <c r="J255" s="114" t="e">
        <f>IF(Simulações!#REF!="","",Simulações!#REF!)</f>
        <v>#REF!</v>
      </c>
      <c r="K255" s="117" t="e">
        <f>Simulações!#REF!</f>
        <v>#REF!</v>
      </c>
      <c r="L255" s="117" t="e">
        <f>Simulações!#REF!</f>
        <v>#REF!</v>
      </c>
      <c r="M255" s="114" t="e">
        <f>IF(Simulações!#REF!="","",Simulações!#REF!)</f>
        <v>#REF!</v>
      </c>
      <c r="N255" s="114" t="e">
        <f>IF(Simulações!#REF!="","",Simulações!#REF!)</f>
        <v>#REF!</v>
      </c>
      <c r="O255" s="114">
        <v>1</v>
      </c>
    </row>
    <row r="256" spans="1:15" ht="15.75" hidden="1" customHeight="1" x14ac:dyDescent="0.3">
      <c r="A256" s="124" t="e">
        <f>Simulações!#REF!</f>
        <v>#REF!</v>
      </c>
      <c r="B256" s="114" t="e">
        <f>Simulações!#REF!</f>
        <v>#REF!</v>
      </c>
      <c r="C256" s="125" t="e">
        <f>Simulações!#REF!</f>
        <v>#REF!</v>
      </c>
      <c r="D256" s="114" t="e">
        <f>Simulações!#REF!</f>
        <v>#REF!</v>
      </c>
      <c r="E256" s="114" t="e">
        <f>Simulações!#REF!</f>
        <v>#REF!</v>
      </c>
      <c r="F256" s="114" t="e">
        <f>Simulações!#REF!</f>
        <v>#REF!</v>
      </c>
      <c r="G256" s="114" t="e">
        <f>Simulações!#REF!</f>
        <v>#REF!</v>
      </c>
      <c r="H256" s="114" t="e">
        <f>Simulações!#REF!</f>
        <v>#REF!</v>
      </c>
      <c r="I256" s="114" t="e">
        <f>IF(Simulações!#REF!="","",Simulações!#REF!)</f>
        <v>#REF!</v>
      </c>
      <c r="J256" s="114" t="e">
        <f>IF(Simulações!#REF!="","",Simulações!#REF!)</f>
        <v>#REF!</v>
      </c>
      <c r="K256" s="117" t="e">
        <f>Simulações!#REF!</f>
        <v>#REF!</v>
      </c>
      <c r="L256" s="117" t="e">
        <f>Simulações!#REF!</f>
        <v>#REF!</v>
      </c>
      <c r="M256" s="114" t="e">
        <f>IF(Simulações!#REF!="","",Simulações!#REF!)</f>
        <v>#REF!</v>
      </c>
      <c r="N256" s="114" t="e">
        <f>IF(Simulações!#REF!="","",Simulações!#REF!)</f>
        <v>#REF!</v>
      </c>
      <c r="O256" s="114">
        <v>1</v>
      </c>
    </row>
    <row r="257" spans="1:15" ht="15.75" hidden="1" customHeight="1" x14ac:dyDescent="0.3">
      <c r="A257" s="124" t="e">
        <f>Simulações!#REF!</f>
        <v>#REF!</v>
      </c>
      <c r="B257" s="114" t="e">
        <f>Simulações!#REF!</f>
        <v>#REF!</v>
      </c>
      <c r="C257" s="125" t="e">
        <f>Simulações!#REF!</f>
        <v>#REF!</v>
      </c>
      <c r="D257" s="114" t="e">
        <f>Simulações!#REF!</f>
        <v>#REF!</v>
      </c>
      <c r="E257" s="114" t="e">
        <f>Simulações!#REF!</f>
        <v>#REF!</v>
      </c>
      <c r="F257" s="114" t="e">
        <f>Simulações!#REF!</f>
        <v>#REF!</v>
      </c>
      <c r="G257" s="114" t="e">
        <f>Simulações!#REF!</f>
        <v>#REF!</v>
      </c>
      <c r="H257" s="114" t="e">
        <f>Simulações!#REF!</f>
        <v>#REF!</v>
      </c>
      <c r="I257" s="114" t="e">
        <f>IF(Simulações!#REF!="","",Simulações!#REF!)</f>
        <v>#REF!</v>
      </c>
      <c r="J257" s="114" t="e">
        <f>IF(Simulações!#REF!="","",Simulações!#REF!)</f>
        <v>#REF!</v>
      </c>
      <c r="K257" s="117" t="e">
        <f>Simulações!#REF!</f>
        <v>#REF!</v>
      </c>
      <c r="L257" s="117" t="e">
        <f>Simulações!#REF!</f>
        <v>#REF!</v>
      </c>
      <c r="M257" s="114" t="e">
        <f>IF(Simulações!#REF!="","",Simulações!#REF!)</f>
        <v>#REF!</v>
      </c>
      <c r="N257" s="114" t="e">
        <f>IF(Simulações!#REF!="","",Simulações!#REF!)</f>
        <v>#REF!</v>
      </c>
      <c r="O257" s="114">
        <v>1</v>
      </c>
    </row>
    <row r="258" spans="1:15" ht="15.75" hidden="1" customHeight="1" x14ac:dyDescent="0.3">
      <c r="A258" s="124" t="e">
        <f>Simulações!#REF!</f>
        <v>#REF!</v>
      </c>
      <c r="B258" s="114" t="e">
        <f>Simulações!#REF!</f>
        <v>#REF!</v>
      </c>
      <c r="C258" s="125" t="e">
        <f>Simulações!#REF!</f>
        <v>#REF!</v>
      </c>
      <c r="D258" s="114" t="e">
        <f>Simulações!#REF!</f>
        <v>#REF!</v>
      </c>
      <c r="E258" s="114" t="e">
        <f>Simulações!#REF!</f>
        <v>#REF!</v>
      </c>
      <c r="F258" s="114" t="e">
        <f>Simulações!#REF!</f>
        <v>#REF!</v>
      </c>
      <c r="G258" s="114" t="e">
        <f>Simulações!#REF!</f>
        <v>#REF!</v>
      </c>
      <c r="H258" s="114" t="e">
        <f>Simulações!#REF!</f>
        <v>#REF!</v>
      </c>
      <c r="I258" s="114" t="e">
        <f>IF(Simulações!#REF!="","",Simulações!#REF!)</f>
        <v>#REF!</v>
      </c>
      <c r="J258" s="114" t="e">
        <f>IF(Simulações!#REF!="","",Simulações!#REF!)</f>
        <v>#REF!</v>
      </c>
      <c r="K258" s="117" t="e">
        <f>Simulações!#REF!</f>
        <v>#REF!</v>
      </c>
      <c r="L258" s="117" t="e">
        <f>Simulações!#REF!</f>
        <v>#REF!</v>
      </c>
      <c r="M258" s="114" t="e">
        <f>IF(Simulações!#REF!="","",Simulações!#REF!)</f>
        <v>#REF!</v>
      </c>
      <c r="N258" s="114" t="e">
        <f>IF(Simulações!#REF!="","",Simulações!#REF!)</f>
        <v>#REF!</v>
      </c>
      <c r="O258" s="114">
        <v>1</v>
      </c>
    </row>
    <row r="259" spans="1:15" ht="15.75" hidden="1" customHeight="1" x14ac:dyDescent="0.3">
      <c r="A259" s="124" t="e">
        <f>Simulações!#REF!</f>
        <v>#REF!</v>
      </c>
      <c r="B259" s="114" t="e">
        <f>Simulações!#REF!</f>
        <v>#REF!</v>
      </c>
      <c r="C259" s="125" t="e">
        <f>Simulações!#REF!</f>
        <v>#REF!</v>
      </c>
      <c r="D259" s="114" t="e">
        <f>Simulações!#REF!</f>
        <v>#REF!</v>
      </c>
      <c r="E259" s="114" t="e">
        <f>Simulações!#REF!</f>
        <v>#REF!</v>
      </c>
      <c r="F259" s="114" t="e">
        <f>Simulações!#REF!</f>
        <v>#REF!</v>
      </c>
      <c r="G259" s="114" t="e">
        <f>Simulações!#REF!</f>
        <v>#REF!</v>
      </c>
      <c r="H259" s="114" t="e">
        <f>Simulações!#REF!</f>
        <v>#REF!</v>
      </c>
      <c r="I259" s="114" t="e">
        <f>IF(Simulações!#REF!="","",Simulações!#REF!)</f>
        <v>#REF!</v>
      </c>
      <c r="J259" s="114" t="e">
        <f>IF(Simulações!#REF!="","",Simulações!#REF!)</f>
        <v>#REF!</v>
      </c>
      <c r="K259" s="117" t="e">
        <f>Simulações!#REF!</f>
        <v>#REF!</v>
      </c>
      <c r="L259" s="117" t="e">
        <f>Simulações!#REF!</f>
        <v>#REF!</v>
      </c>
      <c r="M259" s="114" t="e">
        <f>IF(Simulações!#REF!="","",Simulações!#REF!)</f>
        <v>#REF!</v>
      </c>
      <c r="N259" s="114" t="e">
        <f>IF(Simulações!#REF!="","",Simulações!#REF!)</f>
        <v>#REF!</v>
      </c>
      <c r="O259" s="114">
        <v>1</v>
      </c>
    </row>
    <row r="260" spans="1:15" ht="15.75" hidden="1" customHeight="1" x14ac:dyDescent="0.3">
      <c r="A260" s="124" t="e">
        <f>Simulações!#REF!</f>
        <v>#REF!</v>
      </c>
      <c r="B260" s="114" t="e">
        <f>Simulações!#REF!</f>
        <v>#REF!</v>
      </c>
      <c r="C260" s="125" t="e">
        <f>Simulações!#REF!</f>
        <v>#REF!</v>
      </c>
      <c r="D260" s="114" t="e">
        <f>Simulações!#REF!</f>
        <v>#REF!</v>
      </c>
      <c r="E260" s="114" t="e">
        <f>Simulações!#REF!</f>
        <v>#REF!</v>
      </c>
      <c r="F260" s="114" t="e">
        <f>Simulações!#REF!</f>
        <v>#REF!</v>
      </c>
      <c r="G260" s="114" t="e">
        <f>Simulações!#REF!</f>
        <v>#REF!</v>
      </c>
      <c r="H260" s="114" t="e">
        <f>Simulações!#REF!</f>
        <v>#REF!</v>
      </c>
      <c r="I260" s="114" t="e">
        <f>IF(Simulações!#REF!="","",Simulações!#REF!)</f>
        <v>#REF!</v>
      </c>
      <c r="J260" s="114" t="e">
        <f>IF(Simulações!#REF!="","",Simulações!#REF!)</f>
        <v>#REF!</v>
      </c>
      <c r="K260" s="117" t="e">
        <f>Simulações!#REF!</f>
        <v>#REF!</v>
      </c>
      <c r="L260" s="117" t="e">
        <f>Simulações!#REF!</f>
        <v>#REF!</v>
      </c>
      <c r="M260" s="114" t="e">
        <f>IF(Simulações!#REF!="","",Simulações!#REF!)</f>
        <v>#REF!</v>
      </c>
      <c r="N260" s="114" t="e">
        <f>IF(Simulações!#REF!="","",Simulações!#REF!)</f>
        <v>#REF!</v>
      </c>
      <c r="O260" s="114">
        <v>1</v>
      </c>
    </row>
    <row r="261" spans="1:15" ht="15.75" hidden="1" customHeight="1" x14ac:dyDescent="0.3">
      <c r="A261" s="124" t="e">
        <f>Simulações!#REF!</f>
        <v>#REF!</v>
      </c>
      <c r="B261" s="114" t="e">
        <f>Simulações!#REF!</f>
        <v>#REF!</v>
      </c>
      <c r="C261" s="125" t="e">
        <f>Simulações!#REF!</f>
        <v>#REF!</v>
      </c>
      <c r="D261" s="114" t="e">
        <f>Simulações!#REF!</f>
        <v>#REF!</v>
      </c>
      <c r="E261" s="114" t="e">
        <f>Simulações!#REF!</f>
        <v>#REF!</v>
      </c>
      <c r="F261" s="114" t="e">
        <f>Simulações!#REF!</f>
        <v>#REF!</v>
      </c>
      <c r="G261" s="114" t="e">
        <f>Simulações!#REF!</f>
        <v>#REF!</v>
      </c>
      <c r="H261" s="114" t="e">
        <f>Simulações!#REF!</f>
        <v>#REF!</v>
      </c>
      <c r="I261" s="114" t="e">
        <f>IF(Simulações!#REF!="","",Simulações!#REF!)</f>
        <v>#REF!</v>
      </c>
      <c r="J261" s="114" t="e">
        <f>IF(Simulações!#REF!="","",Simulações!#REF!)</f>
        <v>#REF!</v>
      </c>
      <c r="K261" s="117" t="e">
        <f>Simulações!#REF!</f>
        <v>#REF!</v>
      </c>
      <c r="L261" s="117" t="e">
        <f>Simulações!#REF!</f>
        <v>#REF!</v>
      </c>
      <c r="M261" s="114" t="e">
        <f>IF(Simulações!#REF!="","",Simulações!#REF!)</f>
        <v>#REF!</v>
      </c>
      <c r="N261" s="114" t="e">
        <f>IF(Simulações!#REF!="","",Simulações!#REF!)</f>
        <v>#REF!</v>
      </c>
      <c r="O261" s="114">
        <v>1</v>
      </c>
    </row>
    <row r="262" spans="1:15" ht="15.75" hidden="1" customHeight="1" x14ac:dyDescent="0.3">
      <c r="A262" s="124" t="e">
        <f>Simulações!#REF!</f>
        <v>#REF!</v>
      </c>
      <c r="B262" s="114" t="e">
        <f>Simulações!#REF!</f>
        <v>#REF!</v>
      </c>
      <c r="C262" s="125" t="e">
        <f>Simulações!#REF!</f>
        <v>#REF!</v>
      </c>
      <c r="D262" s="114" t="e">
        <f>Simulações!#REF!</f>
        <v>#REF!</v>
      </c>
      <c r="E262" s="114" t="e">
        <f>Simulações!#REF!</f>
        <v>#REF!</v>
      </c>
      <c r="F262" s="114" t="e">
        <f>Simulações!#REF!</f>
        <v>#REF!</v>
      </c>
      <c r="G262" s="114" t="e">
        <f>Simulações!#REF!</f>
        <v>#REF!</v>
      </c>
      <c r="H262" s="114" t="e">
        <f>Simulações!#REF!</f>
        <v>#REF!</v>
      </c>
      <c r="I262" s="114" t="e">
        <f>IF(Simulações!#REF!="","",Simulações!#REF!)</f>
        <v>#REF!</v>
      </c>
      <c r="J262" s="114" t="e">
        <f>IF(Simulações!#REF!="","",Simulações!#REF!)</f>
        <v>#REF!</v>
      </c>
      <c r="K262" s="117" t="e">
        <f>Simulações!#REF!</f>
        <v>#REF!</v>
      </c>
      <c r="L262" s="117" t="e">
        <f>Simulações!#REF!</f>
        <v>#REF!</v>
      </c>
      <c r="M262" s="114" t="e">
        <f>IF(Simulações!#REF!="","",Simulações!#REF!)</f>
        <v>#REF!</v>
      </c>
      <c r="N262" s="114" t="e">
        <f>IF(Simulações!#REF!="","",Simulações!#REF!)</f>
        <v>#REF!</v>
      </c>
      <c r="O262" s="114">
        <v>1</v>
      </c>
    </row>
    <row r="263" spans="1:15" ht="15.75" hidden="1" customHeight="1" x14ac:dyDescent="0.3">
      <c r="A263" s="124" t="e">
        <f>Simulações!#REF!</f>
        <v>#REF!</v>
      </c>
      <c r="B263" s="114" t="e">
        <f>Simulações!#REF!</f>
        <v>#REF!</v>
      </c>
      <c r="C263" s="125" t="e">
        <f>Simulações!#REF!</f>
        <v>#REF!</v>
      </c>
      <c r="D263" s="114" t="e">
        <f>Simulações!#REF!</f>
        <v>#REF!</v>
      </c>
      <c r="E263" s="114" t="e">
        <f>Simulações!#REF!</f>
        <v>#REF!</v>
      </c>
      <c r="F263" s="114" t="e">
        <f>Simulações!#REF!</f>
        <v>#REF!</v>
      </c>
      <c r="G263" s="114" t="e">
        <f>Simulações!#REF!</f>
        <v>#REF!</v>
      </c>
      <c r="H263" s="114" t="e">
        <f>Simulações!#REF!</f>
        <v>#REF!</v>
      </c>
      <c r="I263" s="114" t="e">
        <f>IF(Simulações!#REF!="","",Simulações!#REF!)</f>
        <v>#REF!</v>
      </c>
      <c r="J263" s="114" t="e">
        <f>IF(Simulações!#REF!="","",Simulações!#REF!)</f>
        <v>#REF!</v>
      </c>
      <c r="K263" s="117" t="e">
        <f>Simulações!#REF!</f>
        <v>#REF!</v>
      </c>
      <c r="L263" s="117" t="e">
        <f>Simulações!#REF!</f>
        <v>#REF!</v>
      </c>
      <c r="M263" s="114" t="e">
        <f>IF(Simulações!#REF!="","",Simulações!#REF!)</f>
        <v>#REF!</v>
      </c>
      <c r="N263" s="114" t="e">
        <f>IF(Simulações!#REF!="","",Simulações!#REF!)</f>
        <v>#REF!</v>
      </c>
      <c r="O263" s="114">
        <v>1</v>
      </c>
    </row>
    <row r="264" spans="1:15" ht="15.75" hidden="1" customHeight="1" x14ac:dyDescent="0.3">
      <c r="A264" s="124" t="e">
        <f>Simulações!#REF!</f>
        <v>#REF!</v>
      </c>
      <c r="B264" s="114" t="e">
        <f>Simulações!#REF!</f>
        <v>#REF!</v>
      </c>
      <c r="C264" s="125" t="e">
        <f>Simulações!#REF!</f>
        <v>#REF!</v>
      </c>
      <c r="D264" s="114" t="e">
        <f>Simulações!#REF!</f>
        <v>#REF!</v>
      </c>
      <c r="E264" s="114" t="e">
        <f>Simulações!#REF!</f>
        <v>#REF!</v>
      </c>
      <c r="F264" s="114" t="e">
        <f>Simulações!#REF!</f>
        <v>#REF!</v>
      </c>
      <c r="G264" s="114" t="e">
        <f>Simulações!#REF!</f>
        <v>#REF!</v>
      </c>
      <c r="H264" s="114" t="e">
        <f>Simulações!#REF!</f>
        <v>#REF!</v>
      </c>
      <c r="I264" s="114" t="e">
        <f>IF(Simulações!#REF!="","",Simulações!#REF!)</f>
        <v>#REF!</v>
      </c>
      <c r="J264" s="114" t="e">
        <f>IF(Simulações!#REF!="","",Simulações!#REF!)</f>
        <v>#REF!</v>
      </c>
      <c r="K264" s="117" t="e">
        <f>Simulações!#REF!</f>
        <v>#REF!</v>
      </c>
      <c r="L264" s="117" t="e">
        <f>Simulações!#REF!</f>
        <v>#REF!</v>
      </c>
      <c r="M264" s="114" t="e">
        <f>IF(Simulações!#REF!="","",Simulações!#REF!)</f>
        <v>#REF!</v>
      </c>
      <c r="N264" s="114" t="e">
        <f>IF(Simulações!#REF!="","",Simulações!#REF!)</f>
        <v>#REF!</v>
      </c>
      <c r="O264" s="114">
        <v>1</v>
      </c>
    </row>
    <row r="265" spans="1:15" ht="15.75" hidden="1" customHeight="1" x14ac:dyDescent="0.3">
      <c r="A265" s="124" t="e">
        <f>Simulações!#REF!</f>
        <v>#REF!</v>
      </c>
      <c r="B265" s="114" t="e">
        <f>Simulações!#REF!</f>
        <v>#REF!</v>
      </c>
      <c r="C265" s="125" t="e">
        <f>Simulações!#REF!</f>
        <v>#REF!</v>
      </c>
      <c r="D265" s="114" t="e">
        <f>Simulações!#REF!</f>
        <v>#REF!</v>
      </c>
      <c r="E265" s="114" t="e">
        <f>Simulações!#REF!</f>
        <v>#REF!</v>
      </c>
      <c r="F265" s="114" t="e">
        <f>Simulações!#REF!</f>
        <v>#REF!</v>
      </c>
      <c r="G265" s="114" t="e">
        <f>Simulações!#REF!</f>
        <v>#REF!</v>
      </c>
      <c r="H265" s="114" t="e">
        <f>Simulações!#REF!</f>
        <v>#REF!</v>
      </c>
      <c r="I265" s="114" t="e">
        <f>IF(Simulações!#REF!="","",Simulações!#REF!)</f>
        <v>#REF!</v>
      </c>
      <c r="J265" s="114" t="e">
        <f>IF(Simulações!#REF!="","",Simulações!#REF!)</f>
        <v>#REF!</v>
      </c>
      <c r="K265" s="117" t="e">
        <f>Simulações!#REF!</f>
        <v>#REF!</v>
      </c>
      <c r="L265" s="117" t="e">
        <f>Simulações!#REF!</f>
        <v>#REF!</v>
      </c>
      <c r="M265" s="114" t="e">
        <f>IF(Simulações!#REF!="","",Simulações!#REF!)</f>
        <v>#REF!</v>
      </c>
      <c r="N265" s="114" t="e">
        <f>IF(Simulações!#REF!="","",Simulações!#REF!)</f>
        <v>#REF!</v>
      </c>
      <c r="O265" s="114">
        <v>1</v>
      </c>
    </row>
    <row r="266" spans="1:15" ht="15.75" hidden="1" customHeight="1" x14ac:dyDescent="0.3">
      <c r="A266" s="124" t="e">
        <f>Simulações!#REF!</f>
        <v>#REF!</v>
      </c>
      <c r="B266" s="114" t="e">
        <f>Simulações!#REF!</f>
        <v>#REF!</v>
      </c>
      <c r="C266" s="125" t="e">
        <f>Simulações!#REF!</f>
        <v>#REF!</v>
      </c>
      <c r="D266" s="114" t="e">
        <f>Simulações!#REF!</f>
        <v>#REF!</v>
      </c>
      <c r="E266" s="114" t="e">
        <f>Simulações!#REF!</f>
        <v>#REF!</v>
      </c>
      <c r="F266" s="114" t="e">
        <f>Simulações!#REF!</f>
        <v>#REF!</v>
      </c>
      <c r="G266" s="114" t="e">
        <f>Simulações!#REF!</f>
        <v>#REF!</v>
      </c>
      <c r="H266" s="114" t="e">
        <f>Simulações!#REF!</f>
        <v>#REF!</v>
      </c>
      <c r="I266" s="114" t="e">
        <f>IF(Simulações!#REF!="","",Simulações!#REF!)</f>
        <v>#REF!</v>
      </c>
      <c r="J266" s="114" t="e">
        <f>IF(Simulações!#REF!="","",Simulações!#REF!)</f>
        <v>#REF!</v>
      </c>
      <c r="K266" s="117" t="e">
        <f>Simulações!#REF!</f>
        <v>#REF!</v>
      </c>
      <c r="L266" s="117" t="e">
        <f>Simulações!#REF!</f>
        <v>#REF!</v>
      </c>
      <c r="M266" s="114" t="e">
        <f>IF(Simulações!#REF!="","",Simulações!#REF!)</f>
        <v>#REF!</v>
      </c>
      <c r="N266" s="114" t="e">
        <f>IF(Simulações!#REF!="","",Simulações!#REF!)</f>
        <v>#REF!</v>
      </c>
      <c r="O266" s="114">
        <v>1</v>
      </c>
    </row>
    <row r="267" spans="1:15" ht="15.75" hidden="1" customHeight="1" x14ac:dyDescent="0.3">
      <c r="A267" s="124" t="e">
        <f>Simulações!#REF!</f>
        <v>#REF!</v>
      </c>
      <c r="B267" s="114" t="e">
        <f>Simulações!#REF!</f>
        <v>#REF!</v>
      </c>
      <c r="C267" s="125" t="e">
        <f>Simulações!#REF!</f>
        <v>#REF!</v>
      </c>
      <c r="D267" s="114" t="e">
        <f>Simulações!#REF!</f>
        <v>#REF!</v>
      </c>
      <c r="E267" s="114" t="e">
        <f>Simulações!#REF!</f>
        <v>#REF!</v>
      </c>
      <c r="F267" s="114" t="e">
        <f>Simulações!#REF!</f>
        <v>#REF!</v>
      </c>
      <c r="G267" s="114" t="e">
        <f>Simulações!#REF!</f>
        <v>#REF!</v>
      </c>
      <c r="H267" s="114" t="e">
        <f>Simulações!#REF!</f>
        <v>#REF!</v>
      </c>
      <c r="I267" s="114" t="e">
        <f>IF(Simulações!#REF!="","",Simulações!#REF!)</f>
        <v>#REF!</v>
      </c>
      <c r="J267" s="114" t="e">
        <f>IF(Simulações!#REF!="","",Simulações!#REF!)</f>
        <v>#REF!</v>
      </c>
      <c r="K267" s="117" t="e">
        <f>Simulações!#REF!</f>
        <v>#REF!</v>
      </c>
      <c r="L267" s="117" t="e">
        <f>Simulações!#REF!</f>
        <v>#REF!</v>
      </c>
      <c r="M267" s="114" t="e">
        <f>IF(Simulações!#REF!="","",Simulações!#REF!)</f>
        <v>#REF!</v>
      </c>
      <c r="N267" s="114" t="e">
        <f>IF(Simulações!#REF!="","",Simulações!#REF!)</f>
        <v>#REF!</v>
      </c>
      <c r="O267" s="114">
        <v>1</v>
      </c>
    </row>
    <row r="268" spans="1:15" ht="15.75" hidden="1" customHeight="1" x14ac:dyDescent="0.3">
      <c r="A268" s="124" t="e">
        <f>Simulações!#REF!</f>
        <v>#REF!</v>
      </c>
      <c r="B268" s="114" t="e">
        <f>Simulações!#REF!</f>
        <v>#REF!</v>
      </c>
      <c r="C268" s="125" t="e">
        <f>Simulações!#REF!</f>
        <v>#REF!</v>
      </c>
      <c r="D268" s="114" t="e">
        <f>Simulações!#REF!</f>
        <v>#REF!</v>
      </c>
      <c r="E268" s="114" t="e">
        <f>Simulações!#REF!</f>
        <v>#REF!</v>
      </c>
      <c r="F268" s="114" t="e">
        <f>Simulações!#REF!</f>
        <v>#REF!</v>
      </c>
      <c r="G268" s="114" t="e">
        <f>Simulações!#REF!</f>
        <v>#REF!</v>
      </c>
      <c r="H268" s="114" t="e">
        <f>Simulações!#REF!</f>
        <v>#REF!</v>
      </c>
      <c r="I268" s="114" t="e">
        <f>IF(Simulações!#REF!="","",Simulações!#REF!)</f>
        <v>#REF!</v>
      </c>
      <c r="J268" s="114" t="e">
        <f>IF(Simulações!#REF!="","",Simulações!#REF!)</f>
        <v>#REF!</v>
      </c>
      <c r="K268" s="117" t="e">
        <f>Simulações!#REF!</f>
        <v>#REF!</v>
      </c>
      <c r="L268" s="117" t="e">
        <f>Simulações!#REF!</f>
        <v>#REF!</v>
      </c>
      <c r="M268" s="114" t="e">
        <f>IF(Simulações!#REF!="","",Simulações!#REF!)</f>
        <v>#REF!</v>
      </c>
      <c r="N268" s="114" t="e">
        <f>IF(Simulações!#REF!="","",Simulações!#REF!)</f>
        <v>#REF!</v>
      </c>
      <c r="O268" s="114">
        <v>1</v>
      </c>
    </row>
    <row r="269" spans="1:15" ht="15.75" hidden="1" customHeight="1" x14ac:dyDescent="0.3">
      <c r="A269" s="124" t="e">
        <f>Simulações!#REF!</f>
        <v>#REF!</v>
      </c>
      <c r="B269" s="114" t="e">
        <f>Simulações!#REF!</f>
        <v>#REF!</v>
      </c>
      <c r="C269" s="125" t="e">
        <f>Simulações!#REF!</f>
        <v>#REF!</v>
      </c>
      <c r="D269" s="114" t="e">
        <f>Simulações!#REF!</f>
        <v>#REF!</v>
      </c>
      <c r="E269" s="114" t="e">
        <f>Simulações!#REF!</f>
        <v>#REF!</v>
      </c>
      <c r="F269" s="114" t="e">
        <f>Simulações!#REF!</f>
        <v>#REF!</v>
      </c>
      <c r="G269" s="114" t="e">
        <f>Simulações!#REF!</f>
        <v>#REF!</v>
      </c>
      <c r="H269" s="114" t="e">
        <f>Simulações!#REF!</f>
        <v>#REF!</v>
      </c>
      <c r="I269" s="114" t="e">
        <f>IF(Simulações!#REF!="","",Simulações!#REF!)</f>
        <v>#REF!</v>
      </c>
      <c r="J269" s="114" t="e">
        <f>IF(Simulações!#REF!="","",Simulações!#REF!)</f>
        <v>#REF!</v>
      </c>
      <c r="K269" s="117" t="e">
        <f>Simulações!#REF!</f>
        <v>#REF!</v>
      </c>
      <c r="L269" s="117" t="e">
        <f>Simulações!#REF!</f>
        <v>#REF!</v>
      </c>
      <c r="M269" s="114" t="e">
        <f>IF(Simulações!#REF!="","",Simulações!#REF!)</f>
        <v>#REF!</v>
      </c>
      <c r="N269" s="114" t="e">
        <f>IF(Simulações!#REF!="","",Simulações!#REF!)</f>
        <v>#REF!</v>
      </c>
      <c r="O269" s="114">
        <v>1</v>
      </c>
    </row>
    <row r="270" spans="1:15" ht="15.75" hidden="1" customHeight="1" x14ac:dyDescent="0.3">
      <c r="A270" s="124" t="e">
        <f>Simulações!#REF!</f>
        <v>#REF!</v>
      </c>
      <c r="B270" s="114" t="e">
        <f>Simulações!#REF!</f>
        <v>#REF!</v>
      </c>
      <c r="C270" s="125" t="e">
        <f>Simulações!#REF!</f>
        <v>#REF!</v>
      </c>
      <c r="D270" s="114" t="e">
        <f>Simulações!#REF!</f>
        <v>#REF!</v>
      </c>
      <c r="E270" s="114" t="e">
        <f>Simulações!#REF!</f>
        <v>#REF!</v>
      </c>
      <c r="F270" s="114" t="e">
        <f>Simulações!#REF!</f>
        <v>#REF!</v>
      </c>
      <c r="G270" s="114" t="e">
        <f>Simulações!#REF!</f>
        <v>#REF!</v>
      </c>
      <c r="H270" s="114" t="e">
        <f>Simulações!#REF!</f>
        <v>#REF!</v>
      </c>
      <c r="I270" s="114" t="e">
        <f>IF(Simulações!#REF!="","",Simulações!#REF!)</f>
        <v>#REF!</v>
      </c>
      <c r="J270" s="114" t="e">
        <f>IF(Simulações!#REF!="","",Simulações!#REF!)</f>
        <v>#REF!</v>
      </c>
      <c r="K270" s="117" t="e">
        <f>Simulações!#REF!</f>
        <v>#REF!</v>
      </c>
      <c r="L270" s="117" t="e">
        <f>Simulações!#REF!</f>
        <v>#REF!</v>
      </c>
      <c r="M270" s="114" t="e">
        <f>IF(Simulações!#REF!="","",Simulações!#REF!)</f>
        <v>#REF!</v>
      </c>
      <c r="N270" s="114" t="e">
        <f>IF(Simulações!#REF!="","",Simulações!#REF!)</f>
        <v>#REF!</v>
      </c>
      <c r="O270" s="114">
        <v>1</v>
      </c>
    </row>
    <row r="271" spans="1:15" ht="15.75" hidden="1" customHeight="1" x14ac:dyDescent="0.3">
      <c r="A271" s="124" t="e">
        <f>Simulações!#REF!</f>
        <v>#REF!</v>
      </c>
      <c r="B271" s="114" t="e">
        <f>Simulações!#REF!</f>
        <v>#REF!</v>
      </c>
      <c r="C271" s="125" t="e">
        <f>Simulações!#REF!</f>
        <v>#REF!</v>
      </c>
      <c r="D271" s="114" t="e">
        <f>Simulações!#REF!</f>
        <v>#REF!</v>
      </c>
      <c r="E271" s="114" t="e">
        <f>Simulações!#REF!</f>
        <v>#REF!</v>
      </c>
      <c r="F271" s="114" t="e">
        <f>Simulações!#REF!</f>
        <v>#REF!</v>
      </c>
      <c r="G271" s="114" t="e">
        <f>Simulações!#REF!</f>
        <v>#REF!</v>
      </c>
      <c r="H271" s="114" t="e">
        <f>Simulações!#REF!</f>
        <v>#REF!</v>
      </c>
      <c r="I271" s="114" t="e">
        <f>IF(Simulações!#REF!="","",Simulações!#REF!)</f>
        <v>#REF!</v>
      </c>
      <c r="J271" s="114" t="e">
        <f>IF(Simulações!#REF!="","",Simulações!#REF!)</f>
        <v>#REF!</v>
      </c>
      <c r="K271" s="117" t="e">
        <f>Simulações!#REF!</f>
        <v>#REF!</v>
      </c>
      <c r="L271" s="117" t="e">
        <f>Simulações!#REF!</f>
        <v>#REF!</v>
      </c>
      <c r="M271" s="114" t="e">
        <f>IF(Simulações!#REF!="","",Simulações!#REF!)</f>
        <v>#REF!</v>
      </c>
      <c r="N271" s="114" t="e">
        <f>IF(Simulações!#REF!="","",Simulações!#REF!)</f>
        <v>#REF!</v>
      </c>
      <c r="O271" s="114">
        <v>1</v>
      </c>
    </row>
    <row r="272" spans="1:15" ht="15.75" hidden="1" customHeight="1" x14ac:dyDescent="0.3">
      <c r="A272" s="124" t="e">
        <f>Simulações!#REF!</f>
        <v>#REF!</v>
      </c>
      <c r="B272" s="114" t="e">
        <f>Simulações!#REF!</f>
        <v>#REF!</v>
      </c>
      <c r="C272" s="125" t="e">
        <f>Simulações!#REF!</f>
        <v>#REF!</v>
      </c>
      <c r="D272" s="114" t="e">
        <f>Simulações!#REF!</f>
        <v>#REF!</v>
      </c>
      <c r="E272" s="114" t="e">
        <f>Simulações!#REF!</f>
        <v>#REF!</v>
      </c>
      <c r="F272" s="114" t="e">
        <f>Simulações!#REF!</f>
        <v>#REF!</v>
      </c>
      <c r="G272" s="114" t="e">
        <f>Simulações!#REF!</f>
        <v>#REF!</v>
      </c>
      <c r="H272" s="114" t="e">
        <f>Simulações!#REF!</f>
        <v>#REF!</v>
      </c>
      <c r="I272" s="114" t="e">
        <f>IF(Simulações!#REF!="","",Simulações!#REF!)</f>
        <v>#REF!</v>
      </c>
      <c r="J272" s="114" t="e">
        <f>IF(Simulações!#REF!="","",Simulações!#REF!)</f>
        <v>#REF!</v>
      </c>
      <c r="K272" s="117" t="e">
        <f>Simulações!#REF!</f>
        <v>#REF!</v>
      </c>
      <c r="L272" s="117" t="e">
        <f>Simulações!#REF!</f>
        <v>#REF!</v>
      </c>
      <c r="M272" s="114" t="e">
        <f>IF(Simulações!#REF!="","",Simulações!#REF!)</f>
        <v>#REF!</v>
      </c>
      <c r="N272" s="114" t="e">
        <f>IF(Simulações!#REF!="","",Simulações!#REF!)</f>
        <v>#REF!</v>
      </c>
      <c r="O272" s="114">
        <v>1</v>
      </c>
    </row>
    <row r="273" spans="1:15" ht="15.75" hidden="1" customHeight="1" x14ac:dyDescent="0.3">
      <c r="A273" s="124" t="e">
        <f>Simulações!#REF!</f>
        <v>#REF!</v>
      </c>
      <c r="B273" s="114" t="e">
        <f>Simulações!#REF!</f>
        <v>#REF!</v>
      </c>
      <c r="C273" s="125" t="e">
        <f>Simulações!#REF!</f>
        <v>#REF!</v>
      </c>
      <c r="D273" s="114" t="e">
        <f>Simulações!#REF!</f>
        <v>#REF!</v>
      </c>
      <c r="E273" s="114" t="e">
        <f>Simulações!#REF!</f>
        <v>#REF!</v>
      </c>
      <c r="F273" s="114" t="e">
        <f>Simulações!#REF!</f>
        <v>#REF!</v>
      </c>
      <c r="G273" s="114" t="e">
        <f>Simulações!#REF!</f>
        <v>#REF!</v>
      </c>
      <c r="H273" s="114" t="e">
        <f>Simulações!#REF!</f>
        <v>#REF!</v>
      </c>
      <c r="I273" s="114" t="e">
        <f>IF(Simulações!#REF!="","",Simulações!#REF!)</f>
        <v>#REF!</v>
      </c>
      <c r="J273" s="114" t="e">
        <f>IF(Simulações!#REF!="","",Simulações!#REF!)</f>
        <v>#REF!</v>
      </c>
      <c r="K273" s="117" t="e">
        <f>Simulações!#REF!</f>
        <v>#REF!</v>
      </c>
      <c r="L273" s="117" t="e">
        <f>Simulações!#REF!</f>
        <v>#REF!</v>
      </c>
      <c r="M273" s="114" t="e">
        <f>IF(Simulações!#REF!="","",Simulações!#REF!)</f>
        <v>#REF!</v>
      </c>
      <c r="N273" s="114" t="e">
        <f>IF(Simulações!#REF!="","",Simulações!#REF!)</f>
        <v>#REF!</v>
      </c>
      <c r="O273" s="114">
        <v>1</v>
      </c>
    </row>
    <row r="274" spans="1:15" ht="15.75" hidden="1" customHeight="1" x14ac:dyDescent="0.3">
      <c r="A274" s="124" t="e">
        <f>Simulações!#REF!</f>
        <v>#REF!</v>
      </c>
      <c r="B274" s="114" t="e">
        <f>Simulações!#REF!</f>
        <v>#REF!</v>
      </c>
      <c r="C274" s="125" t="e">
        <f>Simulações!#REF!</f>
        <v>#REF!</v>
      </c>
      <c r="D274" s="114" t="e">
        <f>Simulações!#REF!</f>
        <v>#REF!</v>
      </c>
      <c r="E274" s="114" t="e">
        <f>Simulações!#REF!</f>
        <v>#REF!</v>
      </c>
      <c r="F274" s="114" t="e">
        <f>Simulações!#REF!</f>
        <v>#REF!</v>
      </c>
      <c r="G274" s="114" t="e">
        <f>Simulações!#REF!</f>
        <v>#REF!</v>
      </c>
      <c r="H274" s="114" t="e">
        <f>Simulações!#REF!</f>
        <v>#REF!</v>
      </c>
      <c r="I274" s="114" t="e">
        <f>IF(Simulações!#REF!="","",Simulações!#REF!)</f>
        <v>#REF!</v>
      </c>
      <c r="J274" s="114" t="e">
        <f>IF(Simulações!#REF!="","",Simulações!#REF!)</f>
        <v>#REF!</v>
      </c>
      <c r="K274" s="117" t="e">
        <f>Simulações!#REF!</f>
        <v>#REF!</v>
      </c>
      <c r="L274" s="117" t="e">
        <f>Simulações!#REF!</f>
        <v>#REF!</v>
      </c>
      <c r="M274" s="114" t="e">
        <f>IF(Simulações!#REF!="","",Simulações!#REF!)</f>
        <v>#REF!</v>
      </c>
      <c r="N274" s="114" t="e">
        <f>IF(Simulações!#REF!="","",Simulações!#REF!)</f>
        <v>#REF!</v>
      </c>
      <c r="O274" s="114">
        <v>1</v>
      </c>
    </row>
    <row r="275" spans="1:15" ht="15.75" hidden="1" customHeight="1" x14ac:dyDescent="0.3">
      <c r="A275" s="124" t="e">
        <f>Simulações!#REF!</f>
        <v>#REF!</v>
      </c>
      <c r="B275" s="114" t="e">
        <f>Simulações!#REF!</f>
        <v>#REF!</v>
      </c>
      <c r="C275" s="125" t="e">
        <f>Simulações!#REF!</f>
        <v>#REF!</v>
      </c>
      <c r="D275" s="114" t="e">
        <f>Simulações!#REF!</f>
        <v>#REF!</v>
      </c>
      <c r="E275" s="114" t="e">
        <f>Simulações!#REF!</f>
        <v>#REF!</v>
      </c>
      <c r="F275" s="114" t="e">
        <f>Simulações!#REF!</f>
        <v>#REF!</v>
      </c>
      <c r="G275" s="114" t="e">
        <f>Simulações!#REF!</f>
        <v>#REF!</v>
      </c>
      <c r="H275" s="114" t="e">
        <f>Simulações!#REF!</f>
        <v>#REF!</v>
      </c>
      <c r="I275" s="114" t="e">
        <f>IF(Simulações!#REF!="","",Simulações!#REF!)</f>
        <v>#REF!</v>
      </c>
      <c r="J275" s="114" t="e">
        <f>IF(Simulações!#REF!="","",Simulações!#REF!)</f>
        <v>#REF!</v>
      </c>
      <c r="K275" s="117" t="e">
        <f>Simulações!#REF!</f>
        <v>#REF!</v>
      </c>
      <c r="L275" s="117" t="e">
        <f>Simulações!#REF!</f>
        <v>#REF!</v>
      </c>
      <c r="M275" s="114" t="e">
        <f>IF(Simulações!#REF!="","",Simulações!#REF!)</f>
        <v>#REF!</v>
      </c>
      <c r="N275" s="114" t="e">
        <f>IF(Simulações!#REF!="","",Simulações!#REF!)</f>
        <v>#REF!</v>
      </c>
      <c r="O275" s="114">
        <v>1</v>
      </c>
    </row>
    <row r="276" spans="1:15" ht="15.75" hidden="1" customHeight="1" x14ac:dyDescent="0.3">
      <c r="A276" s="124" t="e">
        <f>Simulações!#REF!</f>
        <v>#REF!</v>
      </c>
      <c r="B276" s="114" t="e">
        <f>Simulações!#REF!</f>
        <v>#REF!</v>
      </c>
      <c r="C276" s="125" t="e">
        <f>Simulações!#REF!</f>
        <v>#REF!</v>
      </c>
      <c r="D276" s="114" t="e">
        <f>Simulações!#REF!</f>
        <v>#REF!</v>
      </c>
      <c r="E276" s="114" t="e">
        <f>Simulações!#REF!</f>
        <v>#REF!</v>
      </c>
      <c r="F276" s="114" t="e">
        <f>Simulações!#REF!</f>
        <v>#REF!</v>
      </c>
      <c r="G276" s="114" t="e">
        <f>Simulações!#REF!</f>
        <v>#REF!</v>
      </c>
      <c r="H276" s="114" t="e">
        <f>Simulações!#REF!</f>
        <v>#REF!</v>
      </c>
      <c r="I276" s="114" t="e">
        <f>IF(Simulações!#REF!="","",Simulações!#REF!)</f>
        <v>#REF!</v>
      </c>
      <c r="J276" s="114" t="e">
        <f>IF(Simulações!#REF!="","",Simulações!#REF!)</f>
        <v>#REF!</v>
      </c>
      <c r="K276" s="117" t="e">
        <f>Simulações!#REF!</f>
        <v>#REF!</v>
      </c>
      <c r="L276" s="117" t="e">
        <f>Simulações!#REF!</f>
        <v>#REF!</v>
      </c>
      <c r="M276" s="114" t="e">
        <f>IF(Simulações!#REF!="","",Simulações!#REF!)</f>
        <v>#REF!</v>
      </c>
      <c r="N276" s="114" t="e">
        <f>IF(Simulações!#REF!="","",Simulações!#REF!)</f>
        <v>#REF!</v>
      </c>
      <c r="O276" s="114">
        <v>1</v>
      </c>
    </row>
    <row r="277" spans="1:15" ht="15.75" hidden="1" customHeight="1" x14ac:dyDescent="0.3">
      <c r="A277" s="124" t="e">
        <f>Simulações!#REF!</f>
        <v>#REF!</v>
      </c>
      <c r="B277" s="114" t="e">
        <f>Simulações!#REF!</f>
        <v>#REF!</v>
      </c>
      <c r="C277" s="125" t="e">
        <f>Simulações!#REF!</f>
        <v>#REF!</v>
      </c>
      <c r="D277" s="114" t="e">
        <f>Simulações!#REF!</f>
        <v>#REF!</v>
      </c>
      <c r="E277" s="114" t="e">
        <f>Simulações!#REF!</f>
        <v>#REF!</v>
      </c>
      <c r="F277" s="114" t="e">
        <f>Simulações!#REF!</f>
        <v>#REF!</v>
      </c>
      <c r="G277" s="114" t="e">
        <f>Simulações!#REF!</f>
        <v>#REF!</v>
      </c>
      <c r="H277" s="114" t="e">
        <f>Simulações!#REF!</f>
        <v>#REF!</v>
      </c>
      <c r="I277" s="114" t="e">
        <f>IF(Simulações!#REF!="","",Simulações!#REF!)</f>
        <v>#REF!</v>
      </c>
      <c r="J277" s="114" t="e">
        <f>IF(Simulações!#REF!="","",Simulações!#REF!)</f>
        <v>#REF!</v>
      </c>
      <c r="K277" s="117" t="e">
        <f>Simulações!#REF!</f>
        <v>#REF!</v>
      </c>
      <c r="L277" s="117" t="e">
        <f>Simulações!#REF!</f>
        <v>#REF!</v>
      </c>
      <c r="M277" s="114" t="e">
        <f>IF(Simulações!#REF!="","",Simulações!#REF!)</f>
        <v>#REF!</v>
      </c>
      <c r="N277" s="114" t="e">
        <f>IF(Simulações!#REF!="","",Simulações!#REF!)</f>
        <v>#REF!</v>
      </c>
      <c r="O277" s="114">
        <v>1</v>
      </c>
    </row>
    <row r="278" spans="1:15" ht="15.75" hidden="1" customHeight="1" x14ac:dyDescent="0.3">
      <c r="A278" s="124" t="e">
        <f>Simulações!#REF!</f>
        <v>#REF!</v>
      </c>
      <c r="B278" s="114" t="e">
        <f>Simulações!#REF!</f>
        <v>#REF!</v>
      </c>
      <c r="C278" s="125" t="e">
        <f>Simulações!#REF!</f>
        <v>#REF!</v>
      </c>
      <c r="D278" s="114" t="e">
        <f>Simulações!#REF!</f>
        <v>#REF!</v>
      </c>
      <c r="E278" s="114" t="e">
        <f>Simulações!#REF!</f>
        <v>#REF!</v>
      </c>
      <c r="F278" s="114" t="e">
        <f>Simulações!#REF!</f>
        <v>#REF!</v>
      </c>
      <c r="G278" s="114" t="e">
        <f>Simulações!#REF!</f>
        <v>#REF!</v>
      </c>
      <c r="H278" s="114" t="e">
        <f>Simulações!#REF!</f>
        <v>#REF!</v>
      </c>
      <c r="I278" s="114" t="e">
        <f>IF(Simulações!#REF!="","",Simulações!#REF!)</f>
        <v>#REF!</v>
      </c>
      <c r="J278" s="114" t="e">
        <f>IF(Simulações!#REF!="","",Simulações!#REF!)</f>
        <v>#REF!</v>
      </c>
      <c r="K278" s="117" t="e">
        <f>Simulações!#REF!</f>
        <v>#REF!</v>
      </c>
      <c r="L278" s="117" t="e">
        <f>Simulações!#REF!</f>
        <v>#REF!</v>
      </c>
      <c r="M278" s="114" t="e">
        <f>IF(Simulações!#REF!="","",Simulações!#REF!)</f>
        <v>#REF!</v>
      </c>
      <c r="N278" s="114" t="e">
        <f>IF(Simulações!#REF!="","",Simulações!#REF!)</f>
        <v>#REF!</v>
      </c>
      <c r="O278" s="114">
        <v>1</v>
      </c>
    </row>
    <row r="279" spans="1:15" ht="15.75" hidden="1" customHeight="1" x14ac:dyDescent="0.3">
      <c r="A279" s="124" t="e">
        <f>Simulações!#REF!</f>
        <v>#REF!</v>
      </c>
      <c r="B279" s="114" t="e">
        <f>Simulações!#REF!</f>
        <v>#REF!</v>
      </c>
      <c r="C279" s="125" t="e">
        <f>Simulações!#REF!</f>
        <v>#REF!</v>
      </c>
      <c r="D279" s="114" t="e">
        <f>Simulações!#REF!</f>
        <v>#REF!</v>
      </c>
      <c r="E279" s="114" t="e">
        <f>Simulações!#REF!</f>
        <v>#REF!</v>
      </c>
      <c r="F279" s="114" t="e">
        <f>Simulações!#REF!</f>
        <v>#REF!</v>
      </c>
      <c r="G279" s="114" t="e">
        <f>Simulações!#REF!</f>
        <v>#REF!</v>
      </c>
      <c r="H279" s="114" t="e">
        <f>Simulações!#REF!</f>
        <v>#REF!</v>
      </c>
      <c r="I279" s="114" t="e">
        <f>IF(Simulações!#REF!="","",Simulações!#REF!)</f>
        <v>#REF!</v>
      </c>
      <c r="J279" s="114" t="e">
        <f>IF(Simulações!#REF!="","",Simulações!#REF!)</f>
        <v>#REF!</v>
      </c>
      <c r="K279" s="117" t="e">
        <f>Simulações!#REF!</f>
        <v>#REF!</v>
      </c>
      <c r="L279" s="117" t="e">
        <f>Simulações!#REF!</f>
        <v>#REF!</v>
      </c>
      <c r="M279" s="114" t="e">
        <f>IF(Simulações!#REF!="","",Simulações!#REF!)</f>
        <v>#REF!</v>
      </c>
      <c r="N279" s="114" t="e">
        <f>IF(Simulações!#REF!="","",Simulações!#REF!)</f>
        <v>#REF!</v>
      </c>
      <c r="O279" s="114">
        <v>1</v>
      </c>
    </row>
    <row r="280" spans="1:15" ht="15.75" hidden="1" customHeight="1" x14ac:dyDescent="0.3">
      <c r="A280" s="124" t="e">
        <f>Simulações!#REF!</f>
        <v>#REF!</v>
      </c>
      <c r="B280" s="114" t="e">
        <f>Simulações!#REF!</f>
        <v>#REF!</v>
      </c>
      <c r="C280" s="125" t="e">
        <f>Simulações!#REF!</f>
        <v>#REF!</v>
      </c>
      <c r="D280" s="114" t="e">
        <f>Simulações!#REF!</f>
        <v>#REF!</v>
      </c>
      <c r="E280" s="114" t="e">
        <f>Simulações!#REF!</f>
        <v>#REF!</v>
      </c>
      <c r="F280" s="114" t="e">
        <f>Simulações!#REF!</f>
        <v>#REF!</v>
      </c>
      <c r="G280" s="114" t="e">
        <f>Simulações!#REF!</f>
        <v>#REF!</v>
      </c>
      <c r="H280" s="114" t="e">
        <f>Simulações!#REF!</f>
        <v>#REF!</v>
      </c>
      <c r="I280" s="114" t="e">
        <f>IF(Simulações!#REF!="","",Simulações!#REF!)</f>
        <v>#REF!</v>
      </c>
      <c r="J280" s="114" t="e">
        <f>IF(Simulações!#REF!="","",Simulações!#REF!)</f>
        <v>#REF!</v>
      </c>
      <c r="K280" s="117" t="e">
        <f>Simulações!#REF!</f>
        <v>#REF!</v>
      </c>
      <c r="L280" s="117" t="e">
        <f>Simulações!#REF!</f>
        <v>#REF!</v>
      </c>
      <c r="M280" s="114" t="e">
        <f>IF(Simulações!#REF!="","",Simulações!#REF!)</f>
        <v>#REF!</v>
      </c>
      <c r="N280" s="114" t="e">
        <f>IF(Simulações!#REF!="","",Simulações!#REF!)</f>
        <v>#REF!</v>
      </c>
      <c r="O280" s="114">
        <v>1</v>
      </c>
    </row>
    <row r="281" spans="1:15" ht="15.75" hidden="1" customHeight="1" x14ac:dyDescent="0.3">
      <c r="A281" s="124" t="e">
        <f>Simulações!#REF!</f>
        <v>#REF!</v>
      </c>
      <c r="B281" s="114" t="e">
        <f>Simulações!#REF!</f>
        <v>#REF!</v>
      </c>
      <c r="C281" s="125" t="e">
        <f>Simulações!#REF!</f>
        <v>#REF!</v>
      </c>
      <c r="D281" s="114" t="e">
        <f>Simulações!#REF!</f>
        <v>#REF!</v>
      </c>
      <c r="E281" s="114" t="e">
        <f>Simulações!#REF!</f>
        <v>#REF!</v>
      </c>
      <c r="F281" s="114" t="e">
        <f>Simulações!#REF!</f>
        <v>#REF!</v>
      </c>
      <c r="G281" s="114" t="e">
        <f>Simulações!#REF!</f>
        <v>#REF!</v>
      </c>
      <c r="H281" s="114" t="e">
        <f>Simulações!#REF!</f>
        <v>#REF!</v>
      </c>
      <c r="I281" s="114" t="e">
        <f>IF(Simulações!#REF!="","",Simulações!#REF!)</f>
        <v>#REF!</v>
      </c>
      <c r="J281" s="114" t="e">
        <f>IF(Simulações!#REF!="","",Simulações!#REF!)</f>
        <v>#REF!</v>
      </c>
      <c r="K281" s="117" t="e">
        <f>Simulações!#REF!</f>
        <v>#REF!</v>
      </c>
      <c r="L281" s="117" t="e">
        <f>Simulações!#REF!</f>
        <v>#REF!</v>
      </c>
      <c r="M281" s="114" t="e">
        <f>IF(Simulações!#REF!="","",Simulações!#REF!)</f>
        <v>#REF!</v>
      </c>
      <c r="N281" s="114" t="e">
        <f>IF(Simulações!#REF!="","",Simulações!#REF!)</f>
        <v>#REF!</v>
      </c>
      <c r="O281" s="114">
        <v>1</v>
      </c>
    </row>
    <row r="282" spans="1:15" ht="15.75" hidden="1" customHeight="1" x14ac:dyDescent="0.3">
      <c r="A282" s="124" t="e">
        <f>Simulações!#REF!</f>
        <v>#REF!</v>
      </c>
      <c r="B282" s="114" t="e">
        <f>Simulações!#REF!</f>
        <v>#REF!</v>
      </c>
      <c r="C282" s="125" t="e">
        <f>Simulações!#REF!</f>
        <v>#REF!</v>
      </c>
      <c r="D282" s="114" t="e">
        <f>Simulações!#REF!</f>
        <v>#REF!</v>
      </c>
      <c r="E282" s="114" t="e">
        <f>Simulações!#REF!</f>
        <v>#REF!</v>
      </c>
      <c r="F282" s="114" t="e">
        <f>Simulações!#REF!</f>
        <v>#REF!</v>
      </c>
      <c r="G282" s="114" t="e">
        <f>Simulações!#REF!</f>
        <v>#REF!</v>
      </c>
      <c r="H282" s="114" t="e">
        <f>Simulações!#REF!</f>
        <v>#REF!</v>
      </c>
      <c r="I282" s="114" t="e">
        <f>IF(Simulações!#REF!="","",Simulações!#REF!)</f>
        <v>#REF!</v>
      </c>
      <c r="J282" s="114" t="e">
        <f>IF(Simulações!#REF!="","",Simulações!#REF!)</f>
        <v>#REF!</v>
      </c>
      <c r="K282" s="117" t="e">
        <f>Simulações!#REF!</f>
        <v>#REF!</v>
      </c>
      <c r="L282" s="117" t="e">
        <f>Simulações!#REF!</f>
        <v>#REF!</v>
      </c>
      <c r="M282" s="114" t="e">
        <f>IF(Simulações!#REF!="","",Simulações!#REF!)</f>
        <v>#REF!</v>
      </c>
      <c r="N282" s="114" t="e">
        <f>IF(Simulações!#REF!="","",Simulações!#REF!)</f>
        <v>#REF!</v>
      </c>
      <c r="O282" s="114">
        <v>1</v>
      </c>
    </row>
    <row r="283" spans="1:15" ht="15.75" hidden="1" customHeight="1" x14ac:dyDescent="0.3">
      <c r="A283" s="124" t="e">
        <f>Simulações!#REF!</f>
        <v>#REF!</v>
      </c>
      <c r="B283" s="114" t="e">
        <f>Simulações!#REF!</f>
        <v>#REF!</v>
      </c>
      <c r="C283" s="125" t="e">
        <f>Simulações!#REF!</f>
        <v>#REF!</v>
      </c>
      <c r="D283" s="114" t="e">
        <f>Simulações!#REF!</f>
        <v>#REF!</v>
      </c>
      <c r="E283" s="114" t="e">
        <f>Simulações!#REF!</f>
        <v>#REF!</v>
      </c>
      <c r="F283" s="114" t="e">
        <f>Simulações!#REF!</f>
        <v>#REF!</v>
      </c>
      <c r="G283" s="114" t="e">
        <f>Simulações!#REF!</f>
        <v>#REF!</v>
      </c>
      <c r="H283" s="114" t="e">
        <f>Simulações!#REF!</f>
        <v>#REF!</v>
      </c>
      <c r="I283" s="114" t="e">
        <f>IF(Simulações!#REF!="","",Simulações!#REF!)</f>
        <v>#REF!</v>
      </c>
      <c r="J283" s="114" t="e">
        <f>IF(Simulações!#REF!="","",Simulações!#REF!)</f>
        <v>#REF!</v>
      </c>
      <c r="K283" s="117" t="e">
        <f>Simulações!#REF!</f>
        <v>#REF!</v>
      </c>
      <c r="L283" s="117" t="e">
        <f>Simulações!#REF!</f>
        <v>#REF!</v>
      </c>
      <c r="M283" s="114" t="e">
        <f>IF(Simulações!#REF!="","",Simulações!#REF!)</f>
        <v>#REF!</v>
      </c>
      <c r="N283" s="114" t="e">
        <f>IF(Simulações!#REF!="","",Simulações!#REF!)</f>
        <v>#REF!</v>
      </c>
      <c r="O283" s="114">
        <v>1</v>
      </c>
    </row>
    <row r="284" spans="1:15" ht="15.75" hidden="1" customHeight="1" x14ac:dyDescent="0.3">
      <c r="A284" s="124" t="e">
        <f>Simulações!#REF!</f>
        <v>#REF!</v>
      </c>
      <c r="B284" s="114" t="e">
        <f>Simulações!#REF!</f>
        <v>#REF!</v>
      </c>
      <c r="C284" s="125" t="e">
        <f>Simulações!#REF!</f>
        <v>#REF!</v>
      </c>
      <c r="D284" s="114" t="e">
        <f>Simulações!#REF!</f>
        <v>#REF!</v>
      </c>
      <c r="E284" s="114" t="e">
        <f>Simulações!#REF!</f>
        <v>#REF!</v>
      </c>
      <c r="F284" s="114" t="e">
        <f>Simulações!#REF!</f>
        <v>#REF!</v>
      </c>
      <c r="G284" s="114" t="e">
        <f>Simulações!#REF!</f>
        <v>#REF!</v>
      </c>
      <c r="H284" s="114" t="e">
        <f>Simulações!#REF!</f>
        <v>#REF!</v>
      </c>
      <c r="I284" s="114" t="e">
        <f>IF(Simulações!#REF!="","",Simulações!#REF!)</f>
        <v>#REF!</v>
      </c>
      <c r="J284" s="114" t="e">
        <f>IF(Simulações!#REF!="","",Simulações!#REF!)</f>
        <v>#REF!</v>
      </c>
      <c r="K284" s="117" t="e">
        <f>Simulações!#REF!</f>
        <v>#REF!</v>
      </c>
      <c r="L284" s="117" t="e">
        <f>Simulações!#REF!</f>
        <v>#REF!</v>
      </c>
      <c r="M284" s="114" t="e">
        <f>IF(Simulações!#REF!="","",Simulações!#REF!)</f>
        <v>#REF!</v>
      </c>
      <c r="N284" s="114" t="e">
        <f>IF(Simulações!#REF!="","",Simulações!#REF!)</f>
        <v>#REF!</v>
      </c>
      <c r="O284" s="114">
        <v>1</v>
      </c>
    </row>
    <row r="285" spans="1:15" ht="15.75" hidden="1" customHeight="1" x14ac:dyDescent="0.3">
      <c r="A285" s="124" t="e">
        <f>Simulações!#REF!</f>
        <v>#REF!</v>
      </c>
      <c r="B285" s="114" t="e">
        <f>Simulações!#REF!</f>
        <v>#REF!</v>
      </c>
      <c r="C285" s="125" t="e">
        <f>Simulações!#REF!</f>
        <v>#REF!</v>
      </c>
      <c r="D285" s="114" t="e">
        <f>Simulações!#REF!</f>
        <v>#REF!</v>
      </c>
      <c r="E285" s="114" t="e">
        <f>Simulações!#REF!</f>
        <v>#REF!</v>
      </c>
      <c r="F285" s="114" t="e">
        <f>Simulações!#REF!</f>
        <v>#REF!</v>
      </c>
      <c r="G285" s="114" t="e">
        <f>Simulações!#REF!</f>
        <v>#REF!</v>
      </c>
      <c r="H285" s="114" t="e">
        <f>Simulações!#REF!</f>
        <v>#REF!</v>
      </c>
      <c r="I285" s="114" t="e">
        <f>IF(Simulações!#REF!="","",Simulações!#REF!)</f>
        <v>#REF!</v>
      </c>
      <c r="J285" s="114" t="e">
        <f>IF(Simulações!#REF!="","",Simulações!#REF!)</f>
        <v>#REF!</v>
      </c>
      <c r="K285" s="117" t="e">
        <f>Simulações!#REF!</f>
        <v>#REF!</v>
      </c>
      <c r="L285" s="117" t="e">
        <f>Simulações!#REF!</f>
        <v>#REF!</v>
      </c>
      <c r="M285" s="114" t="e">
        <f>IF(Simulações!#REF!="","",Simulações!#REF!)</f>
        <v>#REF!</v>
      </c>
      <c r="N285" s="114" t="e">
        <f>IF(Simulações!#REF!="","",Simulações!#REF!)</f>
        <v>#REF!</v>
      </c>
      <c r="O285" s="114">
        <v>1</v>
      </c>
    </row>
    <row r="286" spans="1:15" ht="15.75" hidden="1" customHeight="1" x14ac:dyDescent="0.3">
      <c r="A286" s="124" t="e">
        <f>Simulações!#REF!</f>
        <v>#REF!</v>
      </c>
      <c r="B286" s="114" t="e">
        <f>Simulações!#REF!</f>
        <v>#REF!</v>
      </c>
      <c r="C286" s="125" t="e">
        <f>Simulações!#REF!</f>
        <v>#REF!</v>
      </c>
      <c r="D286" s="114" t="e">
        <f>Simulações!#REF!</f>
        <v>#REF!</v>
      </c>
      <c r="E286" s="114" t="e">
        <f>Simulações!#REF!</f>
        <v>#REF!</v>
      </c>
      <c r="F286" s="114" t="e">
        <f>Simulações!#REF!</f>
        <v>#REF!</v>
      </c>
      <c r="G286" s="114" t="e">
        <f>Simulações!#REF!</f>
        <v>#REF!</v>
      </c>
      <c r="H286" s="114" t="e">
        <f>Simulações!#REF!</f>
        <v>#REF!</v>
      </c>
      <c r="I286" s="114" t="e">
        <f>IF(Simulações!#REF!="","",Simulações!#REF!)</f>
        <v>#REF!</v>
      </c>
      <c r="J286" s="114" t="e">
        <f>IF(Simulações!#REF!="","",Simulações!#REF!)</f>
        <v>#REF!</v>
      </c>
      <c r="K286" s="117" t="e">
        <f>Simulações!#REF!</f>
        <v>#REF!</v>
      </c>
      <c r="L286" s="117" t="e">
        <f>Simulações!#REF!</f>
        <v>#REF!</v>
      </c>
      <c r="M286" s="114" t="e">
        <f>IF(Simulações!#REF!="","",Simulações!#REF!)</f>
        <v>#REF!</v>
      </c>
      <c r="N286" s="114" t="e">
        <f>IF(Simulações!#REF!="","",Simulações!#REF!)</f>
        <v>#REF!</v>
      </c>
      <c r="O286" s="114">
        <v>1</v>
      </c>
    </row>
    <row r="287" spans="1:15" ht="15.75" hidden="1" customHeight="1" x14ac:dyDescent="0.3">
      <c r="A287" s="124" t="e">
        <f>Simulações!#REF!</f>
        <v>#REF!</v>
      </c>
      <c r="B287" s="114" t="e">
        <f>Simulações!#REF!</f>
        <v>#REF!</v>
      </c>
      <c r="C287" s="125" t="e">
        <f>Simulações!#REF!</f>
        <v>#REF!</v>
      </c>
      <c r="D287" s="114" t="e">
        <f>Simulações!#REF!</f>
        <v>#REF!</v>
      </c>
      <c r="E287" s="114" t="e">
        <f>Simulações!#REF!</f>
        <v>#REF!</v>
      </c>
      <c r="F287" s="114" t="e">
        <f>Simulações!#REF!</f>
        <v>#REF!</v>
      </c>
      <c r="G287" s="114" t="e">
        <f>Simulações!#REF!</f>
        <v>#REF!</v>
      </c>
      <c r="H287" s="114" t="e">
        <f>Simulações!#REF!</f>
        <v>#REF!</v>
      </c>
      <c r="I287" s="114" t="e">
        <f>IF(Simulações!#REF!="","",Simulações!#REF!)</f>
        <v>#REF!</v>
      </c>
      <c r="J287" s="114" t="e">
        <f>IF(Simulações!#REF!="","",Simulações!#REF!)</f>
        <v>#REF!</v>
      </c>
      <c r="K287" s="117" t="e">
        <f>Simulações!#REF!</f>
        <v>#REF!</v>
      </c>
      <c r="L287" s="117" t="e">
        <f>Simulações!#REF!</f>
        <v>#REF!</v>
      </c>
      <c r="M287" s="114" t="e">
        <f>IF(Simulações!#REF!="","",Simulações!#REF!)</f>
        <v>#REF!</v>
      </c>
      <c r="N287" s="114" t="e">
        <f>IF(Simulações!#REF!="","",Simulações!#REF!)</f>
        <v>#REF!</v>
      </c>
      <c r="O287" s="114">
        <v>1</v>
      </c>
    </row>
    <row r="288" spans="1:15" ht="15.75" hidden="1" customHeight="1" x14ac:dyDescent="0.3">
      <c r="A288" s="124" t="e">
        <f>Simulações!#REF!</f>
        <v>#REF!</v>
      </c>
      <c r="B288" s="114" t="e">
        <f>Simulações!#REF!</f>
        <v>#REF!</v>
      </c>
      <c r="C288" s="125" t="e">
        <f>Simulações!#REF!</f>
        <v>#REF!</v>
      </c>
      <c r="D288" s="114" t="e">
        <f>Simulações!#REF!</f>
        <v>#REF!</v>
      </c>
      <c r="E288" s="114" t="e">
        <f>Simulações!#REF!</f>
        <v>#REF!</v>
      </c>
      <c r="F288" s="114" t="e">
        <f>Simulações!#REF!</f>
        <v>#REF!</v>
      </c>
      <c r="G288" s="114" t="e">
        <f>Simulações!#REF!</f>
        <v>#REF!</v>
      </c>
      <c r="H288" s="114" t="e">
        <f>Simulações!#REF!</f>
        <v>#REF!</v>
      </c>
      <c r="I288" s="114" t="e">
        <f>IF(Simulações!#REF!="","",Simulações!#REF!)</f>
        <v>#REF!</v>
      </c>
      <c r="J288" s="114" t="e">
        <f>IF(Simulações!#REF!="","",Simulações!#REF!)</f>
        <v>#REF!</v>
      </c>
      <c r="K288" s="117" t="e">
        <f>Simulações!#REF!</f>
        <v>#REF!</v>
      </c>
      <c r="L288" s="117" t="e">
        <f>Simulações!#REF!</f>
        <v>#REF!</v>
      </c>
      <c r="M288" s="114" t="e">
        <f>IF(Simulações!#REF!="","",Simulações!#REF!)</f>
        <v>#REF!</v>
      </c>
      <c r="N288" s="114" t="e">
        <f>IF(Simulações!#REF!="","",Simulações!#REF!)</f>
        <v>#REF!</v>
      </c>
      <c r="O288" s="114">
        <v>1</v>
      </c>
    </row>
    <row r="289" spans="1:15" ht="15.75" hidden="1" customHeight="1" x14ac:dyDescent="0.3">
      <c r="A289" s="124" t="e">
        <f>Simulações!#REF!</f>
        <v>#REF!</v>
      </c>
      <c r="B289" s="114" t="e">
        <f>Simulações!#REF!</f>
        <v>#REF!</v>
      </c>
      <c r="C289" s="125" t="e">
        <f>Simulações!#REF!</f>
        <v>#REF!</v>
      </c>
      <c r="D289" s="114" t="e">
        <f>Simulações!#REF!</f>
        <v>#REF!</v>
      </c>
      <c r="E289" s="114" t="e">
        <f>Simulações!#REF!</f>
        <v>#REF!</v>
      </c>
      <c r="F289" s="114" t="e">
        <f>Simulações!#REF!</f>
        <v>#REF!</v>
      </c>
      <c r="G289" s="114" t="e">
        <f>Simulações!#REF!</f>
        <v>#REF!</v>
      </c>
      <c r="H289" s="114" t="e">
        <f>Simulações!#REF!</f>
        <v>#REF!</v>
      </c>
      <c r="I289" s="114" t="e">
        <f>IF(Simulações!#REF!="","",Simulações!#REF!)</f>
        <v>#REF!</v>
      </c>
      <c r="J289" s="114" t="e">
        <f>IF(Simulações!#REF!="","",Simulações!#REF!)</f>
        <v>#REF!</v>
      </c>
      <c r="K289" s="117" t="e">
        <f>Simulações!#REF!</f>
        <v>#REF!</v>
      </c>
      <c r="L289" s="117" t="e">
        <f>Simulações!#REF!</f>
        <v>#REF!</v>
      </c>
      <c r="M289" s="114" t="e">
        <f>IF(Simulações!#REF!="","",Simulações!#REF!)</f>
        <v>#REF!</v>
      </c>
      <c r="N289" s="114" t="e">
        <f>IF(Simulações!#REF!="","",Simulações!#REF!)</f>
        <v>#REF!</v>
      </c>
      <c r="O289" s="114">
        <v>1</v>
      </c>
    </row>
    <row r="290" spans="1:15" ht="15.75" hidden="1" customHeight="1" x14ac:dyDescent="0.3">
      <c r="A290" s="124" t="e">
        <f>Simulações!#REF!</f>
        <v>#REF!</v>
      </c>
      <c r="B290" s="114" t="e">
        <f>Simulações!#REF!</f>
        <v>#REF!</v>
      </c>
      <c r="C290" s="125" t="e">
        <f>Simulações!#REF!</f>
        <v>#REF!</v>
      </c>
      <c r="D290" s="114" t="e">
        <f>Simulações!#REF!</f>
        <v>#REF!</v>
      </c>
      <c r="E290" s="114" t="e">
        <f>Simulações!#REF!</f>
        <v>#REF!</v>
      </c>
      <c r="F290" s="114" t="e">
        <f>Simulações!#REF!</f>
        <v>#REF!</v>
      </c>
      <c r="G290" s="114" t="e">
        <f>Simulações!#REF!</f>
        <v>#REF!</v>
      </c>
      <c r="H290" s="114" t="e">
        <f>Simulações!#REF!</f>
        <v>#REF!</v>
      </c>
      <c r="I290" s="114" t="e">
        <f>IF(Simulações!#REF!="","",Simulações!#REF!)</f>
        <v>#REF!</v>
      </c>
      <c r="J290" s="114" t="e">
        <f>IF(Simulações!#REF!="","",Simulações!#REF!)</f>
        <v>#REF!</v>
      </c>
      <c r="K290" s="117" t="e">
        <f>Simulações!#REF!</f>
        <v>#REF!</v>
      </c>
      <c r="L290" s="117" t="e">
        <f>Simulações!#REF!</f>
        <v>#REF!</v>
      </c>
      <c r="M290" s="114" t="e">
        <f>IF(Simulações!#REF!="","",Simulações!#REF!)</f>
        <v>#REF!</v>
      </c>
      <c r="N290" s="114" t="e">
        <f>IF(Simulações!#REF!="","",Simulações!#REF!)</f>
        <v>#REF!</v>
      </c>
      <c r="O290" s="114">
        <v>1</v>
      </c>
    </row>
    <row r="291" spans="1:15" ht="15.75" hidden="1" customHeight="1" x14ac:dyDescent="0.3">
      <c r="A291" s="124" t="e">
        <f>Simulações!#REF!</f>
        <v>#REF!</v>
      </c>
      <c r="B291" s="114" t="e">
        <f>Simulações!#REF!</f>
        <v>#REF!</v>
      </c>
      <c r="C291" s="125" t="e">
        <f>Simulações!#REF!</f>
        <v>#REF!</v>
      </c>
      <c r="D291" s="114" t="e">
        <f>Simulações!#REF!</f>
        <v>#REF!</v>
      </c>
      <c r="E291" s="114" t="e">
        <f>Simulações!#REF!</f>
        <v>#REF!</v>
      </c>
      <c r="F291" s="114" t="e">
        <f>Simulações!#REF!</f>
        <v>#REF!</v>
      </c>
      <c r="G291" s="114" t="e">
        <f>Simulações!#REF!</f>
        <v>#REF!</v>
      </c>
      <c r="H291" s="114" t="e">
        <f>Simulações!#REF!</f>
        <v>#REF!</v>
      </c>
      <c r="I291" s="114" t="e">
        <f>IF(Simulações!#REF!="","",Simulações!#REF!)</f>
        <v>#REF!</v>
      </c>
      <c r="J291" s="114" t="e">
        <f>IF(Simulações!#REF!="","",Simulações!#REF!)</f>
        <v>#REF!</v>
      </c>
      <c r="K291" s="117" t="e">
        <f>Simulações!#REF!</f>
        <v>#REF!</v>
      </c>
      <c r="L291" s="117" t="e">
        <f>Simulações!#REF!</f>
        <v>#REF!</v>
      </c>
      <c r="M291" s="114" t="e">
        <f>IF(Simulações!#REF!="","",Simulações!#REF!)</f>
        <v>#REF!</v>
      </c>
      <c r="N291" s="114" t="e">
        <f>IF(Simulações!#REF!="","",Simulações!#REF!)</f>
        <v>#REF!</v>
      </c>
      <c r="O291" s="114">
        <v>1</v>
      </c>
    </row>
    <row r="292" spans="1:15" ht="15.75" hidden="1" customHeight="1" x14ac:dyDescent="0.3">
      <c r="A292" s="124" t="e">
        <f>Simulações!#REF!</f>
        <v>#REF!</v>
      </c>
      <c r="B292" s="114" t="e">
        <f>Simulações!#REF!</f>
        <v>#REF!</v>
      </c>
      <c r="C292" s="125" t="e">
        <f>Simulações!#REF!</f>
        <v>#REF!</v>
      </c>
      <c r="D292" s="114" t="e">
        <f>Simulações!#REF!</f>
        <v>#REF!</v>
      </c>
      <c r="E292" s="114" t="e">
        <f>Simulações!#REF!</f>
        <v>#REF!</v>
      </c>
      <c r="F292" s="114" t="e">
        <f>Simulações!#REF!</f>
        <v>#REF!</v>
      </c>
      <c r="G292" s="114" t="e">
        <f>Simulações!#REF!</f>
        <v>#REF!</v>
      </c>
      <c r="H292" s="114" t="e">
        <f>Simulações!#REF!</f>
        <v>#REF!</v>
      </c>
      <c r="I292" s="114" t="e">
        <f>IF(Simulações!#REF!="","",Simulações!#REF!)</f>
        <v>#REF!</v>
      </c>
      <c r="J292" s="114" t="e">
        <f>IF(Simulações!#REF!="","",Simulações!#REF!)</f>
        <v>#REF!</v>
      </c>
      <c r="K292" s="117" t="e">
        <f>Simulações!#REF!</f>
        <v>#REF!</v>
      </c>
      <c r="L292" s="117" t="e">
        <f>Simulações!#REF!</f>
        <v>#REF!</v>
      </c>
      <c r="M292" s="114" t="e">
        <f>IF(Simulações!#REF!="","",Simulações!#REF!)</f>
        <v>#REF!</v>
      </c>
      <c r="N292" s="114" t="e">
        <f>IF(Simulações!#REF!="","",Simulações!#REF!)</f>
        <v>#REF!</v>
      </c>
      <c r="O292" s="114">
        <v>1</v>
      </c>
    </row>
    <row r="293" spans="1:15" ht="15.75" hidden="1" customHeight="1" x14ac:dyDescent="0.3">
      <c r="A293" s="124" t="e">
        <f>Simulações!#REF!</f>
        <v>#REF!</v>
      </c>
      <c r="B293" s="114" t="e">
        <f>Simulações!#REF!</f>
        <v>#REF!</v>
      </c>
      <c r="C293" s="125" t="e">
        <f>Simulações!#REF!</f>
        <v>#REF!</v>
      </c>
      <c r="D293" s="114" t="e">
        <f>Simulações!#REF!</f>
        <v>#REF!</v>
      </c>
      <c r="E293" s="114" t="e">
        <f>Simulações!#REF!</f>
        <v>#REF!</v>
      </c>
      <c r="F293" s="114" t="e">
        <f>Simulações!#REF!</f>
        <v>#REF!</v>
      </c>
      <c r="G293" s="114" t="e">
        <f>Simulações!#REF!</f>
        <v>#REF!</v>
      </c>
      <c r="H293" s="114" t="e">
        <f>Simulações!#REF!</f>
        <v>#REF!</v>
      </c>
      <c r="I293" s="114" t="e">
        <f>IF(Simulações!#REF!="","",Simulações!#REF!)</f>
        <v>#REF!</v>
      </c>
      <c r="J293" s="114" t="e">
        <f>IF(Simulações!#REF!="","",Simulações!#REF!)</f>
        <v>#REF!</v>
      </c>
      <c r="K293" s="117" t="e">
        <f>Simulações!#REF!</f>
        <v>#REF!</v>
      </c>
      <c r="L293" s="117" t="e">
        <f>Simulações!#REF!</f>
        <v>#REF!</v>
      </c>
      <c r="M293" s="114" t="e">
        <f>IF(Simulações!#REF!="","",Simulações!#REF!)</f>
        <v>#REF!</v>
      </c>
      <c r="N293" s="114" t="e">
        <f>IF(Simulações!#REF!="","",Simulações!#REF!)</f>
        <v>#REF!</v>
      </c>
      <c r="O293" s="114">
        <v>1</v>
      </c>
    </row>
    <row r="294" spans="1:15" ht="15.75" hidden="1" customHeight="1" x14ac:dyDescent="0.3">
      <c r="A294" s="124" t="e">
        <f>Simulações!#REF!</f>
        <v>#REF!</v>
      </c>
      <c r="B294" s="114" t="e">
        <f>Simulações!#REF!</f>
        <v>#REF!</v>
      </c>
      <c r="C294" s="125" t="e">
        <f>Simulações!#REF!</f>
        <v>#REF!</v>
      </c>
      <c r="D294" s="114" t="e">
        <f>Simulações!#REF!</f>
        <v>#REF!</v>
      </c>
      <c r="E294" s="114" t="e">
        <f>Simulações!#REF!</f>
        <v>#REF!</v>
      </c>
      <c r="F294" s="114" t="e">
        <f>Simulações!#REF!</f>
        <v>#REF!</v>
      </c>
      <c r="G294" s="114" t="e">
        <f>Simulações!#REF!</f>
        <v>#REF!</v>
      </c>
      <c r="H294" s="114" t="e">
        <f>Simulações!#REF!</f>
        <v>#REF!</v>
      </c>
      <c r="I294" s="114" t="e">
        <f>IF(Simulações!#REF!="","",Simulações!#REF!)</f>
        <v>#REF!</v>
      </c>
      <c r="J294" s="114" t="e">
        <f>IF(Simulações!#REF!="","",Simulações!#REF!)</f>
        <v>#REF!</v>
      </c>
      <c r="K294" s="117" t="e">
        <f>Simulações!#REF!</f>
        <v>#REF!</v>
      </c>
      <c r="L294" s="117" t="e">
        <f>Simulações!#REF!</f>
        <v>#REF!</v>
      </c>
      <c r="M294" s="114" t="e">
        <f>IF(Simulações!#REF!="","",Simulações!#REF!)</f>
        <v>#REF!</v>
      </c>
      <c r="N294" s="114" t="e">
        <f>IF(Simulações!#REF!="","",Simulações!#REF!)</f>
        <v>#REF!</v>
      </c>
      <c r="O294" s="114">
        <v>1</v>
      </c>
    </row>
    <row r="295" spans="1:15" ht="15.75" hidden="1" customHeight="1" x14ac:dyDescent="0.3">
      <c r="A295" s="124" t="e">
        <f>Simulações!#REF!</f>
        <v>#REF!</v>
      </c>
      <c r="B295" s="114" t="e">
        <f>Simulações!#REF!</f>
        <v>#REF!</v>
      </c>
      <c r="C295" s="125" t="e">
        <f>Simulações!#REF!</f>
        <v>#REF!</v>
      </c>
      <c r="D295" s="114" t="e">
        <f>Simulações!#REF!</f>
        <v>#REF!</v>
      </c>
      <c r="E295" s="114" t="e">
        <f>Simulações!#REF!</f>
        <v>#REF!</v>
      </c>
      <c r="F295" s="114" t="e">
        <f>Simulações!#REF!</f>
        <v>#REF!</v>
      </c>
      <c r="G295" s="114" t="e">
        <f>Simulações!#REF!</f>
        <v>#REF!</v>
      </c>
      <c r="H295" s="114" t="e">
        <f>Simulações!#REF!</f>
        <v>#REF!</v>
      </c>
      <c r="I295" s="114" t="e">
        <f>IF(Simulações!#REF!="","",Simulações!#REF!)</f>
        <v>#REF!</v>
      </c>
      <c r="J295" s="114" t="e">
        <f>IF(Simulações!#REF!="","",Simulações!#REF!)</f>
        <v>#REF!</v>
      </c>
      <c r="K295" s="117" t="e">
        <f>Simulações!#REF!</f>
        <v>#REF!</v>
      </c>
      <c r="L295" s="117" t="e">
        <f>Simulações!#REF!</f>
        <v>#REF!</v>
      </c>
      <c r="M295" s="114" t="e">
        <f>IF(Simulações!#REF!="","",Simulações!#REF!)</f>
        <v>#REF!</v>
      </c>
      <c r="N295" s="114" t="e">
        <f>IF(Simulações!#REF!="","",Simulações!#REF!)</f>
        <v>#REF!</v>
      </c>
      <c r="O295" s="114">
        <v>1</v>
      </c>
    </row>
    <row r="296" spans="1:15" ht="15.75" hidden="1" customHeight="1" x14ac:dyDescent="0.3">
      <c r="A296" s="124" t="e">
        <f>Simulações!#REF!</f>
        <v>#REF!</v>
      </c>
      <c r="B296" s="114" t="e">
        <f>Simulações!#REF!</f>
        <v>#REF!</v>
      </c>
      <c r="C296" s="125" t="e">
        <f>Simulações!#REF!</f>
        <v>#REF!</v>
      </c>
      <c r="D296" s="114" t="e">
        <f>Simulações!#REF!</f>
        <v>#REF!</v>
      </c>
      <c r="E296" s="114" t="e">
        <f>Simulações!#REF!</f>
        <v>#REF!</v>
      </c>
      <c r="F296" s="114" t="e">
        <f>Simulações!#REF!</f>
        <v>#REF!</v>
      </c>
      <c r="G296" s="114" t="e">
        <f>Simulações!#REF!</f>
        <v>#REF!</v>
      </c>
      <c r="H296" s="114" t="e">
        <f>Simulações!#REF!</f>
        <v>#REF!</v>
      </c>
      <c r="I296" s="114" t="e">
        <f>IF(Simulações!#REF!="","",Simulações!#REF!)</f>
        <v>#REF!</v>
      </c>
      <c r="J296" s="114" t="e">
        <f>IF(Simulações!#REF!="","",Simulações!#REF!)</f>
        <v>#REF!</v>
      </c>
      <c r="K296" s="117" t="e">
        <f>Simulações!#REF!</f>
        <v>#REF!</v>
      </c>
      <c r="L296" s="117" t="e">
        <f>Simulações!#REF!</f>
        <v>#REF!</v>
      </c>
      <c r="M296" s="114" t="e">
        <f>IF(Simulações!#REF!="","",Simulações!#REF!)</f>
        <v>#REF!</v>
      </c>
      <c r="N296" s="114" t="e">
        <f>IF(Simulações!#REF!="","",Simulações!#REF!)</f>
        <v>#REF!</v>
      </c>
      <c r="O296" s="114">
        <v>1</v>
      </c>
    </row>
    <row r="297" spans="1:15" ht="15.75" hidden="1" customHeight="1" x14ac:dyDescent="0.3">
      <c r="A297" s="124" t="e">
        <f>Simulações!#REF!</f>
        <v>#REF!</v>
      </c>
      <c r="B297" s="114" t="e">
        <f>Simulações!#REF!</f>
        <v>#REF!</v>
      </c>
      <c r="C297" s="125" t="e">
        <f>Simulações!#REF!</f>
        <v>#REF!</v>
      </c>
      <c r="D297" s="114" t="e">
        <f>Simulações!#REF!</f>
        <v>#REF!</v>
      </c>
      <c r="E297" s="114" t="e">
        <f>Simulações!#REF!</f>
        <v>#REF!</v>
      </c>
      <c r="F297" s="114" t="e">
        <f>Simulações!#REF!</f>
        <v>#REF!</v>
      </c>
      <c r="G297" s="114" t="e">
        <f>Simulações!#REF!</f>
        <v>#REF!</v>
      </c>
      <c r="H297" s="114" t="e">
        <f>Simulações!#REF!</f>
        <v>#REF!</v>
      </c>
      <c r="I297" s="114" t="e">
        <f>IF(Simulações!#REF!="","",Simulações!#REF!)</f>
        <v>#REF!</v>
      </c>
      <c r="J297" s="114" t="e">
        <f>IF(Simulações!#REF!="","",Simulações!#REF!)</f>
        <v>#REF!</v>
      </c>
      <c r="K297" s="117" t="e">
        <f>Simulações!#REF!</f>
        <v>#REF!</v>
      </c>
      <c r="L297" s="117" t="e">
        <f>Simulações!#REF!</f>
        <v>#REF!</v>
      </c>
      <c r="M297" s="114" t="e">
        <f>IF(Simulações!#REF!="","",Simulações!#REF!)</f>
        <v>#REF!</v>
      </c>
      <c r="N297" s="114" t="e">
        <f>IF(Simulações!#REF!="","",Simulações!#REF!)</f>
        <v>#REF!</v>
      </c>
      <c r="O297" s="114">
        <v>1</v>
      </c>
    </row>
    <row r="298" spans="1:15" ht="15.75" hidden="1" customHeight="1" x14ac:dyDescent="0.3">
      <c r="A298" s="124" t="e">
        <f>Simulações!#REF!</f>
        <v>#REF!</v>
      </c>
      <c r="B298" s="114" t="e">
        <f>Simulações!#REF!</f>
        <v>#REF!</v>
      </c>
      <c r="C298" s="125" t="e">
        <f>Simulações!#REF!</f>
        <v>#REF!</v>
      </c>
      <c r="D298" s="114" t="e">
        <f>Simulações!#REF!</f>
        <v>#REF!</v>
      </c>
      <c r="E298" s="114" t="e">
        <f>Simulações!#REF!</f>
        <v>#REF!</v>
      </c>
      <c r="F298" s="114" t="e">
        <f>Simulações!#REF!</f>
        <v>#REF!</v>
      </c>
      <c r="G298" s="114" t="e">
        <f>Simulações!#REF!</f>
        <v>#REF!</v>
      </c>
      <c r="H298" s="114" t="e">
        <f>Simulações!#REF!</f>
        <v>#REF!</v>
      </c>
      <c r="I298" s="114" t="e">
        <f>IF(Simulações!#REF!="","",Simulações!#REF!)</f>
        <v>#REF!</v>
      </c>
      <c r="J298" s="114" t="e">
        <f>IF(Simulações!#REF!="","",Simulações!#REF!)</f>
        <v>#REF!</v>
      </c>
      <c r="K298" s="117" t="e">
        <f>Simulações!#REF!</f>
        <v>#REF!</v>
      </c>
      <c r="L298" s="117" t="e">
        <f>Simulações!#REF!</f>
        <v>#REF!</v>
      </c>
      <c r="M298" s="114" t="e">
        <f>IF(Simulações!#REF!="","",Simulações!#REF!)</f>
        <v>#REF!</v>
      </c>
      <c r="N298" s="114" t="e">
        <f>IF(Simulações!#REF!="","",Simulações!#REF!)</f>
        <v>#REF!</v>
      </c>
      <c r="O298" s="114">
        <v>1</v>
      </c>
    </row>
    <row r="299" spans="1:15" ht="15.75" hidden="1" customHeight="1" x14ac:dyDescent="0.3">
      <c r="A299" s="124" t="e">
        <f>Simulações!#REF!</f>
        <v>#REF!</v>
      </c>
      <c r="B299" s="114" t="e">
        <f>Simulações!#REF!</f>
        <v>#REF!</v>
      </c>
      <c r="C299" s="125" t="e">
        <f>Simulações!#REF!</f>
        <v>#REF!</v>
      </c>
      <c r="D299" s="114" t="e">
        <f>Simulações!#REF!</f>
        <v>#REF!</v>
      </c>
      <c r="E299" s="114" t="e">
        <f>Simulações!#REF!</f>
        <v>#REF!</v>
      </c>
      <c r="F299" s="114" t="e">
        <f>Simulações!#REF!</f>
        <v>#REF!</v>
      </c>
      <c r="G299" s="114" t="e">
        <f>Simulações!#REF!</f>
        <v>#REF!</v>
      </c>
      <c r="H299" s="114" t="e">
        <f>Simulações!#REF!</f>
        <v>#REF!</v>
      </c>
      <c r="I299" s="114" t="e">
        <f>IF(Simulações!#REF!="","",Simulações!#REF!)</f>
        <v>#REF!</v>
      </c>
      <c r="J299" s="114" t="e">
        <f>IF(Simulações!#REF!="","",Simulações!#REF!)</f>
        <v>#REF!</v>
      </c>
      <c r="K299" s="117" t="e">
        <f>Simulações!#REF!</f>
        <v>#REF!</v>
      </c>
      <c r="L299" s="117" t="e">
        <f>Simulações!#REF!</f>
        <v>#REF!</v>
      </c>
      <c r="M299" s="114" t="e">
        <f>IF(Simulações!#REF!="","",Simulações!#REF!)</f>
        <v>#REF!</v>
      </c>
      <c r="N299" s="114" t="e">
        <f>IF(Simulações!#REF!="","",Simulações!#REF!)</f>
        <v>#REF!</v>
      </c>
      <c r="O299" s="114">
        <v>1</v>
      </c>
    </row>
    <row r="300" spans="1:15" ht="15.75" hidden="1" customHeight="1" x14ac:dyDescent="0.3">
      <c r="A300" s="124" t="e">
        <f>Simulações!#REF!</f>
        <v>#REF!</v>
      </c>
      <c r="B300" s="114" t="e">
        <f>Simulações!#REF!</f>
        <v>#REF!</v>
      </c>
      <c r="C300" s="125" t="e">
        <f>Simulações!#REF!</f>
        <v>#REF!</v>
      </c>
      <c r="D300" s="114" t="e">
        <f>Simulações!#REF!</f>
        <v>#REF!</v>
      </c>
      <c r="E300" s="114" t="e">
        <f>Simulações!#REF!</f>
        <v>#REF!</v>
      </c>
      <c r="F300" s="114" t="e">
        <f>Simulações!#REF!</f>
        <v>#REF!</v>
      </c>
      <c r="G300" s="114" t="e">
        <f>Simulações!#REF!</f>
        <v>#REF!</v>
      </c>
      <c r="H300" s="114" t="e">
        <f>Simulações!#REF!</f>
        <v>#REF!</v>
      </c>
      <c r="I300" s="114" t="e">
        <f>IF(Simulações!#REF!="","",Simulações!#REF!)</f>
        <v>#REF!</v>
      </c>
      <c r="J300" s="114" t="e">
        <f>IF(Simulações!#REF!="","",Simulações!#REF!)</f>
        <v>#REF!</v>
      </c>
      <c r="K300" s="117" t="e">
        <f>Simulações!#REF!</f>
        <v>#REF!</v>
      </c>
      <c r="L300" s="117" t="e">
        <f>Simulações!#REF!</f>
        <v>#REF!</v>
      </c>
      <c r="M300" s="114" t="e">
        <f>IF(Simulações!#REF!="","",Simulações!#REF!)</f>
        <v>#REF!</v>
      </c>
      <c r="N300" s="114" t="e">
        <f>IF(Simulações!#REF!="","",Simulações!#REF!)</f>
        <v>#REF!</v>
      </c>
      <c r="O300" s="114">
        <v>1</v>
      </c>
    </row>
    <row r="301" spans="1:15" ht="15.75" hidden="1" customHeight="1" x14ac:dyDescent="0.3">
      <c r="A301" s="124" t="e">
        <f>Simulações!#REF!</f>
        <v>#REF!</v>
      </c>
      <c r="B301" s="114" t="e">
        <f>Simulações!#REF!</f>
        <v>#REF!</v>
      </c>
      <c r="C301" s="125" t="e">
        <f>Simulações!#REF!</f>
        <v>#REF!</v>
      </c>
      <c r="D301" s="114" t="e">
        <f>Simulações!#REF!</f>
        <v>#REF!</v>
      </c>
      <c r="E301" s="114" t="e">
        <f>Simulações!#REF!</f>
        <v>#REF!</v>
      </c>
      <c r="F301" s="114" t="e">
        <f>Simulações!#REF!</f>
        <v>#REF!</v>
      </c>
      <c r="G301" s="114" t="e">
        <f>Simulações!#REF!</f>
        <v>#REF!</v>
      </c>
      <c r="H301" s="114" t="e">
        <f>Simulações!#REF!</f>
        <v>#REF!</v>
      </c>
      <c r="I301" s="114" t="e">
        <f>IF(Simulações!#REF!="","",Simulações!#REF!)</f>
        <v>#REF!</v>
      </c>
      <c r="J301" s="114" t="e">
        <f>IF(Simulações!#REF!="","",Simulações!#REF!)</f>
        <v>#REF!</v>
      </c>
      <c r="K301" s="117" t="e">
        <f>Simulações!#REF!</f>
        <v>#REF!</v>
      </c>
      <c r="L301" s="117" t="e">
        <f>Simulações!#REF!</f>
        <v>#REF!</v>
      </c>
      <c r="M301" s="114" t="e">
        <f>IF(Simulações!#REF!="","",Simulações!#REF!)</f>
        <v>#REF!</v>
      </c>
      <c r="N301" s="114" t="e">
        <f>IF(Simulações!#REF!="","",Simulações!#REF!)</f>
        <v>#REF!</v>
      </c>
      <c r="O301" s="114">
        <v>1</v>
      </c>
    </row>
    <row r="302" spans="1:15" ht="15.75" hidden="1" customHeight="1" x14ac:dyDescent="0.3">
      <c r="A302" s="124" t="e">
        <f>Simulações!#REF!</f>
        <v>#REF!</v>
      </c>
      <c r="B302" s="114" t="e">
        <f>Simulações!#REF!</f>
        <v>#REF!</v>
      </c>
      <c r="C302" s="125" t="e">
        <f>Simulações!#REF!</f>
        <v>#REF!</v>
      </c>
      <c r="D302" s="114" t="e">
        <f>Simulações!#REF!</f>
        <v>#REF!</v>
      </c>
      <c r="E302" s="114" t="e">
        <f>Simulações!#REF!</f>
        <v>#REF!</v>
      </c>
      <c r="F302" s="114" t="e">
        <f>Simulações!#REF!</f>
        <v>#REF!</v>
      </c>
      <c r="G302" s="114" t="e">
        <f>Simulações!#REF!</f>
        <v>#REF!</v>
      </c>
      <c r="H302" s="114" t="e">
        <f>Simulações!#REF!</f>
        <v>#REF!</v>
      </c>
      <c r="I302" s="114" t="e">
        <f>IF(Simulações!#REF!="","",Simulações!#REF!)</f>
        <v>#REF!</v>
      </c>
      <c r="J302" s="114" t="e">
        <f>IF(Simulações!#REF!="","",Simulações!#REF!)</f>
        <v>#REF!</v>
      </c>
      <c r="K302" s="117" t="e">
        <f>Simulações!#REF!</f>
        <v>#REF!</v>
      </c>
      <c r="L302" s="117" t="e">
        <f>Simulações!#REF!</f>
        <v>#REF!</v>
      </c>
      <c r="M302" s="114" t="e">
        <f>IF(Simulações!#REF!="","",Simulações!#REF!)</f>
        <v>#REF!</v>
      </c>
      <c r="N302" s="114" t="e">
        <f>IF(Simulações!#REF!="","",Simulações!#REF!)</f>
        <v>#REF!</v>
      </c>
      <c r="O302" s="114">
        <v>1</v>
      </c>
    </row>
    <row r="303" spans="1:15" ht="15.75" hidden="1" customHeight="1" x14ac:dyDescent="0.3">
      <c r="A303" s="124" t="e">
        <f>Simulações!#REF!</f>
        <v>#REF!</v>
      </c>
      <c r="B303" s="114" t="e">
        <f>Simulações!#REF!</f>
        <v>#REF!</v>
      </c>
      <c r="C303" s="125" t="e">
        <f>Simulações!#REF!</f>
        <v>#REF!</v>
      </c>
      <c r="D303" s="114" t="e">
        <f>Simulações!#REF!</f>
        <v>#REF!</v>
      </c>
      <c r="E303" s="114" t="e">
        <f>Simulações!#REF!</f>
        <v>#REF!</v>
      </c>
      <c r="F303" s="114" t="e">
        <f>Simulações!#REF!</f>
        <v>#REF!</v>
      </c>
      <c r="G303" s="114" t="e">
        <f>Simulações!#REF!</f>
        <v>#REF!</v>
      </c>
      <c r="H303" s="114" t="e">
        <f>Simulações!#REF!</f>
        <v>#REF!</v>
      </c>
      <c r="I303" s="114" t="e">
        <f>IF(Simulações!#REF!="","",Simulações!#REF!)</f>
        <v>#REF!</v>
      </c>
      <c r="J303" s="114" t="e">
        <f>IF(Simulações!#REF!="","",Simulações!#REF!)</f>
        <v>#REF!</v>
      </c>
      <c r="K303" s="117" t="e">
        <f>Simulações!#REF!</f>
        <v>#REF!</v>
      </c>
      <c r="L303" s="117" t="e">
        <f>Simulações!#REF!</f>
        <v>#REF!</v>
      </c>
      <c r="M303" s="114" t="e">
        <f>IF(Simulações!#REF!="","",Simulações!#REF!)</f>
        <v>#REF!</v>
      </c>
      <c r="N303" s="114" t="e">
        <f>IF(Simulações!#REF!="","",Simulações!#REF!)</f>
        <v>#REF!</v>
      </c>
      <c r="O303" s="114">
        <v>1</v>
      </c>
    </row>
    <row r="304" spans="1:15" ht="15.75" hidden="1" customHeight="1" x14ac:dyDescent="0.3">
      <c r="A304" s="124" t="e">
        <f>Simulações!#REF!</f>
        <v>#REF!</v>
      </c>
      <c r="B304" s="114" t="e">
        <f>Simulações!#REF!</f>
        <v>#REF!</v>
      </c>
      <c r="C304" s="125" t="e">
        <f>Simulações!#REF!</f>
        <v>#REF!</v>
      </c>
      <c r="D304" s="114" t="e">
        <f>Simulações!#REF!</f>
        <v>#REF!</v>
      </c>
      <c r="E304" s="114" t="e">
        <f>Simulações!#REF!</f>
        <v>#REF!</v>
      </c>
      <c r="F304" s="114" t="e">
        <f>Simulações!#REF!</f>
        <v>#REF!</v>
      </c>
      <c r="G304" s="114" t="e">
        <f>Simulações!#REF!</f>
        <v>#REF!</v>
      </c>
      <c r="H304" s="114" t="e">
        <f>Simulações!#REF!</f>
        <v>#REF!</v>
      </c>
      <c r="I304" s="114" t="e">
        <f>IF(Simulações!#REF!="","",Simulações!#REF!)</f>
        <v>#REF!</v>
      </c>
      <c r="J304" s="114" t="e">
        <f>IF(Simulações!#REF!="","",Simulações!#REF!)</f>
        <v>#REF!</v>
      </c>
      <c r="K304" s="117" t="e">
        <f>Simulações!#REF!</f>
        <v>#REF!</v>
      </c>
      <c r="L304" s="117" t="e">
        <f>Simulações!#REF!</f>
        <v>#REF!</v>
      </c>
      <c r="M304" s="114" t="e">
        <f>IF(Simulações!#REF!="","",Simulações!#REF!)</f>
        <v>#REF!</v>
      </c>
      <c r="N304" s="114" t="e">
        <f>IF(Simulações!#REF!="","",Simulações!#REF!)</f>
        <v>#REF!</v>
      </c>
      <c r="O304" s="114">
        <v>1</v>
      </c>
    </row>
    <row r="305" spans="1:15" ht="15.75" hidden="1" customHeight="1" x14ac:dyDescent="0.3">
      <c r="A305" s="124" t="e">
        <f>Simulações!#REF!</f>
        <v>#REF!</v>
      </c>
      <c r="B305" s="114" t="e">
        <f>Simulações!#REF!</f>
        <v>#REF!</v>
      </c>
      <c r="C305" s="125" t="e">
        <f>Simulações!#REF!</f>
        <v>#REF!</v>
      </c>
      <c r="D305" s="114" t="e">
        <f>Simulações!#REF!</f>
        <v>#REF!</v>
      </c>
      <c r="E305" s="114" t="e">
        <f>Simulações!#REF!</f>
        <v>#REF!</v>
      </c>
      <c r="F305" s="114" t="e">
        <f>Simulações!#REF!</f>
        <v>#REF!</v>
      </c>
      <c r="G305" s="114" t="e">
        <f>Simulações!#REF!</f>
        <v>#REF!</v>
      </c>
      <c r="H305" s="114" t="e">
        <f>Simulações!#REF!</f>
        <v>#REF!</v>
      </c>
      <c r="I305" s="114" t="e">
        <f>IF(Simulações!#REF!="","",Simulações!#REF!)</f>
        <v>#REF!</v>
      </c>
      <c r="J305" s="114" t="e">
        <f>IF(Simulações!#REF!="","",Simulações!#REF!)</f>
        <v>#REF!</v>
      </c>
      <c r="K305" s="117" t="e">
        <f>Simulações!#REF!</f>
        <v>#REF!</v>
      </c>
      <c r="L305" s="117" t="e">
        <f>Simulações!#REF!</f>
        <v>#REF!</v>
      </c>
      <c r="M305" s="114" t="e">
        <f>IF(Simulações!#REF!="","",Simulações!#REF!)</f>
        <v>#REF!</v>
      </c>
      <c r="N305" s="114" t="e">
        <f>IF(Simulações!#REF!="","",Simulações!#REF!)</f>
        <v>#REF!</v>
      </c>
      <c r="O305" s="114">
        <v>1</v>
      </c>
    </row>
    <row r="306" spans="1:15" ht="15.75" hidden="1" customHeight="1" x14ac:dyDescent="0.3">
      <c r="A306" s="124" t="e">
        <f>Simulações!#REF!</f>
        <v>#REF!</v>
      </c>
      <c r="B306" s="114" t="e">
        <f>Simulações!#REF!</f>
        <v>#REF!</v>
      </c>
      <c r="C306" s="125" t="e">
        <f>Simulações!#REF!</f>
        <v>#REF!</v>
      </c>
      <c r="D306" s="114" t="e">
        <f>Simulações!#REF!</f>
        <v>#REF!</v>
      </c>
      <c r="E306" s="114" t="e">
        <f>Simulações!#REF!</f>
        <v>#REF!</v>
      </c>
      <c r="F306" s="114" t="e">
        <f>Simulações!#REF!</f>
        <v>#REF!</v>
      </c>
      <c r="G306" s="114" t="e">
        <f>Simulações!#REF!</f>
        <v>#REF!</v>
      </c>
      <c r="H306" s="114" t="e">
        <f>Simulações!#REF!</f>
        <v>#REF!</v>
      </c>
      <c r="I306" s="114" t="e">
        <f>IF(Simulações!#REF!="","",Simulações!#REF!)</f>
        <v>#REF!</v>
      </c>
      <c r="J306" s="114" t="e">
        <f>IF(Simulações!#REF!="","",Simulações!#REF!)</f>
        <v>#REF!</v>
      </c>
      <c r="K306" s="117" t="e">
        <f>Simulações!#REF!</f>
        <v>#REF!</v>
      </c>
      <c r="L306" s="117" t="e">
        <f>Simulações!#REF!</f>
        <v>#REF!</v>
      </c>
      <c r="M306" s="114" t="e">
        <f>IF(Simulações!#REF!="","",Simulações!#REF!)</f>
        <v>#REF!</v>
      </c>
      <c r="N306" s="114" t="e">
        <f>IF(Simulações!#REF!="","",Simulações!#REF!)</f>
        <v>#REF!</v>
      </c>
      <c r="O306" s="114">
        <v>1</v>
      </c>
    </row>
    <row r="307" spans="1:15" ht="15.75" hidden="1" customHeight="1" x14ac:dyDescent="0.3">
      <c r="A307" s="124" t="e">
        <f>Simulações!#REF!</f>
        <v>#REF!</v>
      </c>
      <c r="B307" s="114" t="e">
        <f>Simulações!#REF!</f>
        <v>#REF!</v>
      </c>
      <c r="C307" s="125" t="e">
        <f>Simulações!#REF!</f>
        <v>#REF!</v>
      </c>
      <c r="D307" s="114" t="e">
        <f>Simulações!#REF!</f>
        <v>#REF!</v>
      </c>
      <c r="E307" s="114" t="e">
        <f>Simulações!#REF!</f>
        <v>#REF!</v>
      </c>
      <c r="F307" s="114" t="e">
        <f>Simulações!#REF!</f>
        <v>#REF!</v>
      </c>
      <c r="G307" s="114" t="e">
        <f>Simulações!#REF!</f>
        <v>#REF!</v>
      </c>
      <c r="H307" s="114" t="e">
        <f>Simulações!#REF!</f>
        <v>#REF!</v>
      </c>
      <c r="I307" s="114" t="e">
        <f>IF(Simulações!#REF!="","",Simulações!#REF!)</f>
        <v>#REF!</v>
      </c>
      <c r="J307" s="114" t="e">
        <f>IF(Simulações!#REF!="","",Simulações!#REF!)</f>
        <v>#REF!</v>
      </c>
      <c r="K307" s="117" t="e">
        <f>Simulações!#REF!</f>
        <v>#REF!</v>
      </c>
      <c r="L307" s="117" t="e">
        <f>Simulações!#REF!</f>
        <v>#REF!</v>
      </c>
      <c r="M307" s="114" t="e">
        <f>IF(Simulações!#REF!="","",Simulações!#REF!)</f>
        <v>#REF!</v>
      </c>
      <c r="N307" s="114" t="e">
        <f>IF(Simulações!#REF!="","",Simulações!#REF!)</f>
        <v>#REF!</v>
      </c>
      <c r="O307" s="114">
        <v>1</v>
      </c>
    </row>
    <row r="308" spans="1:15" ht="15.75" hidden="1" customHeight="1" x14ac:dyDescent="0.3">
      <c r="A308" s="124" t="e">
        <f>Simulações!#REF!</f>
        <v>#REF!</v>
      </c>
      <c r="B308" s="114" t="e">
        <f>Simulações!#REF!</f>
        <v>#REF!</v>
      </c>
      <c r="C308" s="125" t="e">
        <f>Simulações!#REF!</f>
        <v>#REF!</v>
      </c>
      <c r="D308" s="114" t="e">
        <f>Simulações!#REF!</f>
        <v>#REF!</v>
      </c>
      <c r="E308" s="114" t="e">
        <f>Simulações!#REF!</f>
        <v>#REF!</v>
      </c>
      <c r="F308" s="114" t="e">
        <f>Simulações!#REF!</f>
        <v>#REF!</v>
      </c>
      <c r="G308" s="114" t="e">
        <f>Simulações!#REF!</f>
        <v>#REF!</v>
      </c>
      <c r="H308" s="114" t="e">
        <f>Simulações!#REF!</f>
        <v>#REF!</v>
      </c>
      <c r="I308" s="114" t="e">
        <f>IF(Simulações!#REF!="","",Simulações!#REF!)</f>
        <v>#REF!</v>
      </c>
      <c r="J308" s="114" t="e">
        <f>IF(Simulações!#REF!="","",Simulações!#REF!)</f>
        <v>#REF!</v>
      </c>
      <c r="K308" s="117" t="e">
        <f>Simulações!#REF!</f>
        <v>#REF!</v>
      </c>
      <c r="L308" s="117" t="e">
        <f>Simulações!#REF!</f>
        <v>#REF!</v>
      </c>
      <c r="M308" s="114" t="e">
        <f>IF(Simulações!#REF!="","",Simulações!#REF!)</f>
        <v>#REF!</v>
      </c>
      <c r="N308" s="114" t="e">
        <f>IF(Simulações!#REF!="","",Simulações!#REF!)</f>
        <v>#REF!</v>
      </c>
      <c r="O308" s="114">
        <v>1</v>
      </c>
    </row>
    <row r="309" spans="1:15" ht="15.75" hidden="1" customHeight="1" x14ac:dyDescent="0.3">
      <c r="A309" s="124" t="e">
        <f>Simulações!#REF!</f>
        <v>#REF!</v>
      </c>
      <c r="B309" s="114" t="e">
        <f>Simulações!#REF!</f>
        <v>#REF!</v>
      </c>
      <c r="C309" s="125" t="e">
        <f>Simulações!#REF!</f>
        <v>#REF!</v>
      </c>
      <c r="D309" s="114" t="e">
        <f>Simulações!#REF!</f>
        <v>#REF!</v>
      </c>
      <c r="E309" s="114" t="e">
        <f>Simulações!#REF!</f>
        <v>#REF!</v>
      </c>
      <c r="F309" s="114" t="e">
        <f>Simulações!#REF!</f>
        <v>#REF!</v>
      </c>
      <c r="G309" s="114" t="e">
        <f>Simulações!#REF!</f>
        <v>#REF!</v>
      </c>
      <c r="H309" s="114" t="e">
        <f>Simulações!#REF!</f>
        <v>#REF!</v>
      </c>
      <c r="I309" s="114" t="e">
        <f>IF(Simulações!#REF!="","",Simulações!#REF!)</f>
        <v>#REF!</v>
      </c>
      <c r="J309" s="114" t="e">
        <f>IF(Simulações!#REF!="","",Simulações!#REF!)</f>
        <v>#REF!</v>
      </c>
      <c r="K309" s="117" t="e">
        <f>Simulações!#REF!</f>
        <v>#REF!</v>
      </c>
      <c r="L309" s="117" t="e">
        <f>Simulações!#REF!</f>
        <v>#REF!</v>
      </c>
      <c r="M309" s="114" t="e">
        <f>IF(Simulações!#REF!="","",Simulações!#REF!)</f>
        <v>#REF!</v>
      </c>
      <c r="N309" s="114" t="e">
        <f>IF(Simulações!#REF!="","",Simulações!#REF!)</f>
        <v>#REF!</v>
      </c>
      <c r="O309" s="114">
        <v>1</v>
      </c>
    </row>
    <row r="310" spans="1:15" ht="15.75" hidden="1" customHeight="1" x14ac:dyDescent="0.3">
      <c r="A310" s="124" t="e">
        <f>Simulações!#REF!</f>
        <v>#REF!</v>
      </c>
      <c r="B310" s="114" t="e">
        <f>Simulações!#REF!</f>
        <v>#REF!</v>
      </c>
      <c r="C310" s="125" t="e">
        <f>Simulações!#REF!</f>
        <v>#REF!</v>
      </c>
      <c r="D310" s="114" t="e">
        <f>Simulações!#REF!</f>
        <v>#REF!</v>
      </c>
      <c r="E310" s="114" t="e">
        <f>Simulações!#REF!</f>
        <v>#REF!</v>
      </c>
      <c r="F310" s="114" t="e">
        <f>Simulações!#REF!</f>
        <v>#REF!</v>
      </c>
      <c r="G310" s="114" t="e">
        <f>Simulações!#REF!</f>
        <v>#REF!</v>
      </c>
      <c r="H310" s="114" t="e">
        <f>Simulações!#REF!</f>
        <v>#REF!</v>
      </c>
      <c r="I310" s="114" t="e">
        <f>IF(Simulações!#REF!="","",Simulações!#REF!)</f>
        <v>#REF!</v>
      </c>
      <c r="J310" s="114" t="e">
        <f>IF(Simulações!#REF!="","",Simulações!#REF!)</f>
        <v>#REF!</v>
      </c>
      <c r="K310" s="117" t="e">
        <f>Simulações!#REF!</f>
        <v>#REF!</v>
      </c>
      <c r="L310" s="117" t="e">
        <f>Simulações!#REF!</f>
        <v>#REF!</v>
      </c>
      <c r="M310" s="114" t="e">
        <f>IF(Simulações!#REF!="","",Simulações!#REF!)</f>
        <v>#REF!</v>
      </c>
      <c r="N310" s="114" t="e">
        <f>IF(Simulações!#REF!="","",Simulações!#REF!)</f>
        <v>#REF!</v>
      </c>
      <c r="O310" s="114">
        <v>1</v>
      </c>
    </row>
    <row r="311" spans="1:15" ht="15.75" hidden="1" customHeight="1" x14ac:dyDescent="0.3">
      <c r="A311" s="124" t="e">
        <f>Simulações!#REF!</f>
        <v>#REF!</v>
      </c>
      <c r="B311" s="114" t="e">
        <f>Simulações!#REF!</f>
        <v>#REF!</v>
      </c>
      <c r="C311" s="125" t="e">
        <f>Simulações!#REF!</f>
        <v>#REF!</v>
      </c>
      <c r="D311" s="114" t="e">
        <f>Simulações!#REF!</f>
        <v>#REF!</v>
      </c>
      <c r="E311" s="114" t="e">
        <f>Simulações!#REF!</f>
        <v>#REF!</v>
      </c>
      <c r="F311" s="114" t="e">
        <f>Simulações!#REF!</f>
        <v>#REF!</v>
      </c>
      <c r="G311" s="114" t="e">
        <f>Simulações!#REF!</f>
        <v>#REF!</v>
      </c>
      <c r="H311" s="114" t="e">
        <f>Simulações!#REF!</f>
        <v>#REF!</v>
      </c>
      <c r="I311" s="114" t="e">
        <f>IF(Simulações!#REF!="","",Simulações!#REF!)</f>
        <v>#REF!</v>
      </c>
      <c r="J311" s="114" t="e">
        <f>IF(Simulações!#REF!="","",Simulações!#REF!)</f>
        <v>#REF!</v>
      </c>
      <c r="K311" s="117" t="e">
        <f>Simulações!#REF!</f>
        <v>#REF!</v>
      </c>
      <c r="L311" s="117" t="e">
        <f>Simulações!#REF!</f>
        <v>#REF!</v>
      </c>
      <c r="M311" s="114" t="e">
        <f>IF(Simulações!#REF!="","",Simulações!#REF!)</f>
        <v>#REF!</v>
      </c>
      <c r="N311" s="114" t="e">
        <f>IF(Simulações!#REF!="","",Simulações!#REF!)</f>
        <v>#REF!</v>
      </c>
      <c r="O311" s="114">
        <v>1</v>
      </c>
    </row>
    <row r="312" spans="1:15" ht="15.75" hidden="1" customHeight="1" x14ac:dyDescent="0.3">
      <c r="A312" s="124" t="e">
        <f>Simulações!#REF!</f>
        <v>#REF!</v>
      </c>
      <c r="B312" s="114" t="e">
        <f>Simulações!#REF!</f>
        <v>#REF!</v>
      </c>
      <c r="C312" s="125" t="e">
        <f>Simulações!#REF!</f>
        <v>#REF!</v>
      </c>
      <c r="D312" s="114" t="e">
        <f>Simulações!#REF!</f>
        <v>#REF!</v>
      </c>
      <c r="E312" s="114" t="e">
        <f>Simulações!#REF!</f>
        <v>#REF!</v>
      </c>
      <c r="F312" s="114" t="e">
        <f>Simulações!#REF!</f>
        <v>#REF!</v>
      </c>
      <c r="G312" s="114" t="e">
        <f>Simulações!#REF!</f>
        <v>#REF!</v>
      </c>
      <c r="H312" s="114" t="e">
        <f>Simulações!#REF!</f>
        <v>#REF!</v>
      </c>
      <c r="I312" s="114" t="e">
        <f>IF(Simulações!#REF!="","",Simulações!#REF!)</f>
        <v>#REF!</v>
      </c>
      <c r="J312" s="114" t="e">
        <f>IF(Simulações!#REF!="","",Simulações!#REF!)</f>
        <v>#REF!</v>
      </c>
      <c r="K312" s="117" t="e">
        <f>Simulações!#REF!</f>
        <v>#REF!</v>
      </c>
      <c r="L312" s="117" t="e">
        <f>Simulações!#REF!</f>
        <v>#REF!</v>
      </c>
      <c r="M312" s="114" t="e">
        <f>IF(Simulações!#REF!="","",Simulações!#REF!)</f>
        <v>#REF!</v>
      </c>
      <c r="N312" s="114" t="e">
        <f>IF(Simulações!#REF!="","",Simulações!#REF!)</f>
        <v>#REF!</v>
      </c>
      <c r="O312" s="114">
        <v>1</v>
      </c>
    </row>
    <row r="313" spans="1:15" ht="15.75" hidden="1" customHeight="1" x14ac:dyDescent="0.3">
      <c r="A313" s="124" t="e">
        <f>Simulações!#REF!</f>
        <v>#REF!</v>
      </c>
      <c r="B313" s="114" t="e">
        <f>Simulações!#REF!</f>
        <v>#REF!</v>
      </c>
      <c r="C313" s="125" t="e">
        <f>Simulações!#REF!</f>
        <v>#REF!</v>
      </c>
      <c r="D313" s="114" t="e">
        <f>Simulações!#REF!</f>
        <v>#REF!</v>
      </c>
      <c r="E313" s="114" t="e">
        <f>Simulações!#REF!</f>
        <v>#REF!</v>
      </c>
      <c r="F313" s="114" t="e">
        <f>Simulações!#REF!</f>
        <v>#REF!</v>
      </c>
      <c r="G313" s="114" t="e">
        <f>Simulações!#REF!</f>
        <v>#REF!</v>
      </c>
      <c r="H313" s="114" t="e">
        <f>Simulações!#REF!</f>
        <v>#REF!</v>
      </c>
      <c r="I313" s="114" t="e">
        <f>IF(Simulações!#REF!="","",Simulações!#REF!)</f>
        <v>#REF!</v>
      </c>
      <c r="J313" s="114" t="e">
        <f>IF(Simulações!#REF!="","",Simulações!#REF!)</f>
        <v>#REF!</v>
      </c>
      <c r="K313" s="117" t="e">
        <f>Simulações!#REF!</f>
        <v>#REF!</v>
      </c>
      <c r="L313" s="117" t="e">
        <f>Simulações!#REF!</f>
        <v>#REF!</v>
      </c>
      <c r="M313" s="114" t="e">
        <f>IF(Simulações!#REF!="","",Simulações!#REF!)</f>
        <v>#REF!</v>
      </c>
      <c r="N313" s="114" t="e">
        <f>IF(Simulações!#REF!="","",Simulações!#REF!)</f>
        <v>#REF!</v>
      </c>
      <c r="O313" s="114">
        <v>1</v>
      </c>
    </row>
    <row r="314" spans="1:15" ht="15.75" hidden="1" customHeight="1" x14ac:dyDescent="0.3">
      <c r="A314" s="124" t="e">
        <f>Simulações!#REF!</f>
        <v>#REF!</v>
      </c>
      <c r="B314" s="114" t="e">
        <f>Simulações!#REF!</f>
        <v>#REF!</v>
      </c>
      <c r="C314" s="125" t="e">
        <f>Simulações!#REF!</f>
        <v>#REF!</v>
      </c>
      <c r="D314" s="114" t="e">
        <f>Simulações!#REF!</f>
        <v>#REF!</v>
      </c>
      <c r="E314" s="114" t="e">
        <f>Simulações!#REF!</f>
        <v>#REF!</v>
      </c>
      <c r="F314" s="114" t="e">
        <f>Simulações!#REF!</f>
        <v>#REF!</v>
      </c>
      <c r="G314" s="114" t="e">
        <f>Simulações!#REF!</f>
        <v>#REF!</v>
      </c>
      <c r="H314" s="114" t="e">
        <f>Simulações!#REF!</f>
        <v>#REF!</v>
      </c>
      <c r="I314" s="114" t="e">
        <f>IF(Simulações!#REF!="","",Simulações!#REF!)</f>
        <v>#REF!</v>
      </c>
      <c r="J314" s="114" t="e">
        <f>IF(Simulações!#REF!="","",Simulações!#REF!)</f>
        <v>#REF!</v>
      </c>
      <c r="K314" s="117" t="e">
        <f>Simulações!#REF!</f>
        <v>#REF!</v>
      </c>
      <c r="L314" s="117" t="e">
        <f>Simulações!#REF!</f>
        <v>#REF!</v>
      </c>
      <c r="M314" s="114" t="e">
        <f>IF(Simulações!#REF!="","",Simulações!#REF!)</f>
        <v>#REF!</v>
      </c>
      <c r="N314" s="114" t="e">
        <f>IF(Simulações!#REF!="","",Simulações!#REF!)</f>
        <v>#REF!</v>
      </c>
      <c r="O314" s="114">
        <v>1</v>
      </c>
    </row>
    <row r="315" spans="1:15" ht="15.75" hidden="1" customHeight="1" x14ac:dyDescent="0.3">
      <c r="A315" s="124" t="e">
        <f>Simulações!#REF!</f>
        <v>#REF!</v>
      </c>
      <c r="B315" s="114" t="e">
        <f>Simulações!#REF!</f>
        <v>#REF!</v>
      </c>
      <c r="C315" s="125" t="e">
        <f>Simulações!#REF!</f>
        <v>#REF!</v>
      </c>
      <c r="D315" s="114" t="e">
        <f>Simulações!#REF!</f>
        <v>#REF!</v>
      </c>
      <c r="E315" s="114" t="e">
        <f>Simulações!#REF!</f>
        <v>#REF!</v>
      </c>
      <c r="F315" s="114" t="e">
        <f>Simulações!#REF!</f>
        <v>#REF!</v>
      </c>
      <c r="G315" s="114" t="e">
        <f>Simulações!#REF!</f>
        <v>#REF!</v>
      </c>
      <c r="H315" s="114" t="e">
        <f>Simulações!#REF!</f>
        <v>#REF!</v>
      </c>
      <c r="I315" s="114" t="e">
        <f>IF(Simulações!#REF!="","",Simulações!#REF!)</f>
        <v>#REF!</v>
      </c>
      <c r="J315" s="114" t="e">
        <f>IF(Simulações!#REF!="","",Simulações!#REF!)</f>
        <v>#REF!</v>
      </c>
      <c r="K315" s="117" t="e">
        <f>Simulações!#REF!</f>
        <v>#REF!</v>
      </c>
      <c r="L315" s="117" t="e">
        <f>Simulações!#REF!</f>
        <v>#REF!</v>
      </c>
      <c r="M315" s="114" t="e">
        <f>IF(Simulações!#REF!="","",Simulações!#REF!)</f>
        <v>#REF!</v>
      </c>
      <c r="N315" s="114" t="e">
        <f>IF(Simulações!#REF!="","",Simulações!#REF!)</f>
        <v>#REF!</v>
      </c>
      <c r="O315" s="114">
        <v>1</v>
      </c>
    </row>
    <row r="316" spans="1:15" ht="15.75" hidden="1" customHeight="1" x14ac:dyDescent="0.3">
      <c r="A316" s="124" t="e">
        <f>Simulações!#REF!</f>
        <v>#REF!</v>
      </c>
      <c r="B316" s="114" t="e">
        <f>Simulações!#REF!</f>
        <v>#REF!</v>
      </c>
      <c r="C316" s="125" t="e">
        <f>Simulações!#REF!</f>
        <v>#REF!</v>
      </c>
      <c r="D316" s="114" t="e">
        <f>Simulações!#REF!</f>
        <v>#REF!</v>
      </c>
      <c r="E316" s="114" t="e">
        <f>Simulações!#REF!</f>
        <v>#REF!</v>
      </c>
      <c r="F316" s="114" t="e">
        <f>Simulações!#REF!</f>
        <v>#REF!</v>
      </c>
      <c r="G316" s="114" t="e">
        <f>Simulações!#REF!</f>
        <v>#REF!</v>
      </c>
      <c r="H316" s="114" t="e">
        <f>Simulações!#REF!</f>
        <v>#REF!</v>
      </c>
      <c r="I316" s="114" t="e">
        <f>IF(Simulações!#REF!="","",Simulações!#REF!)</f>
        <v>#REF!</v>
      </c>
      <c r="J316" s="114" t="e">
        <f>IF(Simulações!#REF!="","",Simulações!#REF!)</f>
        <v>#REF!</v>
      </c>
      <c r="K316" s="117" t="e">
        <f>Simulações!#REF!</f>
        <v>#REF!</v>
      </c>
      <c r="L316" s="117" t="e">
        <f>Simulações!#REF!</f>
        <v>#REF!</v>
      </c>
      <c r="M316" s="114" t="e">
        <f>IF(Simulações!#REF!="","",Simulações!#REF!)</f>
        <v>#REF!</v>
      </c>
      <c r="N316" s="114" t="e">
        <f>IF(Simulações!#REF!="","",Simulações!#REF!)</f>
        <v>#REF!</v>
      </c>
      <c r="O316" s="114">
        <v>1</v>
      </c>
    </row>
    <row r="317" spans="1:15" ht="15.75" hidden="1" customHeight="1" x14ac:dyDescent="0.3">
      <c r="A317" s="124" t="e">
        <f>Simulações!#REF!</f>
        <v>#REF!</v>
      </c>
      <c r="B317" s="114" t="e">
        <f>Simulações!#REF!</f>
        <v>#REF!</v>
      </c>
      <c r="C317" s="125" t="e">
        <f>Simulações!#REF!</f>
        <v>#REF!</v>
      </c>
      <c r="D317" s="114" t="e">
        <f>Simulações!#REF!</f>
        <v>#REF!</v>
      </c>
      <c r="E317" s="114" t="e">
        <f>Simulações!#REF!</f>
        <v>#REF!</v>
      </c>
      <c r="F317" s="114" t="e">
        <f>Simulações!#REF!</f>
        <v>#REF!</v>
      </c>
      <c r="G317" s="114" t="e">
        <f>Simulações!#REF!</f>
        <v>#REF!</v>
      </c>
      <c r="H317" s="114" t="e">
        <f>Simulações!#REF!</f>
        <v>#REF!</v>
      </c>
      <c r="I317" s="114" t="e">
        <f>IF(Simulações!#REF!="","",Simulações!#REF!)</f>
        <v>#REF!</v>
      </c>
      <c r="J317" s="114" t="e">
        <f>IF(Simulações!#REF!="","",Simulações!#REF!)</f>
        <v>#REF!</v>
      </c>
      <c r="K317" s="117" t="e">
        <f>Simulações!#REF!</f>
        <v>#REF!</v>
      </c>
      <c r="L317" s="117" t="e">
        <f>Simulações!#REF!</f>
        <v>#REF!</v>
      </c>
      <c r="M317" s="114" t="e">
        <f>IF(Simulações!#REF!="","",Simulações!#REF!)</f>
        <v>#REF!</v>
      </c>
      <c r="N317" s="114" t="e">
        <f>IF(Simulações!#REF!="","",Simulações!#REF!)</f>
        <v>#REF!</v>
      </c>
      <c r="O317" s="114">
        <v>1</v>
      </c>
    </row>
    <row r="318" spans="1:15" ht="15.75" hidden="1" customHeight="1" x14ac:dyDescent="0.3">
      <c r="A318" s="124" t="e">
        <f>Simulações!#REF!</f>
        <v>#REF!</v>
      </c>
      <c r="B318" s="114" t="e">
        <f>Simulações!#REF!</f>
        <v>#REF!</v>
      </c>
      <c r="C318" s="125" t="e">
        <f>Simulações!#REF!</f>
        <v>#REF!</v>
      </c>
      <c r="D318" s="114" t="e">
        <f>Simulações!#REF!</f>
        <v>#REF!</v>
      </c>
      <c r="E318" s="114" t="e">
        <f>Simulações!#REF!</f>
        <v>#REF!</v>
      </c>
      <c r="F318" s="114" t="e">
        <f>Simulações!#REF!</f>
        <v>#REF!</v>
      </c>
      <c r="G318" s="114" t="e">
        <f>Simulações!#REF!</f>
        <v>#REF!</v>
      </c>
      <c r="H318" s="114" t="e">
        <f>Simulações!#REF!</f>
        <v>#REF!</v>
      </c>
      <c r="I318" s="114" t="e">
        <f>IF(Simulações!#REF!="","",Simulações!#REF!)</f>
        <v>#REF!</v>
      </c>
      <c r="J318" s="114" t="e">
        <f>IF(Simulações!#REF!="","",Simulações!#REF!)</f>
        <v>#REF!</v>
      </c>
      <c r="K318" s="117" t="e">
        <f>Simulações!#REF!</f>
        <v>#REF!</v>
      </c>
      <c r="L318" s="117" t="e">
        <f>Simulações!#REF!</f>
        <v>#REF!</v>
      </c>
      <c r="M318" s="114" t="e">
        <f>IF(Simulações!#REF!="","",Simulações!#REF!)</f>
        <v>#REF!</v>
      </c>
      <c r="N318" s="114" t="e">
        <f>IF(Simulações!#REF!="","",Simulações!#REF!)</f>
        <v>#REF!</v>
      </c>
      <c r="O318" s="114">
        <v>1</v>
      </c>
    </row>
    <row r="319" spans="1:15" ht="15.75" hidden="1" customHeight="1" x14ac:dyDescent="0.3">
      <c r="A319" s="124" t="e">
        <f>Simulações!#REF!</f>
        <v>#REF!</v>
      </c>
      <c r="B319" s="114" t="e">
        <f>Simulações!#REF!</f>
        <v>#REF!</v>
      </c>
      <c r="C319" s="125" t="e">
        <f>Simulações!#REF!</f>
        <v>#REF!</v>
      </c>
      <c r="D319" s="114" t="e">
        <f>Simulações!#REF!</f>
        <v>#REF!</v>
      </c>
      <c r="E319" s="114" t="e">
        <f>Simulações!#REF!</f>
        <v>#REF!</v>
      </c>
      <c r="F319" s="114" t="e">
        <f>Simulações!#REF!</f>
        <v>#REF!</v>
      </c>
      <c r="G319" s="114" t="e">
        <f>Simulações!#REF!</f>
        <v>#REF!</v>
      </c>
      <c r="H319" s="114" t="e">
        <f>Simulações!#REF!</f>
        <v>#REF!</v>
      </c>
      <c r="I319" s="114" t="e">
        <f>IF(Simulações!#REF!="","",Simulações!#REF!)</f>
        <v>#REF!</v>
      </c>
      <c r="J319" s="114" t="e">
        <f>IF(Simulações!#REF!="","",Simulações!#REF!)</f>
        <v>#REF!</v>
      </c>
      <c r="K319" s="117" t="e">
        <f>Simulações!#REF!</f>
        <v>#REF!</v>
      </c>
      <c r="L319" s="117" t="e">
        <f>Simulações!#REF!</f>
        <v>#REF!</v>
      </c>
      <c r="M319" s="114" t="e">
        <f>IF(Simulações!#REF!="","",Simulações!#REF!)</f>
        <v>#REF!</v>
      </c>
      <c r="N319" s="114" t="e">
        <f>IF(Simulações!#REF!="","",Simulações!#REF!)</f>
        <v>#REF!</v>
      </c>
      <c r="O319" s="114">
        <v>1</v>
      </c>
    </row>
    <row r="320" spans="1:15" ht="15.75" hidden="1" customHeight="1" x14ac:dyDescent="0.3">
      <c r="A320" s="124" t="e">
        <f>Simulações!#REF!</f>
        <v>#REF!</v>
      </c>
      <c r="B320" s="114" t="e">
        <f>Simulações!#REF!</f>
        <v>#REF!</v>
      </c>
      <c r="C320" s="125" t="e">
        <f>Simulações!#REF!</f>
        <v>#REF!</v>
      </c>
      <c r="D320" s="114" t="e">
        <f>Simulações!#REF!</f>
        <v>#REF!</v>
      </c>
      <c r="E320" s="114" t="e">
        <f>Simulações!#REF!</f>
        <v>#REF!</v>
      </c>
      <c r="F320" s="114" t="e">
        <f>Simulações!#REF!</f>
        <v>#REF!</v>
      </c>
      <c r="G320" s="114" t="e">
        <f>Simulações!#REF!</f>
        <v>#REF!</v>
      </c>
      <c r="H320" s="114" t="e">
        <f>Simulações!#REF!</f>
        <v>#REF!</v>
      </c>
      <c r="I320" s="114" t="e">
        <f>IF(Simulações!#REF!="","",Simulações!#REF!)</f>
        <v>#REF!</v>
      </c>
      <c r="J320" s="114" t="e">
        <f>IF(Simulações!#REF!="","",Simulações!#REF!)</f>
        <v>#REF!</v>
      </c>
      <c r="K320" s="117" t="e">
        <f>Simulações!#REF!</f>
        <v>#REF!</v>
      </c>
      <c r="L320" s="117" t="e">
        <f>Simulações!#REF!</f>
        <v>#REF!</v>
      </c>
      <c r="M320" s="114" t="e">
        <f>IF(Simulações!#REF!="","",Simulações!#REF!)</f>
        <v>#REF!</v>
      </c>
      <c r="N320" s="114" t="e">
        <f>IF(Simulações!#REF!="","",Simulações!#REF!)</f>
        <v>#REF!</v>
      </c>
      <c r="O320" s="114">
        <v>1</v>
      </c>
    </row>
    <row r="321" spans="1:15" ht="15.75" hidden="1" customHeight="1" x14ac:dyDescent="0.3">
      <c r="A321" s="124" t="e">
        <f>Simulações!#REF!</f>
        <v>#REF!</v>
      </c>
      <c r="B321" s="114" t="e">
        <f>Simulações!#REF!</f>
        <v>#REF!</v>
      </c>
      <c r="C321" s="125" t="e">
        <f>Simulações!#REF!</f>
        <v>#REF!</v>
      </c>
      <c r="D321" s="114" t="e">
        <f>Simulações!#REF!</f>
        <v>#REF!</v>
      </c>
      <c r="E321" s="114" t="e">
        <f>Simulações!#REF!</f>
        <v>#REF!</v>
      </c>
      <c r="F321" s="114" t="e">
        <f>Simulações!#REF!</f>
        <v>#REF!</v>
      </c>
      <c r="G321" s="114" t="e">
        <f>Simulações!#REF!</f>
        <v>#REF!</v>
      </c>
      <c r="H321" s="114" t="e">
        <f>Simulações!#REF!</f>
        <v>#REF!</v>
      </c>
      <c r="I321" s="114" t="e">
        <f>IF(Simulações!#REF!="","",Simulações!#REF!)</f>
        <v>#REF!</v>
      </c>
      <c r="J321" s="114" t="e">
        <f>IF(Simulações!#REF!="","",Simulações!#REF!)</f>
        <v>#REF!</v>
      </c>
      <c r="K321" s="117" t="e">
        <f>Simulações!#REF!</f>
        <v>#REF!</v>
      </c>
      <c r="L321" s="117" t="e">
        <f>Simulações!#REF!</f>
        <v>#REF!</v>
      </c>
      <c r="M321" s="114" t="e">
        <f>IF(Simulações!#REF!="","",Simulações!#REF!)</f>
        <v>#REF!</v>
      </c>
      <c r="N321" s="114" t="e">
        <f>IF(Simulações!#REF!="","",Simulações!#REF!)</f>
        <v>#REF!</v>
      </c>
      <c r="O321" s="114">
        <v>1</v>
      </c>
    </row>
    <row r="322" spans="1:15" ht="15.75" hidden="1" customHeight="1" x14ac:dyDescent="0.3">
      <c r="A322" s="124" t="e">
        <f>Simulações!#REF!</f>
        <v>#REF!</v>
      </c>
      <c r="B322" s="114" t="e">
        <f>Simulações!#REF!</f>
        <v>#REF!</v>
      </c>
      <c r="C322" s="125" t="e">
        <f>Simulações!#REF!</f>
        <v>#REF!</v>
      </c>
      <c r="D322" s="114" t="e">
        <f>Simulações!#REF!</f>
        <v>#REF!</v>
      </c>
      <c r="E322" s="114" t="e">
        <f>Simulações!#REF!</f>
        <v>#REF!</v>
      </c>
      <c r="F322" s="114" t="e">
        <f>Simulações!#REF!</f>
        <v>#REF!</v>
      </c>
      <c r="G322" s="114" t="e">
        <f>Simulações!#REF!</f>
        <v>#REF!</v>
      </c>
      <c r="H322" s="114" t="e">
        <f>Simulações!#REF!</f>
        <v>#REF!</v>
      </c>
      <c r="I322" s="114" t="e">
        <f>IF(Simulações!#REF!="","",Simulações!#REF!)</f>
        <v>#REF!</v>
      </c>
      <c r="J322" s="114" t="e">
        <f>IF(Simulações!#REF!="","",Simulações!#REF!)</f>
        <v>#REF!</v>
      </c>
      <c r="K322" s="117" t="e">
        <f>Simulações!#REF!</f>
        <v>#REF!</v>
      </c>
      <c r="L322" s="117" t="e">
        <f>Simulações!#REF!</f>
        <v>#REF!</v>
      </c>
      <c r="M322" s="114" t="e">
        <f>IF(Simulações!#REF!="","",Simulações!#REF!)</f>
        <v>#REF!</v>
      </c>
      <c r="N322" s="114" t="e">
        <f>IF(Simulações!#REF!="","",Simulações!#REF!)</f>
        <v>#REF!</v>
      </c>
      <c r="O322" s="114">
        <v>1</v>
      </c>
    </row>
    <row r="323" spans="1:15" ht="15.75" hidden="1" customHeight="1" x14ac:dyDescent="0.3">
      <c r="A323" s="124" t="e">
        <f>Simulações!#REF!</f>
        <v>#REF!</v>
      </c>
      <c r="B323" s="114" t="e">
        <f>Simulações!#REF!</f>
        <v>#REF!</v>
      </c>
      <c r="C323" s="125" t="e">
        <f>Simulações!#REF!</f>
        <v>#REF!</v>
      </c>
      <c r="D323" s="114" t="e">
        <f>Simulações!#REF!</f>
        <v>#REF!</v>
      </c>
      <c r="E323" s="114" t="e">
        <f>Simulações!#REF!</f>
        <v>#REF!</v>
      </c>
      <c r="F323" s="114" t="e">
        <f>Simulações!#REF!</f>
        <v>#REF!</v>
      </c>
      <c r="G323" s="114" t="e">
        <f>Simulações!#REF!</f>
        <v>#REF!</v>
      </c>
      <c r="H323" s="114" t="e">
        <f>Simulações!#REF!</f>
        <v>#REF!</v>
      </c>
      <c r="I323" s="114" t="e">
        <f>IF(Simulações!#REF!="","",Simulações!#REF!)</f>
        <v>#REF!</v>
      </c>
      <c r="J323" s="114" t="e">
        <f>IF(Simulações!#REF!="","",Simulações!#REF!)</f>
        <v>#REF!</v>
      </c>
      <c r="K323" s="117" t="e">
        <f>Simulações!#REF!</f>
        <v>#REF!</v>
      </c>
      <c r="L323" s="117" t="e">
        <f>Simulações!#REF!</f>
        <v>#REF!</v>
      </c>
      <c r="M323" s="114" t="e">
        <f>IF(Simulações!#REF!="","",Simulações!#REF!)</f>
        <v>#REF!</v>
      </c>
      <c r="N323" s="114" t="e">
        <f>IF(Simulações!#REF!="","",Simulações!#REF!)</f>
        <v>#REF!</v>
      </c>
      <c r="O323" s="114">
        <v>1</v>
      </c>
    </row>
    <row r="324" spans="1:15" ht="15.75" hidden="1" customHeight="1" x14ac:dyDescent="0.3">
      <c r="A324" s="124" t="e">
        <f>Simulações!#REF!</f>
        <v>#REF!</v>
      </c>
      <c r="B324" s="114" t="e">
        <f>Simulações!#REF!</f>
        <v>#REF!</v>
      </c>
      <c r="C324" s="125" t="e">
        <f>Simulações!#REF!</f>
        <v>#REF!</v>
      </c>
      <c r="D324" s="114" t="e">
        <f>Simulações!#REF!</f>
        <v>#REF!</v>
      </c>
      <c r="E324" s="114" t="e">
        <f>Simulações!#REF!</f>
        <v>#REF!</v>
      </c>
      <c r="F324" s="114" t="e">
        <f>Simulações!#REF!</f>
        <v>#REF!</v>
      </c>
      <c r="G324" s="114" t="e">
        <f>Simulações!#REF!</f>
        <v>#REF!</v>
      </c>
      <c r="H324" s="114" t="e">
        <f>Simulações!#REF!</f>
        <v>#REF!</v>
      </c>
      <c r="I324" s="114" t="e">
        <f>IF(Simulações!#REF!="","",Simulações!#REF!)</f>
        <v>#REF!</v>
      </c>
      <c r="J324" s="114" t="e">
        <f>IF(Simulações!#REF!="","",Simulações!#REF!)</f>
        <v>#REF!</v>
      </c>
      <c r="K324" s="117" t="e">
        <f>Simulações!#REF!</f>
        <v>#REF!</v>
      </c>
      <c r="L324" s="117" t="e">
        <f>Simulações!#REF!</f>
        <v>#REF!</v>
      </c>
      <c r="M324" s="114" t="e">
        <f>IF(Simulações!#REF!="","",Simulações!#REF!)</f>
        <v>#REF!</v>
      </c>
      <c r="N324" s="114" t="e">
        <f>IF(Simulações!#REF!="","",Simulações!#REF!)</f>
        <v>#REF!</v>
      </c>
      <c r="O324" s="114">
        <v>1</v>
      </c>
    </row>
    <row r="325" spans="1:15" ht="15.75" hidden="1" customHeight="1" x14ac:dyDescent="0.3">
      <c r="A325" s="124" t="e">
        <f>Simulações!#REF!</f>
        <v>#REF!</v>
      </c>
      <c r="B325" s="114" t="e">
        <f>Simulações!#REF!</f>
        <v>#REF!</v>
      </c>
      <c r="C325" s="125" t="e">
        <f>Simulações!#REF!</f>
        <v>#REF!</v>
      </c>
      <c r="D325" s="114" t="e">
        <f>Simulações!#REF!</f>
        <v>#REF!</v>
      </c>
      <c r="E325" s="114" t="e">
        <f>Simulações!#REF!</f>
        <v>#REF!</v>
      </c>
      <c r="F325" s="114" t="e">
        <f>Simulações!#REF!</f>
        <v>#REF!</v>
      </c>
      <c r="G325" s="114" t="e">
        <f>Simulações!#REF!</f>
        <v>#REF!</v>
      </c>
      <c r="H325" s="114" t="e">
        <f>Simulações!#REF!</f>
        <v>#REF!</v>
      </c>
      <c r="I325" s="114" t="e">
        <f>IF(Simulações!#REF!="","",Simulações!#REF!)</f>
        <v>#REF!</v>
      </c>
      <c r="J325" s="114" t="e">
        <f>IF(Simulações!#REF!="","",Simulações!#REF!)</f>
        <v>#REF!</v>
      </c>
      <c r="K325" s="117" t="e">
        <f>Simulações!#REF!</f>
        <v>#REF!</v>
      </c>
      <c r="L325" s="117" t="e">
        <f>Simulações!#REF!</f>
        <v>#REF!</v>
      </c>
      <c r="M325" s="114" t="e">
        <f>IF(Simulações!#REF!="","",Simulações!#REF!)</f>
        <v>#REF!</v>
      </c>
      <c r="N325" s="114" t="e">
        <f>IF(Simulações!#REF!="","",Simulações!#REF!)</f>
        <v>#REF!</v>
      </c>
      <c r="O325" s="114">
        <v>1</v>
      </c>
    </row>
    <row r="326" spans="1:15" ht="15.75" hidden="1" customHeight="1" x14ac:dyDescent="0.3">
      <c r="A326" s="124" t="e">
        <f>Simulações!#REF!</f>
        <v>#REF!</v>
      </c>
      <c r="B326" s="114" t="e">
        <f>Simulações!#REF!</f>
        <v>#REF!</v>
      </c>
      <c r="C326" s="125" t="e">
        <f>Simulações!#REF!</f>
        <v>#REF!</v>
      </c>
      <c r="D326" s="114" t="e">
        <f>Simulações!#REF!</f>
        <v>#REF!</v>
      </c>
      <c r="E326" s="114" t="e">
        <f>Simulações!#REF!</f>
        <v>#REF!</v>
      </c>
      <c r="F326" s="114" t="e">
        <f>Simulações!#REF!</f>
        <v>#REF!</v>
      </c>
      <c r="G326" s="114" t="e">
        <f>Simulações!#REF!</f>
        <v>#REF!</v>
      </c>
      <c r="H326" s="114" t="e">
        <f>Simulações!#REF!</f>
        <v>#REF!</v>
      </c>
      <c r="I326" s="114" t="e">
        <f>IF(Simulações!#REF!="","",Simulações!#REF!)</f>
        <v>#REF!</v>
      </c>
      <c r="J326" s="114" t="e">
        <f>IF(Simulações!#REF!="","",Simulações!#REF!)</f>
        <v>#REF!</v>
      </c>
      <c r="K326" s="117" t="e">
        <f>Simulações!#REF!</f>
        <v>#REF!</v>
      </c>
      <c r="L326" s="117" t="e">
        <f>Simulações!#REF!</f>
        <v>#REF!</v>
      </c>
      <c r="M326" s="114" t="e">
        <f>IF(Simulações!#REF!="","",Simulações!#REF!)</f>
        <v>#REF!</v>
      </c>
      <c r="N326" s="114" t="e">
        <f>IF(Simulações!#REF!="","",Simulações!#REF!)</f>
        <v>#REF!</v>
      </c>
      <c r="O326" s="114">
        <v>1</v>
      </c>
    </row>
    <row r="327" spans="1:15" ht="15.75" hidden="1" customHeight="1" x14ac:dyDescent="0.3">
      <c r="A327" s="124" t="e">
        <f>Simulações!#REF!</f>
        <v>#REF!</v>
      </c>
      <c r="B327" s="114" t="e">
        <f>Simulações!#REF!</f>
        <v>#REF!</v>
      </c>
      <c r="C327" s="125" t="e">
        <f>Simulações!#REF!</f>
        <v>#REF!</v>
      </c>
      <c r="D327" s="114" t="e">
        <f>Simulações!#REF!</f>
        <v>#REF!</v>
      </c>
      <c r="E327" s="114" t="e">
        <f>Simulações!#REF!</f>
        <v>#REF!</v>
      </c>
      <c r="F327" s="114" t="e">
        <f>Simulações!#REF!</f>
        <v>#REF!</v>
      </c>
      <c r="G327" s="114" t="e">
        <f>Simulações!#REF!</f>
        <v>#REF!</v>
      </c>
      <c r="H327" s="114" t="e">
        <f>Simulações!#REF!</f>
        <v>#REF!</v>
      </c>
      <c r="I327" s="114" t="e">
        <f>IF(Simulações!#REF!="","",Simulações!#REF!)</f>
        <v>#REF!</v>
      </c>
      <c r="J327" s="114" t="e">
        <f>IF(Simulações!#REF!="","",Simulações!#REF!)</f>
        <v>#REF!</v>
      </c>
      <c r="K327" s="117" t="e">
        <f>Simulações!#REF!</f>
        <v>#REF!</v>
      </c>
      <c r="L327" s="117" t="e">
        <f>Simulações!#REF!</f>
        <v>#REF!</v>
      </c>
      <c r="M327" s="114" t="e">
        <f>IF(Simulações!#REF!="","",Simulações!#REF!)</f>
        <v>#REF!</v>
      </c>
      <c r="N327" s="114" t="e">
        <f>IF(Simulações!#REF!="","",Simulações!#REF!)</f>
        <v>#REF!</v>
      </c>
      <c r="O327" s="114">
        <v>1</v>
      </c>
    </row>
    <row r="328" spans="1:15" ht="15.75" hidden="1" customHeight="1" x14ac:dyDescent="0.3">
      <c r="A328" s="124" t="e">
        <f>Simulações!#REF!</f>
        <v>#REF!</v>
      </c>
      <c r="B328" s="114" t="e">
        <f>Simulações!#REF!</f>
        <v>#REF!</v>
      </c>
      <c r="C328" s="125" t="e">
        <f>Simulações!#REF!</f>
        <v>#REF!</v>
      </c>
      <c r="D328" s="114" t="e">
        <f>Simulações!#REF!</f>
        <v>#REF!</v>
      </c>
      <c r="E328" s="114" t="e">
        <f>Simulações!#REF!</f>
        <v>#REF!</v>
      </c>
      <c r="F328" s="114" t="e">
        <f>Simulações!#REF!</f>
        <v>#REF!</v>
      </c>
      <c r="G328" s="114" t="e">
        <f>Simulações!#REF!</f>
        <v>#REF!</v>
      </c>
      <c r="H328" s="114" t="e">
        <f>Simulações!#REF!</f>
        <v>#REF!</v>
      </c>
      <c r="I328" s="114" t="e">
        <f>IF(Simulações!#REF!="","",Simulações!#REF!)</f>
        <v>#REF!</v>
      </c>
      <c r="J328" s="114" t="e">
        <f>IF(Simulações!#REF!="","",Simulações!#REF!)</f>
        <v>#REF!</v>
      </c>
      <c r="K328" s="117" t="e">
        <f>Simulações!#REF!</f>
        <v>#REF!</v>
      </c>
      <c r="L328" s="117" t="e">
        <f>Simulações!#REF!</f>
        <v>#REF!</v>
      </c>
      <c r="M328" s="114" t="e">
        <f>IF(Simulações!#REF!="","",Simulações!#REF!)</f>
        <v>#REF!</v>
      </c>
      <c r="N328" s="114" t="e">
        <f>IF(Simulações!#REF!="","",Simulações!#REF!)</f>
        <v>#REF!</v>
      </c>
      <c r="O328" s="114">
        <v>1</v>
      </c>
    </row>
    <row r="329" spans="1:15" ht="15.75" hidden="1" customHeight="1" x14ac:dyDescent="0.3">
      <c r="A329" s="124" t="e">
        <f>Simulações!#REF!</f>
        <v>#REF!</v>
      </c>
      <c r="B329" s="114" t="e">
        <f>Simulações!#REF!</f>
        <v>#REF!</v>
      </c>
      <c r="C329" s="125" t="e">
        <f>Simulações!#REF!</f>
        <v>#REF!</v>
      </c>
      <c r="D329" s="114" t="e">
        <f>Simulações!#REF!</f>
        <v>#REF!</v>
      </c>
      <c r="E329" s="114" t="e">
        <f>Simulações!#REF!</f>
        <v>#REF!</v>
      </c>
      <c r="F329" s="114" t="e">
        <f>Simulações!#REF!</f>
        <v>#REF!</v>
      </c>
      <c r="G329" s="114" t="e">
        <f>Simulações!#REF!</f>
        <v>#REF!</v>
      </c>
      <c r="H329" s="114" t="e">
        <f>Simulações!#REF!</f>
        <v>#REF!</v>
      </c>
      <c r="I329" s="114" t="e">
        <f>IF(Simulações!#REF!="","",Simulações!#REF!)</f>
        <v>#REF!</v>
      </c>
      <c r="J329" s="114" t="e">
        <f>IF(Simulações!#REF!="","",Simulações!#REF!)</f>
        <v>#REF!</v>
      </c>
      <c r="K329" s="117" t="e">
        <f>Simulações!#REF!</f>
        <v>#REF!</v>
      </c>
      <c r="L329" s="117" t="e">
        <f>Simulações!#REF!</f>
        <v>#REF!</v>
      </c>
      <c r="M329" s="114" t="e">
        <f>IF(Simulações!#REF!="","",Simulações!#REF!)</f>
        <v>#REF!</v>
      </c>
      <c r="N329" s="114" t="e">
        <f>IF(Simulações!#REF!="","",Simulações!#REF!)</f>
        <v>#REF!</v>
      </c>
      <c r="O329" s="114">
        <v>1</v>
      </c>
    </row>
    <row r="330" spans="1:15" ht="15.75" hidden="1" customHeight="1" x14ac:dyDescent="0.3">
      <c r="A330" s="124" t="e">
        <f>Simulações!#REF!</f>
        <v>#REF!</v>
      </c>
      <c r="B330" s="114" t="e">
        <f>Simulações!#REF!</f>
        <v>#REF!</v>
      </c>
      <c r="C330" s="125" t="e">
        <f>Simulações!#REF!</f>
        <v>#REF!</v>
      </c>
      <c r="D330" s="114" t="e">
        <f>Simulações!#REF!</f>
        <v>#REF!</v>
      </c>
      <c r="E330" s="114" t="e">
        <f>Simulações!#REF!</f>
        <v>#REF!</v>
      </c>
      <c r="F330" s="114" t="e">
        <f>Simulações!#REF!</f>
        <v>#REF!</v>
      </c>
      <c r="G330" s="114" t="e">
        <f>Simulações!#REF!</f>
        <v>#REF!</v>
      </c>
      <c r="H330" s="114" t="e">
        <f>Simulações!#REF!</f>
        <v>#REF!</v>
      </c>
      <c r="I330" s="114" t="e">
        <f>IF(Simulações!#REF!="","",Simulações!#REF!)</f>
        <v>#REF!</v>
      </c>
      <c r="J330" s="114" t="e">
        <f>IF(Simulações!#REF!="","",Simulações!#REF!)</f>
        <v>#REF!</v>
      </c>
      <c r="K330" s="117" t="e">
        <f>Simulações!#REF!</f>
        <v>#REF!</v>
      </c>
      <c r="L330" s="117" t="e">
        <f>Simulações!#REF!</f>
        <v>#REF!</v>
      </c>
      <c r="M330" s="114" t="e">
        <f>IF(Simulações!#REF!="","",Simulações!#REF!)</f>
        <v>#REF!</v>
      </c>
      <c r="N330" s="114" t="e">
        <f>IF(Simulações!#REF!="","",Simulações!#REF!)</f>
        <v>#REF!</v>
      </c>
      <c r="O330" s="114">
        <v>1</v>
      </c>
    </row>
    <row r="331" spans="1:15" ht="15.75" hidden="1" customHeight="1" x14ac:dyDescent="0.3">
      <c r="A331" s="124" t="e">
        <f>Simulações!#REF!</f>
        <v>#REF!</v>
      </c>
      <c r="B331" s="114" t="e">
        <f>Simulações!#REF!</f>
        <v>#REF!</v>
      </c>
      <c r="C331" s="125" t="e">
        <f>Simulações!#REF!</f>
        <v>#REF!</v>
      </c>
      <c r="D331" s="114" t="e">
        <f>Simulações!#REF!</f>
        <v>#REF!</v>
      </c>
      <c r="E331" s="114" t="e">
        <f>Simulações!#REF!</f>
        <v>#REF!</v>
      </c>
      <c r="F331" s="114" t="e">
        <f>Simulações!#REF!</f>
        <v>#REF!</v>
      </c>
      <c r="G331" s="114" t="e">
        <f>Simulações!#REF!</f>
        <v>#REF!</v>
      </c>
      <c r="H331" s="114" t="e">
        <f>Simulações!#REF!</f>
        <v>#REF!</v>
      </c>
      <c r="I331" s="114" t="e">
        <f>IF(Simulações!#REF!="","",Simulações!#REF!)</f>
        <v>#REF!</v>
      </c>
      <c r="J331" s="114" t="e">
        <f>IF(Simulações!#REF!="","",Simulações!#REF!)</f>
        <v>#REF!</v>
      </c>
      <c r="K331" s="117" t="e">
        <f>Simulações!#REF!</f>
        <v>#REF!</v>
      </c>
      <c r="L331" s="117" t="e">
        <f>Simulações!#REF!</f>
        <v>#REF!</v>
      </c>
      <c r="M331" s="114" t="e">
        <f>IF(Simulações!#REF!="","",Simulações!#REF!)</f>
        <v>#REF!</v>
      </c>
      <c r="N331" s="114" t="e">
        <f>IF(Simulações!#REF!="","",Simulações!#REF!)</f>
        <v>#REF!</v>
      </c>
      <c r="O331" s="114">
        <v>1</v>
      </c>
    </row>
    <row r="332" spans="1:15" ht="15.75" hidden="1" customHeight="1" x14ac:dyDescent="0.3">
      <c r="A332" s="124" t="e">
        <f>Simulações!#REF!</f>
        <v>#REF!</v>
      </c>
      <c r="B332" s="114" t="e">
        <f>Simulações!#REF!</f>
        <v>#REF!</v>
      </c>
      <c r="C332" s="125" t="e">
        <f>Simulações!#REF!</f>
        <v>#REF!</v>
      </c>
      <c r="D332" s="114" t="e">
        <f>Simulações!#REF!</f>
        <v>#REF!</v>
      </c>
      <c r="E332" s="114" t="e">
        <f>Simulações!#REF!</f>
        <v>#REF!</v>
      </c>
      <c r="F332" s="114" t="e">
        <f>Simulações!#REF!</f>
        <v>#REF!</v>
      </c>
      <c r="G332" s="114" t="e">
        <f>Simulações!#REF!</f>
        <v>#REF!</v>
      </c>
      <c r="H332" s="114" t="e">
        <f>Simulações!#REF!</f>
        <v>#REF!</v>
      </c>
      <c r="I332" s="114" t="e">
        <f>IF(Simulações!#REF!="","",Simulações!#REF!)</f>
        <v>#REF!</v>
      </c>
      <c r="J332" s="114" t="e">
        <f>IF(Simulações!#REF!="","",Simulações!#REF!)</f>
        <v>#REF!</v>
      </c>
      <c r="K332" s="117" t="e">
        <f>Simulações!#REF!</f>
        <v>#REF!</v>
      </c>
      <c r="L332" s="117" t="e">
        <f>Simulações!#REF!</f>
        <v>#REF!</v>
      </c>
      <c r="M332" s="114" t="e">
        <f>IF(Simulações!#REF!="","",Simulações!#REF!)</f>
        <v>#REF!</v>
      </c>
      <c r="N332" s="114" t="e">
        <f>IF(Simulações!#REF!="","",Simulações!#REF!)</f>
        <v>#REF!</v>
      </c>
      <c r="O332" s="114">
        <v>1</v>
      </c>
    </row>
    <row r="333" spans="1:15" ht="15.75" hidden="1" customHeight="1" x14ac:dyDescent="0.3">
      <c r="A333" s="124" t="e">
        <f>Simulações!#REF!</f>
        <v>#REF!</v>
      </c>
      <c r="B333" s="114" t="e">
        <f>Simulações!#REF!</f>
        <v>#REF!</v>
      </c>
      <c r="C333" s="125" t="e">
        <f>Simulações!#REF!</f>
        <v>#REF!</v>
      </c>
      <c r="D333" s="114" t="e">
        <f>Simulações!#REF!</f>
        <v>#REF!</v>
      </c>
      <c r="E333" s="114" t="e">
        <f>Simulações!#REF!</f>
        <v>#REF!</v>
      </c>
      <c r="F333" s="114" t="e">
        <f>Simulações!#REF!</f>
        <v>#REF!</v>
      </c>
      <c r="G333" s="114" t="e">
        <f>Simulações!#REF!</f>
        <v>#REF!</v>
      </c>
      <c r="H333" s="114" t="e">
        <f>Simulações!#REF!</f>
        <v>#REF!</v>
      </c>
      <c r="I333" s="114" t="e">
        <f>IF(Simulações!#REF!="","",Simulações!#REF!)</f>
        <v>#REF!</v>
      </c>
      <c r="J333" s="114" t="e">
        <f>IF(Simulações!#REF!="","",Simulações!#REF!)</f>
        <v>#REF!</v>
      </c>
      <c r="K333" s="117" t="e">
        <f>Simulações!#REF!</f>
        <v>#REF!</v>
      </c>
      <c r="L333" s="117" t="e">
        <f>Simulações!#REF!</f>
        <v>#REF!</v>
      </c>
      <c r="M333" s="114" t="e">
        <f>IF(Simulações!#REF!="","",Simulações!#REF!)</f>
        <v>#REF!</v>
      </c>
      <c r="N333" s="114" t="e">
        <f>IF(Simulações!#REF!="","",Simulações!#REF!)</f>
        <v>#REF!</v>
      </c>
      <c r="O333" s="114">
        <v>1</v>
      </c>
    </row>
    <row r="334" spans="1:15" ht="15.75" hidden="1" customHeight="1" x14ac:dyDescent="0.3">
      <c r="A334" s="124" t="e">
        <f>Simulações!#REF!</f>
        <v>#REF!</v>
      </c>
      <c r="B334" s="114" t="e">
        <f>Simulações!#REF!</f>
        <v>#REF!</v>
      </c>
      <c r="C334" s="125" t="e">
        <f>Simulações!#REF!</f>
        <v>#REF!</v>
      </c>
      <c r="D334" s="114" t="e">
        <f>Simulações!#REF!</f>
        <v>#REF!</v>
      </c>
      <c r="E334" s="114" t="e">
        <f>Simulações!#REF!</f>
        <v>#REF!</v>
      </c>
      <c r="F334" s="114" t="e">
        <f>Simulações!#REF!</f>
        <v>#REF!</v>
      </c>
      <c r="G334" s="114" t="e">
        <f>Simulações!#REF!</f>
        <v>#REF!</v>
      </c>
      <c r="H334" s="114" t="e">
        <f>Simulações!#REF!</f>
        <v>#REF!</v>
      </c>
      <c r="I334" s="114" t="e">
        <f>IF(Simulações!#REF!="","",Simulações!#REF!)</f>
        <v>#REF!</v>
      </c>
      <c r="J334" s="114" t="e">
        <f>IF(Simulações!#REF!="","",Simulações!#REF!)</f>
        <v>#REF!</v>
      </c>
      <c r="K334" s="117" t="e">
        <f>Simulações!#REF!</f>
        <v>#REF!</v>
      </c>
      <c r="L334" s="117" t="e">
        <f>Simulações!#REF!</f>
        <v>#REF!</v>
      </c>
      <c r="M334" s="114" t="e">
        <f>IF(Simulações!#REF!="","",Simulações!#REF!)</f>
        <v>#REF!</v>
      </c>
      <c r="N334" s="114" t="e">
        <f>IF(Simulações!#REF!="","",Simulações!#REF!)</f>
        <v>#REF!</v>
      </c>
      <c r="O334" s="114">
        <v>1</v>
      </c>
    </row>
    <row r="335" spans="1:15" ht="15.75" hidden="1" customHeight="1" x14ac:dyDescent="0.3">
      <c r="A335" s="124" t="e">
        <f>Simulações!#REF!</f>
        <v>#REF!</v>
      </c>
      <c r="B335" s="114" t="e">
        <f>Simulações!#REF!</f>
        <v>#REF!</v>
      </c>
      <c r="C335" s="125" t="e">
        <f>Simulações!#REF!</f>
        <v>#REF!</v>
      </c>
      <c r="D335" s="114" t="e">
        <f>Simulações!#REF!</f>
        <v>#REF!</v>
      </c>
      <c r="E335" s="114" t="e">
        <f>Simulações!#REF!</f>
        <v>#REF!</v>
      </c>
      <c r="F335" s="114" t="e">
        <f>Simulações!#REF!</f>
        <v>#REF!</v>
      </c>
      <c r="G335" s="114" t="e">
        <f>Simulações!#REF!</f>
        <v>#REF!</v>
      </c>
      <c r="H335" s="114" t="e">
        <f>Simulações!#REF!</f>
        <v>#REF!</v>
      </c>
      <c r="I335" s="114" t="e">
        <f>IF(Simulações!#REF!="","",Simulações!#REF!)</f>
        <v>#REF!</v>
      </c>
      <c r="J335" s="114" t="e">
        <f>IF(Simulações!#REF!="","",Simulações!#REF!)</f>
        <v>#REF!</v>
      </c>
      <c r="K335" s="117" t="e">
        <f>Simulações!#REF!</f>
        <v>#REF!</v>
      </c>
      <c r="L335" s="117" t="e">
        <f>Simulações!#REF!</f>
        <v>#REF!</v>
      </c>
      <c r="M335" s="114" t="e">
        <f>IF(Simulações!#REF!="","",Simulações!#REF!)</f>
        <v>#REF!</v>
      </c>
      <c r="N335" s="114" t="e">
        <f>IF(Simulações!#REF!="","",Simulações!#REF!)</f>
        <v>#REF!</v>
      </c>
      <c r="O335" s="114">
        <v>1</v>
      </c>
    </row>
    <row r="336" spans="1:15" ht="15.75" hidden="1" customHeight="1" x14ac:dyDescent="0.3">
      <c r="A336" s="124" t="e">
        <f>Simulações!#REF!</f>
        <v>#REF!</v>
      </c>
      <c r="B336" s="114" t="e">
        <f>Simulações!#REF!</f>
        <v>#REF!</v>
      </c>
      <c r="C336" s="125" t="e">
        <f>Simulações!#REF!</f>
        <v>#REF!</v>
      </c>
      <c r="D336" s="114" t="e">
        <f>Simulações!#REF!</f>
        <v>#REF!</v>
      </c>
      <c r="E336" s="114" t="e">
        <f>Simulações!#REF!</f>
        <v>#REF!</v>
      </c>
      <c r="F336" s="114" t="e">
        <f>Simulações!#REF!</f>
        <v>#REF!</v>
      </c>
      <c r="G336" s="114" t="e">
        <f>Simulações!#REF!</f>
        <v>#REF!</v>
      </c>
      <c r="H336" s="114" t="e">
        <f>Simulações!#REF!</f>
        <v>#REF!</v>
      </c>
      <c r="I336" s="114" t="e">
        <f>IF(Simulações!#REF!="","",Simulações!#REF!)</f>
        <v>#REF!</v>
      </c>
      <c r="J336" s="114" t="e">
        <f>IF(Simulações!#REF!="","",Simulações!#REF!)</f>
        <v>#REF!</v>
      </c>
      <c r="K336" s="117" t="e">
        <f>Simulações!#REF!</f>
        <v>#REF!</v>
      </c>
      <c r="L336" s="117" t="e">
        <f>Simulações!#REF!</f>
        <v>#REF!</v>
      </c>
      <c r="M336" s="114" t="e">
        <f>IF(Simulações!#REF!="","",Simulações!#REF!)</f>
        <v>#REF!</v>
      </c>
      <c r="N336" s="114" t="e">
        <f>IF(Simulações!#REF!="","",Simulações!#REF!)</f>
        <v>#REF!</v>
      </c>
      <c r="O336" s="114">
        <v>1</v>
      </c>
    </row>
    <row r="337" spans="1:15" ht="15.75" hidden="1" customHeight="1" x14ac:dyDescent="0.3">
      <c r="A337" s="124" t="e">
        <f>Simulações!#REF!</f>
        <v>#REF!</v>
      </c>
      <c r="B337" s="114" t="e">
        <f>Simulações!#REF!</f>
        <v>#REF!</v>
      </c>
      <c r="C337" s="125" t="e">
        <f>Simulações!#REF!</f>
        <v>#REF!</v>
      </c>
      <c r="D337" s="114" t="e">
        <f>Simulações!#REF!</f>
        <v>#REF!</v>
      </c>
      <c r="E337" s="114" t="e">
        <f>Simulações!#REF!</f>
        <v>#REF!</v>
      </c>
      <c r="F337" s="114" t="e">
        <f>Simulações!#REF!</f>
        <v>#REF!</v>
      </c>
      <c r="G337" s="114" t="e">
        <f>Simulações!#REF!</f>
        <v>#REF!</v>
      </c>
      <c r="H337" s="114" t="e">
        <f>Simulações!#REF!</f>
        <v>#REF!</v>
      </c>
      <c r="I337" s="114" t="e">
        <f>IF(Simulações!#REF!="","",Simulações!#REF!)</f>
        <v>#REF!</v>
      </c>
      <c r="J337" s="114" t="e">
        <f>IF(Simulações!#REF!="","",Simulações!#REF!)</f>
        <v>#REF!</v>
      </c>
      <c r="K337" s="117" t="e">
        <f>Simulações!#REF!</f>
        <v>#REF!</v>
      </c>
      <c r="L337" s="117" t="e">
        <f>Simulações!#REF!</f>
        <v>#REF!</v>
      </c>
      <c r="M337" s="114" t="e">
        <f>IF(Simulações!#REF!="","",Simulações!#REF!)</f>
        <v>#REF!</v>
      </c>
      <c r="N337" s="114" t="e">
        <f>IF(Simulações!#REF!="","",Simulações!#REF!)</f>
        <v>#REF!</v>
      </c>
      <c r="O337" s="114">
        <v>1</v>
      </c>
    </row>
    <row r="338" spans="1:15" ht="15.75" hidden="1" customHeight="1" x14ac:dyDescent="0.3">
      <c r="A338" s="124" t="e">
        <f>Simulações!#REF!</f>
        <v>#REF!</v>
      </c>
      <c r="B338" s="114" t="e">
        <f>Simulações!#REF!</f>
        <v>#REF!</v>
      </c>
      <c r="C338" s="125" t="e">
        <f>Simulações!#REF!</f>
        <v>#REF!</v>
      </c>
      <c r="D338" s="114" t="e">
        <f>Simulações!#REF!</f>
        <v>#REF!</v>
      </c>
      <c r="E338" s="114" t="e">
        <f>Simulações!#REF!</f>
        <v>#REF!</v>
      </c>
      <c r="F338" s="114" t="e">
        <f>Simulações!#REF!</f>
        <v>#REF!</v>
      </c>
      <c r="G338" s="114" t="e">
        <f>Simulações!#REF!</f>
        <v>#REF!</v>
      </c>
      <c r="H338" s="114" t="e">
        <f>Simulações!#REF!</f>
        <v>#REF!</v>
      </c>
      <c r="I338" s="114" t="e">
        <f>IF(Simulações!#REF!="","",Simulações!#REF!)</f>
        <v>#REF!</v>
      </c>
      <c r="J338" s="114" t="e">
        <f>IF(Simulações!#REF!="","",Simulações!#REF!)</f>
        <v>#REF!</v>
      </c>
      <c r="K338" s="117" t="e">
        <f>Simulações!#REF!</f>
        <v>#REF!</v>
      </c>
      <c r="L338" s="117" t="e">
        <f>Simulações!#REF!</f>
        <v>#REF!</v>
      </c>
      <c r="M338" s="114" t="e">
        <f>IF(Simulações!#REF!="","",Simulações!#REF!)</f>
        <v>#REF!</v>
      </c>
      <c r="N338" s="114" t="e">
        <f>IF(Simulações!#REF!="","",Simulações!#REF!)</f>
        <v>#REF!</v>
      </c>
      <c r="O338" s="114">
        <v>1</v>
      </c>
    </row>
    <row r="339" spans="1:15" ht="15.75" hidden="1" customHeight="1" x14ac:dyDescent="0.3">
      <c r="A339" s="124" t="e">
        <f>Simulações!#REF!</f>
        <v>#REF!</v>
      </c>
      <c r="B339" s="114" t="e">
        <f>Simulações!#REF!</f>
        <v>#REF!</v>
      </c>
      <c r="C339" s="125" t="e">
        <f>Simulações!#REF!</f>
        <v>#REF!</v>
      </c>
      <c r="D339" s="114" t="e">
        <f>Simulações!#REF!</f>
        <v>#REF!</v>
      </c>
      <c r="E339" s="114" t="e">
        <f>Simulações!#REF!</f>
        <v>#REF!</v>
      </c>
      <c r="F339" s="114" t="e">
        <f>Simulações!#REF!</f>
        <v>#REF!</v>
      </c>
      <c r="G339" s="114" t="e">
        <f>Simulações!#REF!</f>
        <v>#REF!</v>
      </c>
      <c r="H339" s="114" t="e">
        <f>Simulações!#REF!</f>
        <v>#REF!</v>
      </c>
      <c r="I339" s="114" t="e">
        <f>IF(Simulações!#REF!="","",Simulações!#REF!)</f>
        <v>#REF!</v>
      </c>
      <c r="J339" s="114" t="e">
        <f>IF(Simulações!#REF!="","",Simulações!#REF!)</f>
        <v>#REF!</v>
      </c>
      <c r="K339" s="117" t="e">
        <f>Simulações!#REF!</f>
        <v>#REF!</v>
      </c>
      <c r="L339" s="117" t="e">
        <f>Simulações!#REF!</f>
        <v>#REF!</v>
      </c>
      <c r="M339" s="114" t="e">
        <f>IF(Simulações!#REF!="","",Simulações!#REF!)</f>
        <v>#REF!</v>
      </c>
      <c r="N339" s="114" t="e">
        <f>IF(Simulações!#REF!="","",Simulações!#REF!)</f>
        <v>#REF!</v>
      </c>
      <c r="O339" s="114">
        <v>1</v>
      </c>
    </row>
    <row r="340" spans="1:15" ht="15.75" hidden="1" customHeight="1" x14ac:dyDescent="0.3">
      <c r="A340" s="124" t="e">
        <f>Simulações!#REF!</f>
        <v>#REF!</v>
      </c>
      <c r="B340" s="114" t="e">
        <f>Simulações!#REF!</f>
        <v>#REF!</v>
      </c>
      <c r="C340" s="125" t="e">
        <f>Simulações!#REF!</f>
        <v>#REF!</v>
      </c>
      <c r="D340" s="114" t="e">
        <f>Simulações!#REF!</f>
        <v>#REF!</v>
      </c>
      <c r="E340" s="114" t="e">
        <f>Simulações!#REF!</f>
        <v>#REF!</v>
      </c>
      <c r="F340" s="114" t="e">
        <f>Simulações!#REF!</f>
        <v>#REF!</v>
      </c>
      <c r="G340" s="114" t="e">
        <f>Simulações!#REF!</f>
        <v>#REF!</v>
      </c>
      <c r="H340" s="114" t="e">
        <f>Simulações!#REF!</f>
        <v>#REF!</v>
      </c>
      <c r="I340" s="114" t="e">
        <f>IF(Simulações!#REF!="","",Simulações!#REF!)</f>
        <v>#REF!</v>
      </c>
      <c r="J340" s="114" t="e">
        <f>IF(Simulações!#REF!="","",Simulações!#REF!)</f>
        <v>#REF!</v>
      </c>
      <c r="K340" s="117" t="e">
        <f>Simulações!#REF!</f>
        <v>#REF!</v>
      </c>
      <c r="L340" s="117" t="e">
        <f>Simulações!#REF!</f>
        <v>#REF!</v>
      </c>
      <c r="M340" s="114" t="e">
        <f>IF(Simulações!#REF!="","",Simulações!#REF!)</f>
        <v>#REF!</v>
      </c>
      <c r="N340" s="114" t="e">
        <f>IF(Simulações!#REF!="","",Simulações!#REF!)</f>
        <v>#REF!</v>
      </c>
      <c r="O340" s="114">
        <v>1</v>
      </c>
    </row>
    <row r="341" spans="1:15" ht="15.75" hidden="1" customHeight="1" x14ac:dyDescent="0.3">
      <c r="A341" s="124" t="e">
        <f>Simulações!#REF!</f>
        <v>#REF!</v>
      </c>
      <c r="B341" s="114" t="e">
        <f>Simulações!#REF!</f>
        <v>#REF!</v>
      </c>
      <c r="C341" s="125" t="e">
        <f>Simulações!#REF!</f>
        <v>#REF!</v>
      </c>
      <c r="D341" s="114" t="e">
        <f>Simulações!#REF!</f>
        <v>#REF!</v>
      </c>
      <c r="E341" s="114" t="e">
        <f>Simulações!#REF!</f>
        <v>#REF!</v>
      </c>
      <c r="F341" s="114" t="e">
        <f>Simulações!#REF!</f>
        <v>#REF!</v>
      </c>
      <c r="G341" s="114" t="e">
        <f>Simulações!#REF!</f>
        <v>#REF!</v>
      </c>
      <c r="H341" s="114" t="e">
        <f>Simulações!#REF!</f>
        <v>#REF!</v>
      </c>
      <c r="I341" s="114" t="e">
        <f>IF(Simulações!#REF!="","",Simulações!#REF!)</f>
        <v>#REF!</v>
      </c>
      <c r="J341" s="114" t="e">
        <f>IF(Simulações!#REF!="","",Simulações!#REF!)</f>
        <v>#REF!</v>
      </c>
      <c r="K341" s="117" t="e">
        <f>Simulações!#REF!</f>
        <v>#REF!</v>
      </c>
      <c r="L341" s="117" t="e">
        <f>Simulações!#REF!</f>
        <v>#REF!</v>
      </c>
      <c r="M341" s="114" t="e">
        <f>IF(Simulações!#REF!="","",Simulações!#REF!)</f>
        <v>#REF!</v>
      </c>
      <c r="N341" s="114" t="e">
        <f>IF(Simulações!#REF!="","",Simulações!#REF!)</f>
        <v>#REF!</v>
      </c>
      <c r="O341" s="114">
        <v>1</v>
      </c>
    </row>
    <row r="342" spans="1:15" ht="15.75" hidden="1" customHeight="1" x14ac:dyDescent="0.3">
      <c r="A342" s="124" t="e">
        <f>Simulações!#REF!</f>
        <v>#REF!</v>
      </c>
      <c r="B342" s="114" t="e">
        <f>Simulações!#REF!</f>
        <v>#REF!</v>
      </c>
      <c r="C342" s="125" t="e">
        <f>Simulações!#REF!</f>
        <v>#REF!</v>
      </c>
      <c r="D342" s="114" t="e">
        <f>Simulações!#REF!</f>
        <v>#REF!</v>
      </c>
      <c r="E342" s="114" t="e">
        <f>Simulações!#REF!</f>
        <v>#REF!</v>
      </c>
      <c r="F342" s="114" t="e">
        <f>Simulações!#REF!</f>
        <v>#REF!</v>
      </c>
      <c r="G342" s="114" t="e">
        <f>Simulações!#REF!</f>
        <v>#REF!</v>
      </c>
      <c r="H342" s="114" t="e">
        <f>Simulações!#REF!</f>
        <v>#REF!</v>
      </c>
      <c r="I342" s="114" t="e">
        <f>IF(Simulações!#REF!="","",Simulações!#REF!)</f>
        <v>#REF!</v>
      </c>
      <c r="J342" s="114" t="e">
        <f>IF(Simulações!#REF!="","",Simulações!#REF!)</f>
        <v>#REF!</v>
      </c>
      <c r="K342" s="117" t="e">
        <f>Simulações!#REF!</f>
        <v>#REF!</v>
      </c>
      <c r="L342" s="117" t="e">
        <f>Simulações!#REF!</f>
        <v>#REF!</v>
      </c>
      <c r="M342" s="114" t="e">
        <f>IF(Simulações!#REF!="","",Simulações!#REF!)</f>
        <v>#REF!</v>
      </c>
      <c r="N342" s="114" t="e">
        <f>IF(Simulações!#REF!="","",Simulações!#REF!)</f>
        <v>#REF!</v>
      </c>
      <c r="O342" s="114">
        <v>1</v>
      </c>
    </row>
    <row r="343" spans="1:15" ht="15.75" hidden="1" customHeight="1" x14ac:dyDescent="0.3">
      <c r="A343" s="124" t="e">
        <f>Simulações!#REF!</f>
        <v>#REF!</v>
      </c>
      <c r="B343" s="114" t="e">
        <f>Simulações!#REF!</f>
        <v>#REF!</v>
      </c>
      <c r="C343" s="125" t="e">
        <f>Simulações!#REF!</f>
        <v>#REF!</v>
      </c>
      <c r="D343" s="114" t="e">
        <f>Simulações!#REF!</f>
        <v>#REF!</v>
      </c>
      <c r="E343" s="114" t="e">
        <f>Simulações!#REF!</f>
        <v>#REF!</v>
      </c>
      <c r="F343" s="114" t="e">
        <f>Simulações!#REF!</f>
        <v>#REF!</v>
      </c>
      <c r="G343" s="114" t="e">
        <f>Simulações!#REF!</f>
        <v>#REF!</v>
      </c>
      <c r="H343" s="114" t="e">
        <f>Simulações!#REF!</f>
        <v>#REF!</v>
      </c>
      <c r="I343" s="114" t="e">
        <f>IF(Simulações!#REF!="","",Simulações!#REF!)</f>
        <v>#REF!</v>
      </c>
      <c r="J343" s="114" t="e">
        <f>IF(Simulações!#REF!="","",Simulações!#REF!)</f>
        <v>#REF!</v>
      </c>
      <c r="K343" s="117" t="e">
        <f>Simulações!#REF!</f>
        <v>#REF!</v>
      </c>
      <c r="L343" s="117" t="e">
        <f>Simulações!#REF!</f>
        <v>#REF!</v>
      </c>
      <c r="M343" s="114" t="e">
        <f>IF(Simulações!#REF!="","",Simulações!#REF!)</f>
        <v>#REF!</v>
      </c>
      <c r="N343" s="114" t="e">
        <f>IF(Simulações!#REF!="","",Simulações!#REF!)</f>
        <v>#REF!</v>
      </c>
      <c r="O343" s="114">
        <v>1</v>
      </c>
    </row>
    <row r="344" spans="1:15" ht="15.75" hidden="1" customHeight="1" x14ac:dyDescent="0.3">
      <c r="A344" s="124" t="e">
        <f>Simulações!#REF!</f>
        <v>#REF!</v>
      </c>
      <c r="B344" s="114" t="e">
        <f>Simulações!#REF!</f>
        <v>#REF!</v>
      </c>
      <c r="C344" s="125" t="e">
        <f>Simulações!#REF!</f>
        <v>#REF!</v>
      </c>
      <c r="D344" s="114" t="e">
        <f>Simulações!#REF!</f>
        <v>#REF!</v>
      </c>
      <c r="E344" s="114" t="e">
        <f>Simulações!#REF!</f>
        <v>#REF!</v>
      </c>
      <c r="F344" s="114" t="e">
        <f>Simulações!#REF!</f>
        <v>#REF!</v>
      </c>
      <c r="G344" s="114" t="e">
        <f>Simulações!#REF!</f>
        <v>#REF!</v>
      </c>
      <c r="H344" s="114" t="e">
        <f>Simulações!#REF!</f>
        <v>#REF!</v>
      </c>
      <c r="I344" s="114" t="e">
        <f>IF(Simulações!#REF!="","",Simulações!#REF!)</f>
        <v>#REF!</v>
      </c>
      <c r="J344" s="114" t="e">
        <f>IF(Simulações!#REF!="","",Simulações!#REF!)</f>
        <v>#REF!</v>
      </c>
      <c r="K344" s="117" t="e">
        <f>Simulações!#REF!</f>
        <v>#REF!</v>
      </c>
      <c r="L344" s="117" t="e">
        <f>Simulações!#REF!</f>
        <v>#REF!</v>
      </c>
      <c r="M344" s="114" t="e">
        <f>IF(Simulações!#REF!="","",Simulações!#REF!)</f>
        <v>#REF!</v>
      </c>
      <c r="N344" s="114" t="e">
        <f>IF(Simulações!#REF!="","",Simulações!#REF!)</f>
        <v>#REF!</v>
      </c>
      <c r="O344" s="114">
        <v>1</v>
      </c>
    </row>
    <row r="345" spans="1:15" ht="15.75" hidden="1" customHeight="1" x14ac:dyDescent="0.3">
      <c r="A345" s="124" t="e">
        <f>Simulações!#REF!</f>
        <v>#REF!</v>
      </c>
      <c r="B345" s="114" t="e">
        <f>Simulações!#REF!</f>
        <v>#REF!</v>
      </c>
      <c r="C345" s="125" t="e">
        <f>Simulações!#REF!</f>
        <v>#REF!</v>
      </c>
      <c r="D345" s="114" t="e">
        <f>Simulações!#REF!</f>
        <v>#REF!</v>
      </c>
      <c r="E345" s="114" t="e">
        <f>Simulações!#REF!</f>
        <v>#REF!</v>
      </c>
      <c r="F345" s="114" t="e">
        <f>Simulações!#REF!</f>
        <v>#REF!</v>
      </c>
      <c r="G345" s="114" t="e">
        <f>Simulações!#REF!</f>
        <v>#REF!</v>
      </c>
      <c r="H345" s="114" t="e">
        <f>Simulações!#REF!</f>
        <v>#REF!</v>
      </c>
      <c r="I345" s="114" t="e">
        <f>IF(Simulações!#REF!="","",Simulações!#REF!)</f>
        <v>#REF!</v>
      </c>
      <c r="J345" s="114" t="e">
        <f>IF(Simulações!#REF!="","",Simulações!#REF!)</f>
        <v>#REF!</v>
      </c>
      <c r="K345" s="117" t="e">
        <f>Simulações!#REF!</f>
        <v>#REF!</v>
      </c>
      <c r="L345" s="117" t="e">
        <f>Simulações!#REF!</f>
        <v>#REF!</v>
      </c>
      <c r="M345" s="114" t="e">
        <f>IF(Simulações!#REF!="","",Simulações!#REF!)</f>
        <v>#REF!</v>
      </c>
      <c r="N345" s="114" t="e">
        <f>IF(Simulações!#REF!="","",Simulações!#REF!)</f>
        <v>#REF!</v>
      </c>
      <c r="O345" s="114">
        <v>1</v>
      </c>
    </row>
    <row r="346" spans="1:15" ht="15.75" hidden="1" customHeight="1" x14ac:dyDescent="0.3">
      <c r="A346" s="124" t="e">
        <f>Simulações!#REF!</f>
        <v>#REF!</v>
      </c>
      <c r="B346" s="114" t="e">
        <f>Simulações!#REF!</f>
        <v>#REF!</v>
      </c>
      <c r="C346" s="125" t="e">
        <f>Simulações!#REF!</f>
        <v>#REF!</v>
      </c>
      <c r="D346" s="114" t="e">
        <f>Simulações!#REF!</f>
        <v>#REF!</v>
      </c>
      <c r="E346" s="114" t="e">
        <f>Simulações!#REF!</f>
        <v>#REF!</v>
      </c>
      <c r="F346" s="114" t="e">
        <f>Simulações!#REF!</f>
        <v>#REF!</v>
      </c>
      <c r="G346" s="114" t="e">
        <f>Simulações!#REF!</f>
        <v>#REF!</v>
      </c>
      <c r="H346" s="114" t="e">
        <f>Simulações!#REF!</f>
        <v>#REF!</v>
      </c>
      <c r="I346" s="114" t="e">
        <f>IF(Simulações!#REF!="","",Simulações!#REF!)</f>
        <v>#REF!</v>
      </c>
      <c r="J346" s="114" t="e">
        <f>IF(Simulações!#REF!="","",Simulações!#REF!)</f>
        <v>#REF!</v>
      </c>
      <c r="K346" s="117" t="e">
        <f>Simulações!#REF!</f>
        <v>#REF!</v>
      </c>
      <c r="L346" s="117" t="e">
        <f>Simulações!#REF!</f>
        <v>#REF!</v>
      </c>
      <c r="M346" s="114" t="e">
        <f>IF(Simulações!#REF!="","",Simulações!#REF!)</f>
        <v>#REF!</v>
      </c>
      <c r="N346" s="114" t="e">
        <f>IF(Simulações!#REF!="","",Simulações!#REF!)</f>
        <v>#REF!</v>
      </c>
      <c r="O346" s="114">
        <v>1</v>
      </c>
    </row>
    <row r="347" spans="1:15" ht="15.75" hidden="1" customHeight="1" x14ac:dyDescent="0.3">
      <c r="A347" s="124" t="e">
        <f>Simulações!#REF!</f>
        <v>#REF!</v>
      </c>
      <c r="B347" s="114" t="e">
        <f>Simulações!#REF!</f>
        <v>#REF!</v>
      </c>
      <c r="C347" s="125" t="e">
        <f>Simulações!#REF!</f>
        <v>#REF!</v>
      </c>
      <c r="D347" s="114" t="e">
        <f>Simulações!#REF!</f>
        <v>#REF!</v>
      </c>
      <c r="E347" s="114" t="e">
        <f>Simulações!#REF!</f>
        <v>#REF!</v>
      </c>
      <c r="F347" s="114" t="e">
        <f>Simulações!#REF!</f>
        <v>#REF!</v>
      </c>
      <c r="G347" s="114" t="e">
        <f>Simulações!#REF!</f>
        <v>#REF!</v>
      </c>
      <c r="H347" s="114" t="e">
        <f>Simulações!#REF!</f>
        <v>#REF!</v>
      </c>
      <c r="I347" s="114" t="e">
        <f>IF(Simulações!#REF!="","",Simulações!#REF!)</f>
        <v>#REF!</v>
      </c>
      <c r="J347" s="114" t="e">
        <f>IF(Simulações!#REF!="","",Simulações!#REF!)</f>
        <v>#REF!</v>
      </c>
      <c r="K347" s="117" t="e">
        <f>Simulações!#REF!</f>
        <v>#REF!</v>
      </c>
      <c r="L347" s="117" t="e">
        <f>Simulações!#REF!</f>
        <v>#REF!</v>
      </c>
      <c r="M347" s="114" t="e">
        <f>IF(Simulações!#REF!="","",Simulações!#REF!)</f>
        <v>#REF!</v>
      </c>
      <c r="N347" s="114" t="e">
        <f>IF(Simulações!#REF!="","",Simulações!#REF!)</f>
        <v>#REF!</v>
      </c>
      <c r="O347" s="114">
        <v>1</v>
      </c>
    </row>
    <row r="348" spans="1:15" ht="15.75" hidden="1" customHeight="1" x14ac:dyDescent="0.3">
      <c r="A348" s="124" t="e">
        <f>Simulações!#REF!</f>
        <v>#REF!</v>
      </c>
      <c r="B348" s="114" t="e">
        <f>Simulações!#REF!</f>
        <v>#REF!</v>
      </c>
      <c r="C348" s="125" t="e">
        <f>Simulações!#REF!</f>
        <v>#REF!</v>
      </c>
      <c r="D348" s="114" t="e">
        <f>Simulações!#REF!</f>
        <v>#REF!</v>
      </c>
      <c r="E348" s="114" t="e">
        <f>Simulações!#REF!</f>
        <v>#REF!</v>
      </c>
      <c r="F348" s="114" t="e">
        <f>Simulações!#REF!</f>
        <v>#REF!</v>
      </c>
      <c r="G348" s="114" t="e">
        <f>Simulações!#REF!</f>
        <v>#REF!</v>
      </c>
      <c r="H348" s="114" t="e">
        <f>Simulações!#REF!</f>
        <v>#REF!</v>
      </c>
      <c r="I348" s="114" t="e">
        <f>IF(Simulações!#REF!="","",Simulações!#REF!)</f>
        <v>#REF!</v>
      </c>
      <c r="J348" s="114" t="e">
        <f>IF(Simulações!#REF!="","",Simulações!#REF!)</f>
        <v>#REF!</v>
      </c>
      <c r="K348" s="117" t="e">
        <f>Simulações!#REF!</f>
        <v>#REF!</v>
      </c>
      <c r="L348" s="117" t="e">
        <f>Simulações!#REF!</f>
        <v>#REF!</v>
      </c>
      <c r="M348" s="114" t="e">
        <f>IF(Simulações!#REF!="","",Simulações!#REF!)</f>
        <v>#REF!</v>
      </c>
      <c r="N348" s="114" t="e">
        <f>IF(Simulações!#REF!="","",Simulações!#REF!)</f>
        <v>#REF!</v>
      </c>
      <c r="O348" s="114">
        <v>1</v>
      </c>
    </row>
    <row r="349" spans="1:15" ht="15.75" hidden="1" customHeight="1" x14ac:dyDescent="0.3">
      <c r="A349" s="124" t="e">
        <f>Simulações!#REF!</f>
        <v>#REF!</v>
      </c>
      <c r="B349" s="114" t="e">
        <f>Simulações!#REF!</f>
        <v>#REF!</v>
      </c>
      <c r="C349" s="125" t="e">
        <f>Simulações!#REF!</f>
        <v>#REF!</v>
      </c>
      <c r="D349" s="114" t="e">
        <f>Simulações!#REF!</f>
        <v>#REF!</v>
      </c>
      <c r="E349" s="114" t="e">
        <f>Simulações!#REF!</f>
        <v>#REF!</v>
      </c>
      <c r="F349" s="114" t="e">
        <f>Simulações!#REF!</f>
        <v>#REF!</v>
      </c>
      <c r="G349" s="114" t="e">
        <f>Simulações!#REF!</f>
        <v>#REF!</v>
      </c>
      <c r="H349" s="114" t="e">
        <f>Simulações!#REF!</f>
        <v>#REF!</v>
      </c>
      <c r="I349" s="114" t="e">
        <f>IF(Simulações!#REF!="","",Simulações!#REF!)</f>
        <v>#REF!</v>
      </c>
      <c r="J349" s="114" t="e">
        <f>IF(Simulações!#REF!="","",Simulações!#REF!)</f>
        <v>#REF!</v>
      </c>
      <c r="K349" s="117" t="e">
        <f>Simulações!#REF!</f>
        <v>#REF!</v>
      </c>
      <c r="L349" s="117" t="e">
        <f>Simulações!#REF!</f>
        <v>#REF!</v>
      </c>
      <c r="M349" s="114" t="e">
        <f>IF(Simulações!#REF!="","",Simulações!#REF!)</f>
        <v>#REF!</v>
      </c>
      <c r="N349" s="114" t="e">
        <f>IF(Simulações!#REF!="","",Simulações!#REF!)</f>
        <v>#REF!</v>
      </c>
      <c r="O349" s="114">
        <v>1</v>
      </c>
    </row>
    <row r="350" spans="1:15" ht="15.75" hidden="1" customHeight="1" x14ac:dyDescent="0.3">
      <c r="A350" s="124" t="e">
        <f>Simulações!#REF!</f>
        <v>#REF!</v>
      </c>
      <c r="B350" s="114" t="e">
        <f>Simulações!#REF!</f>
        <v>#REF!</v>
      </c>
      <c r="C350" s="125" t="e">
        <f>Simulações!#REF!</f>
        <v>#REF!</v>
      </c>
      <c r="D350" s="114" t="e">
        <f>Simulações!#REF!</f>
        <v>#REF!</v>
      </c>
      <c r="E350" s="114" t="e">
        <f>Simulações!#REF!</f>
        <v>#REF!</v>
      </c>
      <c r="F350" s="114" t="e">
        <f>Simulações!#REF!</f>
        <v>#REF!</v>
      </c>
      <c r="G350" s="114" t="e">
        <f>Simulações!#REF!</f>
        <v>#REF!</v>
      </c>
      <c r="H350" s="114" t="e">
        <f>Simulações!#REF!</f>
        <v>#REF!</v>
      </c>
      <c r="I350" s="114" t="e">
        <f>IF(Simulações!#REF!="","",Simulações!#REF!)</f>
        <v>#REF!</v>
      </c>
      <c r="J350" s="114" t="e">
        <f>IF(Simulações!#REF!="","",Simulações!#REF!)</f>
        <v>#REF!</v>
      </c>
      <c r="K350" s="117" t="e">
        <f>Simulações!#REF!</f>
        <v>#REF!</v>
      </c>
      <c r="L350" s="117" t="e">
        <f>Simulações!#REF!</f>
        <v>#REF!</v>
      </c>
      <c r="M350" s="114" t="e">
        <f>IF(Simulações!#REF!="","",Simulações!#REF!)</f>
        <v>#REF!</v>
      </c>
      <c r="N350" s="114" t="e">
        <f>IF(Simulações!#REF!="","",Simulações!#REF!)</f>
        <v>#REF!</v>
      </c>
      <c r="O350" s="114">
        <v>1</v>
      </c>
    </row>
    <row r="351" spans="1:15" ht="15.75" hidden="1" customHeight="1" x14ac:dyDescent="0.3">
      <c r="A351" s="124" t="e">
        <f>Simulações!#REF!</f>
        <v>#REF!</v>
      </c>
      <c r="B351" s="114" t="e">
        <f>Simulações!#REF!</f>
        <v>#REF!</v>
      </c>
      <c r="C351" s="125" t="e">
        <f>Simulações!#REF!</f>
        <v>#REF!</v>
      </c>
      <c r="D351" s="114" t="e">
        <f>Simulações!#REF!</f>
        <v>#REF!</v>
      </c>
      <c r="E351" s="114" t="e">
        <f>Simulações!#REF!</f>
        <v>#REF!</v>
      </c>
      <c r="F351" s="114" t="e">
        <f>Simulações!#REF!</f>
        <v>#REF!</v>
      </c>
      <c r="G351" s="114" t="e">
        <f>Simulações!#REF!</f>
        <v>#REF!</v>
      </c>
      <c r="H351" s="114" t="e">
        <f>Simulações!#REF!</f>
        <v>#REF!</v>
      </c>
      <c r="I351" s="114" t="e">
        <f>IF(Simulações!#REF!="","",Simulações!#REF!)</f>
        <v>#REF!</v>
      </c>
      <c r="J351" s="114" t="e">
        <f>IF(Simulações!#REF!="","",Simulações!#REF!)</f>
        <v>#REF!</v>
      </c>
      <c r="K351" s="117" t="e">
        <f>Simulações!#REF!</f>
        <v>#REF!</v>
      </c>
      <c r="L351" s="117" t="e">
        <f>Simulações!#REF!</f>
        <v>#REF!</v>
      </c>
      <c r="M351" s="114" t="e">
        <f>IF(Simulações!#REF!="","",Simulações!#REF!)</f>
        <v>#REF!</v>
      </c>
      <c r="N351" s="114" t="e">
        <f>IF(Simulações!#REF!="","",Simulações!#REF!)</f>
        <v>#REF!</v>
      </c>
      <c r="O351" s="114">
        <v>1</v>
      </c>
    </row>
    <row r="352" spans="1:15" ht="15.75" hidden="1" customHeight="1" x14ac:dyDescent="0.3">
      <c r="A352" s="124" t="e">
        <f>Simulações!#REF!</f>
        <v>#REF!</v>
      </c>
      <c r="B352" s="114" t="e">
        <f>Simulações!#REF!</f>
        <v>#REF!</v>
      </c>
      <c r="C352" s="125" t="e">
        <f>Simulações!#REF!</f>
        <v>#REF!</v>
      </c>
      <c r="D352" s="114" t="e">
        <f>Simulações!#REF!</f>
        <v>#REF!</v>
      </c>
      <c r="E352" s="114" t="e">
        <f>Simulações!#REF!</f>
        <v>#REF!</v>
      </c>
      <c r="F352" s="114" t="e">
        <f>Simulações!#REF!</f>
        <v>#REF!</v>
      </c>
      <c r="G352" s="114" t="e">
        <f>Simulações!#REF!</f>
        <v>#REF!</v>
      </c>
      <c r="H352" s="114" t="e">
        <f>Simulações!#REF!</f>
        <v>#REF!</v>
      </c>
      <c r="I352" s="114" t="e">
        <f>IF(Simulações!#REF!="","",Simulações!#REF!)</f>
        <v>#REF!</v>
      </c>
      <c r="J352" s="114" t="e">
        <f>IF(Simulações!#REF!="","",Simulações!#REF!)</f>
        <v>#REF!</v>
      </c>
      <c r="K352" s="117" t="e">
        <f>Simulações!#REF!</f>
        <v>#REF!</v>
      </c>
      <c r="L352" s="117" t="e">
        <f>Simulações!#REF!</f>
        <v>#REF!</v>
      </c>
      <c r="M352" s="114" t="e">
        <f>IF(Simulações!#REF!="","",Simulações!#REF!)</f>
        <v>#REF!</v>
      </c>
      <c r="N352" s="114" t="e">
        <f>IF(Simulações!#REF!="","",Simulações!#REF!)</f>
        <v>#REF!</v>
      </c>
      <c r="O352" s="114">
        <v>1</v>
      </c>
    </row>
    <row r="353" spans="1:15" ht="15.75" hidden="1" customHeight="1" x14ac:dyDescent="0.3">
      <c r="A353" s="124" t="e">
        <f>Simulações!#REF!</f>
        <v>#REF!</v>
      </c>
      <c r="B353" s="114" t="e">
        <f>Simulações!#REF!</f>
        <v>#REF!</v>
      </c>
      <c r="C353" s="125" t="e">
        <f>Simulações!#REF!</f>
        <v>#REF!</v>
      </c>
      <c r="D353" s="114" t="e">
        <f>Simulações!#REF!</f>
        <v>#REF!</v>
      </c>
      <c r="E353" s="114" t="e">
        <f>Simulações!#REF!</f>
        <v>#REF!</v>
      </c>
      <c r="F353" s="114" t="e">
        <f>Simulações!#REF!</f>
        <v>#REF!</v>
      </c>
      <c r="G353" s="114" t="e">
        <f>Simulações!#REF!</f>
        <v>#REF!</v>
      </c>
      <c r="H353" s="114" t="e">
        <f>Simulações!#REF!</f>
        <v>#REF!</v>
      </c>
      <c r="I353" s="114" t="e">
        <f>IF(Simulações!#REF!="","",Simulações!#REF!)</f>
        <v>#REF!</v>
      </c>
      <c r="J353" s="114" t="e">
        <f>IF(Simulações!#REF!="","",Simulações!#REF!)</f>
        <v>#REF!</v>
      </c>
      <c r="K353" s="117" t="e">
        <f>Simulações!#REF!</f>
        <v>#REF!</v>
      </c>
      <c r="L353" s="117" t="e">
        <f>Simulações!#REF!</f>
        <v>#REF!</v>
      </c>
      <c r="M353" s="114" t="e">
        <f>IF(Simulações!#REF!="","",Simulações!#REF!)</f>
        <v>#REF!</v>
      </c>
      <c r="N353" s="114" t="e">
        <f>IF(Simulações!#REF!="","",Simulações!#REF!)</f>
        <v>#REF!</v>
      </c>
      <c r="O353" s="114">
        <v>1</v>
      </c>
    </row>
    <row r="354" spans="1:15" ht="15.75" hidden="1" customHeight="1" x14ac:dyDescent="0.3">
      <c r="A354" s="124" t="e">
        <f>Simulações!#REF!</f>
        <v>#REF!</v>
      </c>
      <c r="B354" s="114" t="e">
        <f>Simulações!#REF!</f>
        <v>#REF!</v>
      </c>
      <c r="C354" s="125" t="e">
        <f>Simulações!#REF!</f>
        <v>#REF!</v>
      </c>
      <c r="D354" s="114" t="e">
        <f>Simulações!#REF!</f>
        <v>#REF!</v>
      </c>
      <c r="E354" s="114" t="e">
        <f>Simulações!#REF!</f>
        <v>#REF!</v>
      </c>
      <c r="F354" s="114" t="e">
        <f>Simulações!#REF!</f>
        <v>#REF!</v>
      </c>
      <c r="G354" s="114" t="e">
        <f>Simulações!#REF!</f>
        <v>#REF!</v>
      </c>
      <c r="H354" s="114" t="e">
        <f>Simulações!#REF!</f>
        <v>#REF!</v>
      </c>
      <c r="I354" s="114" t="e">
        <f>IF(Simulações!#REF!="","",Simulações!#REF!)</f>
        <v>#REF!</v>
      </c>
      <c r="J354" s="114" t="e">
        <f>IF(Simulações!#REF!="","",Simulações!#REF!)</f>
        <v>#REF!</v>
      </c>
      <c r="K354" s="117" t="e">
        <f>Simulações!#REF!</f>
        <v>#REF!</v>
      </c>
      <c r="L354" s="117" t="e">
        <f>Simulações!#REF!</f>
        <v>#REF!</v>
      </c>
      <c r="M354" s="114" t="e">
        <f>IF(Simulações!#REF!="","",Simulações!#REF!)</f>
        <v>#REF!</v>
      </c>
      <c r="N354" s="114" t="e">
        <f>IF(Simulações!#REF!="","",Simulações!#REF!)</f>
        <v>#REF!</v>
      </c>
      <c r="O354" s="114">
        <v>1</v>
      </c>
    </row>
    <row r="355" spans="1:15" ht="15.75" hidden="1" customHeight="1" x14ac:dyDescent="0.3">
      <c r="A355" s="124" t="e">
        <f>Simulações!#REF!</f>
        <v>#REF!</v>
      </c>
      <c r="B355" s="114" t="e">
        <f>Simulações!#REF!</f>
        <v>#REF!</v>
      </c>
      <c r="C355" s="125" t="e">
        <f>Simulações!#REF!</f>
        <v>#REF!</v>
      </c>
      <c r="D355" s="114" t="e">
        <f>Simulações!#REF!</f>
        <v>#REF!</v>
      </c>
      <c r="E355" s="114" t="e">
        <f>Simulações!#REF!</f>
        <v>#REF!</v>
      </c>
      <c r="F355" s="114" t="e">
        <f>Simulações!#REF!</f>
        <v>#REF!</v>
      </c>
      <c r="G355" s="114" t="e">
        <f>Simulações!#REF!</f>
        <v>#REF!</v>
      </c>
      <c r="H355" s="114" t="e">
        <f>Simulações!#REF!</f>
        <v>#REF!</v>
      </c>
      <c r="I355" s="114" t="e">
        <f>IF(Simulações!#REF!="","",Simulações!#REF!)</f>
        <v>#REF!</v>
      </c>
      <c r="J355" s="114" t="e">
        <f>IF(Simulações!#REF!="","",Simulações!#REF!)</f>
        <v>#REF!</v>
      </c>
      <c r="K355" s="117" t="e">
        <f>Simulações!#REF!</f>
        <v>#REF!</v>
      </c>
      <c r="L355" s="117" t="e">
        <f>Simulações!#REF!</f>
        <v>#REF!</v>
      </c>
      <c r="M355" s="114" t="e">
        <f>IF(Simulações!#REF!="","",Simulações!#REF!)</f>
        <v>#REF!</v>
      </c>
      <c r="N355" s="114" t="e">
        <f>IF(Simulações!#REF!="","",Simulações!#REF!)</f>
        <v>#REF!</v>
      </c>
      <c r="O355" s="114">
        <v>1</v>
      </c>
    </row>
    <row r="356" spans="1:15" ht="15.75" hidden="1" customHeight="1" x14ac:dyDescent="0.3">
      <c r="A356" s="124" t="e">
        <f>Simulações!#REF!</f>
        <v>#REF!</v>
      </c>
      <c r="B356" s="114" t="e">
        <f>Simulações!#REF!</f>
        <v>#REF!</v>
      </c>
      <c r="C356" s="125" t="e">
        <f>Simulações!#REF!</f>
        <v>#REF!</v>
      </c>
      <c r="D356" s="114" t="e">
        <f>Simulações!#REF!</f>
        <v>#REF!</v>
      </c>
      <c r="E356" s="114" t="e">
        <f>Simulações!#REF!</f>
        <v>#REF!</v>
      </c>
      <c r="F356" s="114" t="e">
        <f>Simulações!#REF!</f>
        <v>#REF!</v>
      </c>
      <c r="G356" s="114" t="e">
        <f>Simulações!#REF!</f>
        <v>#REF!</v>
      </c>
      <c r="H356" s="114" t="e">
        <f>Simulações!#REF!</f>
        <v>#REF!</v>
      </c>
      <c r="I356" s="114" t="e">
        <f>IF(Simulações!#REF!="","",Simulações!#REF!)</f>
        <v>#REF!</v>
      </c>
      <c r="J356" s="114" t="e">
        <f>IF(Simulações!#REF!="","",Simulações!#REF!)</f>
        <v>#REF!</v>
      </c>
      <c r="K356" s="117" t="e">
        <f>Simulações!#REF!</f>
        <v>#REF!</v>
      </c>
      <c r="L356" s="117" t="e">
        <f>Simulações!#REF!</f>
        <v>#REF!</v>
      </c>
      <c r="M356" s="114" t="e">
        <f>IF(Simulações!#REF!="","",Simulações!#REF!)</f>
        <v>#REF!</v>
      </c>
      <c r="N356" s="114" t="e">
        <f>IF(Simulações!#REF!="","",Simulações!#REF!)</f>
        <v>#REF!</v>
      </c>
      <c r="O356" s="114">
        <v>1</v>
      </c>
    </row>
    <row r="357" spans="1:15" ht="15.75" hidden="1" customHeight="1" x14ac:dyDescent="0.3">
      <c r="A357" s="124" t="e">
        <f>Simulações!#REF!</f>
        <v>#REF!</v>
      </c>
      <c r="B357" s="114" t="e">
        <f>Simulações!#REF!</f>
        <v>#REF!</v>
      </c>
      <c r="C357" s="125" t="e">
        <f>Simulações!#REF!</f>
        <v>#REF!</v>
      </c>
      <c r="D357" s="114" t="e">
        <f>Simulações!#REF!</f>
        <v>#REF!</v>
      </c>
      <c r="E357" s="114" t="e">
        <f>Simulações!#REF!</f>
        <v>#REF!</v>
      </c>
      <c r="F357" s="114" t="e">
        <f>Simulações!#REF!</f>
        <v>#REF!</v>
      </c>
      <c r="G357" s="114" t="e">
        <f>Simulações!#REF!</f>
        <v>#REF!</v>
      </c>
      <c r="H357" s="114" t="e">
        <f>Simulações!#REF!</f>
        <v>#REF!</v>
      </c>
      <c r="I357" s="114" t="e">
        <f>IF(Simulações!#REF!="","",Simulações!#REF!)</f>
        <v>#REF!</v>
      </c>
      <c r="J357" s="114" t="e">
        <f>IF(Simulações!#REF!="","",Simulações!#REF!)</f>
        <v>#REF!</v>
      </c>
      <c r="K357" s="117" t="e">
        <f>Simulações!#REF!</f>
        <v>#REF!</v>
      </c>
      <c r="L357" s="117" t="e">
        <f>Simulações!#REF!</f>
        <v>#REF!</v>
      </c>
      <c r="M357" s="114" t="e">
        <f>IF(Simulações!#REF!="","",Simulações!#REF!)</f>
        <v>#REF!</v>
      </c>
      <c r="N357" s="114" t="e">
        <f>IF(Simulações!#REF!="","",Simulações!#REF!)</f>
        <v>#REF!</v>
      </c>
      <c r="O357" s="114">
        <v>1</v>
      </c>
    </row>
    <row r="358" spans="1:15" ht="15.75" hidden="1" customHeight="1" x14ac:dyDescent="0.3">
      <c r="A358" s="124" t="e">
        <f>Simulações!#REF!</f>
        <v>#REF!</v>
      </c>
      <c r="B358" s="114" t="e">
        <f>Simulações!#REF!</f>
        <v>#REF!</v>
      </c>
      <c r="C358" s="125" t="e">
        <f>Simulações!#REF!</f>
        <v>#REF!</v>
      </c>
      <c r="D358" s="114" t="e">
        <f>Simulações!#REF!</f>
        <v>#REF!</v>
      </c>
      <c r="E358" s="114" t="e">
        <f>Simulações!#REF!</f>
        <v>#REF!</v>
      </c>
      <c r="F358" s="114" t="e">
        <f>Simulações!#REF!</f>
        <v>#REF!</v>
      </c>
      <c r="G358" s="114" t="e">
        <f>Simulações!#REF!</f>
        <v>#REF!</v>
      </c>
      <c r="H358" s="114" t="e">
        <f>Simulações!#REF!</f>
        <v>#REF!</v>
      </c>
      <c r="I358" s="114" t="e">
        <f>IF(Simulações!#REF!="","",Simulações!#REF!)</f>
        <v>#REF!</v>
      </c>
      <c r="J358" s="114" t="e">
        <f>IF(Simulações!#REF!="","",Simulações!#REF!)</f>
        <v>#REF!</v>
      </c>
      <c r="K358" s="117" t="e">
        <f>Simulações!#REF!</f>
        <v>#REF!</v>
      </c>
      <c r="L358" s="117" t="e">
        <f>Simulações!#REF!</f>
        <v>#REF!</v>
      </c>
      <c r="M358" s="114" t="e">
        <f>IF(Simulações!#REF!="","",Simulações!#REF!)</f>
        <v>#REF!</v>
      </c>
      <c r="N358" s="114" t="e">
        <f>IF(Simulações!#REF!="","",Simulações!#REF!)</f>
        <v>#REF!</v>
      </c>
      <c r="O358" s="114">
        <v>1</v>
      </c>
    </row>
    <row r="359" spans="1:15" ht="15.75" hidden="1" customHeight="1" x14ac:dyDescent="0.3">
      <c r="A359" s="124" t="e">
        <f>Simulações!#REF!</f>
        <v>#REF!</v>
      </c>
      <c r="B359" s="114" t="e">
        <f>Simulações!#REF!</f>
        <v>#REF!</v>
      </c>
      <c r="C359" s="125" t="e">
        <f>Simulações!#REF!</f>
        <v>#REF!</v>
      </c>
      <c r="D359" s="114" t="e">
        <f>Simulações!#REF!</f>
        <v>#REF!</v>
      </c>
      <c r="E359" s="114" t="e">
        <f>Simulações!#REF!</f>
        <v>#REF!</v>
      </c>
      <c r="F359" s="114" t="e">
        <f>Simulações!#REF!</f>
        <v>#REF!</v>
      </c>
      <c r="G359" s="114" t="e">
        <f>Simulações!#REF!</f>
        <v>#REF!</v>
      </c>
      <c r="H359" s="114" t="e">
        <f>Simulações!#REF!</f>
        <v>#REF!</v>
      </c>
      <c r="I359" s="114" t="e">
        <f>IF(Simulações!#REF!="","",Simulações!#REF!)</f>
        <v>#REF!</v>
      </c>
      <c r="J359" s="114" t="e">
        <f>IF(Simulações!#REF!="","",Simulações!#REF!)</f>
        <v>#REF!</v>
      </c>
      <c r="K359" s="117" t="e">
        <f>Simulações!#REF!</f>
        <v>#REF!</v>
      </c>
      <c r="L359" s="117" t="e">
        <f>Simulações!#REF!</f>
        <v>#REF!</v>
      </c>
      <c r="M359" s="114" t="e">
        <f>IF(Simulações!#REF!="","",Simulações!#REF!)</f>
        <v>#REF!</v>
      </c>
      <c r="N359" s="114" t="e">
        <f>IF(Simulações!#REF!="","",Simulações!#REF!)</f>
        <v>#REF!</v>
      </c>
      <c r="O359" s="114">
        <v>1</v>
      </c>
    </row>
    <row r="360" spans="1:15" ht="15.75" hidden="1" customHeight="1" x14ac:dyDescent="0.3">
      <c r="A360" s="124" t="e">
        <f>Simulações!#REF!</f>
        <v>#REF!</v>
      </c>
      <c r="B360" s="114" t="e">
        <f>Simulações!#REF!</f>
        <v>#REF!</v>
      </c>
      <c r="C360" s="125" t="e">
        <f>Simulações!#REF!</f>
        <v>#REF!</v>
      </c>
      <c r="D360" s="114" t="e">
        <f>Simulações!#REF!</f>
        <v>#REF!</v>
      </c>
      <c r="E360" s="114" t="e">
        <f>Simulações!#REF!</f>
        <v>#REF!</v>
      </c>
      <c r="F360" s="114" t="e">
        <f>Simulações!#REF!</f>
        <v>#REF!</v>
      </c>
      <c r="G360" s="114" t="e">
        <f>Simulações!#REF!</f>
        <v>#REF!</v>
      </c>
      <c r="H360" s="114" t="e">
        <f>Simulações!#REF!</f>
        <v>#REF!</v>
      </c>
      <c r="I360" s="114" t="e">
        <f>IF(Simulações!#REF!="","",Simulações!#REF!)</f>
        <v>#REF!</v>
      </c>
      <c r="J360" s="114" t="e">
        <f>IF(Simulações!#REF!="","",Simulações!#REF!)</f>
        <v>#REF!</v>
      </c>
      <c r="K360" s="117" t="e">
        <f>Simulações!#REF!</f>
        <v>#REF!</v>
      </c>
      <c r="L360" s="117" t="e">
        <f>Simulações!#REF!</f>
        <v>#REF!</v>
      </c>
      <c r="M360" s="114" t="e">
        <f>IF(Simulações!#REF!="","",Simulações!#REF!)</f>
        <v>#REF!</v>
      </c>
      <c r="N360" s="114" t="e">
        <f>IF(Simulações!#REF!="","",Simulações!#REF!)</f>
        <v>#REF!</v>
      </c>
      <c r="O360" s="114">
        <v>1</v>
      </c>
    </row>
    <row r="361" spans="1:15" ht="15.75" hidden="1" customHeight="1" x14ac:dyDescent="0.3">
      <c r="A361" s="124" t="e">
        <f>Simulações!#REF!</f>
        <v>#REF!</v>
      </c>
      <c r="B361" s="114" t="e">
        <f>Simulações!#REF!</f>
        <v>#REF!</v>
      </c>
      <c r="C361" s="125" t="e">
        <f>Simulações!#REF!</f>
        <v>#REF!</v>
      </c>
      <c r="D361" s="114" t="e">
        <f>Simulações!#REF!</f>
        <v>#REF!</v>
      </c>
      <c r="E361" s="114" t="e">
        <f>Simulações!#REF!</f>
        <v>#REF!</v>
      </c>
      <c r="F361" s="114" t="e">
        <f>Simulações!#REF!</f>
        <v>#REF!</v>
      </c>
      <c r="G361" s="114" t="e">
        <f>Simulações!#REF!</f>
        <v>#REF!</v>
      </c>
      <c r="H361" s="114" t="e">
        <f>Simulações!#REF!</f>
        <v>#REF!</v>
      </c>
      <c r="I361" s="114" t="e">
        <f>IF(Simulações!#REF!="","",Simulações!#REF!)</f>
        <v>#REF!</v>
      </c>
      <c r="J361" s="114" t="e">
        <f>IF(Simulações!#REF!="","",Simulações!#REF!)</f>
        <v>#REF!</v>
      </c>
      <c r="K361" s="117" t="e">
        <f>Simulações!#REF!</f>
        <v>#REF!</v>
      </c>
      <c r="L361" s="117" t="e">
        <f>Simulações!#REF!</f>
        <v>#REF!</v>
      </c>
      <c r="M361" s="114" t="e">
        <f>IF(Simulações!#REF!="","",Simulações!#REF!)</f>
        <v>#REF!</v>
      </c>
      <c r="N361" s="114" t="e">
        <f>IF(Simulações!#REF!="","",Simulações!#REF!)</f>
        <v>#REF!</v>
      </c>
      <c r="O361" s="114">
        <v>1</v>
      </c>
    </row>
    <row r="362" spans="1:15" ht="15.75" hidden="1" customHeight="1" x14ac:dyDescent="0.3">
      <c r="A362" s="124" t="e">
        <f>Simulações!#REF!</f>
        <v>#REF!</v>
      </c>
      <c r="B362" s="114" t="e">
        <f>Simulações!#REF!</f>
        <v>#REF!</v>
      </c>
      <c r="C362" s="125" t="e">
        <f>Simulações!#REF!</f>
        <v>#REF!</v>
      </c>
      <c r="D362" s="114" t="e">
        <f>Simulações!#REF!</f>
        <v>#REF!</v>
      </c>
      <c r="E362" s="114" t="e">
        <f>Simulações!#REF!</f>
        <v>#REF!</v>
      </c>
      <c r="F362" s="114" t="e">
        <f>Simulações!#REF!</f>
        <v>#REF!</v>
      </c>
      <c r="G362" s="114" t="e">
        <f>Simulações!#REF!</f>
        <v>#REF!</v>
      </c>
      <c r="H362" s="114" t="e">
        <f>Simulações!#REF!</f>
        <v>#REF!</v>
      </c>
      <c r="I362" s="114" t="e">
        <f>IF(Simulações!#REF!="","",Simulações!#REF!)</f>
        <v>#REF!</v>
      </c>
      <c r="J362" s="114" t="e">
        <f>IF(Simulações!#REF!="","",Simulações!#REF!)</f>
        <v>#REF!</v>
      </c>
      <c r="K362" s="117" t="e">
        <f>Simulações!#REF!</f>
        <v>#REF!</v>
      </c>
      <c r="L362" s="117" t="e">
        <f>Simulações!#REF!</f>
        <v>#REF!</v>
      </c>
      <c r="M362" s="114" t="e">
        <f>IF(Simulações!#REF!="","",Simulações!#REF!)</f>
        <v>#REF!</v>
      </c>
      <c r="N362" s="114" t="e">
        <f>IF(Simulações!#REF!="","",Simulações!#REF!)</f>
        <v>#REF!</v>
      </c>
      <c r="O362" s="114">
        <v>1</v>
      </c>
    </row>
    <row r="363" spans="1:15" ht="15.75" hidden="1" customHeight="1" x14ac:dyDescent="0.3">
      <c r="A363" s="124" t="e">
        <f>Simulações!#REF!</f>
        <v>#REF!</v>
      </c>
      <c r="B363" s="114" t="e">
        <f>Simulações!#REF!</f>
        <v>#REF!</v>
      </c>
      <c r="C363" s="125" t="e">
        <f>Simulações!#REF!</f>
        <v>#REF!</v>
      </c>
      <c r="D363" s="114" t="e">
        <f>Simulações!#REF!</f>
        <v>#REF!</v>
      </c>
      <c r="E363" s="114" t="e">
        <f>Simulações!#REF!</f>
        <v>#REF!</v>
      </c>
      <c r="F363" s="114" t="e">
        <f>Simulações!#REF!</f>
        <v>#REF!</v>
      </c>
      <c r="G363" s="114" t="e">
        <f>Simulações!#REF!</f>
        <v>#REF!</v>
      </c>
      <c r="H363" s="114" t="e">
        <f>Simulações!#REF!</f>
        <v>#REF!</v>
      </c>
      <c r="I363" s="114" t="e">
        <f>IF(Simulações!#REF!="","",Simulações!#REF!)</f>
        <v>#REF!</v>
      </c>
      <c r="J363" s="114" t="e">
        <f>IF(Simulações!#REF!="","",Simulações!#REF!)</f>
        <v>#REF!</v>
      </c>
      <c r="K363" s="117" t="e">
        <f>Simulações!#REF!</f>
        <v>#REF!</v>
      </c>
      <c r="L363" s="117" t="e">
        <f>Simulações!#REF!</f>
        <v>#REF!</v>
      </c>
      <c r="M363" s="114" t="e">
        <f>IF(Simulações!#REF!="","",Simulações!#REF!)</f>
        <v>#REF!</v>
      </c>
      <c r="N363" s="114" t="e">
        <f>IF(Simulações!#REF!="","",Simulações!#REF!)</f>
        <v>#REF!</v>
      </c>
      <c r="O363" s="114">
        <v>1</v>
      </c>
    </row>
    <row r="364" spans="1:15" ht="15.75" hidden="1" customHeight="1" x14ac:dyDescent="0.3">
      <c r="A364" s="124" t="e">
        <f>Simulações!#REF!</f>
        <v>#REF!</v>
      </c>
      <c r="B364" s="114" t="e">
        <f>Simulações!#REF!</f>
        <v>#REF!</v>
      </c>
      <c r="C364" s="125" t="e">
        <f>Simulações!#REF!</f>
        <v>#REF!</v>
      </c>
      <c r="D364" s="114" t="e">
        <f>Simulações!#REF!</f>
        <v>#REF!</v>
      </c>
      <c r="E364" s="114" t="e">
        <f>Simulações!#REF!</f>
        <v>#REF!</v>
      </c>
      <c r="F364" s="114" t="e">
        <f>Simulações!#REF!</f>
        <v>#REF!</v>
      </c>
      <c r="G364" s="114" t="e">
        <f>Simulações!#REF!</f>
        <v>#REF!</v>
      </c>
      <c r="H364" s="114" t="e">
        <f>Simulações!#REF!</f>
        <v>#REF!</v>
      </c>
      <c r="I364" s="114" t="e">
        <f>IF(Simulações!#REF!="","",Simulações!#REF!)</f>
        <v>#REF!</v>
      </c>
      <c r="J364" s="114" t="e">
        <f>IF(Simulações!#REF!="","",Simulações!#REF!)</f>
        <v>#REF!</v>
      </c>
      <c r="K364" s="117" t="e">
        <f>Simulações!#REF!</f>
        <v>#REF!</v>
      </c>
      <c r="L364" s="117" t="e">
        <f>Simulações!#REF!</f>
        <v>#REF!</v>
      </c>
      <c r="M364" s="114" t="e">
        <f>IF(Simulações!#REF!="","",Simulações!#REF!)</f>
        <v>#REF!</v>
      </c>
      <c r="N364" s="114" t="e">
        <f>IF(Simulações!#REF!="","",Simulações!#REF!)</f>
        <v>#REF!</v>
      </c>
      <c r="O364" s="114">
        <v>1</v>
      </c>
    </row>
    <row r="365" spans="1:15" ht="15.75" hidden="1" customHeight="1" x14ac:dyDescent="0.3">
      <c r="A365" s="124" t="e">
        <f>Simulações!#REF!</f>
        <v>#REF!</v>
      </c>
      <c r="B365" s="114" t="e">
        <f>Simulações!#REF!</f>
        <v>#REF!</v>
      </c>
      <c r="C365" s="125" t="e">
        <f>Simulações!#REF!</f>
        <v>#REF!</v>
      </c>
      <c r="D365" s="114" t="e">
        <f>Simulações!#REF!</f>
        <v>#REF!</v>
      </c>
      <c r="E365" s="114" t="e">
        <f>Simulações!#REF!</f>
        <v>#REF!</v>
      </c>
      <c r="F365" s="114" t="e">
        <f>Simulações!#REF!</f>
        <v>#REF!</v>
      </c>
      <c r="G365" s="114" t="e">
        <f>Simulações!#REF!</f>
        <v>#REF!</v>
      </c>
      <c r="H365" s="114" t="e">
        <f>Simulações!#REF!</f>
        <v>#REF!</v>
      </c>
      <c r="I365" s="114" t="e">
        <f>IF(Simulações!#REF!="","",Simulações!#REF!)</f>
        <v>#REF!</v>
      </c>
      <c r="J365" s="114" t="e">
        <f>IF(Simulações!#REF!="","",Simulações!#REF!)</f>
        <v>#REF!</v>
      </c>
      <c r="K365" s="117" t="e">
        <f>Simulações!#REF!</f>
        <v>#REF!</v>
      </c>
      <c r="L365" s="117" t="e">
        <f>Simulações!#REF!</f>
        <v>#REF!</v>
      </c>
      <c r="M365" s="114" t="e">
        <f>IF(Simulações!#REF!="","",Simulações!#REF!)</f>
        <v>#REF!</v>
      </c>
      <c r="N365" s="114" t="e">
        <f>IF(Simulações!#REF!="","",Simulações!#REF!)</f>
        <v>#REF!</v>
      </c>
      <c r="O365" s="114">
        <v>1</v>
      </c>
    </row>
    <row r="366" spans="1:15" ht="15.75" hidden="1" customHeight="1" x14ac:dyDescent="0.3">
      <c r="A366" s="124" t="e">
        <f>Simulações!#REF!</f>
        <v>#REF!</v>
      </c>
      <c r="B366" s="114" t="e">
        <f>Simulações!#REF!</f>
        <v>#REF!</v>
      </c>
      <c r="C366" s="125" t="e">
        <f>Simulações!#REF!</f>
        <v>#REF!</v>
      </c>
      <c r="D366" s="114" t="e">
        <f>Simulações!#REF!</f>
        <v>#REF!</v>
      </c>
      <c r="E366" s="114" t="e">
        <f>Simulações!#REF!</f>
        <v>#REF!</v>
      </c>
      <c r="F366" s="114" t="e">
        <f>Simulações!#REF!</f>
        <v>#REF!</v>
      </c>
      <c r="G366" s="114" t="e">
        <f>Simulações!#REF!</f>
        <v>#REF!</v>
      </c>
      <c r="H366" s="114" t="e">
        <f>Simulações!#REF!</f>
        <v>#REF!</v>
      </c>
      <c r="I366" s="114" t="e">
        <f>IF(Simulações!#REF!="","",Simulações!#REF!)</f>
        <v>#REF!</v>
      </c>
      <c r="J366" s="114" t="e">
        <f>IF(Simulações!#REF!="","",Simulações!#REF!)</f>
        <v>#REF!</v>
      </c>
      <c r="K366" s="117" t="e">
        <f>Simulações!#REF!</f>
        <v>#REF!</v>
      </c>
      <c r="L366" s="117" t="e">
        <f>Simulações!#REF!</f>
        <v>#REF!</v>
      </c>
      <c r="M366" s="114" t="e">
        <f>IF(Simulações!#REF!="","",Simulações!#REF!)</f>
        <v>#REF!</v>
      </c>
      <c r="N366" s="114" t="e">
        <f>IF(Simulações!#REF!="","",Simulações!#REF!)</f>
        <v>#REF!</v>
      </c>
      <c r="O366" s="114">
        <v>1</v>
      </c>
    </row>
    <row r="367" spans="1:15" ht="15.75" hidden="1" customHeight="1" x14ac:dyDescent="0.3">
      <c r="A367" s="124" t="e">
        <f>Simulações!#REF!</f>
        <v>#REF!</v>
      </c>
      <c r="B367" s="114" t="e">
        <f>Simulações!#REF!</f>
        <v>#REF!</v>
      </c>
      <c r="C367" s="125" t="e">
        <f>Simulações!#REF!</f>
        <v>#REF!</v>
      </c>
      <c r="D367" s="114" t="e">
        <f>Simulações!#REF!</f>
        <v>#REF!</v>
      </c>
      <c r="E367" s="114" t="e">
        <f>Simulações!#REF!</f>
        <v>#REF!</v>
      </c>
      <c r="F367" s="114" t="e">
        <f>Simulações!#REF!</f>
        <v>#REF!</v>
      </c>
      <c r="G367" s="114" t="e">
        <f>Simulações!#REF!</f>
        <v>#REF!</v>
      </c>
      <c r="H367" s="114" t="e">
        <f>Simulações!#REF!</f>
        <v>#REF!</v>
      </c>
      <c r="I367" s="114" t="e">
        <f>IF(Simulações!#REF!="","",Simulações!#REF!)</f>
        <v>#REF!</v>
      </c>
      <c r="J367" s="114" t="e">
        <f>IF(Simulações!#REF!="","",Simulações!#REF!)</f>
        <v>#REF!</v>
      </c>
      <c r="K367" s="117" t="e">
        <f>Simulações!#REF!</f>
        <v>#REF!</v>
      </c>
      <c r="L367" s="117" t="e">
        <f>Simulações!#REF!</f>
        <v>#REF!</v>
      </c>
      <c r="M367" s="114" t="e">
        <f>IF(Simulações!#REF!="","",Simulações!#REF!)</f>
        <v>#REF!</v>
      </c>
      <c r="N367" s="114" t="e">
        <f>IF(Simulações!#REF!="","",Simulações!#REF!)</f>
        <v>#REF!</v>
      </c>
      <c r="O367" s="114">
        <v>1</v>
      </c>
    </row>
    <row r="368" spans="1:15" ht="15.75" hidden="1" customHeight="1" x14ac:dyDescent="0.3">
      <c r="A368" s="124" t="e">
        <f>Simulações!#REF!</f>
        <v>#REF!</v>
      </c>
      <c r="B368" s="114" t="e">
        <f>Simulações!#REF!</f>
        <v>#REF!</v>
      </c>
      <c r="C368" s="125" t="e">
        <f>Simulações!#REF!</f>
        <v>#REF!</v>
      </c>
      <c r="D368" s="114" t="e">
        <f>Simulações!#REF!</f>
        <v>#REF!</v>
      </c>
      <c r="E368" s="114" t="e">
        <f>Simulações!#REF!</f>
        <v>#REF!</v>
      </c>
      <c r="F368" s="114" t="e">
        <f>Simulações!#REF!</f>
        <v>#REF!</v>
      </c>
      <c r="G368" s="114" t="e">
        <f>Simulações!#REF!</f>
        <v>#REF!</v>
      </c>
      <c r="H368" s="114" t="e">
        <f>Simulações!#REF!</f>
        <v>#REF!</v>
      </c>
      <c r="I368" s="114" t="e">
        <f>IF(Simulações!#REF!="","",Simulações!#REF!)</f>
        <v>#REF!</v>
      </c>
      <c r="J368" s="114" t="e">
        <f>IF(Simulações!#REF!="","",Simulações!#REF!)</f>
        <v>#REF!</v>
      </c>
      <c r="K368" s="117" t="e">
        <f>Simulações!#REF!</f>
        <v>#REF!</v>
      </c>
      <c r="L368" s="117" t="e">
        <f>Simulações!#REF!</f>
        <v>#REF!</v>
      </c>
      <c r="M368" s="114" t="e">
        <f>IF(Simulações!#REF!="","",Simulações!#REF!)</f>
        <v>#REF!</v>
      </c>
      <c r="N368" s="114" t="e">
        <f>IF(Simulações!#REF!="","",Simulações!#REF!)</f>
        <v>#REF!</v>
      </c>
      <c r="O368" s="114">
        <v>1</v>
      </c>
    </row>
    <row r="369" spans="1:15" ht="15.75" hidden="1" customHeight="1" x14ac:dyDescent="0.3">
      <c r="A369" s="124" t="e">
        <f>Simulações!#REF!</f>
        <v>#REF!</v>
      </c>
      <c r="B369" s="114" t="e">
        <f>Simulações!#REF!</f>
        <v>#REF!</v>
      </c>
      <c r="C369" s="125" t="e">
        <f>Simulações!#REF!</f>
        <v>#REF!</v>
      </c>
      <c r="D369" s="114" t="e">
        <f>Simulações!#REF!</f>
        <v>#REF!</v>
      </c>
      <c r="E369" s="114" t="e">
        <f>Simulações!#REF!</f>
        <v>#REF!</v>
      </c>
      <c r="F369" s="114" t="e">
        <f>Simulações!#REF!</f>
        <v>#REF!</v>
      </c>
      <c r="G369" s="114" t="e">
        <f>Simulações!#REF!</f>
        <v>#REF!</v>
      </c>
      <c r="H369" s="114" t="e">
        <f>Simulações!#REF!</f>
        <v>#REF!</v>
      </c>
      <c r="I369" s="114" t="e">
        <f>IF(Simulações!#REF!="","",Simulações!#REF!)</f>
        <v>#REF!</v>
      </c>
      <c r="J369" s="114" t="e">
        <f>IF(Simulações!#REF!="","",Simulações!#REF!)</f>
        <v>#REF!</v>
      </c>
      <c r="K369" s="117" t="e">
        <f>Simulações!#REF!</f>
        <v>#REF!</v>
      </c>
      <c r="L369" s="117" t="e">
        <f>Simulações!#REF!</f>
        <v>#REF!</v>
      </c>
      <c r="M369" s="114" t="e">
        <f>IF(Simulações!#REF!="","",Simulações!#REF!)</f>
        <v>#REF!</v>
      </c>
      <c r="N369" s="114" t="e">
        <f>IF(Simulações!#REF!="","",Simulações!#REF!)</f>
        <v>#REF!</v>
      </c>
      <c r="O369" s="114">
        <v>1</v>
      </c>
    </row>
    <row r="370" spans="1:15" ht="15.75" hidden="1" customHeight="1" x14ac:dyDescent="0.3">
      <c r="A370" s="124" t="e">
        <f>Simulações!#REF!</f>
        <v>#REF!</v>
      </c>
      <c r="B370" s="114" t="e">
        <f>Simulações!#REF!</f>
        <v>#REF!</v>
      </c>
      <c r="C370" s="125" t="e">
        <f>Simulações!#REF!</f>
        <v>#REF!</v>
      </c>
      <c r="D370" s="114" t="e">
        <f>Simulações!#REF!</f>
        <v>#REF!</v>
      </c>
      <c r="E370" s="114" t="e">
        <f>Simulações!#REF!</f>
        <v>#REF!</v>
      </c>
      <c r="F370" s="114" t="e">
        <f>Simulações!#REF!</f>
        <v>#REF!</v>
      </c>
      <c r="G370" s="114" t="e">
        <f>Simulações!#REF!</f>
        <v>#REF!</v>
      </c>
      <c r="H370" s="114" t="e">
        <f>Simulações!#REF!</f>
        <v>#REF!</v>
      </c>
      <c r="I370" s="114" t="e">
        <f>IF(Simulações!#REF!="","",Simulações!#REF!)</f>
        <v>#REF!</v>
      </c>
      <c r="J370" s="114" t="e">
        <f>IF(Simulações!#REF!="","",Simulações!#REF!)</f>
        <v>#REF!</v>
      </c>
      <c r="K370" s="117" t="e">
        <f>Simulações!#REF!</f>
        <v>#REF!</v>
      </c>
      <c r="L370" s="117" t="e">
        <f>Simulações!#REF!</f>
        <v>#REF!</v>
      </c>
      <c r="M370" s="114" t="e">
        <f>IF(Simulações!#REF!="","",Simulações!#REF!)</f>
        <v>#REF!</v>
      </c>
      <c r="N370" s="114" t="e">
        <f>IF(Simulações!#REF!="","",Simulações!#REF!)</f>
        <v>#REF!</v>
      </c>
      <c r="O370" s="114">
        <v>1</v>
      </c>
    </row>
    <row r="371" spans="1:15" ht="15.75" hidden="1" customHeight="1" x14ac:dyDescent="0.3">
      <c r="A371" s="124" t="e">
        <f>Simulações!#REF!</f>
        <v>#REF!</v>
      </c>
      <c r="B371" s="114" t="e">
        <f>Simulações!#REF!</f>
        <v>#REF!</v>
      </c>
      <c r="C371" s="125" t="e">
        <f>Simulações!#REF!</f>
        <v>#REF!</v>
      </c>
      <c r="D371" s="114" t="e">
        <f>Simulações!#REF!</f>
        <v>#REF!</v>
      </c>
      <c r="E371" s="114" t="e">
        <f>Simulações!#REF!</f>
        <v>#REF!</v>
      </c>
      <c r="F371" s="114" t="e">
        <f>Simulações!#REF!</f>
        <v>#REF!</v>
      </c>
      <c r="G371" s="114" t="e">
        <f>Simulações!#REF!</f>
        <v>#REF!</v>
      </c>
      <c r="H371" s="114" t="e">
        <f>Simulações!#REF!</f>
        <v>#REF!</v>
      </c>
      <c r="I371" s="114" t="e">
        <f>IF(Simulações!#REF!="","",Simulações!#REF!)</f>
        <v>#REF!</v>
      </c>
      <c r="J371" s="114" t="e">
        <f>IF(Simulações!#REF!="","",Simulações!#REF!)</f>
        <v>#REF!</v>
      </c>
      <c r="K371" s="117" t="e">
        <f>Simulações!#REF!</f>
        <v>#REF!</v>
      </c>
      <c r="L371" s="117" t="e">
        <f>Simulações!#REF!</f>
        <v>#REF!</v>
      </c>
      <c r="M371" s="114" t="e">
        <f>IF(Simulações!#REF!="","",Simulações!#REF!)</f>
        <v>#REF!</v>
      </c>
      <c r="N371" s="114" t="e">
        <f>IF(Simulações!#REF!="","",Simulações!#REF!)</f>
        <v>#REF!</v>
      </c>
      <c r="O371" s="114">
        <v>1</v>
      </c>
    </row>
    <row r="372" spans="1:15" ht="15.75" hidden="1" customHeight="1" x14ac:dyDescent="0.3">
      <c r="A372" s="124" t="e">
        <f>Simulações!#REF!</f>
        <v>#REF!</v>
      </c>
      <c r="B372" s="114" t="e">
        <f>Simulações!#REF!</f>
        <v>#REF!</v>
      </c>
      <c r="C372" s="125" t="e">
        <f>Simulações!#REF!</f>
        <v>#REF!</v>
      </c>
      <c r="D372" s="114" t="e">
        <f>Simulações!#REF!</f>
        <v>#REF!</v>
      </c>
      <c r="E372" s="114" t="e">
        <f>Simulações!#REF!</f>
        <v>#REF!</v>
      </c>
      <c r="F372" s="114" t="e">
        <f>Simulações!#REF!</f>
        <v>#REF!</v>
      </c>
      <c r="G372" s="114" t="e">
        <f>Simulações!#REF!</f>
        <v>#REF!</v>
      </c>
      <c r="H372" s="114" t="e">
        <f>Simulações!#REF!</f>
        <v>#REF!</v>
      </c>
      <c r="I372" s="114" t="e">
        <f>IF(Simulações!#REF!="","",Simulações!#REF!)</f>
        <v>#REF!</v>
      </c>
      <c r="J372" s="114" t="e">
        <f>IF(Simulações!#REF!="","",Simulações!#REF!)</f>
        <v>#REF!</v>
      </c>
      <c r="K372" s="117" t="e">
        <f>Simulações!#REF!</f>
        <v>#REF!</v>
      </c>
      <c r="L372" s="117" t="e">
        <f>Simulações!#REF!</f>
        <v>#REF!</v>
      </c>
      <c r="M372" s="114" t="e">
        <f>IF(Simulações!#REF!="","",Simulações!#REF!)</f>
        <v>#REF!</v>
      </c>
      <c r="N372" s="114" t="e">
        <f>IF(Simulações!#REF!="","",Simulações!#REF!)</f>
        <v>#REF!</v>
      </c>
      <c r="O372" s="114">
        <v>1</v>
      </c>
    </row>
    <row r="373" spans="1:15" ht="15.75" hidden="1" customHeight="1" x14ac:dyDescent="0.3">
      <c r="A373" s="124" t="e">
        <f>Simulações!#REF!</f>
        <v>#REF!</v>
      </c>
      <c r="B373" s="114" t="e">
        <f>Simulações!#REF!</f>
        <v>#REF!</v>
      </c>
      <c r="C373" s="125" t="e">
        <f>Simulações!#REF!</f>
        <v>#REF!</v>
      </c>
      <c r="D373" s="114" t="e">
        <f>Simulações!#REF!</f>
        <v>#REF!</v>
      </c>
      <c r="E373" s="114" t="e">
        <f>Simulações!#REF!</f>
        <v>#REF!</v>
      </c>
      <c r="F373" s="114" t="e">
        <f>Simulações!#REF!</f>
        <v>#REF!</v>
      </c>
      <c r="G373" s="114" t="e">
        <f>Simulações!#REF!</f>
        <v>#REF!</v>
      </c>
      <c r="H373" s="114" t="e">
        <f>Simulações!#REF!</f>
        <v>#REF!</v>
      </c>
      <c r="I373" s="114" t="e">
        <f>IF(Simulações!#REF!="","",Simulações!#REF!)</f>
        <v>#REF!</v>
      </c>
      <c r="J373" s="114" t="e">
        <f>IF(Simulações!#REF!="","",Simulações!#REF!)</f>
        <v>#REF!</v>
      </c>
      <c r="K373" s="117" t="e">
        <f>Simulações!#REF!</f>
        <v>#REF!</v>
      </c>
      <c r="L373" s="117" t="e">
        <f>Simulações!#REF!</f>
        <v>#REF!</v>
      </c>
      <c r="M373" s="114" t="e">
        <f>IF(Simulações!#REF!="","",Simulações!#REF!)</f>
        <v>#REF!</v>
      </c>
      <c r="N373" s="114" t="e">
        <f>IF(Simulações!#REF!="","",Simulações!#REF!)</f>
        <v>#REF!</v>
      </c>
      <c r="O373" s="114">
        <v>1</v>
      </c>
    </row>
    <row r="374" spans="1:15" ht="15.75" hidden="1" customHeight="1" x14ac:dyDescent="0.3">
      <c r="A374" s="124" t="e">
        <f>Simulações!#REF!</f>
        <v>#REF!</v>
      </c>
      <c r="B374" s="114" t="e">
        <f>Simulações!#REF!</f>
        <v>#REF!</v>
      </c>
      <c r="C374" s="125" t="e">
        <f>Simulações!#REF!</f>
        <v>#REF!</v>
      </c>
      <c r="D374" s="114" t="e">
        <f>Simulações!#REF!</f>
        <v>#REF!</v>
      </c>
      <c r="E374" s="114" t="e">
        <f>Simulações!#REF!</f>
        <v>#REF!</v>
      </c>
      <c r="F374" s="114" t="e">
        <f>Simulações!#REF!</f>
        <v>#REF!</v>
      </c>
      <c r="G374" s="114" t="e">
        <f>Simulações!#REF!</f>
        <v>#REF!</v>
      </c>
      <c r="H374" s="114" t="e">
        <f>Simulações!#REF!</f>
        <v>#REF!</v>
      </c>
      <c r="I374" s="114" t="e">
        <f>IF(Simulações!#REF!="","",Simulações!#REF!)</f>
        <v>#REF!</v>
      </c>
      <c r="J374" s="114" t="e">
        <f>IF(Simulações!#REF!="","",Simulações!#REF!)</f>
        <v>#REF!</v>
      </c>
      <c r="K374" s="117" t="e">
        <f>Simulações!#REF!</f>
        <v>#REF!</v>
      </c>
      <c r="L374" s="117" t="e">
        <f>Simulações!#REF!</f>
        <v>#REF!</v>
      </c>
      <c r="M374" s="114" t="e">
        <f>IF(Simulações!#REF!="","",Simulações!#REF!)</f>
        <v>#REF!</v>
      </c>
      <c r="N374" s="114" t="e">
        <f>IF(Simulações!#REF!="","",Simulações!#REF!)</f>
        <v>#REF!</v>
      </c>
      <c r="O374" s="114">
        <v>1</v>
      </c>
    </row>
    <row r="375" spans="1:15" ht="15.75" hidden="1" customHeight="1" x14ac:dyDescent="0.3">
      <c r="A375" s="124" t="e">
        <f>Simulações!#REF!</f>
        <v>#REF!</v>
      </c>
      <c r="B375" s="114" t="e">
        <f>Simulações!#REF!</f>
        <v>#REF!</v>
      </c>
      <c r="C375" s="125" t="e">
        <f>Simulações!#REF!</f>
        <v>#REF!</v>
      </c>
      <c r="D375" s="114" t="e">
        <f>Simulações!#REF!</f>
        <v>#REF!</v>
      </c>
      <c r="E375" s="114" t="e">
        <f>Simulações!#REF!</f>
        <v>#REF!</v>
      </c>
      <c r="F375" s="114" t="e">
        <f>Simulações!#REF!</f>
        <v>#REF!</v>
      </c>
      <c r="G375" s="114" t="e">
        <f>Simulações!#REF!</f>
        <v>#REF!</v>
      </c>
      <c r="H375" s="114" t="e">
        <f>Simulações!#REF!</f>
        <v>#REF!</v>
      </c>
      <c r="I375" s="114" t="e">
        <f>IF(Simulações!#REF!="","",Simulações!#REF!)</f>
        <v>#REF!</v>
      </c>
      <c r="J375" s="114" t="e">
        <f>IF(Simulações!#REF!="","",Simulações!#REF!)</f>
        <v>#REF!</v>
      </c>
      <c r="K375" s="117" t="e">
        <f>Simulações!#REF!</f>
        <v>#REF!</v>
      </c>
      <c r="L375" s="117" t="e">
        <f>Simulações!#REF!</f>
        <v>#REF!</v>
      </c>
      <c r="M375" s="114" t="e">
        <f>IF(Simulações!#REF!="","",Simulações!#REF!)</f>
        <v>#REF!</v>
      </c>
      <c r="N375" s="114" t="e">
        <f>IF(Simulações!#REF!="","",Simulações!#REF!)</f>
        <v>#REF!</v>
      </c>
      <c r="O375" s="114">
        <v>1</v>
      </c>
    </row>
    <row r="376" spans="1:15" ht="15.75" hidden="1" customHeight="1" x14ac:dyDescent="0.3">
      <c r="A376" s="124" t="e">
        <f>Simulações!#REF!</f>
        <v>#REF!</v>
      </c>
      <c r="B376" s="114" t="e">
        <f>Simulações!#REF!</f>
        <v>#REF!</v>
      </c>
      <c r="C376" s="125" t="e">
        <f>Simulações!#REF!</f>
        <v>#REF!</v>
      </c>
      <c r="D376" s="114" t="e">
        <f>Simulações!#REF!</f>
        <v>#REF!</v>
      </c>
      <c r="E376" s="114" t="e">
        <f>Simulações!#REF!</f>
        <v>#REF!</v>
      </c>
      <c r="F376" s="114" t="e">
        <f>Simulações!#REF!</f>
        <v>#REF!</v>
      </c>
      <c r="G376" s="114" t="e">
        <f>Simulações!#REF!</f>
        <v>#REF!</v>
      </c>
      <c r="H376" s="114" t="e">
        <f>Simulações!#REF!</f>
        <v>#REF!</v>
      </c>
      <c r="I376" s="114" t="e">
        <f>IF(Simulações!#REF!="","",Simulações!#REF!)</f>
        <v>#REF!</v>
      </c>
      <c r="J376" s="114" t="e">
        <f>IF(Simulações!#REF!="","",Simulações!#REF!)</f>
        <v>#REF!</v>
      </c>
      <c r="K376" s="117" t="e">
        <f>Simulações!#REF!</f>
        <v>#REF!</v>
      </c>
      <c r="L376" s="117" t="e">
        <f>Simulações!#REF!</f>
        <v>#REF!</v>
      </c>
      <c r="M376" s="114" t="e">
        <f>IF(Simulações!#REF!="","",Simulações!#REF!)</f>
        <v>#REF!</v>
      </c>
      <c r="N376" s="114" t="e">
        <f>IF(Simulações!#REF!="","",Simulações!#REF!)</f>
        <v>#REF!</v>
      </c>
      <c r="O376" s="114">
        <v>1</v>
      </c>
    </row>
    <row r="377" spans="1:15" ht="15.75" hidden="1" customHeight="1" x14ac:dyDescent="0.3">
      <c r="A377" s="124" t="e">
        <f>Simulações!#REF!</f>
        <v>#REF!</v>
      </c>
      <c r="B377" s="114" t="e">
        <f>Simulações!#REF!</f>
        <v>#REF!</v>
      </c>
      <c r="C377" s="125" t="e">
        <f>Simulações!#REF!</f>
        <v>#REF!</v>
      </c>
      <c r="D377" s="114" t="e">
        <f>Simulações!#REF!</f>
        <v>#REF!</v>
      </c>
      <c r="E377" s="114" t="e">
        <f>Simulações!#REF!</f>
        <v>#REF!</v>
      </c>
      <c r="F377" s="114" t="e">
        <f>Simulações!#REF!</f>
        <v>#REF!</v>
      </c>
      <c r="G377" s="114" t="e">
        <f>Simulações!#REF!</f>
        <v>#REF!</v>
      </c>
      <c r="H377" s="114" t="e">
        <f>Simulações!#REF!</f>
        <v>#REF!</v>
      </c>
      <c r="I377" s="114" t="e">
        <f>IF(Simulações!#REF!="","",Simulações!#REF!)</f>
        <v>#REF!</v>
      </c>
      <c r="J377" s="114" t="e">
        <f>IF(Simulações!#REF!="","",Simulações!#REF!)</f>
        <v>#REF!</v>
      </c>
      <c r="K377" s="117" t="e">
        <f>Simulações!#REF!</f>
        <v>#REF!</v>
      </c>
      <c r="L377" s="117" t="e">
        <f>Simulações!#REF!</f>
        <v>#REF!</v>
      </c>
      <c r="M377" s="114" t="e">
        <f>IF(Simulações!#REF!="","",Simulações!#REF!)</f>
        <v>#REF!</v>
      </c>
      <c r="N377" s="114" t="e">
        <f>IF(Simulações!#REF!="","",Simulações!#REF!)</f>
        <v>#REF!</v>
      </c>
      <c r="O377" s="114">
        <v>1</v>
      </c>
    </row>
    <row r="378" spans="1:15" ht="15.75" hidden="1" customHeight="1" x14ac:dyDescent="0.3">
      <c r="A378" s="124" t="e">
        <f>Simulações!#REF!</f>
        <v>#REF!</v>
      </c>
      <c r="B378" s="114" t="e">
        <f>Simulações!#REF!</f>
        <v>#REF!</v>
      </c>
      <c r="C378" s="125" t="e">
        <f>Simulações!#REF!</f>
        <v>#REF!</v>
      </c>
      <c r="D378" s="114" t="e">
        <f>Simulações!#REF!</f>
        <v>#REF!</v>
      </c>
      <c r="E378" s="114" t="e">
        <f>Simulações!#REF!</f>
        <v>#REF!</v>
      </c>
      <c r="F378" s="114" t="e">
        <f>Simulações!#REF!</f>
        <v>#REF!</v>
      </c>
      <c r="G378" s="114" t="e">
        <f>Simulações!#REF!</f>
        <v>#REF!</v>
      </c>
      <c r="H378" s="114" t="e">
        <f>Simulações!#REF!</f>
        <v>#REF!</v>
      </c>
      <c r="I378" s="114" t="e">
        <f>IF(Simulações!#REF!="","",Simulações!#REF!)</f>
        <v>#REF!</v>
      </c>
      <c r="J378" s="114" t="e">
        <f>IF(Simulações!#REF!="","",Simulações!#REF!)</f>
        <v>#REF!</v>
      </c>
      <c r="K378" s="117" t="e">
        <f>Simulações!#REF!</f>
        <v>#REF!</v>
      </c>
      <c r="L378" s="117" t="e">
        <f>Simulações!#REF!</f>
        <v>#REF!</v>
      </c>
      <c r="M378" s="114" t="e">
        <f>IF(Simulações!#REF!="","",Simulações!#REF!)</f>
        <v>#REF!</v>
      </c>
      <c r="N378" s="114" t="e">
        <f>IF(Simulações!#REF!="","",Simulações!#REF!)</f>
        <v>#REF!</v>
      </c>
      <c r="O378" s="114">
        <v>1</v>
      </c>
    </row>
    <row r="379" spans="1:15" ht="15.75" hidden="1" customHeight="1" x14ac:dyDescent="0.3">
      <c r="A379" s="124" t="e">
        <f>Simulações!#REF!</f>
        <v>#REF!</v>
      </c>
      <c r="B379" s="114" t="e">
        <f>Simulações!#REF!</f>
        <v>#REF!</v>
      </c>
      <c r="C379" s="125" t="e">
        <f>Simulações!#REF!</f>
        <v>#REF!</v>
      </c>
      <c r="D379" s="114" t="e">
        <f>Simulações!#REF!</f>
        <v>#REF!</v>
      </c>
      <c r="E379" s="114" t="e">
        <f>Simulações!#REF!</f>
        <v>#REF!</v>
      </c>
      <c r="F379" s="114" t="e">
        <f>Simulações!#REF!</f>
        <v>#REF!</v>
      </c>
      <c r="G379" s="114" t="e">
        <f>Simulações!#REF!</f>
        <v>#REF!</v>
      </c>
      <c r="H379" s="114" t="e">
        <f>Simulações!#REF!</f>
        <v>#REF!</v>
      </c>
      <c r="I379" s="114" t="e">
        <f>IF(Simulações!#REF!="","",Simulações!#REF!)</f>
        <v>#REF!</v>
      </c>
      <c r="J379" s="114" t="e">
        <f>IF(Simulações!#REF!="","",Simulações!#REF!)</f>
        <v>#REF!</v>
      </c>
      <c r="K379" s="117" t="e">
        <f>Simulações!#REF!</f>
        <v>#REF!</v>
      </c>
      <c r="L379" s="117" t="e">
        <f>Simulações!#REF!</f>
        <v>#REF!</v>
      </c>
      <c r="M379" s="114" t="e">
        <f>IF(Simulações!#REF!="","",Simulações!#REF!)</f>
        <v>#REF!</v>
      </c>
      <c r="N379" s="114" t="e">
        <f>IF(Simulações!#REF!="","",Simulações!#REF!)</f>
        <v>#REF!</v>
      </c>
      <c r="O379" s="114">
        <v>1</v>
      </c>
    </row>
    <row r="380" spans="1:15" ht="15.75" hidden="1" customHeight="1" x14ac:dyDescent="0.3">
      <c r="A380" s="124" t="e">
        <f>Simulações!#REF!</f>
        <v>#REF!</v>
      </c>
      <c r="B380" s="114" t="e">
        <f>Simulações!#REF!</f>
        <v>#REF!</v>
      </c>
      <c r="C380" s="125" t="e">
        <f>Simulações!#REF!</f>
        <v>#REF!</v>
      </c>
      <c r="D380" s="114" t="e">
        <f>Simulações!#REF!</f>
        <v>#REF!</v>
      </c>
      <c r="E380" s="114" t="e">
        <f>Simulações!#REF!</f>
        <v>#REF!</v>
      </c>
      <c r="F380" s="114" t="e">
        <f>Simulações!#REF!</f>
        <v>#REF!</v>
      </c>
      <c r="G380" s="114" t="e">
        <f>Simulações!#REF!</f>
        <v>#REF!</v>
      </c>
      <c r="H380" s="114" t="e">
        <f>Simulações!#REF!</f>
        <v>#REF!</v>
      </c>
      <c r="I380" s="114" t="e">
        <f>IF(Simulações!#REF!="","",Simulações!#REF!)</f>
        <v>#REF!</v>
      </c>
      <c r="J380" s="114" t="e">
        <f>IF(Simulações!#REF!="","",Simulações!#REF!)</f>
        <v>#REF!</v>
      </c>
      <c r="K380" s="117" t="e">
        <f>Simulações!#REF!</f>
        <v>#REF!</v>
      </c>
      <c r="L380" s="117" t="e">
        <f>Simulações!#REF!</f>
        <v>#REF!</v>
      </c>
      <c r="M380" s="114" t="e">
        <f>IF(Simulações!#REF!="","",Simulações!#REF!)</f>
        <v>#REF!</v>
      </c>
      <c r="N380" s="114" t="e">
        <f>IF(Simulações!#REF!="","",Simulações!#REF!)</f>
        <v>#REF!</v>
      </c>
      <c r="O380" s="114">
        <v>1</v>
      </c>
    </row>
    <row r="381" spans="1:15" ht="15.75" hidden="1" customHeight="1" x14ac:dyDescent="0.3">
      <c r="A381" s="124" t="e">
        <f>Simulações!#REF!</f>
        <v>#REF!</v>
      </c>
      <c r="B381" s="114" t="e">
        <f>Simulações!#REF!</f>
        <v>#REF!</v>
      </c>
      <c r="C381" s="125" t="e">
        <f>Simulações!#REF!</f>
        <v>#REF!</v>
      </c>
      <c r="D381" s="114" t="e">
        <f>Simulações!#REF!</f>
        <v>#REF!</v>
      </c>
      <c r="E381" s="114" t="e">
        <f>Simulações!#REF!</f>
        <v>#REF!</v>
      </c>
      <c r="F381" s="114" t="e">
        <f>Simulações!#REF!</f>
        <v>#REF!</v>
      </c>
      <c r="G381" s="114" t="e">
        <f>Simulações!#REF!</f>
        <v>#REF!</v>
      </c>
      <c r="H381" s="114" t="e">
        <f>Simulações!#REF!</f>
        <v>#REF!</v>
      </c>
      <c r="I381" s="114" t="e">
        <f>IF(Simulações!#REF!="","",Simulações!#REF!)</f>
        <v>#REF!</v>
      </c>
      <c r="J381" s="114" t="e">
        <f>IF(Simulações!#REF!="","",Simulações!#REF!)</f>
        <v>#REF!</v>
      </c>
      <c r="K381" s="117" t="e">
        <f>Simulações!#REF!</f>
        <v>#REF!</v>
      </c>
      <c r="L381" s="117" t="e">
        <f>Simulações!#REF!</f>
        <v>#REF!</v>
      </c>
      <c r="M381" s="114" t="e">
        <f>IF(Simulações!#REF!="","",Simulações!#REF!)</f>
        <v>#REF!</v>
      </c>
      <c r="N381" s="114" t="e">
        <f>IF(Simulações!#REF!="","",Simulações!#REF!)</f>
        <v>#REF!</v>
      </c>
      <c r="O381" s="114">
        <v>1</v>
      </c>
    </row>
    <row r="382" spans="1:15" ht="15.75" hidden="1" customHeight="1" x14ac:dyDescent="0.3">
      <c r="A382" s="124" t="e">
        <f>Simulações!#REF!</f>
        <v>#REF!</v>
      </c>
      <c r="B382" s="114" t="e">
        <f>Simulações!#REF!</f>
        <v>#REF!</v>
      </c>
      <c r="C382" s="125" t="e">
        <f>Simulações!#REF!</f>
        <v>#REF!</v>
      </c>
      <c r="D382" s="114" t="e">
        <f>Simulações!#REF!</f>
        <v>#REF!</v>
      </c>
      <c r="E382" s="114" t="e">
        <f>Simulações!#REF!</f>
        <v>#REF!</v>
      </c>
      <c r="F382" s="114" t="e">
        <f>Simulações!#REF!</f>
        <v>#REF!</v>
      </c>
      <c r="G382" s="114" t="e">
        <f>Simulações!#REF!</f>
        <v>#REF!</v>
      </c>
      <c r="H382" s="114" t="e">
        <f>Simulações!#REF!</f>
        <v>#REF!</v>
      </c>
      <c r="I382" s="114" t="e">
        <f>IF(Simulações!#REF!="","",Simulações!#REF!)</f>
        <v>#REF!</v>
      </c>
      <c r="J382" s="114" t="e">
        <f>IF(Simulações!#REF!="","",Simulações!#REF!)</f>
        <v>#REF!</v>
      </c>
      <c r="K382" s="117" t="e">
        <f>Simulações!#REF!</f>
        <v>#REF!</v>
      </c>
      <c r="L382" s="117" t="e">
        <f>Simulações!#REF!</f>
        <v>#REF!</v>
      </c>
      <c r="M382" s="114" t="e">
        <f>IF(Simulações!#REF!="","",Simulações!#REF!)</f>
        <v>#REF!</v>
      </c>
      <c r="N382" s="114" t="e">
        <f>IF(Simulações!#REF!="","",Simulações!#REF!)</f>
        <v>#REF!</v>
      </c>
      <c r="O382" s="114">
        <v>1</v>
      </c>
    </row>
    <row r="383" spans="1:15" ht="15.75" hidden="1" customHeight="1" x14ac:dyDescent="0.3">
      <c r="A383" s="124" t="e">
        <f>Simulações!#REF!</f>
        <v>#REF!</v>
      </c>
      <c r="B383" s="114" t="e">
        <f>Simulações!#REF!</f>
        <v>#REF!</v>
      </c>
      <c r="C383" s="125" t="e">
        <f>Simulações!#REF!</f>
        <v>#REF!</v>
      </c>
      <c r="D383" s="114" t="e">
        <f>Simulações!#REF!</f>
        <v>#REF!</v>
      </c>
      <c r="E383" s="114" t="e">
        <f>Simulações!#REF!</f>
        <v>#REF!</v>
      </c>
      <c r="F383" s="114" t="e">
        <f>Simulações!#REF!</f>
        <v>#REF!</v>
      </c>
      <c r="G383" s="114" t="e">
        <f>Simulações!#REF!</f>
        <v>#REF!</v>
      </c>
      <c r="H383" s="114" t="e">
        <f>Simulações!#REF!</f>
        <v>#REF!</v>
      </c>
      <c r="I383" s="114" t="e">
        <f>IF(Simulações!#REF!="","",Simulações!#REF!)</f>
        <v>#REF!</v>
      </c>
      <c r="J383" s="114" t="e">
        <f>IF(Simulações!#REF!="","",Simulações!#REF!)</f>
        <v>#REF!</v>
      </c>
      <c r="K383" s="117" t="e">
        <f>Simulações!#REF!</f>
        <v>#REF!</v>
      </c>
      <c r="L383" s="117" t="e">
        <f>Simulações!#REF!</f>
        <v>#REF!</v>
      </c>
      <c r="M383" s="114" t="e">
        <f>IF(Simulações!#REF!="","",Simulações!#REF!)</f>
        <v>#REF!</v>
      </c>
      <c r="N383" s="114" t="e">
        <f>IF(Simulações!#REF!="","",Simulações!#REF!)</f>
        <v>#REF!</v>
      </c>
      <c r="O383" s="114">
        <v>1</v>
      </c>
    </row>
    <row r="384" spans="1:15" ht="15.75" hidden="1" customHeight="1" x14ac:dyDescent="0.3">
      <c r="A384" s="124" t="e">
        <f>Simulações!#REF!</f>
        <v>#REF!</v>
      </c>
      <c r="B384" s="114" t="e">
        <f>Simulações!#REF!</f>
        <v>#REF!</v>
      </c>
      <c r="C384" s="125" t="e">
        <f>Simulações!#REF!</f>
        <v>#REF!</v>
      </c>
      <c r="D384" s="114" t="e">
        <f>Simulações!#REF!</f>
        <v>#REF!</v>
      </c>
      <c r="E384" s="114" t="e">
        <f>Simulações!#REF!</f>
        <v>#REF!</v>
      </c>
      <c r="F384" s="114" t="e">
        <f>Simulações!#REF!</f>
        <v>#REF!</v>
      </c>
      <c r="G384" s="114" t="e">
        <f>Simulações!#REF!</f>
        <v>#REF!</v>
      </c>
      <c r="H384" s="114" t="e">
        <f>Simulações!#REF!</f>
        <v>#REF!</v>
      </c>
      <c r="I384" s="114" t="e">
        <f>IF(Simulações!#REF!="","",Simulações!#REF!)</f>
        <v>#REF!</v>
      </c>
      <c r="J384" s="114" t="e">
        <f>IF(Simulações!#REF!="","",Simulações!#REF!)</f>
        <v>#REF!</v>
      </c>
      <c r="K384" s="117" t="e">
        <f>Simulações!#REF!</f>
        <v>#REF!</v>
      </c>
      <c r="L384" s="117" t="e">
        <f>Simulações!#REF!</f>
        <v>#REF!</v>
      </c>
      <c r="M384" s="114" t="e">
        <f>IF(Simulações!#REF!="","",Simulações!#REF!)</f>
        <v>#REF!</v>
      </c>
      <c r="N384" s="114" t="e">
        <f>IF(Simulações!#REF!="","",Simulações!#REF!)</f>
        <v>#REF!</v>
      </c>
      <c r="O384" s="114">
        <v>1</v>
      </c>
    </row>
    <row r="385" spans="1:15" ht="15.75" hidden="1" customHeight="1" x14ac:dyDescent="0.3">
      <c r="A385" s="124" t="e">
        <f>Simulações!#REF!</f>
        <v>#REF!</v>
      </c>
      <c r="B385" s="114" t="e">
        <f>Simulações!#REF!</f>
        <v>#REF!</v>
      </c>
      <c r="C385" s="125" t="e">
        <f>Simulações!#REF!</f>
        <v>#REF!</v>
      </c>
      <c r="D385" s="114" t="e">
        <f>Simulações!#REF!</f>
        <v>#REF!</v>
      </c>
      <c r="E385" s="114" t="e">
        <f>Simulações!#REF!</f>
        <v>#REF!</v>
      </c>
      <c r="F385" s="114" t="e">
        <f>Simulações!#REF!</f>
        <v>#REF!</v>
      </c>
      <c r="G385" s="114" t="e">
        <f>Simulações!#REF!</f>
        <v>#REF!</v>
      </c>
      <c r="H385" s="114" t="e">
        <f>Simulações!#REF!</f>
        <v>#REF!</v>
      </c>
      <c r="I385" s="114" t="e">
        <f>IF(Simulações!#REF!="","",Simulações!#REF!)</f>
        <v>#REF!</v>
      </c>
      <c r="J385" s="114" t="e">
        <f>IF(Simulações!#REF!="","",Simulações!#REF!)</f>
        <v>#REF!</v>
      </c>
      <c r="K385" s="117" t="e">
        <f>Simulações!#REF!</f>
        <v>#REF!</v>
      </c>
      <c r="L385" s="117" t="e">
        <f>Simulações!#REF!</f>
        <v>#REF!</v>
      </c>
      <c r="M385" s="114" t="e">
        <f>IF(Simulações!#REF!="","",Simulações!#REF!)</f>
        <v>#REF!</v>
      </c>
      <c r="N385" s="114" t="e">
        <f>IF(Simulações!#REF!="","",Simulações!#REF!)</f>
        <v>#REF!</v>
      </c>
      <c r="O385" s="114">
        <v>1</v>
      </c>
    </row>
    <row r="386" spans="1:15" ht="15.75" hidden="1" customHeight="1" x14ac:dyDescent="0.3">
      <c r="A386" s="124" t="e">
        <f>Simulações!#REF!</f>
        <v>#REF!</v>
      </c>
      <c r="B386" s="114" t="e">
        <f>Simulações!#REF!</f>
        <v>#REF!</v>
      </c>
      <c r="C386" s="125" t="e">
        <f>Simulações!#REF!</f>
        <v>#REF!</v>
      </c>
      <c r="D386" s="114" t="e">
        <f>Simulações!#REF!</f>
        <v>#REF!</v>
      </c>
      <c r="E386" s="114" t="e">
        <f>Simulações!#REF!</f>
        <v>#REF!</v>
      </c>
      <c r="F386" s="114" t="e">
        <f>Simulações!#REF!</f>
        <v>#REF!</v>
      </c>
      <c r="G386" s="114" t="e">
        <f>Simulações!#REF!</f>
        <v>#REF!</v>
      </c>
      <c r="H386" s="114" t="e">
        <f>Simulações!#REF!</f>
        <v>#REF!</v>
      </c>
      <c r="I386" s="114" t="e">
        <f>IF(Simulações!#REF!="","",Simulações!#REF!)</f>
        <v>#REF!</v>
      </c>
      <c r="J386" s="114" t="e">
        <f>IF(Simulações!#REF!="","",Simulações!#REF!)</f>
        <v>#REF!</v>
      </c>
      <c r="K386" s="117" t="e">
        <f>Simulações!#REF!</f>
        <v>#REF!</v>
      </c>
      <c r="L386" s="117" t="e">
        <f>Simulações!#REF!</f>
        <v>#REF!</v>
      </c>
      <c r="M386" s="114" t="e">
        <f>IF(Simulações!#REF!="","",Simulações!#REF!)</f>
        <v>#REF!</v>
      </c>
      <c r="N386" s="114" t="e">
        <f>IF(Simulações!#REF!="","",Simulações!#REF!)</f>
        <v>#REF!</v>
      </c>
      <c r="O386" s="114">
        <v>1</v>
      </c>
    </row>
    <row r="387" spans="1:15" ht="15.75" hidden="1" customHeight="1" x14ac:dyDescent="0.3">
      <c r="A387" s="124" t="e">
        <f>Simulações!#REF!</f>
        <v>#REF!</v>
      </c>
      <c r="B387" s="114" t="e">
        <f>Simulações!#REF!</f>
        <v>#REF!</v>
      </c>
      <c r="C387" s="125" t="e">
        <f>Simulações!#REF!</f>
        <v>#REF!</v>
      </c>
      <c r="D387" s="114" t="e">
        <f>Simulações!#REF!</f>
        <v>#REF!</v>
      </c>
      <c r="E387" s="114" t="e">
        <f>Simulações!#REF!</f>
        <v>#REF!</v>
      </c>
      <c r="F387" s="114" t="e">
        <f>Simulações!#REF!</f>
        <v>#REF!</v>
      </c>
      <c r="G387" s="114" t="e">
        <f>Simulações!#REF!</f>
        <v>#REF!</v>
      </c>
      <c r="H387" s="114" t="e">
        <f>Simulações!#REF!</f>
        <v>#REF!</v>
      </c>
      <c r="I387" s="114" t="e">
        <f>IF(Simulações!#REF!="","",Simulações!#REF!)</f>
        <v>#REF!</v>
      </c>
      <c r="J387" s="114" t="e">
        <f>IF(Simulações!#REF!="","",Simulações!#REF!)</f>
        <v>#REF!</v>
      </c>
      <c r="K387" s="117" t="e">
        <f>Simulações!#REF!</f>
        <v>#REF!</v>
      </c>
      <c r="L387" s="117" t="e">
        <f>Simulações!#REF!</f>
        <v>#REF!</v>
      </c>
      <c r="M387" s="114" t="e">
        <f>IF(Simulações!#REF!="","",Simulações!#REF!)</f>
        <v>#REF!</v>
      </c>
      <c r="N387" s="114" t="e">
        <f>IF(Simulações!#REF!="","",Simulações!#REF!)</f>
        <v>#REF!</v>
      </c>
      <c r="O387" s="114">
        <v>1</v>
      </c>
    </row>
    <row r="388" spans="1:15" ht="15.75" hidden="1" customHeight="1" x14ac:dyDescent="0.3">
      <c r="A388" s="124" t="e">
        <f>Simulações!#REF!</f>
        <v>#REF!</v>
      </c>
      <c r="B388" s="114" t="e">
        <f>Simulações!#REF!</f>
        <v>#REF!</v>
      </c>
      <c r="C388" s="125" t="e">
        <f>Simulações!#REF!</f>
        <v>#REF!</v>
      </c>
      <c r="D388" s="114" t="e">
        <f>Simulações!#REF!</f>
        <v>#REF!</v>
      </c>
      <c r="E388" s="114" t="e">
        <f>Simulações!#REF!</f>
        <v>#REF!</v>
      </c>
      <c r="F388" s="114" t="e">
        <f>Simulações!#REF!</f>
        <v>#REF!</v>
      </c>
      <c r="G388" s="114" t="e">
        <f>Simulações!#REF!</f>
        <v>#REF!</v>
      </c>
      <c r="H388" s="114" t="e">
        <f>Simulações!#REF!</f>
        <v>#REF!</v>
      </c>
      <c r="I388" s="114" t="e">
        <f>IF(Simulações!#REF!="","",Simulações!#REF!)</f>
        <v>#REF!</v>
      </c>
      <c r="J388" s="114" t="e">
        <f>IF(Simulações!#REF!="","",Simulações!#REF!)</f>
        <v>#REF!</v>
      </c>
      <c r="K388" s="117" t="e">
        <f>Simulações!#REF!</f>
        <v>#REF!</v>
      </c>
      <c r="L388" s="117" t="e">
        <f>Simulações!#REF!</f>
        <v>#REF!</v>
      </c>
      <c r="M388" s="114" t="e">
        <f>IF(Simulações!#REF!="","",Simulações!#REF!)</f>
        <v>#REF!</v>
      </c>
      <c r="N388" s="114" t="e">
        <f>IF(Simulações!#REF!="","",Simulações!#REF!)</f>
        <v>#REF!</v>
      </c>
      <c r="O388" s="114">
        <v>1</v>
      </c>
    </row>
    <row r="389" spans="1:15" ht="15.75" hidden="1" customHeight="1" x14ac:dyDescent="0.3">
      <c r="A389" s="124" t="e">
        <f>Simulações!#REF!</f>
        <v>#REF!</v>
      </c>
      <c r="B389" s="114" t="e">
        <f>Simulações!#REF!</f>
        <v>#REF!</v>
      </c>
      <c r="C389" s="125" t="e">
        <f>Simulações!#REF!</f>
        <v>#REF!</v>
      </c>
      <c r="D389" s="114" t="e">
        <f>Simulações!#REF!</f>
        <v>#REF!</v>
      </c>
      <c r="E389" s="114" t="e">
        <f>Simulações!#REF!</f>
        <v>#REF!</v>
      </c>
      <c r="F389" s="114" t="e">
        <f>Simulações!#REF!</f>
        <v>#REF!</v>
      </c>
      <c r="G389" s="114" t="e">
        <f>Simulações!#REF!</f>
        <v>#REF!</v>
      </c>
      <c r="H389" s="114" t="e">
        <f>Simulações!#REF!</f>
        <v>#REF!</v>
      </c>
      <c r="I389" s="114" t="e">
        <f>IF(Simulações!#REF!="","",Simulações!#REF!)</f>
        <v>#REF!</v>
      </c>
      <c r="J389" s="114" t="e">
        <f>IF(Simulações!#REF!="","",Simulações!#REF!)</f>
        <v>#REF!</v>
      </c>
      <c r="K389" s="117" t="e">
        <f>Simulações!#REF!</f>
        <v>#REF!</v>
      </c>
      <c r="L389" s="117" t="e">
        <f>Simulações!#REF!</f>
        <v>#REF!</v>
      </c>
      <c r="M389" s="114" t="e">
        <f>IF(Simulações!#REF!="","",Simulações!#REF!)</f>
        <v>#REF!</v>
      </c>
      <c r="N389" s="114" t="e">
        <f>IF(Simulações!#REF!="","",Simulações!#REF!)</f>
        <v>#REF!</v>
      </c>
      <c r="O389" s="114">
        <v>1</v>
      </c>
    </row>
    <row r="390" spans="1:15" ht="15.75" hidden="1" customHeight="1" x14ac:dyDescent="0.3">
      <c r="A390" s="124" t="e">
        <f>Simulações!#REF!</f>
        <v>#REF!</v>
      </c>
      <c r="B390" s="114" t="e">
        <f>Simulações!#REF!</f>
        <v>#REF!</v>
      </c>
      <c r="C390" s="125" t="e">
        <f>Simulações!#REF!</f>
        <v>#REF!</v>
      </c>
      <c r="D390" s="114" t="e">
        <f>Simulações!#REF!</f>
        <v>#REF!</v>
      </c>
      <c r="E390" s="114" t="e">
        <f>Simulações!#REF!</f>
        <v>#REF!</v>
      </c>
      <c r="F390" s="114" t="e">
        <f>Simulações!#REF!</f>
        <v>#REF!</v>
      </c>
      <c r="G390" s="114" t="e">
        <f>Simulações!#REF!</f>
        <v>#REF!</v>
      </c>
      <c r="H390" s="114" t="e">
        <f>Simulações!#REF!</f>
        <v>#REF!</v>
      </c>
      <c r="I390" s="114" t="e">
        <f>IF(Simulações!#REF!="","",Simulações!#REF!)</f>
        <v>#REF!</v>
      </c>
      <c r="J390" s="114" t="e">
        <f>IF(Simulações!#REF!="","",Simulações!#REF!)</f>
        <v>#REF!</v>
      </c>
      <c r="K390" s="117" t="e">
        <f>Simulações!#REF!</f>
        <v>#REF!</v>
      </c>
      <c r="L390" s="117" t="e">
        <f>Simulações!#REF!</f>
        <v>#REF!</v>
      </c>
      <c r="M390" s="114" t="e">
        <f>IF(Simulações!#REF!="","",Simulações!#REF!)</f>
        <v>#REF!</v>
      </c>
      <c r="N390" s="114" t="e">
        <f>IF(Simulações!#REF!="","",Simulações!#REF!)</f>
        <v>#REF!</v>
      </c>
      <c r="O390" s="114">
        <v>1</v>
      </c>
    </row>
    <row r="391" spans="1:15" ht="15.75" hidden="1" customHeight="1" x14ac:dyDescent="0.3">
      <c r="A391" s="124" t="e">
        <f>Simulações!#REF!</f>
        <v>#REF!</v>
      </c>
      <c r="B391" s="114" t="e">
        <f>Simulações!#REF!</f>
        <v>#REF!</v>
      </c>
      <c r="C391" s="125" t="e">
        <f>Simulações!#REF!</f>
        <v>#REF!</v>
      </c>
      <c r="D391" s="114" t="e">
        <f>Simulações!#REF!</f>
        <v>#REF!</v>
      </c>
      <c r="E391" s="114" t="e">
        <f>Simulações!#REF!</f>
        <v>#REF!</v>
      </c>
      <c r="F391" s="114" t="e">
        <f>Simulações!#REF!</f>
        <v>#REF!</v>
      </c>
      <c r="G391" s="114" t="e">
        <f>Simulações!#REF!</f>
        <v>#REF!</v>
      </c>
      <c r="H391" s="114" t="e">
        <f>Simulações!#REF!</f>
        <v>#REF!</v>
      </c>
      <c r="I391" s="114" t="e">
        <f>IF(Simulações!#REF!="","",Simulações!#REF!)</f>
        <v>#REF!</v>
      </c>
      <c r="J391" s="114" t="e">
        <f>IF(Simulações!#REF!="","",Simulações!#REF!)</f>
        <v>#REF!</v>
      </c>
      <c r="K391" s="117" t="e">
        <f>Simulações!#REF!</f>
        <v>#REF!</v>
      </c>
      <c r="L391" s="117" t="e">
        <f>Simulações!#REF!</f>
        <v>#REF!</v>
      </c>
      <c r="M391" s="114" t="e">
        <f>IF(Simulações!#REF!="","",Simulações!#REF!)</f>
        <v>#REF!</v>
      </c>
      <c r="N391" s="114" t="e">
        <f>IF(Simulações!#REF!="","",Simulações!#REF!)</f>
        <v>#REF!</v>
      </c>
      <c r="O391" s="114">
        <v>1</v>
      </c>
    </row>
    <row r="392" spans="1:15" ht="15.75" hidden="1" customHeight="1" x14ac:dyDescent="0.3">
      <c r="A392" s="124" t="e">
        <f>Simulações!#REF!</f>
        <v>#REF!</v>
      </c>
      <c r="B392" s="114" t="e">
        <f>Simulações!#REF!</f>
        <v>#REF!</v>
      </c>
      <c r="C392" s="125" t="e">
        <f>Simulações!#REF!</f>
        <v>#REF!</v>
      </c>
      <c r="D392" s="114" t="e">
        <f>Simulações!#REF!</f>
        <v>#REF!</v>
      </c>
      <c r="E392" s="114" t="e">
        <f>Simulações!#REF!</f>
        <v>#REF!</v>
      </c>
      <c r="F392" s="114" t="e">
        <f>Simulações!#REF!</f>
        <v>#REF!</v>
      </c>
      <c r="G392" s="114" t="e">
        <f>Simulações!#REF!</f>
        <v>#REF!</v>
      </c>
      <c r="H392" s="114" t="e">
        <f>Simulações!#REF!</f>
        <v>#REF!</v>
      </c>
      <c r="I392" s="114" t="e">
        <f>IF(Simulações!#REF!="","",Simulações!#REF!)</f>
        <v>#REF!</v>
      </c>
      <c r="J392" s="114" t="e">
        <f>IF(Simulações!#REF!="","",Simulações!#REF!)</f>
        <v>#REF!</v>
      </c>
      <c r="K392" s="117" t="e">
        <f>Simulações!#REF!</f>
        <v>#REF!</v>
      </c>
      <c r="L392" s="117" t="e">
        <f>Simulações!#REF!</f>
        <v>#REF!</v>
      </c>
      <c r="M392" s="114" t="e">
        <f>IF(Simulações!#REF!="","",Simulações!#REF!)</f>
        <v>#REF!</v>
      </c>
      <c r="N392" s="114" t="e">
        <f>IF(Simulações!#REF!="","",Simulações!#REF!)</f>
        <v>#REF!</v>
      </c>
      <c r="O392" s="114">
        <v>1</v>
      </c>
    </row>
    <row r="393" spans="1:15" ht="15.75" hidden="1" customHeight="1" x14ac:dyDescent="0.3">
      <c r="A393" s="124" t="e">
        <f>Simulações!#REF!</f>
        <v>#REF!</v>
      </c>
      <c r="B393" s="114" t="e">
        <f>Simulações!#REF!</f>
        <v>#REF!</v>
      </c>
      <c r="C393" s="125" t="e">
        <f>Simulações!#REF!</f>
        <v>#REF!</v>
      </c>
      <c r="D393" s="114" t="e">
        <f>Simulações!#REF!</f>
        <v>#REF!</v>
      </c>
      <c r="E393" s="114" t="e">
        <f>Simulações!#REF!</f>
        <v>#REF!</v>
      </c>
      <c r="F393" s="114" t="e">
        <f>Simulações!#REF!</f>
        <v>#REF!</v>
      </c>
      <c r="G393" s="114" t="e">
        <f>Simulações!#REF!</f>
        <v>#REF!</v>
      </c>
      <c r="H393" s="114" t="e">
        <f>Simulações!#REF!</f>
        <v>#REF!</v>
      </c>
      <c r="I393" s="114" t="e">
        <f>IF(Simulações!#REF!="","",Simulações!#REF!)</f>
        <v>#REF!</v>
      </c>
      <c r="J393" s="114" t="e">
        <f>IF(Simulações!#REF!="","",Simulações!#REF!)</f>
        <v>#REF!</v>
      </c>
      <c r="K393" s="117" t="e">
        <f>Simulações!#REF!</f>
        <v>#REF!</v>
      </c>
      <c r="L393" s="117" t="e">
        <f>Simulações!#REF!</f>
        <v>#REF!</v>
      </c>
      <c r="M393" s="114" t="e">
        <f>IF(Simulações!#REF!="","",Simulações!#REF!)</f>
        <v>#REF!</v>
      </c>
      <c r="N393" s="114" t="e">
        <f>IF(Simulações!#REF!="","",Simulações!#REF!)</f>
        <v>#REF!</v>
      </c>
      <c r="O393" s="114">
        <v>1</v>
      </c>
    </row>
    <row r="394" spans="1:15" ht="15.75" hidden="1" customHeight="1" x14ac:dyDescent="0.3">
      <c r="A394" s="124" t="e">
        <f>Simulações!#REF!</f>
        <v>#REF!</v>
      </c>
      <c r="B394" s="114" t="e">
        <f>Simulações!#REF!</f>
        <v>#REF!</v>
      </c>
      <c r="C394" s="125" t="e">
        <f>Simulações!#REF!</f>
        <v>#REF!</v>
      </c>
      <c r="D394" s="114" t="e">
        <f>Simulações!#REF!</f>
        <v>#REF!</v>
      </c>
      <c r="E394" s="114" t="e">
        <f>Simulações!#REF!</f>
        <v>#REF!</v>
      </c>
      <c r="F394" s="114" t="e">
        <f>Simulações!#REF!</f>
        <v>#REF!</v>
      </c>
      <c r="G394" s="114" t="e">
        <f>Simulações!#REF!</f>
        <v>#REF!</v>
      </c>
      <c r="H394" s="114" t="e">
        <f>Simulações!#REF!</f>
        <v>#REF!</v>
      </c>
      <c r="I394" s="114" t="e">
        <f>IF(Simulações!#REF!="","",Simulações!#REF!)</f>
        <v>#REF!</v>
      </c>
      <c r="J394" s="114" t="e">
        <f>IF(Simulações!#REF!="","",Simulações!#REF!)</f>
        <v>#REF!</v>
      </c>
      <c r="K394" s="117" t="e">
        <f>Simulações!#REF!</f>
        <v>#REF!</v>
      </c>
      <c r="L394" s="117" t="e">
        <f>Simulações!#REF!</f>
        <v>#REF!</v>
      </c>
      <c r="M394" s="114" t="e">
        <f>IF(Simulações!#REF!="","",Simulações!#REF!)</f>
        <v>#REF!</v>
      </c>
      <c r="N394" s="114" t="e">
        <f>IF(Simulações!#REF!="","",Simulações!#REF!)</f>
        <v>#REF!</v>
      </c>
      <c r="O394" s="114">
        <v>1</v>
      </c>
    </row>
    <row r="395" spans="1:15" ht="15.75" hidden="1" customHeight="1" x14ac:dyDescent="0.3">
      <c r="A395" s="124" t="e">
        <f>Simulações!#REF!</f>
        <v>#REF!</v>
      </c>
      <c r="B395" s="114" t="e">
        <f>Simulações!#REF!</f>
        <v>#REF!</v>
      </c>
      <c r="C395" s="125" t="e">
        <f>Simulações!#REF!</f>
        <v>#REF!</v>
      </c>
      <c r="D395" s="114" t="e">
        <f>Simulações!#REF!</f>
        <v>#REF!</v>
      </c>
      <c r="E395" s="114" t="e">
        <f>Simulações!#REF!</f>
        <v>#REF!</v>
      </c>
      <c r="F395" s="114" t="e">
        <f>Simulações!#REF!</f>
        <v>#REF!</v>
      </c>
      <c r="G395" s="114" t="e">
        <f>Simulações!#REF!</f>
        <v>#REF!</v>
      </c>
      <c r="H395" s="114" t="e">
        <f>Simulações!#REF!</f>
        <v>#REF!</v>
      </c>
      <c r="I395" s="114" t="e">
        <f>IF(Simulações!#REF!="","",Simulações!#REF!)</f>
        <v>#REF!</v>
      </c>
      <c r="J395" s="114" t="e">
        <f>IF(Simulações!#REF!="","",Simulações!#REF!)</f>
        <v>#REF!</v>
      </c>
      <c r="K395" s="117" t="e">
        <f>Simulações!#REF!</f>
        <v>#REF!</v>
      </c>
      <c r="L395" s="117" t="e">
        <f>Simulações!#REF!</f>
        <v>#REF!</v>
      </c>
      <c r="M395" s="114" t="e">
        <f>IF(Simulações!#REF!="","",Simulações!#REF!)</f>
        <v>#REF!</v>
      </c>
      <c r="N395" s="114" t="e">
        <f>IF(Simulações!#REF!="","",Simulações!#REF!)</f>
        <v>#REF!</v>
      </c>
      <c r="O395" s="114">
        <v>1</v>
      </c>
    </row>
    <row r="396" spans="1:15" ht="15.75" hidden="1" customHeight="1" x14ac:dyDescent="0.3">
      <c r="A396" s="124" t="e">
        <f>Simulações!#REF!</f>
        <v>#REF!</v>
      </c>
      <c r="B396" s="114" t="e">
        <f>Simulações!#REF!</f>
        <v>#REF!</v>
      </c>
      <c r="C396" s="125" t="e">
        <f>Simulações!#REF!</f>
        <v>#REF!</v>
      </c>
      <c r="D396" s="114" t="e">
        <f>Simulações!#REF!</f>
        <v>#REF!</v>
      </c>
      <c r="E396" s="114" t="e">
        <f>Simulações!#REF!</f>
        <v>#REF!</v>
      </c>
      <c r="F396" s="114" t="e">
        <f>Simulações!#REF!</f>
        <v>#REF!</v>
      </c>
      <c r="G396" s="114" t="e">
        <f>Simulações!#REF!</f>
        <v>#REF!</v>
      </c>
      <c r="H396" s="114" t="e">
        <f>Simulações!#REF!</f>
        <v>#REF!</v>
      </c>
      <c r="I396" s="114" t="e">
        <f>IF(Simulações!#REF!="","",Simulações!#REF!)</f>
        <v>#REF!</v>
      </c>
      <c r="J396" s="114" t="e">
        <f>IF(Simulações!#REF!="","",Simulações!#REF!)</f>
        <v>#REF!</v>
      </c>
      <c r="K396" s="117" t="e">
        <f>Simulações!#REF!</f>
        <v>#REF!</v>
      </c>
      <c r="L396" s="117" t="e">
        <f>Simulações!#REF!</f>
        <v>#REF!</v>
      </c>
      <c r="M396" s="114" t="e">
        <f>IF(Simulações!#REF!="","",Simulações!#REF!)</f>
        <v>#REF!</v>
      </c>
      <c r="N396" s="114" t="e">
        <f>IF(Simulações!#REF!="","",Simulações!#REF!)</f>
        <v>#REF!</v>
      </c>
      <c r="O396" s="114">
        <v>1</v>
      </c>
    </row>
    <row r="397" spans="1:15" ht="15.75" hidden="1" customHeight="1" x14ac:dyDescent="0.3">
      <c r="A397" s="124" t="e">
        <f>Simulações!#REF!</f>
        <v>#REF!</v>
      </c>
      <c r="B397" s="114" t="e">
        <f>Simulações!#REF!</f>
        <v>#REF!</v>
      </c>
      <c r="C397" s="125" t="e">
        <f>Simulações!#REF!</f>
        <v>#REF!</v>
      </c>
      <c r="D397" s="114" t="e">
        <f>Simulações!#REF!</f>
        <v>#REF!</v>
      </c>
      <c r="E397" s="114" t="e">
        <f>Simulações!#REF!</f>
        <v>#REF!</v>
      </c>
      <c r="F397" s="114" t="e">
        <f>Simulações!#REF!</f>
        <v>#REF!</v>
      </c>
      <c r="G397" s="114" t="e">
        <f>Simulações!#REF!</f>
        <v>#REF!</v>
      </c>
      <c r="H397" s="114" t="e">
        <f>Simulações!#REF!</f>
        <v>#REF!</v>
      </c>
      <c r="I397" s="114" t="e">
        <f>IF(Simulações!#REF!="","",Simulações!#REF!)</f>
        <v>#REF!</v>
      </c>
      <c r="J397" s="114" t="e">
        <f>IF(Simulações!#REF!="","",Simulações!#REF!)</f>
        <v>#REF!</v>
      </c>
      <c r="K397" s="117" t="e">
        <f>Simulações!#REF!</f>
        <v>#REF!</v>
      </c>
      <c r="L397" s="117" t="e">
        <f>Simulações!#REF!</f>
        <v>#REF!</v>
      </c>
      <c r="M397" s="114" t="e">
        <f>IF(Simulações!#REF!="","",Simulações!#REF!)</f>
        <v>#REF!</v>
      </c>
      <c r="N397" s="114" t="e">
        <f>IF(Simulações!#REF!="","",Simulações!#REF!)</f>
        <v>#REF!</v>
      </c>
      <c r="O397" s="114">
        <v>1</v>
      </c>
    </row>
    <row r="398" spans="1:15" ht="15.75" hidden="1" customHeight="1" x14ac:dyDescent="0.3">
      <c r="A398" s="124" t="e">
        <f>Simulações!#REF!</f>
        <v>#REF!</v>
      </c>
      <c r="B398" s="114" t="e">
        <f>Simulações!#REF!</f>
        <v>#REF!</v>
      </c>
      <c r="C398" s="125" t="e">
        <f>Simulações!#REF!</f>
        <v>#REF!</v>
      </c>
      <c r="D398" s="114" t="e">
        <f>Simulações!#REF!</f>
        <v>#REF!</v>
      </c>
      <c r="E398" s="114" t="e">
        <f>Simulações!#REF!</f>
        <v>#REF!</v>
      </c>
      <c r="F398" s="114" t="e">
        <f>Simulações!#REF!</f>
        <v>#REF!</v>
      </c>
      <c r="G398" s="114" t="e">
        <f>Simulações!#REF!</f>
        <v>#REF!</v>
      </c>
      <c r="H398" s="114" t="e">
        <f>Simulações!#REF!</f>
        <v>#REF!</v>
      </c>
      <c r="I398" s="114" t="e">
        <f>IF(Simulações!#REF!="","",Simulações!#REF!)</f>
        <v>#REF!</v>
      </c>
      <c r="J398" s="114" t="e">
        <f>IF(Simulações!#REF!="","",Simulações!#REF!)</f>
        <v>#REF!</v>
      </c>
      <c r="K398" s="117" t="e">
        <f>Simulações!#REF!</f>
        <v>#REF!</v>
      </c>
      <c r="L398" s="117" t="e">
        <f>Simulações!#REF!</f>
        <v>#REF!</v>
      </c>
      <c r="M398" s="114" t="e">
        <f>IF(Simulações!#REF!="","",Simulações!#REF!)</f>
        <v>#REF!</v>
      </c>
      <c r="N398" s="114" t="e">
        <f>IF(Simulações!#REF!="","",Simulações!#REF!)</f>
        <v>#REF!</v>
      </c>
      <c r="O398" s="114">
        <v>1</v>
      </c>
    </row>
    <row r="399" spans="1:15" ht="15.75" hidden="1" customHeight="1" x14ac:dyDescent="0.3">
      <c r="A399" s="124" t="e">
        <f>Simulações!#REF!</f>
        <v>#REF!</v>
      </c>
      <c r="B399" s="114" t="e">
        <f>Simulações!#REF!</f>
        <v>#REF!</v>
      </c>
      <c r="C399" s="125" t="e">
        <f>Simulações!#REF!</f>
        <v>#REF!</v>
      </c>
      <c r="D399" s="114" t="e">
        <f>Simulações!#REF!</f>
        <v>#REF!</v>
      </c>
      <c r="E399" s="114" t="e">
        <f>Simulações!#REF!</f>
        <v>#REF!</v>
      </c>
      <c r="F399" s="114" t="e">
        <f>Simulações!#REF!</f>
        <v>#REF!</v>
      </c>
      <c r="G399" s="114" t="e">
        <f>Simulações!#REF!</f>
        <v>#REF!</v>
      </c>
      <c r="H399" s="114" t="e">
        <f>Simulações!#REF!</f>
        <v>#REF!</v>
      </c>
      <c r="I399" s="114" t="e">
        <f>IF(Simulações!#REF!="","",Simulações!#REF!)</f>
        <v>#REF!</v>
      </c>
      <c r="J399" s="114" t="e">
        <f>IF(Simulações!#REF!="","",Simulações!#REF!)</f>
        <v>#REF!</v>
      </c>
      <c r="K399" s="117" t="e">
        <f>Simulações!#REF!</f>
        <v>#REF!</v>
      </c>
      <c r="L399" s="117" t="e">
        <f>Simulações!#REF!</f>
        <v>#REF!</v>
      </c>
      <c r="M399" s="114" t="e">
        <f>IF(Simulações!#REF!="","",Simulações!#REF!)</f>
        <v>#REF!</v>
      </c>
      <c r="N399" s="114" t="e">
        <f>IF(Simulações!#REF!="","",Simulações!#REF!)</f>
        <v>#REF!</v>
      </c>
      <c r="O399" s="114">
        <v>1</v>
      </c>
    </row>
    <row r="400" spans="1:15" ht="15.75" hidden="1" customHeight="1" x14ac:dyDescent="0.3">
      <c r="A400" s="124" t="e">
        <f>Simulações!#REF!</f>
        <v>#REF!</v>
      </c>
      <c r="B400" s="114" t="e">
        <f>Simulações!#REF!</f>
        <v>#REF!</v>
      </c>
      <c r="C400" s="125" t="e">
        <f>Simulações!#REF!</f>
        <v>#REF!</v>
      </c>
      <c r="D400" s="114" t="e">
        <f>Simulações!#REF!</f>
        <v>#REF!</v>
      </c>
      <c r="E400" s="114" t="e">
        <f>Simulações!#REF!</f>
        <v>#REF!</v>
      </c>
      <c r="F400" s="114" t="e">
        <f>Simulações!#REF!</f>
        <v>#REF!</v>
      </c>
      <c r="G400" s="114" t="e">
        <f>Simulações!#REF!</f>
        <v>#REF!</v>
      </c>
      <c r="H400" s="114" t="e">
        <f>Simulações!#REF!</f>
        <v>#REF!</v>
      </c>
      <c r="I400" s="114" t="e">
        <f>IF(Simulações!#REF!="","",Simulações!#REF!)</f>
        <v>#REF!</v>
      </c>
      <c r="J400" s="114" t="e">
        <f>IF(Simulações!#REF!="","",Simulações!#REF!)</f>
        <v>#REF!</v>
      </c>
      <c r="K400" s="117" t="e">
        <f>Simulações!#REF!</f>
        <v>#REF!</v>
      </c>
      <c r="L400" s="117" t="e">
        <f>Simulações!#REF!</f>
        <v>#REF!</v>
      </c>
      <c r="M400" s="114" t="e">
        <f>IF(Simulações!#REF!="","",Simulações!#REF!)</f>
        <v>#REF!</v>
      </c>
      <c r="N400" s="114" t="e">
        <f>IF(Simulações!#REF!="","",Simulações!#REF!)</f>
        <v>#REF!</v>
      </c>
      <c r="O400" s="114">
        <v>1</v>
      </c>
    </row>
    <row r="401" spans="1:15" ht="15.75" hidden="1" customHeight="1" x14ac:dyDescent="0.3">
      <c r="A401" s="124" t="e">
        <f>Simulações!#REF!</f>
        <v>#REF!</v>
      </c>
      <c r="B401" s="114" t="e">
        <f>Simulações!#REF!</f>
        <v>#REF!</v>
      </c>
      <c r="C401" s="125" t="e">
        <f>Simulações!#REF!</f>
        <v>#REF!</v>
      </c>
      <c r="D401" s="114" t="e">
        <f>Simulações!#REF!</f>
        <v>#REF!</v>
      </c>
      <c r="E401" s="114" t="e">
        <f>Simulações!#REF!</f>
        <v>#REF!</v>
      </c>
      <c r="F401" s="114" t="e">
        <f>Simulações!#REF!</f>
        <v>#REF!</v>
      </c>
      <c r="G401" s="114" t="e">
        <f>Simulações!#REF!</f>
        <v>#REF!</v>
      </c>
      <c r="H401" s="114" t="e">
        <f>Simulações!#REF!</f>
        <v>#REF!</v>
      </c>
      <c r="I401" s="114" t="e">
        <f>IF(Simulações!#REF!="","",Simulações!#REF!)</f>
        <v>#REF!</v>
      </c>
      <c r="J401" s="114" t="e">
        <f>IF(Simulações!#REF!="","",Simulações!#REF!)</f>
        <v>#REF!</v>
      </c>
      <c r="K401" s="117" t="e">
        <f>Simulações!#REF!</f>
        <v>#REF!</v>
      </c>
      <c r="L401" s="117" t="e">
        <f>Simulações!#REF!</f>
        <v>#REF!</v>
      </c>
      <c r="M401" s="114" t="e">
        <f>IF(Simulações!#REF!="","",Simulações!#REF!)</f>
        <v>#REF!</v>
      </c>
      <c r="N401" s="114" t="e">
        <f>IF(Simulações!#REF!="","",Simulações!#REF!)</f>
        <v>#REF!</v>
      </c>
      <c r="O401" s="114">
        <v>1</v>
      </c>
    </row>
    <row r="402" spans="1:15" ht="15.75" hidden="1" customHeight="1" x14ac:dyDescent="0.3">
      <c r="A402" s="124" t="e">
        <f>Simulações!#REF!</f>
        <v>#REF!</v>
      </c>
      <c r="B402" s="114" t="e">
        <f>Simulações!#REF!</f>
        <v>#REF!</v>
      </c>
      <c r="C402" s="125" t="e">
        <f>Simulações!#REF!</f>
        <v>#REF!</v>
      </c>
      <c r="D402" s="114" t="e">
        <f>Simulações!#REF!</f>
        <v>#REF!</v>
      </c>
      <c r="E402" s="114" t="e">
        <f>Simulações!#REF!</f>
        <v>#REF!</v>
      </c>
      <c r="F402" s="114" t="e">
        <f>Simulações!#REF!</f>
        <v>#REF!</v>
      </c>
      <c r="G402" s="114" t="e">
        <f>Simulações!#REF!</f>
        <v>#REF!</v>
      </c>
      <c r="H402" s="114" t="e">
        <f>Simulações!#REF!</f>
        <v>#REF!</v>
      </c>
      <c r="I402" s="114" t="e">
        <f>IF(Simulações!#REF!="","",Simulações!#REF!)</f>
        <v>#REF!</v>
      </c>
      <c r="J402" s="114" t="e">
        <f>IF(Simulações!#REF!="","",Simulações!#REF!)</f>
        <v>#REF!</v>
      </c>
      <c r="K402" s="117" t="e">
        <f>Simulações!#REF!</f>
        <v>#REF!</v>
      </c>
      <c r="L402" s="117" t="e">
        <f>Simulações!#REF!</f>
        <v>#REF!</v>
      </c>
      <c r="M402" s="114" t="e">
        <f>IF(Simulações!#REF!="","",Simulações!#REF!)</f>
        <v>#REF!</v>
      </c>
      <c r="N402" s="114" t="e">
        <f>IF(Simulações!#REF!="","",Simulações!#REF!)</f>
        <v>#REF!</v>
      </c>
      <c r="O402" s="114">
        <v>1</v>
      </c>
    </row>
    <row r="403" spans="1:15" ht="15.75" hidden="1" customHeight="1" x14ac:dyDescent="0.3">
      <c r="A403" s="124" t="e">
        <f>Simulações!#REF!</f>
        <v>#REF!</v>
      </c>
      <c r="B403" s="114" t="e">
        <f>Simulações!#REF!</f>
        <v>#REF!</v>
      </c>
      <c r="C403" s="125" t="e">
        <f>Simulações!#REF!</f>
        <v>#REF!</v>
      </c>
      <c r="D403" s="114" t="e">
        <f>Simulações!#REF!</f>
        <v>#REF!</v>
      </c>
      <c r="E403" s="114" t="e">
        <f>Simulações!#REF!</f>
        <v>#REF!</v>
      </c>
      <c r="F403" s="114" t="e">
        <f>Simulações!#REF!</f>
        <v>#REF!</v>
      </c>
      <c r="G403" s="114" t="e">
        <f>Simulações!#REF!</f>
        <v>#REF!</v>
      </c>
      <c r="H403" s="114" t="e">
        <f>Simulações!#REF!</f>
        <v>#REF!</v>
      </c>
      <c r="I403" s="114" t="e">
        <f>IF(Simulações!#REF!="","",Simulações!#REF!)</f>
        <v>#REF!</v>
      </c>
      <c r="J403" s="114" t="e">
        <f>IF(Simulações!#REF!="","",Simulações!#REF!)</f>
        <v>#REF!</v>
      </c>
      <c r="K403" s="117" t="e">
        <f>Simulações!#REF!</f>
        <v>#REF!</v>
      </c>
      <c r="L403" s="117" t="e">
        <f>Simulações!#REF!</f>
        <v>#REF!</v>
      </c>
      <c r="M403" s="114" t="e">
        <f>IF(Simulações!#REF!="","",Simulações!#REF!)</f>
        <v>#REF!</v>
      </c>
      <c r="N403" s="114" t="e">
        <f>IF(Simulações!#REF!="","",Simulações!#REF!)</f>
        <v>#REF!</v>
      </c>
      <c r="O403" s="114">
        <v>1</v>
      </c>
    </row>
    <row r="404" spans="1:15" ht="15.75" hidden="1" customHeight="1" x14ac:dyDescent="0.3">
      <c r="A404" s="124" t="e">
        <f>Simulações!#REF!</f>
        <v>#REF!</v>
      </c>
      <c r="B404" s="114" t="e">
        <f>Simulações!#REF!</f>
        <v>#REF!</v>
      </c>
      <c r="C404" s="125" t="e">
        <f>Simulações!#REF!</f>
        <v>#REF!</v>
      </c>
      <c r="D404" s="114" t="e">
        <f>Simulações!#REF!</f>
        <v>#REF!</v>
      </c>
      <c r="E404" s="114" t="e">
        <f>Simulações!#REF!</f>
        <v>#REF!</v>
      </c>
      <c r="F404" s="114" t="e">
        <f>Simulações!#REF!</f>
        <v>#REF!</v>
      </c>
      <c r="G404" s="114" t="e">
        <f>Simulações!#REF!</f>
        <v>#REF!</v>
      </c>
      <c r="H404" s="114" t="e">
        <f>Simulações!#REF!</f>
        <v>#REF!</v>
      </c>
      <c r="I404" s="114" t="e">
        <f>IF(Simulações!#REF!="","",Simulações!#REF!)</f>
        <v>#REF!</v>
      </c>
      <c r="J404" s="114" t="e">
        <f>IF(Simulações!#REF!="","",Simulações!#REF!)</f>
        <v>#REF!</v>
      </c>
      <c r="K404" s="117" t="e">
        <f>Simulações!#REF!</f>
        <v>#REF!</v>
      </c>
      <c r="L404" s="117" t="e">
        <f>Simulações!#REF!</f>
        <v>#REF!</v>
      </c>
      <c r="M404" s="114" t="e">
        <f>IF(Simulações!#REF!="","",Simulações!#REF!)</f>
        <v>#REF!</v>
      </c>
      <c r="N404" s="114" t="e">
        <f>IF(Simulações!#REF!="","",Simulações!#REF!)</f>
        <v>#REF!</v>
      </c>
      <c r="O404" s="114">
        <v>1</v>
      </c>
    </row>
    <row r="405" spans="1:15" ht="15.75" hidden="1" customHeight="1" x14ac:dyDescent="0.3">
      <c r="A405" s="124" t="e">
        <f>Simulações!#REF!</f>
        <v>#REF!</v>
      </c>
      <c r="B405" s="114" t="e">
        <f>Simulações!#REF!</f>
        <v>#REF!</v>
      </c>
      <c r="C405" s="125" t="e">
        <f>Simulações!#REF!</f>
        <v>#REF!</v>
      </c>
      <c r="D405" s="114" t="e">
        <f>Simulações!#REF!</f>
        <v>#REF!</v>
      </c>
      <c r="E405" s="114" t="e">
        <f>Simulações!#REF!</f>
        <v>#REF!</v>
      </c>
      <c r="F405" s="114" t="e">
        <f>Simulações!#REF!</f>
        <v>#REF!</v>
      </c>
      <c r="G405" s="114" t="e">
        <f>Simulações!#REF!</f>
        <v>#REF!</v>
      </c>
      <c r="H405" s="114" t="e">
        <f>Simulações!#REF!</f>
        <v>#REF!</v>
      </c>
      <c r="I405" s="114" t="e">
        <f>IF(Simulações!#REF!="","",Simulações!#REF!)</f>
        <v>#REF!</v>
      </c>
      <c r="J405" s="114" t="e">
        <f>IF(Simulações!#REF!="","",Simulações!#REF!)</f>
        <v>#REF!</v>
      </c>
      <c r="K405" s="117" t="e">
        <f>Simulações!#REF!</f>
        <v>#REF!</v>
      </c>
      <c r="L405" s="117" t="e">
        <f>Simulações!#REF!</f>
        <v>#REF!</v>
      </c>
      <c r="M405" s="114" t="e">
        <f>IF(Simulações!#REF!="","",Simulações!#REF!)</f>
        <v>#REF!</v>
      </c>
      <c r="N405" s="114" t="e">
        <f>IF(Simulações!#REF!="","",Simulações!#REF!)</f>
        <v>#REF!</v>
      </c>
      <c r="O405" s="114">
        <v>1</v>
      </c>
    </row>
    <row r="406" spans="1:15" ht="15.75" hidden="1" customHeight="1" x14ac:dyDescent="0.3">
      <c r="A406" s="124" t="e">
        <f>Simulações!#REF!</f>
        <v>#REF!</v>
      </c>
      <c r="B406" s="114" t="e">
        <f>Simulações!#REF!</f>
        <v>#REF!</v>
      </c>
      <c r="C406" s="125" t="e">
        <f>Simulações!#REF!</f>
        <v>#REF!</v>
      </c>
      <c r="D406" s="114" t="e">
        <f>Simulações!#REF!</f>
        <v>#REF!</v>
      </c>
      <c r="E406" s="114" t="e">
        <f>Simulações!#REF!</f>
        <v>#REF!</v>
      </c>
      <c r="F406" s="114" t="e">
        <f>Simulações!#REF!</f>
        <v>#REF!</v>
      </c>
      <c r="G406" s="114" t="e">
        <f>Simulações!#REF!</f>
        <v>#REF!</v>
      </c>
      <c r="H406" s="114" t="e">
        <f>Simulações!#REF!</f>
        <v>#REF!</v>
      </c>
      <c r="I406" s="114" t="e">
        <f>IF(Simulações!#REF!="","",Simulações!#REF!)</f>
        <v>#REF!</v>
      </c>
      <c r="J406" s="114" t="e">
        <f>IF(Simulações!#REF!="","",Simulações!#REF!)</f>
        <v>#REF!</v>
      </c>
      <c r="K406" s="117" t="e">
        <f>Simulações!#REF!</f>
        <v>#REF!</v>
      </c>
      <c r="L406" s="117" t="e">
        <f>Simulações!#REF!</f>
        <v>#REF!</v>
      </c>
      <c r="M406" s="114" t="e">
        <f>IF(Simulações!#REF!="","",Simulações!#REF!)</f>
        <v>#REF!</v>
      </c>
      <c r="N406" s="114" t="e">
        <f>IF(Simulações!#REF!="","",Simulações!#REF!)</f>
        <v>#REF!</v>
      </c>
      <c r="O406" s="114">
        <v>1</v>
      </c>
    </row>
    <row r="407" spans="1:15" ht="15.75" hidden="1" customHeight="1" x14ac:dyDescent="0.3">
      <c r="A407" s="124" t="e">
        <f>Simulações!#REF!</f>
        <v>#REF!</v>
      </c>
      <c r="B407" s="114" t="e">
        <f>Simulações!#REF!</f>
        <v>#REF!</v>
      </c>
      <c r="C407" s="125" t="e">
        <f>Simulações!#REF!</f>
        <v>#REF!</v>
      </c>
      <c r="D407" s="114" t="e">
        <f>Simulações!#REF!</f>
        <v>#REF!</v>
      </c>
      <c r="E407" s="114" t="e">
        <f>Simulações!#REF!</f>
        <v>#REF!</v>
      </c>
      <c r="F407" s="114" t="e">
        <f>Simulações!#REF!</f>
        <v>#REF!</v>
      </c>
      <c r="G407" s="114" t="e">
        <f>Simulações!#REF!</f>
        <v>#REF!</v>
      </c>
      <c r="H407" s="114" t="e">
        <f>Simulações!#REF!</f>
        <v>#REF!</v>
      </c>
      <c r="I407" s="114" t="e">
        <f>IF(Simulações!#REF!="","",Simulações!#REF!)</f>
        <v>#REF!</v>
      </c>
      <c r="J407" s="114" t="e">
        <f>IF(Simulações!#REF!="","",Simulações!#REF!)</f>
        <v>#REF!</v>
      </c>
      <c r="K407" s="117" t="e">
        <f>Simulações!#REF!</f>
        <v>#REF!</v>
      </c>
      <c r="L407" s="117" t="e">
        <f>Simulações!#REF!</f>
        <v>#REF!</v>
      </c>
      <c r="M407" s="114" t="e">
        <f>IF(Simulações!#REF!="","",Simulações!#REF!)</f>
        <v>#REF!</v>
      </c>
      <c r="N407" s="114" t="e">
        <f>IF(Simulações!#REF!="","",Simulações!#REF!)</f>
        <v>#REF!</v>
      </c>
      <c r="O407" s="114">
        <v>1</v>
      </c>
    </row>
    <row r="408" spans="1:15" ht="15.75" hidden="1" customHeight="1" x14ac:dyDescent="0.3">
      <c r="A408" s="124" t="e">
        <f>Simulações!#REF!</f>
        <v>#REF!</v>
      </c>
      <c r="B408" s="114" t="e">
        <f>Simulações!#REF!</f>
        <v>#REF!</v>
      </c>
      <c r="C408" s="125" t="e">
        <f>Simulações!#REF!</f>
        <v>#REF!</v>
      </c>
      <c r="D408" s="114" t="e">
        <f>Simulações!#REF!</f>
        <v>#REF!</v>
      </c>
      <c r="E408" s="114" t="e">
        <f>Simulações!#REF!</f>
        <v>#REF!</v>
      </c>
      <c r="F408" s="114" t="e">
        <f>Simulações!#REF!</f>
        <v>#REF!</v>
      </c>
      <c r="G408" s="114" t="e">
        <f>Simulações!#REF!</f>
        <v>#REF!</v>
      </c>
      <c r="H408" s="114" t="e">
        <f>Simulações!#REF!</f>
        <v>#REF!</v>
      </c>
      <c r="I408" s="114" t="e">
        <f>IF(Simulações!#REF!="","",Simulações!#REF!)</f>
        <v>#REF!</v>
      </c>
      <c r="J408" s="114" t="e">
        <f>IF(Simulações!#REF!="","",Simulações!#REF!)</f>
        <v>#REF!</v>
      </c>
      <c r="K408" s="117" t="e">
        <f>Simulações!#REF!</f>
        <v>#REF!</v>
      </c>
      <c r="L408" s="117" t="e">
        <f>Simulações!#REF!</f>
        <v>#REF!</v>
      </c>
      <c r="M408" s="114" t="e">
        <f>IF(Simulações!#REF!="","",Simulações!#REF!)</f>
        <v>#REF!</v>
      </c>
      <c r="N408" s="114" t="e">
        <f>IF(Simulações!#REF!="","",Simulações!#REF!)</f>
        <v>#REF!</v>
      </c>
      <c r="O408" s="114">
        <v>1</v>
      </c>
    </row>
    <row r="409" spans="1:15" ht="15.75" hidden="1" customHeight="1" x14ac:dyDescent="0.3">
      <c r="A409" s="124" t="e">
        <f>Simulações!#REF!</f>
        <v>#REF!</v>
      </c>
      <c r="B409" s="114" t="e">
        <f>Simulações!#REF!</f>
        <v>#REF!</v>
      </c>
      <c r="C409" s="125" t="e">
        <f>Simulações!#REF!</f>
        <v>#REF!</v>
      </c>
      <c r="D409" s="114" t="e">
        <f>Simulações!#REF!</f>
        <v>#REF!</v>
      </c>
      <c r="E409" s="114" t="e">
        <f>Simulações!#REF!</f>
        <v>#REF!</v>
      </c>
      <c r="F409" s="114" t="e">
        <f>Simulações!#REF!</f>
        <v>#REF!</v>
      </c>
      <c r="G409" s="114" t="e">
        <f>Simulações!#REF!</f>
        <v>#REF!</v>
      </c>
      <c r="H409" s="114" t="e">
        <f>Simulações!#REF!</f>
        <v>#REF!</v>
      </c>
      <c r="I409" s="114" t="e">
        <f>IF(Simulações!#REF!="","",Simulações!#REF!)</f>
        <v>#REF!</v>
      </c>
      <c r="J409" s="114" t="e">
        <f>IF(Simulações!#REF!="","",Simulações!#REF!)</f>
        <v>#REF!</v>
      </c>
      <c r="K409" s="117" t="e">
        <f>Simulações!#REF!</f>
        <v>#REF!</v>
      </c>
      <c r="L409" s="117" t="e">
        <f>Simulações!#REF!</f>
        <v>#REF!</v>
      </c>
      <c r="M409" s="114" t="e">
        <f>IF(Simulações!#REF!="","",Simulações!#REF!)</f>
        <v>#REF!</v>
      </c>
      <c r="N409" s="114" t="e">
        <f>IF(Simulações!#REF!="","",Simulações!#REF!)</f>
        <v>#REF!</v>
      </c>
      <c r="O409" s="114">
        <v>1</v>
      </c>
    </row>
    <row r="410" spans="1:15" ht="15.75" hidden="1" customHeight="1" x14ac:dyDescent="0.3">
      <c r="A410" s="124" t="e">
        <f>Simulações!#REF!</f>
        <v>#REF!</v>
      </c>
      <c r="B410" s="114" t="e">
        <f>Simulações!#REF!</f>
        <v>#REF!</v>
      </c>
      <c r="C410" s="125" t="e">
        <f>Simulações!#REF!</f>
        <v>#REF!</v>
      </c>
      <c r="D410" s="114" t="e">
        <f>Simulações!#REF!</f>
        <v>#REF!</v>
      </c>
      <c r="E410" s="114" t="e">
        <f>Simulações!#REF!</f>
        <v>#REF!</v>
      </c>
      <c r="F410" s="114" t="e">
        <f>Simulações!#REF!</f>
        <v>#REF!</v>
      </c>
      <c r="G410" s="114" t="e">
        <f>Simulações!#REF!</f>
        <v>#REF!</v>
      </c>
      <c r="H410" s="114" t="e">
        <f>Simulações!#REF!</f>
        <v>#REF!</v>
      </c>
      <c r="I410" s="114" t="e">
        <f>IF(Simulações!#REF!="","",Simulações!#REF!)</f>
        <v>#REF!</v>
      </c>
      <c r="J410" s="114" t="e">
        <f>IF(Simulações!#REF!="","",Simulações!#REF!)</f>
        <v>#REF!</v>
      </c>
      <c r="K410" s="117" t="e">
        <f>Simulações!#REF!</f>
        <v>#REF!</v>
      </c>
      <c r="L410" s="117" t="e">
        <f>Simulações!#REF!</f>
        <v>#REF!</v>
      </c>
      <c r="M410" s="114" t="e">
        <f>IF(Simulações!#REF!="","",Simulações!#REF!)</f>
        <v>#REF!</v>
      </c>
      <c r="N410" s="114" t="e">
        <f>IF(Simulações!#REF!="","",Simulações!#REF!)</f>
        <v>#REF!</v>
      </c>
      <c r="O410" s="114">
        <v>1</v>
      </c>
    </row>
    <row r="411" spans="1:15" ht="15.75" hidden="1" customHeight="1" x14ac:dyDescent="0.3">
      <c r="A411" s="124" t="e">
        <f>Simulações!#REF!</f>
        <v>#REF!</v>
      </c>
      <c r="B411" s="114" t="e">
        <f>Simulações!#REF!</f>
        <v>#REF!</v>
      </c>
      <c r="C411" s="125" t="e">
        <f>Simulações!#REF!</f>
        <v>#REF!</v>
      </c>
      <c r="D411" s="114" t="e">
        <f>Simulações!#REF!</f>
        <v>#REF!</v>
      </c>
      <c r="E411" s="114" t="e">
        <f>Simulações!#REF!</f>
        <v>#REF!</v>
      </c>
      <c r="F411" s="114" t="e">
        <f>Simulações!#REF!</f>
        <v>#REF!</v>
      </c>
      <c r="G411" s="114" t="e">
        <f>Simulações!#REF!</f>
        <v>#REF!</v>
      </c>
      <c r="H411" s="114" t="e">
        <f>Simulações!#REF!</f>
        <v>#REF!</v>
      </c>
      <c r="I411" s="114" t="e">
        <f>IF(Simulações!#REF!="","",Simulações!#REF!)</f>
        <v>#REF!</v>
      </c>
      <c r="J411" s="114" t="e">
        <f>IF(Simulações!#REF!="","",Simulações!#REF!)</f>
        <v>#REF!</v>
      </c>
      <c r="K411" s="117" t="e">
        <f>Simulações!#REF!</f>
        <v>#REF!</v>
      </c>
      <c r="L411" s="117" t="e">
        <f>Simulações!#REF!</f>
        <v>#REF!</v>
      </c>
      <c r="M411" s="114" t="e">
        <f>IF(Simulações!#REF!="","",Simulações!#REF!)</f>
        <v>#REF!</v>
      </c>
      <c r="N411" s="114" t="e">
        <f>IF(Simulações!#REF!="","",Simulações!#REF!)</f>
        <v>#REF!</v>
      </c>
      <c r="O411" s="114">
        <v>1</v>
      </c>
    </row>
    <row r="412" spans="1:15" ht="15.75" hidden="1" customHeight="1" x14ac:dyDescent="0.3">
      <c r="A412" s="124" t="e">
        <f>Simulações!#REF!</f>
        <v>#REF!</v>
      </c>
      <c r="B412" s="114" t="e">
        <f>Simulações!#REF!</f>
        <v>#REF!</v>
      </c>
      <c r="C412" s="125" t="e">
        <f>Simulações!#REF!</f>
        <v>#REF!</v>
      </c>
      <c r="D412" s="114" t="e">
        <f>Simulações!#REF!</f>
        <v>#REF!</v>
      </c>
      <c r="E412" s="114" t="e">
        <f>Simulações!#REF!</f>
        <v>#REF!</v>
      </c>
      <c r="F412" s="114" t="e">
        <f>Simulações!#REF!</f>
        <v>#REF!</v>
      </c>
      <c r="G412" s="114" t="e">
        <f>Simulações!#REF!</f>
        <v>#REF!</v>
      </c>
      <c r="H412" s="114" t="e">
        <f>Simulações!#REF!</f>
        <v>#REF!</v>
      </c>
      <c r="I412" s="114" t="e">
        <f>IF(Simulações!#REF!="","",Simulações!#REF!)</f>
        <v>#REF!</v>
      </c>
      <c r="J412" s="114" t="e">
        <f>IF(Simulações!#REF!="","",Simulações!#REF!)</f>
        <v>#REF!</v>
      </c>
      <c r="K412" s="117" t="e">
        <f>Simulações!#REF!</f>
        <v>#REF!</v>
      </c>
      <c r="L412" s="117" t="e">
        <f>Simulações!#REF!</f>
        <v>#REF!</v>
      </c>
      <c r="M412" s="114" t="e">
        <f>IF(Simulações!#REF!="","",Simulações!#REF!)</f>
        <v>#REF!</v>
      </c>
      <c r="N412" s="114" t="e">
        <f>IF(Simulações!#REF!="","",Simulações!#REF!)</f>
        <v>#REF!</v>
      </c>
      <c r="O412" s="114">
        <v>1</v>
      </c>
    </row>
    <row r="413" spans="1:15" ht="15.75" hidden="1" customHeight="1" x14ac:dyDescent="0.3">
      <c r="A413" s="124" t="e">
        <f>Simulações!#REF!</f>
        <v>#REF!</v>
      </c>
      <c r="B413" s="114" t="e">
        <f>Simulações!#REF!</f>
        <v>#REF!</v>
      </c>
      <c r="C413" s="125" t="e">
        <f>Simulações!#REF!</f>
        <v>#REF!</v>
      </c>
      <c r="D413" s="114" t="e">
        <f>Simulações!#REF!</f>
        <v>#REF!</v>
      </c>
      <c r="E413" s="114" t="e">
        <f>Simulações!#REF!</f>
        <v>#REF!</v>
      </c>
      <c r="F413" s="114" t="e">
        <f>Simulações!#REF!</f>
        <v>#REF!</v>
      </c>
      <c r="G413" s="114" t="e">
        <f>Simulações!#REF!</f>
        <v>#REF!</v>
      </c>
      <c r="H413" s="114" t="e">
        <f>Simulações!#REF!</f>
        <v>#REF!</v>
      </c>
      <c r="I413" s="114" t="e">
        <f>IF(Simulações!#REF!="","",Simulações!#REF!)</f>
        <v>#REF!</v>
      </c>
      <c r="J413" s="114" t="e">
        <f>IF(Simulações!#REF!="","",Simulações!#REF!)</f>
        <v>#REF!</v>
      </c>
      <c r="K413" s="117" t="e">
        <f>Simulações!#REF!</f>
        <v>#REF!</v>
      </c>
      <c r="L413" s="117" t="e">
        <f>Simulações!#REF!</f>
        <v>#REF!</v>
      </c>
      <c r="M413" s="114" t="e">
        <f>IF(Simulações!#REF!="","",Simulações!#REF!)</f>
        <v>#REF!</v>
      </c>
      <c r="N413" s="114" t="e">
        <f>IF(Simulações!#REF!="","",Simulações!#REF!)</f>
        <v>#REF!</v>
      </c>
      <c r="O413" s="114">
        <v>1</v>
      </c>
    </row>
    <row r="414" spans="1:15" ht="15.75" hidden="1" customHeight="1" x14ac:dyDescent="0.3">
      <c r="A414" s="124" t="e">
        <f>Simulações!#REF!</f>
        <v>#REF!</v>
      </c>
      <c r="B414" s="114" t="e">
        <f>Simulações!#REF!</f>
        <v>#REF!</v>
      </c>
      <c r="C414" s="125" t="e">
        <f>Simulações!#REF!</f>
        <v>#REF!</v>
      </c>
      <c r="D414" s="114" t="e">
        <f>Simulações!#REF!</f>
        <v>#REF!</v>
      </c>
      <c r="E414" s="114" t="e">
        <f>Simulações!#REF!</f>
        <v>#REF!</v>
      </c>
      <c r="F414" s="114" t="e">
        <f>Simulações!#REF!</f>
        <v>#REF!</v>
      </c>
      <c r="G414" s="114" t="e">
        <f>Simulações!#REF!</f>
        <v>#REF!</v>
      </c>
      <c r="H414" s="114" t="e">
        <f>Simulações!#REF!</f>
        <v>#REF!</v>
      </c>
      <c r="I414" s="114" t="e">
        <f>IF(Simulações!#REF!="","",Simulações!#REF!)</f>
        <v>#REF!</v>
      </c>
      <c r="J414" s="114" t="e">
        <f>IF(Simulações!#REF!="","",Simulações!#REF!)</f>
        <v>#REF!</v>
      </c>
      <c r="K414" s="117" t="e">
        <f>Simulações!#REF!</f>
        <v>#REF!</v>
      </c>
      <c r="L414" s="117" t="e">
        <f>Simulações!#REF!</f>
        <v>#REF!</v>
      </c>
      <c r="M414" s="114" t="e">
        <f>IF(Simulações!#REF!="","",Simulações!#REF!)</f>
        <v>#REF!</v>
      </c>
      <c r="N414" s="114" t="e">
        <f>IF(Simulações!#REF!="","",Simulações!#REF!)</f>
        <v>#REF!</v>
      </c>
      <c r="O414" s="114">
        <v>1</v>
      </c>
    </row>
    <row r="415" spans="1:15" ht="15.75" hidden="1" customHeight="1" x14ac:dyDescent="0.3">
      <c r="A415" s="124" t="e">
        <f>Simulações!#REF!</f>
        <v>#REF!</v>
      </c>
      <c r="B415" s="114" t="e">
        <f>Simulações!#REF!</f>
        <v>#REF!</v>
      </c>
      <c r="C415" s="125" t="e">
        <f>Simulações!#REF!</f>
        <v>#REF!</v>
      </c>
      <c r="D415" s="114" t="e">
        <f>Simulações!#REF!</f>
        <v>#REF!</v>
      </c>
      <c r="E415" s="114" t="e">
        <f>Simulações!#REF!</f>
        <v>#REF!</v>
      </c>
      <c r="F415" s="114" t="e">
        <f>Simulações!#REF!</f>
        <v>#REF!</v>
      </c>
      <c r="G415" s="114" t="e">
        <f>Simulações!#REF!</f>
        <v>#REF!</v>
      </c>
      <c r="H415" s="114" t="e">
        <f>Simulações!#REF!</f>
        <v>#REF!</v>
      </c>
      <c r="I415" s="114" t="e">
        <f>IF(Simulações!#REF!="","",Simulações!#REF!)</f>
        <v>#REF!</v>
      </c>
      <c r="J415" s="114" t="e">
        <f>IF(Simulações!#REF!="","",Simulações!#REF!)</f>
        <v>#REF!</v>
      </c>
      <c r="K415" s="117" t="e">
        <f>Simulações!#REF!</f>
        <v>#REF!</v>
      </c>
      <c r="L415" s="117" t="e">
        <f>Simulações!#REF!</f>
        <v>#REF!</v>
      </c>
      <c r="M415" s="114" t="e">
        <f>IF(Simulações!#REF!="","",Simulações!#REF!)</f>
        <v>#REF!</v>
      </c>
      <c r="N415" s="114" t="e">
        <f>IF(Simulações!#REF!="","",Simulações!#REF!)</f>
        <v>#REF!</v>
      </c>
      <c r="O415" s="114">
        <v>1</v>
      </c>
    </row>
    <row r="416" spans="1:15" ht="15.75" hidden="1" customHeight="1" x14ac:dyDescent="0.3">
      <c r="A416" s="124" t="e">
        <f>Simulações!#REF!</f>
        <v>#REF!</v>
      </c>
      <c r="B416" s="114" t="e">
        <f>Simulações!#REF!</f>
        <v>#REF!</v>
      </c>
      <c r="C416" s="125" t="e">
        <f>Simulações!#REF!</f>
        <v>#REF!</v>
      </c>
      <c r="D416" s="114" t="e">
        <f>Simulações!#REF!</f>
        <v>#REF!</v>
      </c>
      <c r="E416" s="114" t="e">
        <f>Simulações!#REF!</f>
        <v>#REF!</v>
      </c>
      <c r="F416" s="114" t="e">
        <f>Simulações!#REF!</f>
        <v>#REF!</v>
      </c>
      <c r="G416" s="114" t="e">
        <f>Simulações!#REF!</f>
        <v>#REF!</v>
      </c>
      <c r="H416" s="114" t="e">
        <f>Simulações!#REF!</f>
        <v>#REF!</v>
      </c>
      <c r="I416" s="114" t="e">
        <f>IF(Simulações!#REF!="","",Simulações!#REF!)</f>
        <v>#REF!</v>
      </c>
      <c r="J416" s="114" t="e">
        <f>IF(Simulações!#REF!="","",Simulações!#REF!)</f>
        <v>#REF!</v>
      </c>
      <c r="K416" s="117" t="e">
        <f>Simulações!#REF!</f>
        <v>#REF!</v>
      </c>
      <c r="L416" s="117" t="e">
        <f>Simulações!#REF!</f>
        <v>#REF!</v>
      </c>
      <c r="M416" s="114" t="e">
        <f>IF(Simulações!#REF!="","",Simulações!#REF!)</f>
        <v>#REF!</v>
      </c>
      <c r="N416" s="114" t="e">
        <f>IF(Simulações!#REF!="","",Simulações!#REF!)</f>
        <v>#REF!</v>
      </c>
      <c r="O416" s="114">
        <v>1</v>
      </c>
    </row>
    <row r="417" spans="1:15" ht="15.75" hidden="1" customHeight="1" x14ac:dyDescent="0.3">
      <c r="A417" s="124" t="e">
        <f>Simulações!#REF!</f>
        <v>#REF!</v>
      </c>
      <c r="B417" s="114" t="e">
        <f>Simulações!#REF!</f>
        <v>#REF!</v>
      </c>
      <c r="C417" s="125" t="e">
        <f>Simulações!#REF!</f>
        <v>#REF!</v>
      </c>
      <c r="D417" s="114" t="e">
        <f>Simulações!#REF!</f>
        <v>#REF!</v>
      </c>
      <c r="E417" s="114" t="e">
        <f>Simulações!#REF!</f>
        <v>#REF!</v>
      </c>
      <c r="F417" s="114" t="e">
        <f>Simulações!#REF!</f>
        <v>#REF!</v>
      </c>
      <c r="G417" s="114" t="e">
        <f>Simulações!#REF!</f>
        <v>#REF!</v>
      </c>
      <c r="H417" s="114" t="e">
        <f>Simulações!#REF!</f>
        <v>#REF!</v>
      </c>
      <c r="I417" s="114" t="e">
        <f>IF(Simulações!#REF!="","",Simulações!#REF!)</f>
        <v>#REF!</v>
      </c>
      <c r="J417" s="114" t="e">
        <f>IF(Simulações!#REF!="","",Simulações!#REF!)</f>
        <v>#REF!</v>
      </c>
      <c r="K417" s="117" t="e">
        <f>Simulações!#REF!</f>
        <v>#REF!</v>
      </c>
      <c r="L417" s="117" t="e">
        <f>Simulações!#REF!</f>
        <v>#REF!</v>
      </c>
      <c r="M417" s="114" t="e">
        <f>IF(Simulações!#REF!="","",Simulações!#REF!)</f>
        <v>#REF!</v>
      </c>
      <c r="N417" s="114" t="e">
        <f>IF(Simulações!#REF!="","",Simulações!#REF!)</f>
        <v>#REF!</v>
      </c>
      <c r="O417" s="114">
        <v>1</v>
      </c>
    </row>
    <row r="418" spans="1:15" ht="15.75" hidden="1" customHeight="1" x14ac:dyDescent="0.3">
      <c r="A418" s="124" t="e">
        <f>Simulações!#REF!</f>
        <v>#REF!</v>
      </c>
      <c r="B418" s="114" t="e">
        <f>Simulações!#REF!</f>
        <v>#REF!</v>
      </c>
      <c r="C418" s="125" t="e">
        <f>Simulações!#REF!</f>
        <v>#REF!</v>
      </c>
      <c r="D418" s="114" t="e">
        <f>Simulações!#REF!</f>
        <v>#REF!</v>
      </c>
      <c r="E418" s="114" t="e">
        <f>Simulações!#REF!</f>
        <v>#REF!</v>
      </c>
      <c r="F418" s="114" t="e">
        <f>Simulações!#REF!</f>
        <v>#REF!</v>
      </c>
      <c r="G418" s="114" t="e">
        <f>Simulações!#REF!</f>
        <v>#REF!</v>
      </c>
      <c r="H418" s="114" t="e">
        <f>Simulações!#REF!</f>
        <v>#REF!</v>
      </c>
      <c r="I418" s="114" t="e">
        <f>IF(Simulações!#REF!="","",Simulações!#REF!)</f>
        <v>#REF!</v>
      </c>
      <c r="J418" s="114" t="e">
        <f>IF(Simulações!#REF!="","",Simulações!#REF!)</f>
        <v>#REF!</v>
      </c>
      <c r="K418" s="117" t="e">
        <f>Simulações!#REF!</f>
        <v>#REF!</v>
      </c>
      <c r="L418" s="117" t="e">
        <f>Simulações!#REF!</f>
        <v>#REF!</v>
      </c>
      <c r="M418" s="114" t="e">
        <f>IF(Simulações!#REF!="","",Simulações!#REF!)</f>
        <v>#REF!</v>
      </c>
      <c r="N418" s="114" t="e">
        <f>IF(Simulações!#REF!="","",Simulações!#REF!)</f>
        <v>#REF!</v>
      </c>
      <c r="O418" s="114">
        <v>1</v>
      </c>
    </row>
    <row r="419" spans="1:15" ht="15.75" hidden="1" customHeight="1" x14ac:dyDescent="0.3">
      <c r="A419" s="124" t="e">
        <f>Simulações!#REF!</f>
        <v>#REF!</v>
      </c>
      <c r="B419" s="114" t="e">
        <f>Simulações!#REF!</f>
        <v>#REF!</v>
      </c>
      <c r="C419" s="125" t="e">
        <f>Simulações!#REF!</f>
        <v>#REF!</v>
      </c>
      <c r="D419" s="114" t="e">
        <f>Simulações!#REF!</f>
        <v>#REF!</v>
      </c>
      <c r="E419" s="114" t="e">
        <f>Simulações!#REF!</f>
        <v>#REF!</v>
      </c>
      <c r="F419" s="114" t="e">
        <f>Simulações!#REF!</f>
        <v>#REF!</v>
      </c>
      <c r="G419" s="114" t="e">
        <f>Simulações!#REF!</f>
        <v>#REF!</v>
      </c>
      <c r="H419" s="114" t="e">
        <f>Simulações!#REF!</f>
        <v>#REF!</v>
      </c>
      <c r="I419" s="114" t="e">
        <f>IF(Simulações!#REF!="","",Simulações!#REF!)</f>
        <v>#REF!</v>
      </c>
      <c r="J419" s="114" t="e">
        <f>IF(Simulações!#REF!="","",Simulações!#REF!)</f>
        <v>#REF!</v>
      </c>
      <c r="K419" s="117" t="e">
        <f>Simulações!#REF!</f>
        <v>#REF!</v>
      </c>
      <c r="L419" s="117" t="e">
        <f>Simulações!#REF!</f>
        <v>#REF!</v>
      </c>
      <c r="M419" s="114" t="e">
        <f>IF(Simulações!#REF!="","",Simulações!#REF!)</f>
        <v>#REF!</v>
      </c>
      <c r="N419" s="114" t="e">
        <f>IF(Simulações!#REF!="","",Simulações!#REF!)</f>
        <v>#REF!</v>
      </c>
      <c r="O419" s="114">
        <v>1</v>
      </c>
    </row>
    <row r="420" spans="1:15" ht="15.75" hidden="1" customHeight="1" x14ac:dyDescent="0.3">
      <c r="A420" s="124" t="e">
        <f>Simulações!#REF!</f>
        <v>#REF!</v>
      </c>
      <c r="B420" s="114" t="e">
        <f>Simulações!#REF!</f>
        <v>#REF!</v>
      </c>
      <c r="C420" s="125" t="e">
        <f>Simulações!#REF!</f>
        <v>#REF!</v>
      </c>
      <c r="D420" s="114" t="e">
        <f>Simulações!#REF!</f>
        <v>#REF!</v>
      </c>
      <c r="E420" s="114" t="e">
        <f>Simulações!#REF!</f>
        <v>#REF!</v>
      </c>
      <c r="F420" s="114" t="e">
        <f>Simulações!#REF!</f>
        <v>#REF!</v>
      </c>
      <c r="G420" s="114" t="e">
        <f>Simulações!#REF!</f>
        <v>#REF!</v>
      </c>
      <c r="H420" s="114" t="e">
        <f>Simulações!#REF!</f>
        <v>#REF!</v>
      </c>
      <c r="I420" s="114" t="e">
        <f>IF(Simulações!#REF!="","",Simulações!#REF!)</f>
        <v>#REF!</v>
      </c>
      <c r="J420" s="114" t="e">
        <f>IF(Simulações!#REF!="","",Simulações!#REF!)</f>
        <v>#REF!</v>
      </c>
      <c r="K420" s="117" t="e">
        <f>Simulações!#REF!</f>
        <v>#REF!</v>
      </c>
      <c r="L420" s="117" t="e">
        <f>Simulações!#REF!</f>
        <v>#REF!</v>
      </c>
      <c r="M420" s="114" t="e">
        <f>IF(Simulações!#REF!="","",Simulações!#REF!)</f>
        <v>#REF!</v>
      </c>
      <c r="N420" s="114" t="e">
        <f>IF(Simulações!#REF!="","",Simulações!#REF!)</f>
        <v>#REF!</v>
      </c>
      <c r="O420" s="114">
        <v>1</v>
      </c>
    </row>
    <row r="421" spans="1:15" ht="15.75" hidden="1" customHeight="1" x14ac:dyDescent="0.3">
      <c r="A421" s="124" t="e">
        <f>Simulações!#REF!</f>
        <v>#REF!</v>
      </c>
      <c r="B421" s="114" t="e">
        <f>Simulações!#REF!</f>
        <v>#REF!</v>
      </c>
      <c r="C421" s="125" t="e">
        <f>Simulações!#REF!</f>
        <v>#REF!</v>
      </c>
      <c r="D421" s="114" t="e">
        <f>Simulações!#REF!</f>
        <v>#REF!</v>
      </c>
      <c r="E421" s="114" t="e">
        <f>Simulações!#REF!</f>
        <v>#REF!</v>
      </c>
      <c r="F421" s="114" t="e">
        <f>Simulações!#REF!</f>
        <v>#REF!</v>
      </c>
      <c r="G421" s="114" t="e">
        <f>Simulações!#REF!</f>
        <v>#REF!</v>
      </c>
      <c r="H421" s="114" t="e">
        <f>Simulações!#REF!</f>
        <v>#REF!</v>
      </c>
      <c r="I421" s="114" t="e">
        <f>IF(Simulações!#REF!="","",Simulações!#REF!)</f>
        <v>#REF!</v>
      </c>
      <c r="J421" s="114" t="e">
        <f>IF(Simulações!#REF!="","",Simulações!#REF!)</f>
        <v>#REF!</v>
      </c>
      <c r="K421" s="117" t="e">
        <f>Simulações!#REF!</f>
        <v>#REF!</v>
      </c>
      <c r="L421" s="117" t="e">
        <f>Simulações!#REF!</f>
        <v>#REF!</v>
      </c>
      <c r="M421" s="114" t="e">
        <f>IF(Simulações!#REF!="","",Simulações!#REF!)</f>
        <v>#REF!</v>
      </c>
      <c r="N421" s="114" t="e">
        <f>IF(Simulações!#REF!="","",Simulações!#REF!)</f>
        <v>#REF!</v>
      </c>
      <c r="O421" s="114">
        <v>1</v>
      </c>
    </row>
    <row r="422" spans="1:15" ht="15.75" hidden="1" customHeight="1" x14ac:dyDescent="0.3">
      <c r="A422" s="124" t="e">
        <f>Simulações!#REF!</f>
        <v>#REF!</v>
      </c>
      <c r="B422" s="114" t="e">
        <f>Simulações!#REF!</f>
        <v>#REF!</v>
      </c>
      <c r="C422" s="125" t="e">
        <f>Simulações!#REF!</f>
        <v>#REF!</v>
      </c>
      <c r="D422" s="114" t="e">
        <f>Simulações!#REF!</f>
        <v>#REF!</v>
      </c>
      <c r="E422" s="114" t="e">
        <f>Simulações!#REF!</f>
        <v>#REF!</v>
      </c>
      <c r="F422" s="114" t="e">
        <f>Simulações!#REF!</f>
        <v>#REF!</v>
      </c>
      <c r="G422" s="114" t="e">
        <f>Simulações!#REF!</f>
        <v>#REF!</v>
      </c>
      <c r="H422" s="114" t="e">
        <f>Simulações!#REF!</f>
        <v>#REF!</v>
      </c>
      <c r="I422" s="114" t="e">
        <f>IF(Simulações!#REF!="","",Simulações!#REF!)</f>
        <v>#REF!</v>
      </c>
      <c r="J422" s="114" t="e">
        <f>IF(Simulações!#REF!="","",Simulações!#REF!)</f>
        <v>#REF!</v>
      </c>
      <c r="K422" s="117" t="e">
        <f>Simulações!#REF!</f>
        <v>#REF!</v>
      </c>
      <c r="L422" s="117" t="e">
        <f>Simulações!#REF!</f>
        <v>#REF!</v>
      </c>
      <c r="M422" s="114" t="e">
        <f>IF(Simulações!#REF!="","",Simulações!#REF!)</f>
        <v>#REF!</v>
      </c>
      <c r="N422" s="114" t="e">
        <f>IF(Simulações!#REF!="","",Simulações!#REF!)</f>
        <v>#REF!</v>
      </c>
      <c r="O422" s="114">
        <v>1</v>
      </c>
    </row>
    <row r="423" spans="1:15" ht="15.75" hidden="1" customHeight="1" x14ac:dyDescent="0.3">
      <c r="A423" s="124" t="e">
        <f>Simulações!#REF!</f>
        <v>#REF!</v>
      </c>
      <c r="B423" s="114" t="e">
        <f>Simulações!#REF!</f>
        <v>#REF!</v>
      </c>
      <c r="C423" s="125" t="e">
        <f>Simulações!#REF!</f>
        <v>#REF!</v>
      </c>
      <c r="D423" s="114" t="e">
        <f>Simulações!#REF!</f>
        <v>#REF!</v>
      </c>
      <c r="E423" s="114" t="e">
        <f>Simulações!#REF!</f>
        <v>#REF!</v>
      </c>
      <c r="F423" s="114" t="e">
        <f>Simulações!#REF!</f>
        <v>#REF!</v>
      </c>
      <c r="G423" s="114" t="e">
        <f>Simulações!#REF!</f>
        <v>#REF!</v>
      </c>
      <c r="H423" s="114" t="e">
        <f>Simulações!#REF!</f>
        <v>#REF!</v>
      </c>
      <c r="I423" s="114" t="e">
        <f>IF(Simulações!#REF!="","",Simulações!#REF!)</f>
        <v>#REF!</v>
      </c>
      <c r="J423" s="114" t="e">
        <f>IF(Simulações!#REF!="","",Simulações!#REF!)</f>
        <v>#REF!</v>
      </c>
      <c r="K423" s="117" t="e">
        <f>Simulações!#REF!</f>
        <v>#REF!</v>
      </c>
      <c r="L423" s="117" t="e">
        <f>Simulações!#REF!</f>
        <v>#REF!</v>
      </c>
      <c r="M423" s="114" t="e">
        <f>IF(Simulações!#REF!="","",Simulações!#REF!)</f>
        <v>#REF!</v>
      </c>
      <c r="N423" s="114" t="e">
        <f>IF(Simulações!#REF!="","",Simulações!#REF!)</f>
        <v>#REF!</v>
      </c>
      <c r="O423" s="114">
        <v>1</v>
      </c>
    </row>
    <row r="424" spans="1:15" ht="15.75" hidden="1" customHeight="1" x14ac:dyDescent="0.3">
      <c r="A424" s="124" t="e">
        <f>Simulações!#REF!</f>
        <v>#REF!</v>
      </c>
      <c r="B424" s="114" t="e">
        <f>Simulações!#REF!</f>
        <v>#REF!</v>
      </c>
      <c r="C424" s="125" t="e">
        <f>Simulações!#REF!</f>
        <v>#REF!</v>
      </c>
      <c r="D424" s="114" t="e">
        <f>Simulações!#REF!</f>
        <v>#REF!</v>
      </c>
      <c r="E424" s="114" t="e">
        <f>Simulações!#REF!</f>
        <v>#REF!</v>
      </c>
      <c r="F424" s="114" t="e">
        <f>Simulações!#REF!</f>
        <v>#REF!</v>
      </c>
      <c r="G424" s="114" t="e">
        <f>Simulações!#REF!</f>
        <v>#REF!</v>
      </c>
      <c r="H424" s="114" t="e">
        <f>Simulações!#REF!</f>
        <v>#REF!</v>
      </c>
      <c r="I424" s="114" t="e">
        <f>IF(Simulações!#REF!="","",Simulações!#REF!)</f>
        <v>#REF!</v>
      </c>
      <c r="J424" s="114" t="e">
        <f>IF(Simulações!#REF!="","",Simulações!#REF!)</f>
        <v>#REF!</v>
      </c>
      <c r="K424" s="117" t="e">
        <f>Simulações!#REF!</f>
        <v>#REF!</v>
      </c>
      <c r="L424" s="117" t="e">
        <f>Simulações!#REF!</f>
        <v>#REF!</v>
      </c>
      <c r="M424" s="114" t="e">
        <f>IF(Simulações!#REF!="","",Simulações!#REF!)</f>
        <v>#REF!</v>
      </c>
      <c r="N424" s="114" t="e">
        <f>IF(Simulações!#REF!="","",Simulações!#REF!)</f>
        <v>#REF!</v>
      </c>
      <c r="O424" s="114">
        <v>1</v>
      </c>
    </row>
    <row r="425" spans="1:15" ht="15.75" hidden="1" customHeight="1" x14ac:dyDescent="0.3">
      <c r="A425" s="124" t="e">
        <f>Simulações!#REF!</f>
        <v>#REF!</v>
      </c>
      <c r="B425" s="114" t="e">
        <f>Simulações!#REF!</f>
        <v>#REF!</v>
      </c>
      <c r="C425" s="125" t="e">
        <f>Simulações!#REF!</f>
        <v>#REF!</v>
      </c>
      <c r="D425" s="114" t="e">
        <f>Simulações!#REF!</f>
        <v>#REF!</v>
      </c>
      <c r="E425" s="114" t="e">
        <f>Simulações!#REF!</f>
        <v>#REF!</v>
      </c>
      <c r="F425" s="114" t="e">
        <f>Simulações!#REF!</f>
        <v>#REF!</v>
      </c>
      <c r="G425" s="114" t="e">
        <f>Simulações!#REF!</f>
        <v>#REF!</v>
      </c>
      <c r="H425" s="114" t="e">
        <f>Simulações!#REF!</f>
        <v>#REF!</v>
      </c>
      <c r="I425" s="114" t="e">
        <f>IF(Simulações!#REF!="","",Simulações!#REF!)</f>
        <v>#REF!</v>
      </c>
      <c r="J425" s="114" t="e">
        <f>IF(Simulações!#REF!="","",Simulações!#REF!)</f>
        <v>#REF!</v>
      </c>
      <c r="K425" s="117" t="e">
        <f>Simulações!#REF!</f>
        <v>#REF!</v>
      </c>
      <c r="L425" s="117" t="e">
        <f>Simulações!#REF!</f>
        <v>#REF!</v>
      </c>
      <c r="M425" s="114" t="e">
        <f>IF(Simulações!#REF!="","",Simulações!#REF!)</f>
        <v>#REF!</v>
      </c>
      <c r="N425" s="114" t="e">
        <f>IF(Simulações!#REF!="","",Simulações!#REF!)</f>
        <v>#REF!</v>
      </c>
      <c r="O425" s="114">
        <v>1</v>
      </c>
    </row>
    <row r="426" spans="1:15" ht="15.75" hidden="1" customHeight="1" x14ac:dyDescent="0.3">
      <c r="A426" s="124" t="e">
        <f>Simulações!#REF!</f>
        <v>#REF!</v>
      </c>
      <c r="B426" s="114" t="e">
        <f>Simulações!#REF!</f>
        <v>#REF!</v>
      </c>
      <c r="C426" s="125" t="e">
        <f>Simulações!#REF!</f>
        <v>#REF!</v>
      </c>
      <c r="D426" s="114" t="e">
        <f>Simulações!#REF!</f>
        <v>#REF!</v>
      </c>
      <c r="E426" s="114" t="e">
        <f>Simulações!#REF!</f>
        <v>#REF!</v>
      </c>
      <c r="F426" s="114" t="e">
        <f>Simulações!#REF!</f>
        <v>#REF!</v>
      </c>
      <c r="G426" s="114" t="e">
        <f>Simulações!#REF!</f>
        <v>#REF!</v>
      </c>
      <c r="H426" s="114" t="e">
        <f>Simulações!#REF!</f>
        <v>#REF!</v>
      </c>
      <c r="I426" s="114" t="e">
        <f>IF(Simulações!#REF!="","",Simulações!#REF!)</f>
        <v>#REF!</v>
      </c>
      <c r="J426" s="114" t="e">
        <f>IF(Simulações!#REF!="","",Simulações!#REF!)</f>
        <v>#REF!</v>
      </c>
      <c r="K426" s="117" t="e">
        <f>Simulações!#REF!</f>
        <v>#REF!</v>
      </c>
      <c r="L426" s="117" t="e">
        <f>Simulações!#REF!</f>
        <v>#REF!</v>
      </c>
      <c r="M426" s="114" t="e">
        <f>IF(Simulações!#REF!="","",Simulações!#REF!)</f>
        <v>#REF!</v>
      </c>
      <c r="N426" s="114" t="e">
        <f>IF(Simulações!#REF!="","",Simulações!#REF!)</f>
        <v>#REF!</v>
      </c>
      <c r="O426" s="114">
        <v>1</v>
      </c>
    </row>
    <row r="427" spans="1:15" ht="15.75" hidden="1" customHeight="1" x14ac:dyDescent="0.3">
      <c r="A427" s="124" t="e">
        <f>Simulações!#REF!</f>
        <v>#REF!</v>
      </c>
      <c r="B427" s="114" t="e">
        <f>Simulações!#REF!</f>
        <v>#REF!</v>
      </c>
      <c r="C427" s="125" t="e">
        <f>Simulações!#REF!</f>
        <v>#REF!</v>
      </c>
      <c r="D427" s="114" t="e">
        <f>Simulações!#REF!</f>
        <v>#REF!</v>
      </c>
      <c r="E427" s="114" t="e">
        <f>Simulações!#REF!</f>
        <v>#REF!</v>
      </c>
      <c r="F427" s="114" t="e">
        <f>Simulações!#REF!</f>
        <v>#REF!</v>
      </c>
      <c r="G427" s="114" t="e">
        <f>Simulações!#REF!</f>
        <v>#REF!</v>
      </c>
      <c r="H427" s="114" t="e">
        <f>Simulações!#REF!</f>
        <v>#REF!</v>
      </c>
      <c r="I427" s="114" t="e">
        <f>IF(Simulações!#REF!="","",Simulações!#REF!)</f>
        <v>#REF!</v>
      </c>
      <c r="J427" s="114" t="e">
        <f>IF(Simulações!#REF!="","",Simulações!#REF!)</f>
        <v>#REF!</v>
      </c>
      <c r="K427" s="117" t="e">
        <f>Simulações!#REF!</f>
        <v>#REF!</v>
      </c>
      <c r="L427" s="117" t="e">
        <f>Simulações!#REF!</f>
        <v>#REF!</v>
      </c>
      <c r="M427" s="114" t="e">
        <f>IF(Simulações!#REF!="","",Simulações!#REF!)</f>
        <v>#REF!</v>
      </c>
      <c r="N427" s="114" t="e">
        <f>IF(Simulações!#REF!="","",Simulações!#REF!)</f>
        <v>#REF!</v>
      </c>
      <c r="O427" s="114">
        <v>1</v>
      </c>
    </row>
    <row r="428" spans="1:15" ht="15.75" hidden="1" customHeight="1" x14ac:dyDescent="0.3">
      <c r="A428" s="124" t="e">
        <f>Simulações!#REF!</f>
        <v>#REF!</v>
      </c>
      <c r="B428" s="114" t="e">
        <f>Simulações!#REF!</f>
        <v>#REF!</v>
      </c>
      <c r="C428" s="125" t="e">
        <f>Simulações!#REF!</f>
        <v>#REF!</v>
      </c>
      <c r="D428" s="114" t="e">
        <f>Simulações!#REF!</f>
        <v>#REF!</v>
      </c>
      <c r="E428" s="114" t="e">
        <f>Simulações!#REF!</f>
        <v>#REF!</v>
      </c>
      <c r="F428" s="114" t="e">
        <f>Simulações!#REF!</f>
        <v>#REF!</v>
      </c>
      <c r="G428" s="114" t="e">
        <f>Simulações!#REF!</f>
        <v>#REF!</v>
      </c>
      <c r="H428" s="114" t="e">
        <f>Simulações!#REF!</f>
        <v>#REF!</v>
      </c>
      <c r="I428" s="114" t="e">
        <f>IF(Simulações!#REF!="","",Simulações!#REF!)</f>
        <v>#REF!</v>
      </c>
      <c r="J428" s="114" t="e">
        <f>IF(Simulações!#REF!="","",Simulações!#REF!)</f>
        <v>#REF!</v>
      </c>
      <c r="K428" s="117" t="e">
        <f>Simulações!#REF!</f>
        <v>#REF!</v>
      </c>
      <c r="L428" s="117" t="e">
        <f>Simulações!#REF!</f>
        <v>#REF!</v>
      </c>
      <c r="M428" s="114" t="e">
        <f>IF(Simulações!#REF!="","",Simulações!#REF!)</f>
        <v>#REF!</v>
      </c>
      <c r="N428" s="114" t="e">
        <f>IF(Simulações!#REF!="","",Simulações!#REF!)</f>
        <v>#REF!</v>
      </c>
      <c r="O428" s="114">
        <v>1</v>
      </c>
    </row>
    <row r="429" spans="1:15" ht="15.75" hidden="1" customHeight="1" x14ac:dyDescent="0.3">
      <c r="A429" s="124" t="e">
        <f>Simulações!#REF!</f>
        <v>#REF!</v>
      </c>
      <c r="B429" s="114" t="e">
        <f>Simulações!#REF!</f>
        <v>#REF!</v>
      </c>
      <c r="C429" s="125" t="e">
        <f>Simulações!#REF!</f>
        <v>#REF!</v>
      </c>
      <c r="D429" s="114" t="e">
        <f>Simulações!#REF!</f>
        <v>#REF!</v>
      </c>
      <c r="E429" s="114" t="e">
        <f>Simulações!#REF!</f>
        <v>#REF!</v>
      </c>
      <c r="F429" s="114" t="e">
        <f>Simulações!#REF!</f>
        <v>#REF!</v>
      </c>
      <c r="G429" s="114" t="e">
        <f>Simulações!#REF!</f>
        <v>#REF!</v>
      </c>
      <c r="H429" s="114" t="e">
        <f>Simulações!#REF!</f>
        <v>#REF!</v>
      </c>
      <c r="I429" s="114" t="e">
        <f>IF(Simulações!#REF!="","",Simulações!#REF!)</f>
        <v>#REF!</v>
      </c>
      <c r="J429" s="114" t="e">
        <f>IF(Simulações!#REF!="","",Simulações!#REF!)</f>
        <v>#REF!</v>
      </c>
      <c r="K429" s="117" t="e">
        <f>Simulações!#REF!</f>
        <v>#REF!</v>
      </c>
      <c r="L429" s="117" t="e">
        <f>Simulações!#REF!</f>
        <v>#REF!</v>
      </c>
      <c r="M429" s="114" t="e">
        <f>IF(Simulações!#REF!="","",Simulações!#REF!)</f>
        <v>#REF!</v>
      </c>
      <c r="N429" s="114" t="e">
        <f>IF(Simulações!#REF!="","",Simulações!#REF!)</f>
        <v>#REF!</v>
      </c>
      <c r="O429" s="114">
        <v>1</v>
      </c>
    </row>
    <row r="430" spans="1:15" ht="15.75" hidden="1" customHeight="1" x14ac:dyDescent="0.3">
      <c r="A430" s="124" t="e">
        <f>Simulações!#REF!</f>
        <v>#REF!</v>
      </c>
      <c r="B430" s="114" t="e">
        <f>Simulações!#REF!</f>
        <v>#REF!</v>
      </c>
      <c r="C430" s="125" t="e">
        <f>Simulações!#REF!</f>
        <v>#REF!</v>
      </c>
      <c r="D430" s="114" t="e">
        <f>Simulações!#REF!</f>
        <v>#REF!</v>
      </c>
      <c r="E430" s="114" t="e">
        <f>Simulações!#REF!</f>
        <v>#REF!</v>
      </c>
      <c r="F430" s="114" t="e">
        <f>Simulações!#REF!</f>
        <v>#REF!</v>
      </c>
      <c r="G430" s="114" t="e">
        <f>Simulações!#REF!</f>
        <v>#REF!</v>
      </c>
      <c r="H430" s="114" t="e">
        <f>Simulações!#REF!</f>
        <v>#REF!</v>
      </c>
      <c r="I430" s="114" t="e">
        <f>IF(Simulações!#REF!="","",Simulações!#REF!)</f>
        <v>#REF!</v>
      </c>
      <c r="J430" s="114" t="e">
        <f>IF(Simulações!#REF!="","",Simulações!#REF!)</f>
        <v>#REF!</v>
      </c>
      <c r="K430" s="117" t="e">
        <f>Simulações!#REF!</f>
        <v>#REF!</v>
      </c>
      <c r="L430" s="117" t="e">
        <f>Simulações!#REF!</f>
        <v>#REF!</v>
      </c>
      <c r="M430" s="114" t="e">
        <f>IF(Simulações!#REF!="","",Simulações!#REF!)</f>
        <v>#REF!</v>
      </c>
      <c r="N430" s="114" t="e">
        <f>IF(Simulações!#REF!="","",Simulações!#REF!)</f>
        <v>#REF!</v>
      </c>
      <c r="O430" s="114">
        <v>1</v>
      </c>
    </row>
    <row r="431" spans="1:15" ht="15.75" hidden="1" customHeight="1" x14ac:dyDescent="0.3">
      <c r="A431" s="124" t="e">
        <f>Simulações!#REF!</f>
        <v>#REF!</v>
      </c>
      <c r="B431" s="114" t="e">
        <f>Simulações!#REF!</f>
        <v>#REF!</v>
      </c>
      <c r="C431" s="125" t="e">
        <f>Simulações!#REF!</f>
        <v>#REF!</v>
      </c>
      <c r="D431" s="114" t="e">
        <f>Simulações!#REF!</f>
        <v>#REF!</v>
      </c>
      <c r="E431" s="114" t="e">
        <f>Simulações!#REF!</f>
        <v>#REF!</v>
      </c>
      <c r="F431" s="114" t="e">
        <f>Simulações!#REF!</f>
        <v>#REF!</v>
      </c>
      <c r="G431" s="114" t="e">
        <f>Simulações!#REF!</f>
        <v>#REF!</v>
      </c>
      <c r="H431" s="114" t="e">
        <f>Simulações!#REF!</f>
        <v>#REF!</v>
      </c>
      <c r="I431" s="114" t="e">
        <f>IF(Simulações!#REF!="","",Simulações!#REF!)</f>
        <v>#REF!</v>
      </c>
      <c r="J431" s="114" t="e">
        <f>IF(Simulações!#REF!="","",Simulações!#REF!)</f>
        <v>#REF!</v>
      </c>
      <c r="K431" s="117" t="e">
        <f>Simulações!#REF!</f>
        <v>#REF!</v>
      </c>
      <c r="L431" s="117" t="e">
        <f>Simulações!#REF!</f>
        <v>#REF!</v>
      </c>
      <c r="M431" s="114" t="e">
        <f>IF(Simulações!#REF!="","",Simulações!#REF!)</f>
        <v>#REF!</v>
      </c>
      <c r="N431" s="114" t="e">
        <f>IF(Simulações!#REF!="","",Simulações!#REF!)</f>
        <v>#REF!</v>
      </c>
      <c r="O431" s="114">
        <v>1</v>
      </c>
    </row>
    <row r="432" spans="1:15" ht="15.75" hidden="1" customHeight="1" x14ac:dyDescent="0.3">
      <c r="A432" s="124" t="e">
        <f>Simulações!#REF!</f>
        <v>#REF!</v>
      </c>
      <c r="B432" s="114" t="e">
        <f>Simulações!#REF!</f>
        <v>#REF!</v>
      </c>
      <c r="C432" s="125" t="e">
        <f>Simulações!#REF!</f>
        <v>#REF!</v>
      </c>
      <c r="D432" s="114" t="e">
        <f>Simulações!#REF!</f>
        <v>#REF!</v>
      </c>
      <c r="E432" s="114" t="e">
        <f>Simulações!#REF!</f>
        <v>#REF!</v>
      </c>
      <c r="F432" s="114" t="e">
        <f>Simulações!#REF!</f>
        <v>#REF!</v>
      </c>
      <c r="G432" s="114" t="e">
        <f>Simulações!#REF!</f>
        <v>#REF!</v>
      </c>
      <c r="H432" s="114" t="e">
        <f>Simulações!#REF!</f>
        <v>#REF!</v>
      </c>
      <c r="I432" s="114" t="e">
        <f>IF(Simulações!#REF!="","",Simulações!#REF!)</f>
        <v>#REF!</v>
      </c>
      <c r="J432" s="114" t="e">
        <f>IF(Simulações!#REF!="","",Simulações!#REF!)</f>
        <v>#REF!</v>
      </c>
      <c r="K432" s="117" t="e">
        <f>Simulações!#REF!</f>
        <v>#REF!</v>
      </c>
      <c r="L432" s="117" t="e">
        <f>Simulações!#REF!</f>
        <v>#REF!</v>
      </c>
      <c r="M432" s="114" t="e">
        <f>IF(Simulações!#REF!="","",Simulações!#REF!)</f>
        <v>#REF!</v>
      </c>
      <c r="N432" s="114" t="e">
        <f>IF(Simulações!#REF!="","",Simulações!#REF!)</f>
        <v>#REF!</v>
      </c>
      <c r="O432" s="114">
        <v>1</v>
      </c>
    </row>
    <row r="433" spans="1:15" ht="15.75" hidden="1" customHeight="1" x14ac:dyDescent="0.3">
      <c r="A433" s="124" t="e">
        <f>Simulações!#REF!</f>
        <v>#REF!</v>
      </c>
      <c r="B433" s="114" t="e">
        <f>Simulações!#REF!</f>
        <v>#REF!</v>
      </c>
      <c r="C433" s="125" t="e">
        <f>Simulações!#REF!</f>
        <v>#REF!</v>
      </c>
      <c r="D433" s="114" t="e">
        <f>Simulações!#REF!</f>
        <v>#REF!</v>
      </c>
      <c r="E433" s="114" t="e">
        <f>Simulações!#REF!</f>
        <v>#REF!</v>
      </c>
      <c r="F433" s="114" t="e">
        <f>Simulações!#REF!</f>
        <v>#REF!</v>
      </c>
      <c r="G433" s="114" t="e">
        <f>Simulações!#REF!</f>
        <v>#REF!</v>
      </c>
      <c r="H433" s="114" t="e">
        <f>Simulações!#REF!</f>
        <v>#REF!</v>
      </c>
      <c r="I433" s="114" t="e">
        <f>IF(Simulações!#REF!="","",Simulações!#REF!)</f>
        <v>#REF!</v>
      </c>
      <c r="J433" s="114" t="e">
        <f>IF(Simulações!#REF!="","",Simulações!#REF!)</f>
        <v>#REF!</v>
      </c>
      <c r="K433" s="117" t="e">
        <f>Simulações!#REF!</f>
        <v>#REF!</v>
      </c>
      <c r="L433" s="117" t="e">
        <f>Simulações!#REF!</f>
        <v>#REF!</v>
      </c>
      <c r="M433" s="114" t="e">
        <f>IF(Simulações!#REF!="","",Simulações!#REF!)</f>
        <v>#REF!</v>
      </c>
      <c r="N433" s="114" t="e">
        <f>IF(Simulações!#REF!="","",Simulações!#REF!)</f>
        <v>#REF!</v>
      </c>
      <c r="O433" s="114">
        <v>1</v>
      </c>
    </row>
    <row r="434" spans="1:15" ht="15.75" hidden="1" customHeight="1" x14ac:dyDescent="0.3">
      <c r="A434" s="124" t="e">
        <f>Simulações!#REF!</f>
        <v>#REF!</v>
      </c>
      <c r="B434" s="114" t="e">
        <f>Simulações!#REF!</f>
        <v>#REF!</v>
      </c>
      <c r="C434" s="125" t="e">
        <f>Simulações!#REF!</f>
        <v>#REF!</v>
      </c>
      <c r="D434" s="114" t="e">
        <f>Simulações!#REF!</f>
        <v>#REF!</v>
      </c>
      <c r="E434" s="114" t="e">
        <f>Simulações!#REF!</f>
        <v>#REF!</v>
      </c>
      <c r="F434" s="114" t="e">
        <f>Simulações!#REF!</f>
        <v>#REF!</v>
      </c>
      <c r="G434" s="114" t="e">
        <f>Simulações!#REF!</f>
        <v>#REF!</v>
      </c>
      <c r="H434" s="114" t="e">
        <f>Simulações!#REF!</f>
        <v>#REF!</v>
      </c>
      <c r="I434" s="114" t="e">
        <f>IF(Simulações!#REF!="","",Simulações!#REF!)</f>
        <v>#REF!</v>
      </c>
      <c r="J434" s="114" t="e">
        <f>IF(Simulações!#REF!="","",Simulações!#REF!)</f>
        <v>#REF!</v>
      </c>
      <c r="K434" s="117" t="e">
        <f>Simulações!#REF!</f>
        <v>#REF!</v>
      </c>
      <c r="L434" s="117" t="e">
        <f>Simulações!#REF!</f>
        <v>#REF!</v>
      </c>
      <c r="M434" s="114" t="e">
        <f>IF(Simulações!#REF!="","",Simulações!#REF!)</f>
        <v>#REF!</v>
      </c>
      <c r="N434" s="114" t="e">
        <f>IF(Simulações!#REF!="","",Simulações!#REF!)</f>
        <v>#REF!</v>
      </c>
      <c r="O434" s="114">
        <v>1</v>
      </c>
    </row>
    <row r="435" spans="1:15" ht="15.75" hidden="1" customHeight="1" x14ac:dyDescent="0.3">
      <c r="A435" s="124" t="e">
        <f>Simulações!#REF!</f>
        <v>#REF!</v>
      </c>
      <c r="B435" s="114" t="e">
        <f>Simulações!#REF!</f>
        <v>#REF!</v>
      </c>
      <c r="C435" s="125" t="e">
        <f>Simulações!#REF!</f>
        <v>#REF!</v>
      </c>
      <c r="D435" s="114" t="e">
        <f>Simulações!#REF!</f>
        <v>#REF!</v>
      </c>
      <c r="E435" s="114" t="e">
        <f>Simulações!#REF!</f>
        <v>#REF!</v>
      </c>
      <c r="F435" s="114" t="e">
        <f>Simulações!#REF!</f>
        <v>#REF!</v>
      </c>
      <c r="G435" s="114" t="e">
        <f>Simulações!#REF!</f>
        <v>#REF!</v>
      </c>
      <c r="H435" s="114" t="e">
        <f>Simulações!#REF!</f>
        <v>#REF!</v>
      </c>
      <c r="I435" s="114" t="e">
        <f>IF(Simulações!#REF!="","",Simulações!#REF!)</f>
        <v>#REF!</v>
      </c>
      <c r="J435" s="114" t="e">
        <f>IF(Simulações!#REF!="","",Simulações!#REF!)</f>
        <v>#REF!</v>
      </c>
      <c r="K435" s="117" t="e">
        <f>Simulações!#REF!</f>
        <v>#REF!</v>
      </c>
      <c r="L435" s="117" t="e">
        <f>Simulações!#REF!</f>
        <v>#REF!</v>
      </c>
      <c r="M435" s="114" t="e">
        <f>IF(Simulações!#REF!="","",Simulações!#REF!)</f>
        <v>#REF!</v>
      </c>
      <c r="N435" s="114" t="e">
        <f>IF(Simulações!#REF!="","",Simulações!#REF!)</f>
        <v>#REF!</v>
      </c>
      <c r="O435" s="114">
        <v>1</v>
      </c>
    </row>
    <row r="436" spans="1:15" ht="15.75" hidden="1" customHeight="1" x14ac:dyDescent="0.3">
      <c r="A436" s="124" t="e">
        <f>Simulações!#REF!</f>
        <v>#REF!</v>
      </c>
      <c r="B436" s="114" t="e">
        <f>Simulações!#REF!</f>
        <v>#REF!</v>
      </c>
      <c r="C436" s="125" t="e">
        <f>Simulações!#REF!</f>
        <v>#REF!</v>
      </c>
      <c r="D436" s="114" t="e">
        <f>Simulações!#REF!</f>
        <v>#REF!</v>
      </c>
      <c r="E436" s="114" t="e">
        <f>Simulações!#REF!</f>
        <v>#REF!</v>
      </c>
      <c r="F436" s="114" t="e">
        <f>Simulações!#REF!</f>
        <v>#REF!</v>
      </c>
      <c r="G436" s="114" t="e">
        <f>Simulações!#REF!</f>
        <v>#REF!</v>
      </c>
      <c r="H436" s="114" t="e">
        <f>Simulações!#REF!</f>
        <v>#REF!</v>
      </c>
      <c r="I436" s="114" t="e">
        <f>IF(Simulações!#REF!="","",Simulações!#REF!)</f>
        <v>#REF!</v>
      </c>
      <c r="J436" s="114" t="e">
        <f>IF(Simulações!#REF!="","",Simulações!#REF!)</f>
        <v>#REF!</v>
      </c>
      <c r="K436" s="117" t="e">
        <f>Simulações!#REF!</f>
        <v>#REF!</v>
      </c>
      <c r="L436" s="117" t="e">
        <f>Simulações!#REF!</f>
        <v>#REF!</v>
      </c>
      <c r="M436" s="114" t="e">
        <f>IF(Simulações!#REF!="","",Simulações!#REF!)</f>
        <v>#REF!</v>
      </c>
      <c r="N436" s="114" t="e">
        <f>IF(Simulações!#REF!="","",Simulações!#REF!)</f>
        <v>#REF!</v>
      </c>
      <c r="O436" s="114">
        <v>1</v>
      </c>
    </row>
    <row r="437" spans="1:15" ht="15.75" hidden="1" customHeight="1" x14ac:dyDescent="0.3">
      <c r="A437" s="124" t="e">
        <f>Simulações!#REF!</f>
        <v>#REF!</v>
      </c>
      <c r="B437" s="114" t="e">
        <f>Simulações!#REF!</f>
        <v>#REF!</v>
      </c>
      <c r="C437" s="125" t="e">
        <f>Simulações!#REF!</f>
        <v>#REF!</v>
      </c>
      <c r="D437" s="114" t="e">
        <f>Simulações!#REF!</f>
        <v>#REF!</v>
      </c>
      <c r="E437" s="114" t="e">
        <f>Simulações!#REF!</f>
        <v>#REF!</v>
      </c>
      <c r="F437" s="114" t="e">
        <f>Simulações!#REF!</f>
        <v>#REF!</v>
      </c>
      <c r="G437" s="114" t="e">
        <f>Simulações!#REF!</f>
        <v>#REF!</v>
      </c>
      <c r="H437" s="114" t="e">
        <f>Simulações!#REF!</f>
        <v>#REF!</v>
      </c>
      <c r="I437" s="114" t="e">
        <f>IF(Simulações!#REF!="","",Simulações!#REF!)</f>
        <v>#REF!</v>
      </c>
      <c r="J437" s="114" t="e">
        <f>IF(Simulações!#REF!="","",Simulações!#REF!)</f>
        <v>#REF!</v>
      </c>
      <c r="K437" s="117" t="e">
        <f>Simulações!#REF!</f>
        <v>#REF!</v>
      </c>
      <c r="L437" s="117" t="e">
        <f>Simulações!#REF!</f>
        <v>#REF!</v>
      </c>
      <c r="M437" s="114" t="e">
        <f>IF(Simulações!#REF!="","",Simulações!#REF!)</f>
        <v>#REF!</v>
      </c>
      <c r="N437" s="114" t="e">
        <f>IF(Simulações!#REF!="","",Simulações!#REF!)</f>
        <v>#REF!</v>
      </c>
      <c r="O437" s="114">
        <v>1</v>
      </c>
    </row>
    <row r="438" spans="1:15" ht="15.75" hidden="1" customHeight="1" x14ac:dyDescent="0.3">
      <c r="A438" s="124" t="e">
        <f>Simulações!#REF!</f>
        <v>#REF!</v>
      </c>
      <c r="B438" s="114" t="e">
        <f>Simulações!#REF!</f>
        <v>#REF!</v>
      </c>
      <c r="C438" s="125" t="e">
        <f>Simulações!#REF!</f>
        <v>#REF!</v>
      </c>
      <c r="D438" s="114" t="e">
        <f>Simulações!#REF!</f>
        <v>#REF!</v>
      </c>
      <c r="E438" s="114" t="e">
        <f>Simulações!#REF!</f>
        <v>#REF!</v>
      </c>
      <c r="F438" s="114" t="e">
        <f>Simulações!#REF!</f>
        <v>#REF!</v>
      </c>
      <c r="G438" s="114" t="e">
        <f>Simulações!#REF!</f>
        <v>#REF!</v>
      </c>
      <c r="H438" s="114" t="e">
        <f>Simulações!#REF!</f>
        <v>#REF!</v>
      </c>
      <c r="I438" s="114" t="e">
        <f>IF(Simulações!#REF!="","",Simulações!#REF!)</f>
        <v>#REF!</v>
      </c>
      <c r="J438" s="114" t="e">
        <f>IF(Simulações!#REF!="","",Simulações!#REF!)</f>
        <v>#REF!</v>
      </c>
      <c r="K438" s="117" t="e">
        <f>Simulações!#REF!</f>
        <v>#REF!</v>
      </c>
      <c r="L438" s="117" t="e">
        <f>Simulações!#REF!</f>
        <v>#REF!</v>
      </c>
      <c r="M438" s="114" t="e">
        <f>IF(Simulações!#REF!="","",Simulações!#REF!)</f>
        <v>#REF!</v>
      </c>
      <c r="N438" s="114" t="e">
        <f>IF(Simulações!#REF!="","",Simulações!#REF!)</f>
        <v>#REF!</v>
      </c>
      <c r="O438" s="114">
        <v>1</v>
      </c>
    </row>
    <row r="439" spans="1:15" ht="15.75" hidden="1" customHeight="1" x14ac:dyDescent="0.3">
      <c r="A439" s="124" t="e">
        <f>Simulações!#REF!</f>
        <v>#REF!</v>
      </c>
      <c r="B439" s="114" t="e">
        <f>Simulações!#REF!</f>
        <v>#REF!</v>
      </c>
      <c r="C439" s="125" t="e">
        <f>Simulações!#REF!</f>
        <v>#REF!</v>
      </c>
      <c r="D439" s="114" t="e">
        <f>Simulações!#REF!</f>
        <v>#REF!</v>
      </c>
      <c r="E439" s="114" t="e">
        <f>Simulações!#REF!</f>
        <v>#REF!</v>
      </c>
      <c r="F439" s="114" t="e">
        <f>Simulações!#REF!</f>
        <v>#REF!</v>
      </c>
      <c r="G439" s="114" t="e">
        <f>Simulações!#REF!</f>
        <v>#REF!</v>
      </c>
      <c r="H439" s="114" t="e">
        <f>Simulações!#REF!</f>
        <v>#REF!</v>
      </c>
      <c r="I439" s="114" t="e">
        <f>IF(Simulações!#REF!="","",Simulações!#REF!)</f>
        <v>#REF!</v>
      </c>
      <c r="J439" s="114" t="e">
        <f>IF(Simulações!#REF!="","",Simulações!#REF!)</f>
        <v>#REF!</v>
      </c>
      <c r="K439" s="117" t="e">
        <f>Simulações!#REF!</f>
        <v>#REF!</v>
      </c>
      <c r="L439" s="117" t="e">
        <f>Simulações!#REF!</f>
        <v>#REF!</v>
      </c>
      <c r="M439" s="114" t="e">
        <f>IF(Simulações!#REF!="","",Simulações!#REF!)</f>
        <v>#REF!</v>
      </c>
      <c r="N439" s="114" t="e">
        <f>IF(Simulações!#REF!="","",Simulações!#REF!)</f>
        <v>#REF!</v>
      </c>
      <c r="O439" s="114">
        <v>1</v>
      </c>
    </row>
    <row r="440" spans="1:15" ht="15.75" hidden="1" customHeight="1" x14ac:dyDescent="0.3">
      <c r="A440" s="124" t="e">
        <f>Simulações!#REF!</f>
        <v>#REF!</v>
      </c>
      <c r="B440" s="114" t="e">
        <f>Simulações!#REF!</f>
        <v>#REF!</v>
      </c>
      <c r="C440" s="125" t="e">
        <f>Simulações!#REF!</f>
        <v>#REF!</v>
      </c>
      <c r="D440" s="114" t="e">
        <f>Simulações!#REF!</f>
        <v>#REF!</v>
      </c>
      <c r="E440" s="114" t="e">
        <f>Simulações!#REF!</f>
        <v>#REF!</v>
      </c>
      <c r="F440" s="114" t="e">
        <f>Simulações!#REF!</f>
        <v>#REF!</v>
      </c>
      <c r="G440" s="114" t="e">
        <f>Simulações!#REF!</f>
        <v>#REF!</v>
      </c>
      <c r="H440" s="114" t="e">
        <f>Simulações!#REF!</f>
        <v>#REF!</v>
      </c>
      <c r="I440" s="114" t="e">
        <f>IF(Simulações!#REF!="","",Simulações!#REF!)</f>
        <v>#REF!</v>
      </c>
      <c r="J440" s="114" t="e">
        <f>IF(Simulações!#REF!="","",Simulações!#REF!)</f>
        <v>#REF!</v>
      </c>
      <c r="K440" s="117" t="e">
        <f>Simulações!#REF!</f>
        <v>#REF!</v>
      </c>
      <c r="L440" s="117" t="e">
        <f>Simulações!#REF!</f>
        <v>#REF!</v>
      </c>
      <c r="M440" s="114" t="e">
        <f>IF(Simulações!#REF!="","",Simulações!#REF!)</f>
        <v>#REF!</v>
      </c>
      <c r="N440" s="114" t="e">
        <f>IF(Simulações!#REF!="","",Simulações!#REF!)</f>
        <v>#REF!</v>
      </c>
      <c r="O440" s="114">
        <v>1</v>
      </c>
    </row>
    <row r="441" spans="1:15" ht="15.75" hidden="1" customHeight="1" x14ac:dyDescent="0.3">
      <c r="A441" s="124" t="e">
        <f>Simulações!#REF!</f>
        <v>#REF!</v>
      </c>
      <c r="B441" s="114" t="e">
        <f>Simulações!#REF!</f>
        <v>#REF!</v>
      </c>
      <c r="C441" s="125" t="e">
        <f>Simulações!#REF!</f>
        <v>#REF!</v>
      </c>
      <c r="D441" s="114" t="e">
        <f>Simulações!#REF!</f>
        <v>#REF!</v>
      </c>
      <c r="E441" s="114" t="e">
        <f>Simulações!#REF!</f>
        <v>#REF!</v>
      </c>
      <c r="F441" s="114" t="e">
        <f>Simulações!#REF!</f>
        <v>#REF!</v>
      </c>
      <c r="G441" s="114" t="e">
        <f>Simulações!#REF!</f>
        <v>#REF!</v>
      </c>
      <c r="H441" s="114" t="e">
        <f>Simulações!#REF!</f>
        <v>#REF!</v>
      </c>
      <c r="I441" s="114" t="e">
        <f>IF(Simulações!#REF!="","",Simulações!#REF!)</f>
        <v>#REF!</v>
      </c>
      <c r="J441" s="114" t="e">
        <f>IF(Simulações!#REF!="","",Simulações!#REF!)</f>
        <v>#REF!</v>
      </c>
      <c r="K441" s="117" t="e">
        <f>Simulações!#REF!</f>
        <v>#REF!</v>
      </c>
      <c r="L441" s="117" t="e">
        <f>Simulações!#REF!</f>
        <v>#REF!</v>
      </c>
      <c r="M441" s="114" t="e">
        <f>IF(Simulações!#REF!="","",Simulações!#REF!)</f>
        <v>#REF!</v>
      </c>
      <c r="N441" s="114" t="e">
        <f>IF(Simulações!#REF!="","",Simulações!#REF!)</f>
        <v>#REF!</v>
      </c>
      <c r="O441" s="114">
        <v>1</v>
      </c>
    </row>
    <row r="442" spans="1:15" ht="15.75" hidden="1" customHeight="1" x14ac:dyDescent="0.3">
      <c r="A442" s="124" t="e">
        <f>Simulações!#REF!</f>
        <v>#REF!</v>
      </c>
      <c r="B442" s="114" t="e">
        <f>Simulações!#REF!</f>
        <v>#REF!</v>
      </c>
      <c r="C442" s="125" t="e">
        <f>Simulações!#REF!</f>
        <v>#REF!</v>
      </c>
      <c r="D442" s="114" t="e">
        <f>Simulações!#REF!</f>
        <v>#REF!</v>
      </c>
      <c r="E442" s="114" t="e">
        <f>Simulações!#REF!</f>
        <v>#REF!</v>
      </c>
      <c r="F442" s="114" t="e">
        <f>Simulações!#REF!</f>
        <v>#REF!</v>
      </c>
      <c r="G442" s="114" t="e">
        <f>Simulações!#REF!</f>
        <v>#REF!</v>
      </c>
      <c r="H442" s="114" t="e">
        <f>Simulações!#REF!</f>
        <v>#REF!</v>
      </c>
      <c r="I442" s="114" t="e">
        <f>IF(Simulações!#REF!="","",Simulações!#REF!)</f>
        <v>#REF!</v>
      </c>
      <c r="J442" s="114" t="e">
        <f>IF(Simulações!#REF!="","",Simulações!#REF!)</f>
        <v>#REF!</v>
      </c>
      <c r="K442" s="117" t="e">
        <f>Simulações!#REF!</f>
        <v>#REF!</v>
      </c>
      <c r="L442" s="117" t="e">
        <f>Simulações!#REF!</f>
        <v>#REF!</v>
      </c>
      <c r="M442" s="114" t="e">
        <f>IF(Simulações!#REF!="","",Simulações!#REF!)</f>
        <v>#REF!</v>
      </c>
      <c r="N442" s="114" t="e">
        <f>IF(Simulações!#REF!="","",Simulações!#REF!)</f>
        <v>#REF!</v>
      </c>
      <c r="O442" s="114">
        <v>1</v>
      </c>
    </row>
    <row r="443" spans="1:15" ht="15.75" hidden="1" customHeight="1" x14ac:dyDescent="0.3">
      <c r="A443" s="124" t="e">
        <f>Simulações!#REF!</f>
        <v>#REF!</v>
      </c>
      <c r="B443" s="114" t="e">
        <f>Simulações!#REF!</f>
        <v>#REF!</v>
      </c>
      <c r="C443" s="125" t="e">
        <f>Simulações!#REF!</f>
        <v>#REF!</v>
      </c>
      <c r="D443" s="114" t="e">
        <f>Simulações!#REF!</f>
        <v>#REF!</v>
      </c>
      <c r="E443" s="114" t="e">
        <f>Simulações!#REF!</f>
        <v>#REF!</v>
      </c>
      <c r="F443" s="114" t="e">
        <f>Simulações!#REF!</f>
        <v>#REF!</v>
      </c>
      <c r="G443" s="114" t="e">
        <f>Simulações!#REF!</f>
        <v>#REF!</v>
      </c>
      <c r="H443" s="114" t="e">
        <f>Simulações!#REF!</f>
        <v>#REF!</v>
      </c>
      <c r="I443" s="114" t="e">
        <f>IF(Simulações!#REF!="","",Simulações!#REF!)</f>
        <v>#REF!</v>
      </c>
      <c r="J443" s="114" t="e">
        <f>IF(Simulações!#REF!="","",Simulações!#REF!)</f>
        <v>#REF!</v>
      </c>
      <c r="K443" s="117" t="e">
        <f>Simulações!#REF!</f>
        <v>#REF!</v>
      </c>
      <c r="L443" s="117" t="e">
        <f>Simulações!#REF!</f>
        <v>#REF!</v>
      </c>
      <c r="M443" s="114" t="e">
        <f>IF(Simulações!#REF!="","",Simulações!#REF!)</f>
        <v>#REF!</v>
      </c>
      <c r="N443" s="114" t="e">
        <f>IF(Simulações!#REF!="","",Simulações!#REF!)</f>
        <v>#REF!</v>
      </c>
      <c r="O443" s="114">
        <v>1</v>
      </c>
    </row>
    <row r="444" spans="1:15" ht="15.75" hidden="1" customHeight="1" x14ac:dyDescent="0.3">
      <c r="A444" s="124" t="e">
        <f>Simulações!#REF!</f>
        <v>#REF!</v>
      </c>
      <c r="B444" s="114" t="e">
        <f>Simulações!#REF!</f>
        <v>#REF!</v>
      </c>
      <c r="C444" s="125" t="e">
        <f>Simulações!#REF!</f>
        <v>#REF!</v>
      </c>
      <c r="D444" s="114" t="e">
        <f>Simulações!#REF!</f>
        <v>#REF!</v>
      </c>
      <c r="E444" s="114" t="e">
        <f>Simulações!#REF!</f>
        <v>#REF!</v>
      </c>
      <c r="F444" s="114" t="e">
        <f>Simulações!#REF!</f>
        <v>#REF!</v>
      </c>
      <c r="G444" s="114" t="e">
        <f>Simulações!#REF!</f>
        <v>#REF!</v>
      </c>
      <c r="H444" s="114" t="e">
        <f>Simulações!#REF!</f>
        <v>#REF!</v>
      </c>
      <c r="I444" s="114" t="e">
        <f>IF(Simulações!#REF!="","",Simulações!#REF!)</f>
        <v>#REF!</v>
      </c>
      <c r="J444" s="114" t="e">
        <f>IF(Simulações!#REF!="","",Simulações!#REF!)</f>
        <v>#REF!</v>
      </c>
      <c r="K444" s="117" t="e">
        <f>Simulações!#REF!</f>
        <v>#REF!</v>
      </c>
      <c r="L444" s="117" t="e">
        <f>Simulações!#REF!</f>
        <v>#REF!</v>
      </c>
      <c r="M444" s="114" t="e">
        <f>IF(Simulações!#REF!="","",Simulações!#REF!)</f>
        <v>#REF!</v>
      </c>
      <c r="N444" s="114" t="e">
        <f>IF(Simulações!#REF!="","",Simulações!#REF!)</f>
        <v>#REF!</v>
      </c>
      <c r="O444" s="114">
        <v>1</v>
      </c>
    </row>
    <row r="445" spans="1:15" ht="15.75" hidden="1" customHeight="1" x14ac:dyDescent="0.3">
      <c r="A445" s="124" t="e">
        <f>Simulações!#REF!</f>
        <v>#REF!</v>
      </c>
      <c r="B445" s="114" t="e">
        <f>Simulações!#REF!</f>
        <v>#REF!</v>
      </c>
      <c r="C445" s="125" t="e">
        <f>Simulações!#REF!</f>
        <v>#REF!</v>
      </c>
      <c r="D445" s="114" t="e">
        <f>Simulações!#REF!</f>
        <v>#REF!</v>
      </c>
      <c r="E445" s="114" t="e">
        <f>Simulações!#REF!</f>
        <v>#REF!</v>
      </c>
      <c r="F445" s="114" t="e">
        <f>Simulações!#REF!</f>
        <v>#REF!</v>
      </c>
      <c r="G445" s="114" t="e">
        <f>Simulações!#REF!</f>
        <v>#REF!</v>
      </c>
      <c r="H445" s="114" t="e">
        <f>Simulações!#REF!</f>
        <v>#REF!</v>
      </c>
      <c r="I445" s="114" t="e">
        <f>IF(Simulações!#REF!="","",Simulações!#REF!)</f>
        <v>#REF!</v>
      </c>
      <c r="J445" s="114" t="e">
        <f>IF(Simulações!#REF!="","",Simulações!#REF!)</f>
        <v>#REF!</v>
      </c>
      <c r="K445" s="117" t="e">
        <f>Simulações!#REF!</f>
        <v>#REF!</v>
      </c>
      <c r="L445" s="117" t="e">
        <f>Simulações!#REF!</f>
        <v>#REF!</v>
      </c>
      <c r="M445" s="114" t="e">
        <f>IF(Simulações!#REF!="","",Simulações!#REF!)</f>
        <v>#REF!</v>
      </c>
      <c r="N445" s="114" t="e">
        <f>IF(Simulações!#REF!="","",Simulações!#REF!)</f>
        <v>#REF!</v>
      </c>
      <c r="O445" s="114">
        <v>1</v>
      </c>
    </row>
    <row r="446" spans="1:15" ht="15.75" hidden="1" customHeight="1" x14ac:dyDescent="0.3">
      <c r="A446" s="124" t="e">
        <f>Simulações!#REF!</f>
        <v>#REF!</v>
      </c>
      <c r="B446" s="114" t="e">
        <f>Simulações!#REF!</f>
        <v>#REF!</v>
      </c>
      <c r="C446" s="125" t="e">
        <f>Simulações!#REF!</f>
        <v>#REF!</v>
      </c>
      <c r="D446" s="114" t="e">
        <f>Simulações!#REF!</f>
        <v>#REF!</v>
      </c>
      <c r="E446" s="114" t="e">
        <f>Simulações!#REF!</f>
        <v>#REF!</v>
      </c>
      <c r="F446" s="114" t="e">
        <f>Simulações!#REF!</f>
        <v>#REF!</v>
      </c>
      <c r="G446" s="114" t="e">
        <f>Simulações!#REF!</f>
        <v>#REF!</v>
      </c>
      <c r="H446" s="114" t="e">
        <f>Simulações!#REF!</f>
        <v>#REF!</v>
      </c>
      <c r="I446" s="114" t="e">
        <f>IF(Simulações!#REF!="","",Simulações!#REF!)</f>
        <v>#REF!</v>
      </c>
      <c r="J446" s="114" t="e">
        <f>IF(Simulações!#REF!="","",Simulações!#REF!)</f>
        <v>#REF!</v>
      </c>
      <c r="K446" s="117" t="e">
        <f>Simulações!#REF!</f>
        <v>#REF!</v>
      </c>
      <c r="L446" s="117" t="e">
        <f>Simulações!#REF!</f>
        <v>#REF!</v>
      </c>
      <c r="M446" s="114" t="e">
        <f>IF(Simulações!#REF!="","",Simulações!#REF!)</f>
        <v>#REF!</v>
      </c>
      <c r="N446" s="114" t="e">
        <f>IF(Simulações!#REF!="","",Simulações!#REF!)</f>
        <v>#REF!</v>
      </c>
      <c r="O446" s="114">
        <v>1</v>
      </c>
    </row>
    <row r="447" spans="1:15" ht="15.75" hidden="1" customHeight="1" x14ac:dyDescent="0.3">
      <c r="A447" s="124" t="e">
        <f>Simulações!#REF!</f>
        <v>#REF!</v>
      </c>
      <c r="B447" s="114" t="e">
        <f>Simulações!#REF!</f>
        <v>#REF!</v>
      </c>
      <c r="C447" s="125" t="e">
        <f>Simulações!#REF!</f>
        <v>#REF!</v>
      </c>
      <c r="D447" s="114" t="e">
        <f>Simulações!#REF!</f>
        <v>#REF!</v>
      </c>
      <c r="E447" s="114" t="e">
        <f>Simulações!#REF!</f>
        <v>#REF!</v>
      </c>
      <c r="F447" s="114" t="e">
        <f>Simulações!#REF!</f>
        <v>#REF!</v>
      </c>
      <c r="G447" s="114" t="e">
        <f>Simulações!#REF!</f>
        <v>#REF!</v>
      </c>
      <c r="H447" s="114" t="e">
        <f>Simulações!#REF!</f>
        <v>#REF!</v>
      </c>
      <c r="I447" s="114" t="e">
        <f>IF(Simulações!#REF!="","",Simulações!#REF!)</f>
        <v>#REF!</v>
      </c>
      <c r="J447" s="114" t="e">
        <f>IF(Simulações!#REF!="","",Simulações!#REF!)</f>
        <v>#REF!</v>
      </c>
      <c r="K447" s="117" t="e">
        <f>Simulações!#REF!</f>
        <v>#REF!</v>
      </c>
      <c r="L447" s="117" t="e">
        <f>Simulações!#REF!</f>
        <v>#REF!</v>
      </c>
      <c r="M447" s="114" t="e">
        <f>IF(Simulações!#REF!="","",Simulações!#REF!)</f>
        <v>#REF!</v>
      </c>
      <c r="N447" s="114" t="e">
        <f>IF(Simulações!#REF!="","",Simulações!#REF!)</f>
        <v>#REF!</v>
      </c>
      <c r="O447" s="114">
        <v>1</v>
      </c>
    </row>
    <row r="448" spans="1:15" ht="15.75" hidden="1" customHeight="1" x14ac:dyDescent="0.3">
      <c r="A448" s="124" t="e">
        <f>Simulações!#REF!</f>
        <v>#REF!</v>
      </c>
      <c r="B448" s="114" t="e">
        <f>Simulações!#REF!</f>
        <v>#REF!</v>
      </c>
      <c r="C448" s="125" t="e">
        <f>Simulações!#REF!</f>
        <v>#REF!</v>
      </c>
      <c r="D448" s="114" t="e">
        <f>Simulações!#REF!</f>
        <v>#REF!</v>
      </c>
      <c r="E448" s="114" t="e">
        <f>Simulações!#REF!</f>
        <v>#REF!</v>
      </c>
      <c r="F448" s="114" t="e">
        <f>Simulações!#REF!</f>
        <v>#REF!</v>
      </c>
      <c r="G448" s="114" t="e">
        <f>Simulações!#REF!</f>
        <v>#REF!</v>
      </c>
      <c r="H448" s="114" t="e">
        <f>Simulações!#REF!</f>
        <v>#REF!</v>
      </c>
      <c r="I448" s="114" t="e">
        <f>IF(Simulações!#REF!="","",Simulações!#REF!)</f>
        <v>#REF!</v>
      </c>
      <c r="J448" s="114" t="e">
        <f>IF(Simulações!#REF!="","",Simulações!#REF!)</f>
        <v>#REF!</v>
      </c>
      <c r="K448" s="117" t="e">
        <f>Simulações!#REF!</f>
        <v>#REF!</v>
      </c>
      <c r="L448" s="117" t="e">
        <f>Simulações!#REF!</f>
        <v>#REF!</v>
      </c>
      <c r="M448" s="114" t="e">
        <f>IF(Simulações!#REF!="","",Simulações!#REF!)</f>
        <v>#REF!</v>
      </c>
      <c r="N448" s="114" t="e">
        <f>IF(Simulações!#REF!="","",Simulações!#REF!)</f>
        <v>#REF!</v>
      </c>
      <c r="O448" s="114">
        <v>1</v>
      </c>
    </row>
    <row r="449" spans="1:15" ht="15.75" hidden="1" customHeight="1" x14ac:dyDescent="0.3">
      <c r="A449" s="124" t="e">
        <f>Simulações!#REF!</f>
        <v>#REF!</v>
      </c>
      <c r="B449" s="114" t="e">
        <f>Simulações!#REF!</f>
        <v>#REF!</v>
      </c>
      <c r="C449" s="125" t="e">
        <f>Simulações!#REF!</f>
        <v>#REF!</v>
      </c>
      <c r="D449" s="114" t="e">
        <f>Simulações!#REF!</f>
        <v>#REF!</v>
      </c>
      <c r="E449" s="114" t="e">
        <f>Simulações!#REF!</f>
        <v>#REF!</v>
      </c>
      <c r="F449" s="114" t="e">
        <f>Simulações!#REF!</f>
        <v>#REF!</v>
      </c>
      <c r="G449" s="114" t="e">
        <f>Simulações!#REF!</f>
        <v>#REF!</v>
      </c>
      <c r="H449" s="114" t="e">
        <f>Simulações!#REF!</f>
        <v>#REF!</v>
      </c>
      <c r="I449" s="114" t="e">
        <f>IF(Simulações!#REF!="","",Simulações!#REF!)</f>
        <v>#REF!</v>
      </c>
      <c r="J449" s="114" t="e">
        <f>IF(Simulações!#REF!="","",Simulações!#REF!)</f>
        <v>#REF!</v>
      </c>
      <c r="K449" s="117" t="e">
        <f>Simulações!#REF!</f>
        <v>#REF!</v>
      </c>
      <c r="L449" s="117" t="e">
        <f>Simulações!#REF!</f>
        <v>#REF!</v>
      </c>
      <c r="M449" s="114" t="e">
        <f>IF(Simulações!#REF!="","",Simulações!#REF!)</f>
        <v>#REF!</v>
      </c>
      <c r="N449" s="114" t="e">
        <f>IF(Simulações!#REF!="","",Simulações!#REF!)</f>
        <v>#REF!</v>
      </c>
      <c r="O449" s="114">
        <v>1</v>
      </c>
    </row>
    <row r="450" spans="1:15" ht="15.75" hidden="1" customHeight="1" x14ac:dyDescent="0.3">
      <c r="A450" s="124" t="e">
        <f>Simulações!#REF!</f>
        <v>#REF!</v>
      </c>
      <c r="B450" s="114" t="e">
        <f>Simulações!#REF!</f>
        <v>#REF!</v>
      </c>
      <c r="C450" s="125" t="e">
        <f>Simulações!#REF!</f>
        <v>#REF!</v>
      </c>
      <c r="D450" s="114" t="e">
        <f>Simulações!#REF!</f>
        <v>#REF!</v>
      </c>
      <c r="E450" s="114" t="e">
        <f>Simulações!#REF!</f>
        <v>#REF!</v>
      </c>
      <c r="F450" s="114" t="e">
        <f>Simulações!#REF!</f>
        <v>#REF!</v>
      </c>
      <c r="G450" s="114" t="e">
        <f>Simulações!#REF!</f>
        <v>#REF!</v>
      </c>
      <c r="H450" s="114" t="e">
        <f>Simulações!#REF!</f>
        <v>#REF!</v>
      </c>
      <c r="I450" s="114" t="e">
        <f>IF(Simulações!#REF!="","",Simulações!#REF!)</f>
        <v>#REF!</v>
      </c>
      <c r="J450" s="114" t="e">
        <f>IF(Simulações!#REF!="","",Simulações!#REF!)</f>
        <v>#REF!</v>
      </c>
      <c r="K450" s="117" t="e">
        <f>Simulações!#REF!</f>
        <v>#REF!</v>
      </c>
      <c r="L450" s="117" t="e">
        <f>Simulações!#REF!</f>
        <v>#REF!</v>
      </c>
      <c r="M450" s="114" t="e">
        <f>IF(Simulações!#REF!="","",Simulações!#REF!)</f>
        <v>#REF!</v>
      </c>
      <c r="N450" s="114" t="e">
        <f>IF(Simulações!#REF!="","",Simulações!#REF!)</f>
        <v>#REF!</v>
      </c>
      <c r="O450" s="114">
        <v>1</v>
      </c>
    </row>
    <row r="451" spans="1:15" ht="15.75" hidden="1" customHeight="1" x14ac:dyDescent="0.3">
      <c r="A451" s="124" t="e">
        <f>Simulações!#REF!</f>
        <v>#REF!</v>
      </c>
      <c r="B451" s="114" t="e">
        <f>Simulações!#REF!</f>
        <v>#REF!</v>
      </c>
      <c r="C451" s="125" t="e">
        <f>Simulações!#REF!</f>
        <v>#REF!</v>
      </c>
      <c r="D451" s="114" t="e">
        <f>Simulações!#REF!</f>
        <v>#REF!</v>
      </c>
      <c r="E451" s="114" t="e">
        <f>Simulações!#REF!</f>
        <v>#REF!</v>
      </c>
      <c r="F451" s="114" t="e">
        <f>Simulações!#REF!</f>
        <v>#REF!</v>
      </c>
      <c r="G451" s="114" t="e">
        <f>Simulações!#REF!</f>
        <v>#REF!</v>
      </c>
      <c r="H451" s="114" t="e">
        <f>Simulações!#REF!</f>
        <v>#REF!</v>
      </c>
      <c r="I451" s="114" t="e">
        <f>IF(Simulações!#REF!="","",Simulações!#REF!)</f>
        <v>#REF!</v>
      </c>
      <c r="J451" s="114" t="e">
        <f>IF(Simulações!#REF!="","",Simulações!#REF!)</f>
        <v>#REF!</v>
      </c>
      <c r="K451" s="117" t="e">
        <f>Simulações!#REF!</f>
        <v>#REF!</v>
      </c>
      <c r="L451" s="117" t="e">
        <f>Simulações!#REF!</f>
        <v>#REF!</v>
      </c>
      <c r="M451" s="114" t="e">
        <f>IF(Simulações!#REF!="","",Simulações!#REF!)</f>
        <v>#REF!</v>
      </c>
      <c r="N451" s="114" t="e">
        <f>IF(Simulações!#REF!="","",Simulações!#REF!)</f>
        <v>#REF!</v>
      </c>
      <c r="O451" s="114">
        <v>1</v>
      </c>
    </row>
    <row r="452" spans="1:15" ht="15.75" hidden="1" customHeight="1" x14ac:dyDescent="0.3">
      <c r="A452" s="124" t="e">
        <f>Simulações!#REF!</f>
        <v>#REF!</v>
      </c>
      <c r="B452" s="114" t="e">
        <f>Simulações!#REF!</f>
        <v>#REF!</v>
      </c>
      <c r="C452" s="125" t="e">
        <f>Simulações!#REF!</f>
        <v>#REF!</v>
      </c>
      <c r="D452" s="114" t="e">
        <f>Simulações!#REF!</f>
        <v>#REF!</v>
      </c>
      <c r="E452" s="114" t="e">
        <f>Simulações!#REF!</f>
        <v>#REF!</v>
      </c>
      <c r="F452" s="114" t="e">
        <f>Simulações!#REF!</f>
        <v>#REF!</v>
      </c>
      <c r="G452" s="114" t="e">
        <f>Simulações!#REF!</f>
        <v>#REF!</v>
      </c>
      <c r="H452" s="114" t="e">
        <f>Simulações!#REF!</f>
        <v>#REF!</v>
      </c>
      <c r="I452" s="114" t="e">
        <f>IF(Simulações!#REF!="","",Simulações!#REF!)</f>
        <v>#REF!</v>
      </c>
      <c r="J452" s="114" t="e">
        <f>IF(Simulações!#REF!="","",Simulações!#REF!)</f>
        <v>#REF!</v>
      </c>
      <c r="K452" s="117" t="e">
        <f>Simulações!#REF!</f>
        <v>#REF!</v>
      </c>
      <c r="L452" s="117" t="e">
        <f>Simulações!#REF!</f>
        <v>#REF!</v>
      </c>
      <c r="M452" s="114" t="e">
        <f>IF(Simulações!#REF!="","",Simulações!#REF!)</f>
        <v>#REF!</v>
      </c>
      <c r="N452" s="114" t="e">
        <f>IF(Simulações!#REF!="","",Simulações!#REF!)</f>
        <v>#REF!</v>
      </c>
      <c r="O452" s="114">
        <v>1</v>
      </c>
    </row>
    <row r="453" spans="1:15" ht="15.75" hidden="1" customHeight="1" x14ac:dyDescent="0.3">
      <c r="A453" s="124" t="e">
        <f>Simulações!#REF!</f>
        <v>#REF!</v>
      </c>
      <c r="B453" s="114" t="e">
        <f>Simulações!#REF!</f>
        <v>#REF!</v>
      </c>
      <c r="C453" s="125" t="e">
        <f>Simulações!#REF!</f>
        <v>#REF!</v>
      </c>
      <c r="D453" s="114" t="e">
        <f>Simulações!#REF!</f>
        <v>#REF!</v>
      </c>
      <c r="E453" s="114" t="e">
        <f>Simulações!#REF!</f>
        <v>#REF!</v>
      </c>
      <c r="F453" s="114" t="e">
        <f>Simulações!#REF!</f>
        <v>#REF!</v>
      </c>
      <c r="G453" s="114" t="e">
        <f>Simulações!#REF!</f>
        <v>#REF!</v>
      </c>
      <c r="H453" s="114" t="e">
        <f>Simulações!#REF!</f>
        <v>#REF!</v>
      </c>
      <c r="I453" s="114" t="e">
        <f>IF(Simulações!#REF!="","",Simulações!#REF!)</f>
        <v>#REF!</v>
      </c>
      <c r="J453" s="114" t="e">
        <f>IF(Simulações!#REF!="","",Simulações!#REF!)</f>
        <v>#REF!</v>
      </c>
      <c r="K453" s="117" t="e">
        <f>Simulações!#REF!</f>
        <v>#REF!</v>
      </c>
      <c r="L453" s="117" t="e">
        <f>Simulações!#REF!</f>
        <v>#REF!</v>
      </c>
      <c r="M453" s="114" t="e">
        <f>IF(Simulações!#REF!="","",Simulações!#REF!)</f>
        <v>#REF!</v>
      </c>
      <c r="N453" s="114" t="e">
        <f>IF(Simulações!#REF!="","",Simulações!#REF!)</f>
        <v>#REF!</v>
      </c>
      <c r="O453" s="114">
        <v>1</v>
      </c>
    </row>
    <row r="454" spans="1:15" ht="15.75" hidden="1" customHeight="1" x14ac:dyDescent="0.3">
      <c r="A454" s="124" t="e">
        <f>Simulações!#REF!</f>
        <v>#REF!</v>
      </c>
      <c r="B454" s="114" t="e">
        <f>Simulações!#REF!</f>
        <v>#REF!</v>
      </c>
      <c r="C454" s="125" t="e">
        <f>Simulações!#REF!</f>
        <v>#REF!</v>
      </c>
      <c r="D454" s="114" t="e">
        <f>Simulações!#REF!</f>
        <v>#REF!</v>
      </c>
      <c r="E454" s="114" t="e">
        <f>Simulações!#REF!</f>
        <v>#REF!</v>
      </c>
      <c r="F454" s="114" t="e">
        <f>Simulações!#REF!</f>
        <v>#REF!</v>
      </c>
      <c r="G454" s="114" t="e">
        <f>Simulações!#REF!</f>
        <v>#REF!</v>
      </c>
      <c r="H454" s="114" t="e">
        <f>Simulações!#REF!</f>
        <v>#REF!</v>
      </c>
      <c r="I454" s="114" t="e">
        <f>IF(Simulações!#REF!="","",Simulações!#REF!)</f>
        <v>#REF!</v>
      </c>
      <c r="J454" s="114" t="e">
        <f>IF(Simulações!#REF!="","",Simulações!#REF!)</f>
        <v>#REF!</v>
      </c>
      <c r="K454" s="117" t="e">
        <f>Simulações!#REF!</f>
        <v>#REF!</v>
      </c>
      <c r="L454" s="117" t="e">
        <f>Simulações!#REF!</f>
        <v>#REF!</v>
      </c>
      <c r="M454" s="114" t="e">
        <f>IF(Simulações!#REF!="","",Simulações!#REF!)</f>
        <v>#REF!</v>
      </c>
      <c r="N454" s="114" t="e">
        <f>IF(Simulações!#REF!="","",Simulações!#REF!)</f>
        <v>#REF!</v>
      </c>
      <c r="O454" s="114">
        <v>1</v>
      </c>
    </row>
    <row r="455" spans="1:15" ht="15.75" hidden="1" customHeight="1" x14ac:dyDescent="0.3">
      <c r="A455" s="124" t="e">
        <f>Simulações!#REF!</f>
        <v>#REF!</v>
      </c>
      <c r="B455" s="114" t="e">
        <f>Simulações!#REF!</f>
        <v>#REF!</v>
      </c>
      <c r="C455" s="125" t="e">
        <f>Simulações!#REF!</f>
        <v>#REF!</v>
      </c>
      <c r="D455" s="114" t="e">
        <f>Simulações!#REF!</f>
        <v>#REF!</v>
      </c>
      <c r="E455" s="114" t="e">
        <f>Simulações!#REF!</f>
        <v>#REF!</v>
      </c>
      <c r="F455" s="114" t="e">
        <f>Simulações!#REF!</f>
        <v>#REF!</v>
      </c>
      <c r="G455" s="114" t="e">
        <f>Simulações!#REF!</f>
        <v>#REF!</v>
      </c>
      <c r="H455" s="114" t="e">
        <f>Simulações!#REF!</f>
        <v>#REF!</v>
      </c>
      <c r="I455" s="114" t="e">
        <f>IF(Simulações!#REF!="","",Simulações!#REF!)</f>
        <v>#REF!</v>
      </c>
      <c r="J455" s="114" t="e">
        <f>IF(Simulações!#REF!="","",Simulações!#REF!)</f>
        <v>#REF!</v>
      </c>
      <c r="K455" s="117" t="e">
        <f>Simulações!#REF!</f>
        <v>#REF!</v>
      </c>
      <c r="L455" s="117" t="e">
        <f>Simulações!#REF!</f>
        <v>#REF!</v>
      </c>
      <c r="M455" s="114" t="e">
        <f>IF(Simulações!#REF!="","",Simulações!#REF!)</f>
        <v>#REF!</v>
      </c>
      <c r="N455" s="114" t="e">
        <f>IF(Simulações!#REF!="","",Simulações!#REF!)</f>
        <v>#REF!</v>
      </c>
      <c r="O455" s="114">
        <v>1</v>
      </c>
    </row>
    <row r="456" spans="1:15" ht="15.75" hidden="1" customHeight="1" x14ac:dyDescent="0.3">
      <c r="A456" s="124" t="e">
        <f>Simulações!#REF!</f>
        <v>#REF!</v>
      </c>
      <c r="B456" s="114" t="e">
        <f>Simulações!#REF!</f>
        <v>#REF!</v>
      </c>
      <c r="C456" s="125" t="e">
        <f>Simulações!#REF!</f>
        <v>#REF!</v>
      </c>
      <c r="D456" s="114" t="e">
        <f>Simulações!#REF!</f>
        <v>#REF!</v>
      </c>
      <c r="E456" s="114" t="e">
        <f>Simulações!#REF!</f>
        <v>#REF!</v>
      </c>
      <c r="F456" s="114" t="e">
        <f>Simulações!#REF!</f>
        <v>#REF!</v>
      </c>
      <c r="G456" s="114" t="e">
        <f>Simulações!#REF!</f>
        <v>#REF!</v>
      </c>
      <c r="H456" s="114" t="e">
        <f>Simulações!#REF!</f>
        <v>#REF!</v>
      </c>
      <c r="I456" s="114" t="e">
        <f>IF(Simulações!#REF!="","",Simulações!#REF!)</f>
        <v>#REF!</v>
      </c>
      <c r="J456" s="114" t="e">
        <f>IF(Simulações!#REF!="","",Simulações!#REF!)</f>
        <v>#REF!</v>
      </c>
      <c r="K456" s="117" t="e">
        <f>Simulações!#REF!</f>
        <v>#REF!</v>
      </c>
      <c r="L456" s="117" t="e">
        <f>Simulações!#REF!</f>
        <v>#REF!</v>
      </c>
      <c r="M456" s="114" t="e">
        <f>IF(Simulações!#REF!="","",Simulações!#REF!)</f>
        <v>#REF!</v>
      </c>
      <c r="N456" s="114" t="e">
        <f>IF(Simulações!#REF!="","",Simulações!#REF!)</f>
        <v>#REF!</v>
      </c>
      <c r="O456" s="114">
        <v>1</v>
      </c>
    </row>
    <row r="457" spans="1:15" ht="15.75" hidden="1" customHeight="1" x14ac:dyDescent="0.3">
      <c r="A457" s="124" t="e">
        <f>Simulações!#REF!</f>
        <v>#REF!</v>
      </c>
      <c r="B457" s="114" t="e">
        <f>Simulações!#REF!</f>
        <v>#REF!</v>
      </c>
      <c r="C457" s="125" t="e">
        <f>Simulações!#REF!</f>
        <v>#REF!</v>
      </c>
      <c r="D457" s="114" t="e">
        <f>Simulações!#REF!</f>
        <v>#REF!</v>
      </c>
      <c r="E457" s="114" t="e">
        <f>Simulações!#REF!</f>
        <v>#REF!</v>
      </c>
      <c r="F457" s="114" t="e">
        <f>Simulações!#REF!</f>
        <v>#REF!</v>
      </c>
      <c r="G457" s="114" t="e">
        <f>Simulações!#REF!</f>
        <v>#REF!</v>
      </c>
      <c r="H457" s="114" t="e">
        <f>Simulações!#REF!</f>
        <v>#REF!</v>
      </c>
      <c r="I457" s="114" t="e">
        <f>IF(Simulações!#REF!="","",Simulações!#REF!)</f>
        <v>#REF!</v>
      </c>
      <c r="J457" s="114" t="e">
        <f>IF(Simulações!#REF!="","",Simulações!#REF!)</f>
        <v>#REF!</v>
      </c>
      <c r="K457" s="117" t="e">
        <f>Simulações!#REF!</f>
        <v>#REF!</v>
      </c>
      <c r="L457" s="117" t="e">
        <f>Simulações!#REF!</f>
        <v>#REF!</v>
      </c>
      <c r="M457" s="114" t="e">
        <f>IF(Simulações!#REF!="","",Simulações!#REF!)</f>
        <v>#REF!</v>
      </c>
      <c r="N457" s="114" t="e">
        <f>IF(Simulações!#REF!="","",Simulações!#REF!)</f>
        <v>#REF!</v>
      </c>
      <c r="O457" s="114">
        <v>1</v>
      </c>
    </row>
    <row r="458" spans="1:15" ht="15.75" hidden="1" customHeight="1" x14ac:dyDescent="0.3">
      <c r="A458" s="124" t="e">
        <f>Simulações!#REF!</f>
        <v>#REF!</v>
      </c>
      <c r="B458" s="114" t="e">
        <f>Simulações!#REF!</f>
        <v>#REF!</v>
      </c>
      <c r="C458" s="125" t="e">
        <f>Simulações!#REF!</f>
        <v>#REF!</v>
      </c>
      <c r="D458" s="114" t="e">
        <f>Simulações!#REF!</f>
        <v>#REF!</v>
      </c>
      <c r="E458" s="114" t="e">
        <f>Simulações!#REF!</f>
        <v>#REF!</v>
      </c>
      <c r="F458" s="114" t="e">
        <f>Simulações!#REF!</f>
        <v>#REF!</v>
      </c>
      <c r="G458" s="114" t="e">
        <f>Simulações!#REF!</f>
        <v>#REF!</v>
      </c>
      <c r="H458" s="114" t="e">
        <f>Simulações!#REF!</f>
        <v>#REF!</v>
      </c>
      <c r="I458" s="114" t="e">
        <f>IF(Simulações!#REF!="","",Simulações!#REF!)</f>
        <v>#REF!</v>
      </c>
      <c r="J458" s="114" t="e">
        <f>IF(Simulações!#REF!="","",Simulações!#REF!)</f>
        <v>#REF!</v>
      </c>
      <c r="K458" s="117" t="e">
        <f>Simulações!#REF!</f>
        <v>#REF!</v>
      </c>
      <c r="L458" s="117" t="e">
        <f>Simulações!#REF!</f>
        <v>#REF!</v>
      </c>
      <c r="M458" s="114" t="e">
        <f>IF(Simulações!#REF!="","",Simulações!#REF!)</f>
        <v>#REF!</v>
      </c>
      <c r="N458" s="114" t="e">
        <f>IF(Simulações!#REF!="","",Simulações!#REF!)</f>
        <v>#REF!</v>
      </c>
      <c r="O458" s="114">
        <v>1</v>
      </c>
    </row>
    <row r="459" spans="1:15" ht="15.75" hidden="1" customHeight="1" x14ac:dyDescent="0.3">
      <c r="A459" s="124" t="e">
        <f>Simulações!#REF!</f>
        <v>#REF!</v>
      </c>
      <c r="B459" s="114" t="e">
        <f>Simulações!#REF!</f>
        <v>#REF!</v>
      </c>
      <c r="C459" s="125" t="e">
        <f>Simulações!#REF!</f>
        <v>#REF!</v>
      </c>
      <c r="D459" s="114" t="e">
        <f>Simulações!#REF!</f>
        <v>#REF!</v>
      </c>
      <c r="E459" s="114" t="e">
        <f>Simulações!#REF!</f>
        <v>#REF!</v>
      </c>
      <c r="F459" s="114" t="e">
        <f>Simulações!#REF!</f>
        <v>#REF!</v>
      </c>
      <c r="G459" s="114" t="e">
        <f>Simulações!#REF!</f>
        <v>#REF!</v>
      </c>
      <c r="H459" s="114" t="e">
        <f>Simulações!#REF!</f>
        <v>#REF!</v>
      </c>
      <c r="I459" s="114" t="e">
        <f>IF(Simulações!#REF!="","",Simulações!#REF!)</f>
        <v>#REF!</v>
      </c>
      <c r="J459" s="114" t="e">
        <f>IF(Simulações!#REF!="","",Simulações!#REF!)</f>
        <v>#REF!</v>
      </c>
      <c r="K459" s="117" t="e">
        <f>Simulações!#REF!</f>
        <v>#REF!</v>
      </c>
      <c r="L459" s="117" t="e">
        <f>Simulações!#REF!</f>
        <v>#REF!</v>
      </c>
      <c r="M459" s="114" t="e">
        <f>IF(Simulações!#REF!="","",Simulações!#REF!)</f>
        <v>#REF!</v>
      </c>
      <c r="N459" s="114" t="e">
        <f>IF(Simulações!#REF!="","",Simulações!#REF!)</f>
        <v>#REF!</v>
      </c>
      <c r="O459" s="114">
        <v>1</v>
      </c>
    </row>
    <row r="460" spans="1:15" ht="15.75" hidden="1" customHeight="1" x14ac:dyDescent="0.3">
      <c r="A460" s="124" t="e">
        <f>Simulações!#REF!</f>
        <v>#REF!</v>
      </c>
      <c r="B460" s="114" t="e">
        <f>Simulações!#REF!</f>
        <v>#REF!</v>
      </c>
      <c r="C460" s="125" t="e">
        <f>Simulações!#REF!</f>
        <v>#REF!</v>
      </c>
      <c r="D460" s="114" t="e">
        <f>Simulações!#REF!</f>
        <v>#REF!</v>
      </c>
      <c r="E460" s="114" t="e">
        <f>Simulações!#REF!</f>
        <v>#REF!</v>
      </c>
      <c r="F460" s="114" t="e">
        <f>Simulações!#REF!</f>
        <v>#REF!</v>
      </c>
      <c r="G460" s="114" t="e">
        <f>Simulações!#REF!</f>
        <v>#REF!</v>
      </c>
      <c r="H460" s="114" t="e">
        <f>Simulações!#REF!</f>
        <v>#REF!</v>
      </c>
      <c r="I460" s="114" t="e">
        <f>IF(Simulações!#REF!="","",Simulações!#REF!)</f>
        <v>#REF!</v>
      </c>
      <c r="J460" s="114" t="e">
        <f>IF(Simulações!#REF!="","",Simulações!#REF!)</f>
        <v>#REF!</v>
      </c>
      <c r="K460" s="117" t="e">
        <f>Simulações!#REF!</f>
        <v>#REF!</v>
      </c>
      <c r="L460" s="117" t="e">
        <f>Simulações!#REF!</f>
        <v>#REF!</v>
      </c>
      <c r="M460" s="114" t="e">
        <f>IF(Simulações!#REF!="","",Simulações!#REF!)</f>
        <v>#REF!</v>
      </c>
      <c r="N460" s="114" t="e">
        <f>IF(Simulações!#REF!="","",Simulações!#REF!)</f>
        <v>#REF!</v>
      </c>
      <c r="O460" s="114">
        <v>1</v>
      </c>
    </row>
    <row r="461" spans="1:15" ht="15.75" hidden="1" customHeight="1" x14ac:dyDescent="0.3">
      <c r="A461" s="124" t="e">
        <f>Simulações!#REF!</f>
        <v>#REF!</v>
      </c>
      <c r="B461" s="114" t="e">
        <f>Simulações!#REF!</f>
        <v>#REF!</v>
      </c>
      <c r="C461" s="125" t="e">
        <f>Simulações!#REF!</f>
        <v>#REF!</v>
      </c>
      <c r="D461" s="114" t="e">
        <f>Simulações!#REF!</f>
        <v>#REF!</v>
      </c>
      <c r="E461" s="114" t="e">
        <f>Simulações!#REF!</f>
        <v>#REF!</v>
      </c>
      <c r="F461" s="114" t="e">
        <f>Simulações!#REF!</f>
        <v>#REF!</v>
      </c>
      <c r="G461" s="114" t="e">
        <f>Simulações!#REF!</f>
        <v>#REF!</v>
      </c>
      <c r="H461" s="114" t="e">
        <f>Simulações!#REF!</f>
        <v>#REF!</v>
      </c>
      <c r="I461" s="114" t="e">
        <f>IF(Simulações!#REF!="","",Simulações!#REF!)</f>
        <v>#REF!</v>
      </c>
      <c r="J461" s="114" t="e">
        <f>IF(Simulações!#REF!="","",Simulações!#REF!)</f>
        <v>#REF!</v>
      </c>
      <c r="K461" s="117" t="e">
        <f>Simulações!#REF!</f>
        <v>#REF!</v>
      </c>
      <c r="L461" s="117" t="e">
        <f>Simulações!#REF!</f>
        <v>#REF!</v>
      </c>
      <c r="M461" s="114" t="e">
        <f>IF(Simulações!#REF!="","",Simulações!#REF!)</f>
        <v>#REF!</v>
      </c>
      <c r="N461" s="114" t="e">
        <f>IF(Simulações!#REF!="","",Simulações!#REF!)</f>
        <v>#REF!</v>
      </c>
      <c r="O461" s="114">
        <v>1</v>
      </c>
    </row>
    <row r="462" spans="1:15" ht="15.75" hidden="1" customHeight="1" x14ac:dyDescent="0.3">
      <c r="A462" s="124" t="e">
        <f>Simulações!#REF!</f>
        <v>#REF!</v>
      </c>
      <c r="B462" s="114" t="e">
        <f>Simulações!#REF!</f>
        <v>#REF!</v>
      </c>
      <c r="C462" s="125" t="e">
        <f>Simulações!#REF!</f>
        <v>#REF!</v>
      </c>
      <c r="D462" s="114" t="e">
        <f>Simulações!#REF!</f>
        <v>#REF!</v>
      </c>
      <c r="E462" s="114" t="e">
        <f>Simulações!#REF!</f>
        <v>#REF!</v>
      </c>
      <c r="F462" s="114" t="e">
        <f>Simulações!#REF!</f>
        <v>#REF!</v>
      </c>
      <c r="G462" s="114" t="e">
        <f>Simulações!#REF!</f>
        <v>#REF!</v>
      </c>
      <c r="H462" s="114" t="e">
        <f>Simulações!#REF!</f>
        <v>#REF!</v>
      </c>
      <c r="I462" s="114" t="e">
        <f>IF(Simulações!#REF!="","",Simulações!#REF!)</f>
        <v>#REF!</v>
      </c>
      <c r="J462" s="114" t="e">
        <f>IF(Simulações!#REF!="","",Simulações!#REF!)</f>
        <v>#REF!</v>
      </c>
      <c r="K462" s="117" t="e">
        <f>Simulações!#REF!</f>
        <v>#REF!</v>
      </c>
      <c r="L462" s="117" t="e">
        <f>Simulações!#REF!</f>
        <v>#REF!</v>
      </c>
      <c r="M462" s="114" t="e">
        <f>IF(Simulações!#REF!="","",Simulações!#REF!)</f>
        <v>#REF!</v>
      </c>
      <c r="N462" s="114" t="e">
        <f>IF(Simulações!#REF!="","",Simulações!#REF!)</f>
        <v>#REF!</v>
      </c>
      <c r="O462" s="114">
        <v>1</v>
      </c>
    </row>
    <row r="463" spans="1:15" ht="15.75" hidden="1" customHeight="1" x14ac:dyDescent="0.3">
      <c r="A463" s="124" t="e">
        <f>Simulações!#REF!</f>
        <v>#REF!</v>
      </c>
      <c r="B463" s="114" t="e">
        <f>Simulações!#REF!</f>
        <v>#REF!</v>
      </c>
      <c r="C463" s="125" t="e">
        <f>Simulações!#REF!</f>
        <v>#REF!</v>
      </c>
      <c r="D463" s="114" t="e">
        <f>Simulações!#REF!</f>
        <v>#REF!</v>
      </c>
      <c r="E463" s="114" t="e">
        <f>Simulações!#REF!</f>
        <v>#REF!</v>
      </c>
      <c r="F463" s="114" t="e">
        <f>Simulações!#REF!</f>
        <v>#REF!</v>
      </c>
      <c r="G463" s="114" t="e">
        <f>Simulações!#REF!</f>
        <v>#REF!</v>
      </c>
      <c r="H463" s="114" t="e">
        <f>Simulações!#REF!</f>
        <v>#REF!</v>
      </c>
      <c r="I463" s="114" t="e">
        <f>IF(Simulações!#REF!="","",Simulações!#REF!)</f>
        <v>#REF!</v>
      </c>
      <c r="J463" s="114" t="e">
        <f>IF(Simulações!#REF!="","",Simulações!#REF!)</f>
        <v>#REF!</v>
      </c>
      <c r="K463" s="117" t="e">
        <f>Simulações!#REF!</f>
        <v>#REF!</v>
      </c>
      <c r="L463" s="117" t="e">
        <f>Simulações!#REF!</f>
        <v>#REF!</v>
      </c>
      <c r="M463" s="114" t="e">
        <f>IF(Simulações!#REF!="","",Simulações!#REF!)</f>
        <v>#REF!</v>
      </c>
      <c r="N463" s="114" t="e">
        <f>IF(Simulações!#REF!="","",Simulações!#REF!)</f>
        <v>#REF!</v>
      </c>
      <c r="O463" s="114">
        <v>1</v>
      </c>
    </row>
    <row r="464" spans="1:15" ht="15.75" hidden="1" customHeight="1" x14ac:dyDescent="0.3">
      <c r="A464" s="124" t="e">
        <f>Simulações!#REF!</f>
        <v>#REF!</v>
      </c>
      <c r="B464" s="114" t="e">
        <f>Simulações!#REF!</f>
        <v>#REF!</v>
      </c>
      <c r="C464" s="125" t="e">
        <f>Simulações!#REF!</f>
        <v>#REF!</v>
      </c>
      <c r="D464" s="114" t="e">
        <f>Simulações!#REF!</f>
        <v>#REF!</v>
      </c>
      <c r="E464" s="114" t="e">
        <f>Simulações!#REF!</f>
        <v>#REF!</v>
      </c>
      <c r="F464" s="114" t="e">
        <f>Simulações!#REF!</f>
        <v>#REF!</v>
      </c>
      <c r="G464" s="114" t="e">
        <f>Simulações!#REF!</f>
        <v>#REF!</v>
      </c>
      <c r="H464" s="114" t="e">
        <f>Simulações!#REF!</f>
        <v>#REF!</v>
      </c>
      <c r="I464" s="114" t="e">
        <f>IF(Simulações!#REF!="","",Simulações!#REF!)</f>
        <v>#REF!</v>
      </c>
      <c r="J464" s="114" t="e">
        <f>IF(Simulações!#REF!="","",Simulações!#REF!)</f>
        <v>#REF!</v>
      </c>
      <c r="K464" s="117" t="e">
        <f>Simulações!#REF!</f>
        <v>#REF!</v>
      </c>
      <c r="L464" s="117" t="e">
        <f>Simulações!#REF!</f>
        <v>#REF!</v>
      </c>
      <c r="M464" s="114" t="e">
        <f>IF(Simulações!#REF!="","",Simulações!#REF!)</f>
        <v>#REF!</v>
      </c>
      <c r="N464" s="114" t="e">
        <f>IF(Simulações!#REF!="","",Simulações!#REF!)</f>
        <v>#REF!</v>
      </c>
      <c r="O464" s="114">
        <v>1</v>
      </c>
    </row>
    <row r="465" spans="1:15" ht="15.75" hidden="1" customHeight="1" x14ac:dyDescent="0.3">
      <c r="A465" s="124" t="e">
        <f>Simulações!#REF!</f>
        <v>#REF!</v>
      </c>
      <c r="B465" s="114" t="e">
        <f>Simulações!#REF!</f>
        <v>#REF!</v>
      </c>
      <c r="C465" s="125" t="e">
        <f>Simulações!#REF!</f>
        <v>#REF!</v>
      </c>
      <c r="D465" s="114" t="e">
        <f>Simulações!#REF!</f>
        <v>#REF!</v>
      </c>
      <c r="E465" s="114" t="e">
        <f>Simulações!#REF!</f>
        <v>#REF!</v>
      </c>
      <c r="F465" s="114" t="e">
        <f>Simulações!#REF!</f>
        <v>#REF!</v>
      </c>
      <c r="G465" s="114" t="e">
        <f>Simulações!#REF!</f>
        <v>#REF!</v>
      </c>
      <c r="H465" s="114" t="e">
        <f>Simulações!#REF!</f>
        <v>#REF!</v>
      </c>
      <c r="I465" s="114" t="e">
        <f>IF(Simulações!#REF!="","",Simulações!#REF!)</f>
        <v>#REF!</v>
      </c>
      <c r="J465" s="114" t="e">
        <f>IF(Simulações!#REF!="","",Simulações!#REF!)</f>
        <v>#REF!</v>
      </c>
      <c r="K465" s="117" t="e">
        <f>Simulações!#REF!</f>
        <v>#REF!</v>
      </c>
      <c r="L465" s="117" t="e">
        <f>Simulações!#REF!</f>
        <v>#REF!</v>
      </c>
      <c r="M465" s="114" t="e">
        <f>IF(Simulações!#REF!="","",Simulações!#REF!)</f>
        <v>#REF!</v>
      </c>
      <c r="N465" s="114" t="e">
        <f>IF(Simulações!#REF!="","",Simulações!#REF!)</f>
        <v>#REF!</v>
      </c>
      <c r="O465" s="114">
        <v>1</v>
      </c>
    </row>
    <row r="466" spans="1:15" ht="15.75" hidden="1" customHeight="1" x14ac:dyDescent="0.3">
      <c r="A466" s="124" t="e">
        <f>Simulações!#REF!</f>
        <v>#REF!</v>
      </c>
      <c r="B466" s="114" t="e">
        <f>Simulações!#REF!</f>
        <v>#REF!</v>
      </c>
      <c r="C466" s="125" t="e">
        <f>Simulações!#REF!</f>
        <v>#REF!</v>
      </c>
      <c r="D466" s="114" t="e">
        <f>Simulações!#REF!</f>
        <v>#REF!</v>
      </c>
      <c r="E466" s="114" t="e">
        <f>Simulações!#REF!</f>
        <v>#REF!</v>
      </c>
      <c r="F466" s="114" t="e">
        <f>Simulações!#REF!</f>
        <v>#REF!</v>
      </c>
      <c r="G466" s="114" t="e">
        <f>Simulações!#REF!</f>
        <v>#REF!</v>
      </c>
      <c r="H466" s="114" t="e">
        <f>Simulações!#REF!</f>
        <v>#REF!</v>
      </c>
      <c r="I466" s="114" t="e">
        <f>IF(Simulações!#REF!="","",Simulações!#REF!)</f>
        <v>#REF!</v>
      </c>
      <c r="J466" s="114" t="e">
        <f>IF(Simulações!#REF!="","",Simulações!#REF!)</f>
        <v>#REF!</v>
      </c>
      <c r="K466" s="117" t="e">
        <f>Simulações!#REF!</f>
        <v>#REF!</v>
      </c>
      <c r="L466" s="117" t="e">
        <f>Simulações!#REF!</f>
        <v>#REF!</v>
      </c>
      <c r="M466" s="114" t="e">
        <f>IF(Simulações!#REF!="","",Simulações!#REF!)</f>
        <v>#REF!</v>
      </c>
      <c r="N466" s="114" t="e">
        <f>IF(Simulações!#REF!="","",Simulações!#REF!)</f>
        <v>#REF!</v>
      </c>
      <c r="O466" s="114">
        <v>1</v>
      </c>
    </row>
    <row r="467" spans="1:15" ht="15.75" hidden="1" customHeight="1" x14ac:dyDescent="0.3">
      <c r="A467" s="124" t="e">
        <f>Simulações!#REF!</f>
        <v>#REF!</v>
      </c>
      <c r="B467" s="114" t="e">
        <f>Simulações!#REF!</f>
        <v>#REF!</v>
      </c>
      <c r="C467" s="125" t="e">
        <f>Simulações!#REF!</f>
        <v>#REF!</v>
      </c>
      <c r="D467" s="114" t="e">
        <f>Simulações!#REF!</f>
        <v>#REF!</v>
      </c>
      <c r="E467" s="114" t="e">
        <f>Simulações!#REF!</f>
        <v>#REF!</v>
      </c>
      <c r="F467" s="114" t="e">
        <f>Simulações!#REF!</f>
        <v>#REF!</v>
      </c>
      <c r="G467" s="114" t="e">
        <f>Simulações!#REF!</f>
        <v>#REF!</v>
      </c>
      <c r="H467" s="114" t="e">
        <f>Simulações!#REF!</f>
        <v>#REF!</v>
      </c>
      <c r="I467" s="114" t="e">
        <f>IF(Simulações!#REF!="","",Simulações!#REF!)</f>
        <v>#REF!</v>
      </c>
      <c r="J467" s="114" t="e">
        <f>IF(Simulações!#REF!="","",Simulações!#REF!)</f>
        <v>#REF!</v>
      </c>
      <c r="K467" s="117" t="e">
        <f>Simulações!#REF!</f>
        <v>#REF!</v>
      </c>
      <c r="L467" s="117" t="e">
        <f>Simulações!#REF!</f>
        <v>#REF!</v>
      </c>
      <c r="M467" s="114" t="e">
        <f>IF(Simulações!#REF!="","",Simulações!#REF!)</f>
        <v>#REF!</v>
      </c>
      <c r="N467" s="114" t="e">
        <f>IF(Simulações!#REF!="","",Simulações!#REF!)</f>
        <v>#REF!</v>
      </c>
      <c r="O467" s="114">
        <v>1</v>
      </c>
    </row>
    <row r="468" spans="1:15" ht="15.75" hidden="1" customHeight="1" x14ac:dyDescent="0.3">
      <c r="A468" s="124" t="e">
        <f>Simulações!#REF!</f>
        <v>#REF!</v>
      </c>
      <c r="B468" s="114" t="e">
        <f>Simulações!#REF!</f>
        <v>#REF!</v>
      </c>
      <c r="C468" s="125" t="e">
        <f>Simulações!#REF!</f>
        <v>#REF!</v>
      </c>
      <c r="D468" s="114" t="e">
        <f>Simulações!#REF!</f>
        <v>#REF!</v>
      </c>
      <c r="E468" s="114" t="e">
        <f>Simulações!#REF!</f>
        <v>#REF!</v>
      </c>
      <c r="F468" s="114" t="e">
        <f>Simulações!#REF!</f>
        <v>#REF!</v>
      </c>
      <c r="G468" s="114" t="e">
        <f>Simulações!#REF!</f>
        <v>#REF!</v>
      </c>
      <c r="H468" s="114" t="e">
        <f>Simulações!#REF!</f>
        <v>#REF!</v>
      </c>
      <c r="I468" s="114" t="e">
        <f>IF(Simulações!#REF!="","",Simulações!#REF!)</f>
        <v>#REF!</v>
      </c>
      <c r="J468" s="114" t="e">
        <f>IF(Simulações!#REF!="","",Simulações!#REF!)</f>
        <v>#REF!</v>
      </c>
      <c r="K468" s="117" t="e">
        <f>Simulações!#REF!</f>
        <v>#REF!</v>
      </c>
      <c r="L468" s="117" t="e">
        <f>Simulações!#REF!</f>
        <v>#REF!</v>
      </c>
      <c r="M468" s="114" t="e">
        <f>IF(Simulações!#REF!="","",Simulações!#REF!)</f>
        <v>#REF!</v>
      </c>
      <c r="N468" s="114" t="e">
        <f>IF(Simulações!#REF!="","",Simulações!#REF!)</f>
        <v>#REF!</v>
      </c>
      <c r="O468" s="114">
        <v>1</v>
      </c>
    </row>
    <row r="469" spans="1:15" ht="15.75" hidden="1" customHeight="1" x14ac:dyDescent="0.3">
      <c r="A469" s="124" t="e">
        <f>Simulações!#REF!</f>
        <v>#REF!</v>
      </c>
      <c r="B469" s="114" t="e">
        <f>Simulações!#REF!</f>
        <v>#REF!</v>
      </c>
      <c r="C469" s="125" t="e">
        <f>Simulações!#REF!</f>
        <v>#REF!</v>
      </c>
      <c r="D469" s="114" t="e">
        <f>Simulações!#REF!</f>
        <v>#REF!</v>
      </c>
      <c r="E469" s="114" t="e">
        <f>Simulações!#REF!</f>
        <v>#REF!</v>
      </c>
      <c r="F469" s="114" t="e">
        <f>Simulações!#REF!</f>
        <v>#REF!</v>
      </c>
      <c r="G469" s="114" t="e">
        <f>Simulações!#REF!</f>
        <v>#REF!</v>
      </c>
      <c r="H469" s="114" t="e">
        <f>Simulações!#REF!</f>
        <v>#REF!</v>
      </c>
      <c r="I469" s="114" t="e">
        <f>IF(Simulações!#REF!="","",Simulações!#REF!)</f>
        <v>#REF!</v>
      </c>
      <c r="J469" s="114" t="e">
        <f>IF(Simulações!#REF!="","",Simulações!#REF!)</f>
        <v>#REF!</v>
      </c>
      <c r="K469" s="117" t="e">
        <f>Simulações!#REF!</f>
        <v>#REF!</v>
      </c>
      <c r="L469" s="117" t="e">
        <f>Simulações!#REF!</f>
        <v>#REF!</v>
      </c>
      <c r="M469" s="114" t="e">
        <f>IF(Simulações!#REF!="","",Simulações!#REF!)</f>
        <v>#REF!</v>
      </c>
      <c r="N469" s="114" t="e">
        <f>IF(Simulações!#REF!="","",Simulações!#REF!)</f>
        <v>#REF!</v>
      </c>
      <c r="O469" s="114">
        <v>1</v>
      </c>
    </row>
    <row r="470" spans="1:15" ht="15.75" hidden="1" customHeight="1" x14ac:dyDescent="0.3">
      <c r="A470" s="124" t="e">
        <f>Simulações!#REF!</f>
        <v>#REF!</v>
      </c>
      <c r="B470" s="114" t="e">
        <f>Simulações!#REF!</f>
        <v>#REF!</v>
      </c>
      <c r="C470" s="125" t="e">
        <f>Simulações!#REF!</f>
        <v>#REF!</v>
      </c>
      <c r="D470" s="114" t="e">
        <f>Simulações!#REF!</f>
        <v>#REF!</v>
      </c>
      <c r="E470" s="114" t="e">
        <f>Simulações!#REF!</f>
        <v>#REF!</v>
      </c>
      <c r="F470" s="114" t="e">
        <f>Simulações!#REF!</f>
        <v>#REF!</v>
      </c>
      <c r="G470" s="114" t="e">
        <f>Simulações!#REF!</f>
        <v>#REF!</v>
      </c>
      <c r="H470" s="114" t="e">
        <f>Simulações!#REF!</f>
        <v>#REF!</v>
      </c>
      <c r="I470" s="114" t="e">
        <f>IF(Simulações!#REF!="","",Simulações!#REF!)</f>
        <v>#REF!</v>
      </c>
      <c r="J470" s="114" t="e">
        <f>IF(Simulações!#REF!="","",Simulações!#REF!)</f>
        <v>#REF!</v>
      </c>
      <c r="K470" s="117" t="e">
        <f>Simulações!#REF!</f>
        <v>#REF!</v>
      </c>
      <c r="L470" s="117" t="e">
        <f>Simulações!#REF!</f>
        <v>#REF!</v>
      </c>
      <c r="M470" s="114" t="e">
        <f>IF(Simulações!#REF!="","",Simulações!#REF!)</f>
        <v>#REF!</v>
      </c>
      <c r="N470" s="114" t="e">
        <f>IF(Simulações!#REF!="","",Simulações!#REF!)</f>
        <v>#REF!</v>
      </c>
      <c r="O470" s="114">
        <v>1</v>
      </c>
    </row>
    <row r="471" spans="1:15" ht="15.75" hidden="1" customHeight="1" x14ac:dyDescent="0.3">
      <c r="A471" s="124" t="e">
        <f>Simulações!#REF!</f>
        <v>#REF!</v>
      </c>
      <c r="B471" s="114" t="e">
        <f>Simulações!#REF!</f>
        <v>#REF!</v>
      </c>
      <c r="C471" s="125" t="e">
        <f>Simulações!#REF!</f>
        <v>#REF!</v>
      </c>
      <c r="D471" s="114" t="e">
        <f>Simulações!#REF!</f>
        <v>#REF!</v>
      </c>
      <c r="E471" s="114" t="e">
        <f>Simulações!#REF!</f>
        <v>#REF!</v>
      </c>
      <c r="F471" s="114" t="e">
        <f>Simulações!#REF!</f>
        <v>#REF!</v>
      </c>
      <c r="G471" s="114" t="e">
        <f>Simulações!#REF!</f>
        <v>#REF!</v>
      </c>
      <c r="H471" s="114" t="e">
        <f>Simulações!#REF!</f>
        <v>#REF!</v>
      </c>
      <c r="I471" s="114" t="e">
        <f>IF(Simulações!#REF!="","",Simulações!#REF!)</f>
        <v>#REF!</v>
      </c>
      <c r="J471" s="114" t="e">
        <f>IF(Simulações!#REF!="","",Simulações!#REF!)</f>
        <v>#REF!</v>
      </c>
      <c r="K471" s="117" t="e">
        <f>Simulações!#REF!</f>
        <v>#REF!</v>
      </c>
      <c r="L471" s="117" t="e">
        <f>Simulações!#REF!</f>
        <v>#REF!</v>
      </c>
      <c r="M471" s="114" t="e">
        <f>IF(Simulações!#REF!="","",Simulações!#REF!)</f>
        <v>#REF!</v>
      </c>
      <c r="N471" s="114" t="e">
        <f>IF(Simulações!#REF!="","",Simulações!#REF!)</f>
        <v>#REF!</v>
      </c>
      <c r="O471" s="114">
        <v>1</v>
      </c>
    </row>
    <row r="472" spans="1:15" ht="15.75" hidden="1" customHeight="1" x14ac:dyDescent="0.3">
      <c r="A472" s="124" t="e">
        <f>Simulações!#REF!</f>
        <v>#REF!</v>
      </c>
      <c r="B472" s="114" t="e">
        <f>Simulações!#REF!</f>
        <v>#REF!</v>
      </c>
      <c r="C472" s="125" t="e">
        <f>Simulações!#REF!</f>
        <v>#REF!</v>
      </c>
      <c r="D472" s="114" t="e">
        <f>Simulações!#REF!</f>
        <v>#REF!</v>
      </c>
      <c r="E472" s="114" t="e">
        <f>Simulações!#REF!</f>
        <v>#REF!</v>
      </c>
      <c r="F472" s="114" t="e">
        <f>Simulações!#REF!</f>
        <v>#REF!</v>
      </c>
      <c r="G472" s="114" t="e">
        <f>Simulações!#REF!</f>
        <v>#REF!</v>
      </c>
      <c r="H472" s="114" t="e">
        <f>Simulações!#REF!</f>
        <v>#REF!</v>
      </c>
      <c r="I472" s="114" t="e">
        <f>IF(Simulações!#REF!="","",Simulações!#REF!)</f>
        <v>#REF!</v>
      </c>
      <c r="J472" s="114" t="e">
        <f>IF(Simulações!#REF!="","",Simulações!#REF!)</f>
        <v>#REF!</v>
      </c>
      <c r="K472" s="117" t="e">
        <f>Simulações!#REF!</f>
        <v>#REF!</v>
      </c>
      <c r="L472" s="117" t="e">
        <f>Simulações!#REF!</f>
        <v>#REF!</v>
      </c>
      <c r="M472" s="114" t="e">
        <f>IF(Simulações!#REF!="","",Simulações!#REF!)</f>
        <v>#REF!</v>
      </c>
      <c r="N472" s="114" t="e">
        <f>IF(Simulações!#REF!="","",Simulações!#REF!)</f>
        <v>#REF!</v>
      </c>
      <c r="O472" s="114">
        <v>1</v>
      </c>
    </row>
    <row r="473" spans="1:15" ht="15.75" hidden="1" customHeight="1" x14ac:dyDescent="0.3">
      <c r="A473" s="124" t="e">
        <f>Simulações!#REF!</f>
        <v>#REF!</v>
      </c>
      <c r="B473" s="114" t="e">
        <f>Simulações!#REF!</f>
        <v>#REF!</v>
      </c>
      <c r="C473" s="125" t="e">
        <f>Simulações!#REF!</f>
        <v>#REF!</v>
      </c>
      <c r="D473" s="114" t="e">
        <f>Simulações!#REF!</f>
        <v>#REF!</v>
      </c>
      <c r="E473" s="114" t="e">
        <f>Simulações!#REF!</f>
        <v>#REF!</v>
      </c>
      <c r="F473" s="114" t="e">
        <f>Simulações!#REF!</f>
        <v>#REF!</v>
      </c>
      <c r="G473" s="114" t="e">
        <f>Simulações!#REF!</f>
        <v>#REF!</v>
      </c>
      <c r="H473" s="114" t="e">
        <f>Simulações!#REF!</f>
        <v>#REF!</v>
      </c>
      <c r="I473" s="114" t="e">
        <f>IF(Simulações!#REF!="","",Simulações!#REF!)</f>
        <v>#REF!</v>
      </c>
      <c r="J473" s="114" t="e">
        <f>IF(Simulações!#REF!="","",Simulações!#REF!)</f>
        <v>#REF!</v>
      </c>
      <c r="K473" s="117" t="e">
        <f>Simulações!#REF!</f>
        <v>#REF!</v>
      </c>
      <c r="L473" s="117" t="e">
        <f>Simulações!#REF!</f>
        <v>#REF!</v>
      </c>
      <c r="M473" s="114" t="e">
        <f>IF(Simulações!#REF!="","",Simulações!#REF!)</f>
        <v>#REF!</v>
      </c>
      <c r="N473" s="114" t="e">
        <f>IF(Simulações!#REF!="","",Simulações!#REF!)</f>
        <v>#REF!</v>
      </c>
      <c r="O473" s="114">
        <v>1</v>
      </c>
    </row>
    <row r="474" spans="1:15" ht="15.75" hidden="1" customHeight="1" x14ac:dyDescent="0.3">
      <c r="A474" s="124" t="e">
        <f>Simulações!#REF!</f>
        <v>#REF!</v>
      </c>
      <c r="B474" s="114" t="e">
        <f>Simulações!#REF!</f>
        <v>#REF!</v>
      </c>
      <c r="C474" s="125" t="e">
        <f>Simulações!#REF!</f>
        <v>#REF!</v>
      </c>
      <c r="D474" s="114" t="e">
        <f>Simulações!#REF!</f>
        <v>#REF!</v>
      </c>
      <c r="E474" s="114" t="e">
        <f>Simulações!#REF!</f>
        <v>#REF!</v>
      </c>
      <c r="F474" s="114" t="e">
        <f>Simulações!#REF!</f>
        <v>#REF!</v>
      </c>
      <c r="G474" s="114" t="e">
        <f>Simulações!#REF!</f>
        <v>#REF!</v>
      </c>
      <c r="H474" s="114" t="e">
        <f>Simulações!#REF!</f>
        <v>#REF!</v>
      </c>
      <c r="I474" s="114" t="e">
        <f>IF(Simulações!#REF!="","",Simulações!#REF!)</f>
        <v>#REF!</v>
      </c>
      <c r="J474" s="114" t="e">
        <f>IF(Simulações!#REF!="","",Simulações!#REF!)</f>
        <v>#REF!</v>
      </c>
      <c r="K474" s="117" t="e">
        <f>Simulações!#REF!</f>
        <v>#REF!</v>
      </c>
      <c r="L474" s="117" t="e">
        <f>Simulações!#REF!</f>
        <v>#REF!</v>
      </c>
      <c r="M474" s="114" t="e">
        <f>IF(Simulações!#REF!="","",Simulações!#REF!)</f>
        <v>#REF!</v>
      </c>
      <c r="N474" s="114" t="e">
        <f>IF(Simulações!#REF!="","",Simulações!#REF!)</f>
        <v>#REF!</v>
      </c>
      <c r="O474" s="114">
        <v>1</v>
      </c>
    </row>
    <row r="475" spans="1:15" ht="15.75" hidden="1" customHeight="1" x14ac:dyDescent="0.3">
      <c r="A475" s="124" t="e">
        <f>Simulações!#REF!</f>
        <v>#REF!</v>
      </c>
      <c r="B475" s="114" t="e">
        <f>Simulações!#REF!</f>
        <v>#REF!</v>
      </c>
      <c r="C475" s="125" t="e">
        <f>Simulações!#REF!</f>
        <v>#REF!</v>
      </c>
      <c r="D475" s="114" t="e">
        <f>Simulações!#REF!</f>
        <v>#REF!</v>
      </c>
      <c r="E475" s="114" t="e">
        <f>Simulações!#REF!</f>
        <v>#REF!</v>
      </c>
      <c r="F475" s="114" t="e">
        <f>Simulações!#REF!</f>
        <v>#REF!</v>
      </c>
      <c r="G475" s="114" t="e">
        <f>Simulações!#REF!</f>
        <v>#REF!</v>
      </c>
      <c r="H475" s="114" t="e">
        <f>Simulações!#REF!</f>
        <v>#REF!</v>
      </c>
      <c r="I475" s="114" t="e">
        <f>IF(Simulações!#REF!="","",Simulações!#REF!)</f>
        <v>#REF!</v>
      </c>
      <c r="J475" s="114" t="e">
        <f>IF(Simulações!#REF!="","",Simulações!#REF!)</f>
        <v>#REF!</v>
      </c>
      <c r="K475" s="117" t="e">
        <f>Simulações!#REF!</f>
        <v>#REF!</v>
      </c>
      <c r="L475" s="117" t="e">
        <f>Simulações!#REF!</f>
        <v>#REF!</v>
      </c>
      <c r="M475" s="114" t="e">
        <f>IF(Simulações!#REF!="","",Simulações!#REF!)</f>
        <v>#REF!</v>
      </c>
      <c r="N475" s="114" t="e">
        <f>IF(Simulações!#REF!="","",Simulações!#REF!)</f>
        <v>#REF!</v>
      </c>
      <c r="O475" s="114">
        <v>1</v>
      </c>
    </row>
    <row r="476" spans="1:15" ht="15.75" hidden="1" customHeight="1" x14ac:dyDescent="0.3">
      <c r="A476" s="124" t="e">
        <f>Simulações!#REF!</f>
        <v>#REF!</v>
      </c>
      <c r="B476" s="114" t="e">
        <f>Simulações!#REF!</f>
        <v>#REF!</v>
      </c>
      <c r="C476" s="125" t="e">
        <f>Simulações!#REF!</f>
        <v>#REF!</v>
      </c>
      <c r="D476" s="114" t="e">
        <f>Simulações!#REF!</f>
        <v>#REF!</v>
      </c>
      <c r="E476" s="114" t="e">
        <f>Simulações!#REF!</f>
        <v>#REF!</v>
      </c>
      <c r="F476" s="114" t="e">
        <f>Simulações!#REF!</f>
        <v>#REF!</v>
      </c>
      <c r="G476" s="114" t="e">
        <f>Simulações!#REF!</f>
        <v>#REF!</v>
      </c>
      <c r="H476" s="114" t="e">
        <f>Simulações!#REF!</f>
        <v>#REF!</v>
      </c>
      <c r="I476" s="114" t="e">
        <f>IF(Simulações!#REF!="","",Simulações!#REF!)</f>
        <v>#REF!</v>
      </c>
      <c r="J476" s="114" t="e">
        <f>IF(Simulações!#REF!="","",Simulações!#REF!)</f>
        <v>#REF!</v>
      </c>
      <c r="K476" s="117" t="e">
        <f>Simulações!#REF!</f>
        <v>#REF!</v>
      </c>
      <c r="L476" s="117" t="e">
        <f>Simulações!#REF!</f>
        <v>#REF!</v>
      </c>
      <c r="M476" s="114" t="e">
        <f>IF(Simulações!#REF!="","",Simulações!#REF!)</f>
        <v>#REF!</v>
      </c>
      <c r="N476" s="114" t="e">
        <f>IF(Simulações!#REF!="","",Simulações!#REF!)</f>
        <v>#REF!</v>
      </c>
      <c r="O476" s="114">
        <v>1</v>
      </c>
    </row>
    <row r="477" spans="1:15" ht="15.75" hidden="1" customHeight="1" x14ac:dyDescent="0.3">
      <c r="A477" s="124" t="e">
        <f>Simulações!#REF!</f>
        <v>#REF!</v>
      </c>
      <c r="B477" s="114" t="e">
        <f>Simulações!#REF!</f>
        <v>#REF!</v>
      </c>
      <c r="C477" s="125" t="e">
        <f>Simulações!#REF!</f>
        <v>#REF!</v>
      </c>
      <c r="D477" s="114" t="e">
        <f>Simulações!#REF!</f>
        <v>#REF!</v>
      </c>
      <c r="E477" s="114" t="e">
        <f>Simulações!#REF!</f>
        <v>#REF!</v>
      </c>
      <c r="F477" s="114" t="e">
        <f>Simulações!#REF!</f>
        <v>#REF!</v>
      </c>
      <c r="G477" s="114" t="e">
        <f>Simulações!#REF!</f>
        <v>#REF!</v>
      </c>
      <c r="H477" s="114" t="e">
        <f>Simulações!#REF!</f>
        <v>#REF!</v>
      </c>
      <c r="I477" s="114" t="e">
        <f>IF(Simulações!#REF!="","",Simulações!#REF!)</f>
        <v>#REF!</v>
      </c>
      <c r="J477" s="114" t="e">
        <f>IF(Simulações!#REF!="","",Simulações!#REF!)</f>
        <v>#REF!</v>
      </c>
      <c r="K477" s="117" t="e">
        <f>Simulações!#REF!</f>
        <v>#REF!</v>
      </c>
      <c r="L477" s="117" t="e">
        <f>Simulações!#REF!</f>
        <v>#REF!</v>
      </c>
      <c r="M477" s="114" t="e">
        <f>IF(Simulações!#REF!="","",Simulações!#REF!)</f>
        <v>#REF!</v>
      </c>
      <c r="N477" s="114" t="e">
        <f>IF(Simulações!#REF!="","",Simulações!#REF!)</f>
        <v>#REF!</v>
      </c>
      <c r="O477" s="114">
        <v>1</v>
      </c>
    </row>
    <row r="478" spans="1:15" ht="15.75" hidden="1" customHeight="1" x14ac:dyDescent="0.3">
      <c r="A478" s="124" t="e">
        <f>Simulações!#REF!</f>
        <v>#REF!</v>
      </c>
      <c r="B478" s="114" t="e">
        <f>Simulações!#REF!</f>
        <v>#REF!</v>
      </c>
      <c r="C478" s="125" t="e">
        <f>Simulações!#REF!</f>
        <v>#REF!</v>
      </c>
      <c r="D478" s="114" t="e">
        <f>Simulações!#REF!</f>
        <v>#REF!</v>
      </c>
      <c r="E478" s="114" t="e">
        <f>Simulações!#REF!</f>
        <v>#REF!</v>
      </c>
      <c r="F478" s="114" t="e">
        <f>Simulações!#REF!</f>
        <v>#REF!</v>
      </c>
      <c r="G478" s="114" t="e">
        <f>Simulações!#REF!</f>
        <v>#REF!</v>
      </c>
      <c r="H478" s="114" t="e">
        <f>Simulações!#REF!</f>
        <v>#REF!</v>
      </c>
      <c r="I478" s="114" t="e">
        <f>IF(Simulações!#REF!="","",Simulações!#REF!)</f>
        <v>#REF!</v>
      </c>
      <c r="J478" s="114" t="e">
        <f>IF(Simulações!#REF!="","",Simulações!#REF!)</f>
        <v>#REF!</v>
      </c>
      <c r="K478" s="117" t="e">
        <f>Simulações!#REF!</f>
        <v>#REF!</v>
      </c>
      <c r="L478" s="117" t="e">
        <f>Simulações!#REF!</f>
        <v>#REF!</v>
      </c>
      <c r="M478" s="114" t="e">
        <f>IF(Simulações!#REF!="","",Simulações!#REF!)</f>
        <v>#REF!</v>
      </c>
      <c r="N478" s="114" t="e">
        <f>IF(Simulações!#REF!="","",Simulações!#REF!)</f>
        <v>#REF!</v>
      </c>
      <c r="O478" s="114">
        <v>1</v>
      </c>
    </row>
    <row r="479" spans="1:15" ht="15.75" hidden="1" customHeight="1" x14ac:dyDescent="0.3">
      <c r="A479" s="124" t="e">
        <f>Simulações!#REF!</f>
        <v>#REF!</v>
      </c>
      <c r="B479" s="114" t="e">
        <f>Simulações!#REF!</f>
        <v>#REF!</v>
      </c>
      <c r="C479" s="125" t="e">
        <f>Simulações!#REF!</f>
        <v>#REF!</v>
      </c>
      <c r="D479" s="114" t="e">
        <f>Simulações!#REF!</f>
        <v>#REF!</v>
      </c>
      <c r="E479" s="114" t="e">
        <f>Simulações!#REF!</f>
        <v>#REF!</v>
      </c>
      <c r="F479" s="114" t="e">
        <f>Simulações!#REF!</f>
        <v>#REF!</v>
      </c>
      <c r="G479" s="114" t="e">
        <f>Simulações!#REF!</f>
        <v>#REF!</v>
      </c>
      <c r="H479" s="114" t="e">
        <f>Simulações!#REF!</f>
        <v>#REF!</v>
      </c>
      <c r="I479" s="114" t="e">
        <f>IF(Simulações!#REF!="","",Simulações!#REF!)</f>
        <v>#REF!</v>
      </c>
      <c r="J479" s="114" t="e">
        <f>IF(Simulações!#REF!="","",Simulações!#REF!)</f>
        <v>#REF!</v>
      </c>
      <c r="K479" s="117" t="e">
        <f>Simulações!#REF!</f>
        <v>#REF!</v>
      </c>
      <c r="L479" s="117" t="e">
        <f>Simulações!#REF!</f>
        <v>#REF!</v>
      </c>
      <c r="M479" s="114" t="e">
        <f>IF(Simulações!#REF!="","",Simulações!#REF!)</f>
        <v>#REF!</v>
      </c>
      <c r="N479" s="114" t="e">
        <f>IF(Simulações!#REF!="","",Simulações!#REF!)</f>
        <v>#REF!</v>
      </c>
      <c r="O479" s="114">
        <v>1</v>
      </c>
    </row>
    <row r="480" spans="1:15" ht="15.75" hidden="1" customHeight="1" x14ac:dyDescent="0.3">
      <c r="A480" s="124" t="e">
        <f>Simulações!#REF!</f>
        <v>#REF!</v>
      </c>
      <c r="B480" s="114" t="e">
        <f>Simulações!#REF!</f>
        <v>#REF!</v>
      </c>
      <c r="C480" s="125" t="e">
        <f>Simulações!#REF!</f>
        <v>#REF!</v>
      </c>
      <c r="D480" s="114" t="e">
        <f>Simulações!#REF!</f>
        <v>#REF!</v>
      </c>
      <c r="E480" s="114" t="e">
        <f>Simulações!#REF!</f>
        <v>#REF!</v>
      </c>
      <c r="F480" s="114" t="e">
        <f>Simulações!#REF!</f>
        <v>#REF!</v>
      </c>
      <c r="G480" s="114" t="e">
        <f>Simulações!#REF!</f>
        <v>#REF!</v>
      </c>
      <c r="H480" s="114" t="e">
        <f>Simulações!#REF!</f>
        <v>#REF!</v>
      </c>
      <c r="I480" s="114" t="e">
        <f>IF(Simulações!#REF!="","",Simulações!#REF!)</f>
        <v>#REF!</v>
      </c>
      <c r="J480" s="114" t="e">
        <f>IF(Simulações!#REF!="","",Simulações!#REF!)</f>
        <v>#REF!</v>
      </c>
      <c r="K480" s="117" t="e">
        <f>Simulações!#REF!</f>
        <v>#REF!</v>
      </c>
      <c r="L480" s="117" t="e">
        <f>Simulações!#REF!</f>
        <v>#REF!</v>
      </c>
      <c r="M480" s="114" t="e">
        <f>IF(Simulações!#REF!="","",Simulações!#REF!)</f>
        <v>#REF!</v>
      </c>
      <c r="N480" s="114" t="e">
        <f>IF(Simulações!#REF!="","",Simulações!#REF!)</f>
        <v>#REF!</v>
      </c>
      <c r="O480" s="114">
        <v>1</v>
      </c>
    </row>
    <row r="481" spans="1:15" ht="15.75" hidden="1" customHeight="1" x14ac:dyDescent="0.3">
      <c r="A481" s="124" t="e">
        <f>Simulações!#REF!</f>
        <v>#REF!</v>
      </c>
      <c r="B481" s="114" t="e">
        <f>Simulações!#REF!</f>
        <v>#REF!</v>
      </c>
      <c r="C481" s="125" t="e">
        <f>Simulações!#REF!</f>
        <v>#REF!</v>
      </c>
      <c r="D481" s="114" t="e">
        <f>Simulações!#REF!</f>
        <v>#REF!</v>
      </c>
      <c r="E481" s="114" t="e">
        <f>Simulações!#REF!</f>
        <v>#REF!</v>
      </c>
      <c r="F481" s="114" t="e">
        <f>Simulações!#REF!</f>
        <v>#REF!</v>
      </c>
      <c r="G481" s="114" t="e">
        <f>Simulações!#REF!</f>
        <v>#REF!</v>
      </c>
      <c r="H481" s="114" t="e">
        <f>Simulações!#REF!</f>
        <v>#REF!</v>
      </c>
      <c r="I481" s="114" t="e">
        <f>IF(Simulações!#REF!="","",Simulações!#REF!)</f>
        <v>#REF!</v>
      </c>
      <c r="J481" s="114" t="e">
        <f>IF(Simulações!#REF!="","",Simulações!#REF!)</f>
        <v>#REF!</v>
      </c>
      <c r="K481" s="117" t="e">
        <f>Simulações!#REF!</f>
        <v>#REF!</v>
      </c>
      <c r="L481" s="117" t="e">
        <f>Simulações!#REF!</f>
        <v>#REF!</v>
      </c>
      <c r="M481" s="114" t="e">
        <f>IF(Simulações!#REF!="","",Simulações!#REF!)</f>
        <v>#REF!</v>
      </c>
      <c r="N481" s="114" t="e">
        <f>IF(Simulações!#REF!="","",Simulações!#REF!)</f>
        <v>#REF!</v>
      </c>
      <c r="O481" s="114">
        <v>1</v>
      </c>
    </row>
    <row r="482" spans="1:15" ht="15.75" hidden="1" customHeight="1" x14ac:dyDescent="0.3">
      <c r="A482" s="124" t="e">
        <f>Simulações!#REF!</f>
        <v>#REF!</v>
      </c>
      <c r="B482" s="114" t="e">
        <f>Simulações!#REF!</f>
        <v>#REF!</v>
      </c>
      <c r="C482" s="125" t="e">
        <f>Simulações!#REF!</f>
        <v>#REF!</v>
      </c>
      <c r="D482" s="114" t="e">
        <f>Simulações!#REF!</f>
        <v>#REF!</v>
      </c>
      <c r="E482" s="114" t="e">
        <f>Simulações!#REF!</f>
        <v>#REF!</v>
      </c>
      <c r="F482" s="114" t="e">
        <f>Simulações!#REF!</f>
        <v>#REF!</v>
      </c>
      <c r="G482" s="114" t="e">
        <f>Simulações!#REF!</f>
        <v>#REF!</v>
      </c>
      <c r="H482" s="114" t="e">
        <f>Simulações!#REF!</f>
        <v>#REF!</v>
      </c>
      <c r="I482" s="114" t="e">
        <f>IF(Simulações!#REF!="","",Simulações!#REF!)</f>
        <v>#REF!</v>
      </c>
      <c r="J482" s="114" t="e">
        <f>IF(Simulações!#REF!="","",Simulações!#REF!)</f>
        <v>#REF!</v>
      </c>
      <c r="K482" s="117" t="e">
        <f>Simulações!#REF!</f>
        <v>#REF!</v>
      </c>
      <c r="L482" s="117" t="e">
        <f>Simulações!#REF!</f>
        <v>#REF!</v>
      </c>
      <c r="M482" s="114" t="e">
        <f>IF(Simulações!#REF!="","",Simulações!#REF!)</f>
        <v>#REF!</v>
      </c>
      <c r="N482" s="114" t="e">
        <f>IF(Simulações!#REF!="","",Simulações!#REF!)</f>
        <v>#REF!</v>
      </c>
      <c r="O482" s="114">
        <v>1</v>
      </c>
    </row>
    <row r="483" spans="1:15" ht="15.75" hidden="1" customHeight="1" x14ac:dyDescent="0.3">
      <c r="A483" s="124" t="e">
        <f>Simulações!#REF!</f>
        <v>#REF!</v>
      </c>
      <c r="B483" s="114" t="e">
        <f>Simulações!#REF!</f>
        <v>#REF!</v>
      </c>
      <c r="C483" s="125" t="e">
        <f>Simulações!#REF!</f>
        <v>#REF!</v>
      </c>
      <c r="D483" s="114" t="e">
        <f>Simulações!#REF!</f>
        <v>#REF!</v>
      </c>
      <c r="E483" s="114" t="e">
        <f>Simulações!#REF!</f>
        <v>#REF!</v>
      </c>
      <c r="F483" s="114" t="e">
        <f>Simulações!#REF!</f>
        <v>#REF!</v>
      </c>
      <c r="G483" s="114" t="e">
        <f>Simulações!#REF!</f>
        <v>#REF!</v>
      </c>
      <c r="H483" s="114" t="e">
        <f>Simulações!#REF!</f>
        <v>#REF!</v>
      </c>
      <c r="I483" s="114" t="e">
        <f>IF(Simulações!#REF!="","",Simulações!#REF!)</f>
        <v>#REF!</v>
      </c>
      <c r="J483" s="114" t="e">
        <f>IF(Simulações!#REF!="","",Simulações!#REF!)</f>
        <v>#REF!</v>
      </c>
      <c r="K483" s="117" t="e">
        <f>Simulações!#REF!</f>
        <v>#REF!</v>
      </c>
      <c r="L483" s="117" t="e">
        <f>Simulações!#REF!</f>
        <v>#REF!</v>
      </c>
      <c r="M483" s="114" t="e">
        <f>IF(Simulações!#REF!="","",Simulações!#REF!)</f>
        <v>#REF!</v>
      </c>
      <c r="N483" s="114" t="e">
        <f>IF(Simulações!#REF!="","",Simulações!#REF!)</f>
        <v>#REF!</v>
      </c>
      <c r="O483" s="114">
        <v>1</v>
      </c>
    </row>
    <row r="484" spans="1:15" ht="15.75" hidden="1" customHeight="1" x14ac:dyDescent="0.3">
      <c r="A484" s="124" t="e">
        <f>Simulações!#REF!</f>
        <v>#REF!</v>
      </c>
      <c r="B484" s="114" t="e">
        <f>Simulações!#REF!</f>
        <v>#REF!</v>
      </c>
      <c r="C484" s="125" t="e">
        <f>Simulações!#REF!</f>
        <v>#REF!</v>
      </c>
      <c r="D484" s="114" t="e">
        <f>Simulações!#REF!</f>
        <v>#REF!</v>
      </c>
      <c r="E484" s="114" t="e">
        <f>Simulações!#REF!</f>
        <v>#REF!</v>
      </c>
      <c r="F484" s="114" t="e">
        <f>Simulações!#REF!</f>
        <v>#REF!</v>
      </c>
      <c r="G484" s="114" t="e">
        <f>Simulações!#REF!</f>
        <v>#REF!</v>
      </c>
      <c r="H484" s="114" t="e">
        <f>Simulações!#REF!</f>
        <v>#REF!</v>
      </c>
      <c r="I484" s="114" t="e">
        <f>IF(Simulações!#REF!="","",Simulações!#REF!)</f>
        <v>#REF!</v>
      </c>
      <c r="J484" s="114" t="e">
        <f>IF(Simulações!#REF!="","",Simulações!#REF!)</f>
        <v>#REF!</v>
      </c>
      <c r="K484" s="117" t="e">
        <f>Simulações!#REF!</f>
        <v>#REF!</v>
      </c>
      <c r="L484" s="117" t="e">
        <f>Simulações!#REF!</f>
        <v>#REF!</v>
      </c>
      <c r="M484" s="114" t="e">
        <f>IF(Simulações!#REF!="","",Simulações!#REF!)</f>
        <v>#REF!</v>
      </c>
      <c r="N484" s="114" t="e">
        <f>IF(Simulações!#REF!="","",Simulações!#REF!)</f>
        <v>#REF!</v>
      </c>
      <c r="O484" s="114">
        <v>1</v>
      </c>
    </row>
    <row r="485" spans="1:15" ht="15.75" hidden="1" customHeight="1" x14ac:dyDescent="0.3">
      <c r="A485" s="124" t="e">
        <f>Simulações!#REF!</f>
        <v>#REF!</v>
      </c>
      <c r="B485" s="114" t="e">
        <f>Simulações!#REF!</f>
        <v>#REF!</v>
      </c>
      <c r="C485" s="125" t="e">
        <f>Simulações!#REF!</f>
        <v>#REF!</v>
      </c>
      <c r="D485" s="114" t="e">
        <f>Simulações!#REF!</f>
        <v>#REF!</v>
      </c>
      <c r="E485" s="114" t="e">
        <f>Simulações!#REF!</f>
        <v>#REF!</v>
      </c>
      <c r="F485" s="114" t="e">
        <f>Simulações!#REF!</f>
        <v>#REF!</v>
      </c>
      <c r="G485" s="114" t="e">
        <f>Simulações!#REF!</f>
        <v>#REF!</v>
      </c>
      <c r="H485" s="114" t="e">
        <f>Simulações!#REF!</f>
        <v>#REF!</v>
      </c>
      <c r="I485" s="114" t="e">
        <f>IF(Simulações!#REF!="","",Simulações!#REF!)</f>
        <v>#REF!</v>
      </c>
      <c r="J485" s="114" t="e">
        <f>IF(Simulações!#REF!="","",Simulações!#REF!)</f>
        <v>#REF!</v>
      </c>
      <c r="K485" s="117" t="e">
        <f>Simulações!#REF!</f>
        <v>#REF!</v>
      </c>
      <c r="L485" s="117" t="e">
        <f>Simulações!#REF!</f>
        <v>#REF!</v>
      </c>
      <c r="M485" s="114" t="e">
        <f>IF(Simulações!#REF!="","",Simulações!#REF!)</f>
        <v>#REF!</v>
      </c>
      <c r="N485" s="114" t="e">
        <f>IF(Simulações!#REF!="","",Simulações!#REF!)</f>
        <v>#REF!</v>
      </c>
      <c r="O485" s="114">
        <v>1</v>
      </c>
    </row>
    <row r="486" spans="1:15" ht="15.75" hidden="1" customHeight="1" x14ac:dyDescent="0.3">
      <c r="A486" s="124" t="e">
        <f>Simulações!#REF!</f>
        <v>#REF!</v>
      </c>
      <c r="B486" s="114" t="e">
        <f>Simulações!#REF!</f>
        <v>#REF!</v>
      </c>
      <c r="C486" s="125" t="e">
        <f>Simulações!#REF!</f>
        <v>#REF!</v>
      </c>
      <c r="D486" s="114" t="e">
        <f>Simulações!#REF!</f>
        <v>#REF!</v>
      </c>
      <c r="E486" s="114" t="e">
        <f>Simulações!#REF!</f>
        <v>#REF!</v>
      </c>
      <c r="F486" s="114" t="e">
        <f>Simulações!#REF!</f>
        <v>#REF!</v>
      </c>
      <c r="G486" s="114" t="e">
        <f>Simulações!#REF!</f>
        <v>#REF!</v>
      </c>
      <c r="H486" s="114" t="e">
        <f>Simulações!#REF!</f>
        <v>#REF!</v>
      </c>
      <c r="I486" s="114" t="e">
        <f>IF(Simulações!#REF!="","",Simulações!#REF!)</f>
        <v>#REF!</v>
      </c>
      <c r="J486" s="114" t="e">
        <f>IF(Simulações!#REF!="","",Simulações!#REF!)</f>
        <v>#REF!</v>
      </c>
      <c r="K486" s="117" t="e">
        <f>Simulações!#REF!</f>
        <v>#REF!</v>
      </c>
      <c r="L486" s="117" t="e">
        <f>Simulações!#REF!</f>
        <v>#REF!</v>
      </c>
      <c r="M486" s="114" t="e">
        <f>IF(Simulações!#REF!="","",Simulações!#REF!)</f>
        <v>#REF!</v>
      </c>
      <c r="N486" s="114" t="e">
        <f>IF(Simulações!#REF!="","",Simulações!#REF!)</f>
        <v>#REF!</v>
      </c>
      <c r="O486" s="114">
        <v>1</v>
      </c>
    </row>
    <row r="487" spans="1:15" ht="15.75" hidden="1" customHeight="1" x14ac:dyDescent="0.3">
      <c r="A487" s="124" t="e">
        <f>Simulações!#REF!</f>
        <v>#REF!</v>
      </c>
      <c r="B487" s="114" t="e">
        <f>Simulações!#REF!</f>
        <v>#REF!</v>
      </c>
      <c r="C487" s="125" t="e">
        <f>Simulações!#REF!</f>
        <v>#REF!</v>
      </c>
      <c r="D487" s="114" t="e">
        <f>Simulações!#REF!</f>
        <v>#REF!</v>
      </c>
      <c r="E487" s="114" t="e">
        <f>Simulações!#REF!</f>
        <v>#REF!</v>
      </c>
      <c r="F487" s="114" t="e">
        <f>Simulações!#REF!</f>
        <v>#REF!</v>
      </c>
      <c r="G487" s="114" t="e">
        <f>Simulações!#REF!</f>
        <v>#REF!</v>
      </c>
      <c r="H487" s="114" t="e">
        <f>Simulações!#REF!</f>
        <v>#REF!</v>
      </c>
      <c r="I487" s="114" t="e">
        <f>IF(Simulações!#REF!="","",Simulações!#REF!)</f>
        <v>#REF!</v>
      </c>
      <c r="J487" s="114" t="e">
        <f>IF(Simulações!#REF!="","",Simulações!#REF!)</f>
        <v>#REF!</v>
      </c>
      <c r="K487" s="117" t="e">
        <f>Simulações!#REF!</f>
        <v>#REF!</v>
      </c>
      <c r="L487" s="117" t="e">
        <f>Simulações!#REF!</f>
        <v>#REF!</v>
      </c>
      <c r="M487" s="114" t="e">
        <f>IF(Simulações!#REF!="","",Simulações!#REF!)</f>
        <v>#REF!</v>
      </c>
      <c r="N487" s="114" t="e">
        <f>IF(Simulações!#REF!="","",Simulações!#REF!)</f>
        <v>#REF!</v>
      </c>
      <c r="O487" s="114">
        <v>1</v>
      </c>
    </row>
    <row r="488" spans="1:15" ht="15.75" hidden="1" customHeight="1" x14ac:dyDescent="0.3">
      <c r="A488" s="124" t="e">
        <f>Simulações!#REF!</f>
        <v>#REF!</v>
      </c>
      <c r="B488" s="114" t="e">
        <f>Simulações!#REF!</f>
        <v>#REF!</v>
      </c>
      <c r="C488" s="125" t="e">
        <f>Simulações!#REF!</f>
        <v>#REF!</v>
      </c>
      <c r="D488" s="114" t="e">
        <f>Simulações!#REF!</f>
        <v>#REF!</v>
      </c>
      <c r="E488" s="114" t="e">
        <f>Simulações!#REF!</f>
        <v>#REF!</v>
      </c>
      <c r="F488" s="114" t="e">
        <f>Simulações!#REF!</f>
        <v>#REF!</v>
      </c>
      <c r="G488" s="114" t="e">
        <f>Simulações!#REF!</f>
        <v>#REF!</v>
      </c>
      <c r="H488" s="114" t="e">
        <f>Simulações!#REF!</f>
        <v>#REF!</v>
      </c>
      <c r="I488" s="114" t="e">
        <f>IF(Simulações!#REF!="","",Simulações!#REF!)</f>
        <v>#REF!</v>
      </c>
      <c r="J488" s="114" t="e">
        <f>IF(Simulações!#REF!="","",Simulações!#REF!)</f>
        <v>#REF!</v>
      </c>
      <c r="K488" s="117" t="e">
        <f>Simulações!#REF!</f>
        <v>#REF!</v>
      </c>
      <c r="L488" s="117" t="e">
        <f>Simulações!#REF!</f>
        <v>#REF!</v>
      </c>
      <c r="M488" s="114" t="e">
        <f>IF(Simulações!#REF!="","",Simulações!#REF!)</f>
        <v>#REF!</v>
      </c>
      <c r="N488" s="114" t="e">
        <f>IF(Simulações!#REF!="","",Simulações!#REF!)</f>
        <v>#REF!</v>
      </c>
      <c r="O488" s="114">
        <v>1</v>
      </c>
    </row>
    <row r="489" spans="1:15" ht="15.75" hidden="1" customHeight="1" x14ac:dyDescent="0.3">
      <c r="A489" s="124" t="e">
        <f>Simulações!#REF!</f>
        <v>#REF!</v>
      </c>
      <c r="B489" s="114" t="e">
        <f>Simulações!#REF!</f>
        <v>#REF!</v>
      </c>
      <c r="C489" s="125" t="e">
        <f>Simulações!#REF!</f>
        <v>#REF!</v>
      </c>
      <c r="D489" s="114" t="e">
        <f>Simulações!#REF!</f>
        <v>#REF!</v>
      </c>
      <c r="E489" s="114" t="e">
        <f>Simulações!#REF!</f>
        <v>#REF!</v>
      </c>
      <c r="F489" s="114" t="e">
        <f>Simulações!#REF!</f>
        <v>#REF!</v>
      </c>
      <c r="G489" s="114" t="e">
        <f>Simulações!#REF!</f>
        <v>#REF!</v>
      </c>
      <c r="H489" s="114" t="e">
        <f>Simulações!#REF!</f>
        <v>#REF!</v>
      </c>
      <c r="I489" s="114" t="e">
        <f>IF(Simulações!#REF!="","",Simulações!#REF!)</f>
        <v>#REF!</v>
      </c>
      <c r="J489" s="114" t="e">
        <f>IF(Simulações!#REF!="","",Simulações!#REF!)</f>
        <v>#REF!</v>
      </c>
      <c r="K489" s="117" t="e">
        <f>Simulações!#REF!</f>
        <v>#REF!</v>
      </c>
      <c r="L489" s="117" t="e">
        <f>Simulações!#REF!</f>
        <v>#REF!</v>
      </c>
      <c r="M489" s="114" t="e">
        <f>IF(Simulações!#REF!="","",Simulações!#REF!)</f>
        <v>#REF!</v>
      </c>
      <c r="N489" s="114" t="e">
        <f>IF(Simulações!#REF!="","",Simulações!#REF!)</f>
        <v>#REF!</v>
      </c>
      <c r="O489" s="114">
        <v>1</v>
      </c>
    </row>
    <row r="490" spans="1:15" ht="15.75" hidden="1" customHeight="1" x14ac:dyDescent="0.3">
      <c r="A490" s="124" t="e">
        <f>Simulações!#REF!</f>
        <v>#REF!</v>
      </c>
      <c r="B490" s="114" t="e">
        <f>Simulações!#REF!</f>
        <v>#REF!</v>
      </c>
      <c r="C490" s="125" t="e">
        <f>Simulações!#REF!</f>
        <v>#REF!</v>
      </c>
      <c r="D490" s="114" t="e">
        <f>Simulações!#REF!</f>
        <v>#REF!</v>
      </c>
      <c r="E490" s="114" t="e">
        <f>Simulações!#REF!</f>
        <v>#REF!</v>
      </c>
      <c r="F490" s="114" t="e">
        <f>Simulações!#REF!</f>
        <v>#REF!</v>
      </c>
      <c r="G490" s="114" t="e">
        <f>Simulações!#REF!</f>
        <v>#REF!</v>
      </c>
      <c r="H490" s="114" t="e">
        <f>Simulações!#REF!</f>
        <v>#REF!</v>
      </c>
      <c r="I490" s="114" t="e">
        <f>IF(Simulações!#REF!="","",Simulações!#REF!)</f>
        <v>#REF!</v>
      </c>
      <c r="J490" s="114" t="e">
        <f>IF(Simulações!#REF!="","",Simulações!#REF!)</f>
        <v>#REF!</v>
      </c>
      <c r="K490" s="117" t="e">
        <f>Simulações!#REF!</f>
        <v>#REF!</v>
      </c>
      <c r="L490" s="117" t="e">
        <f>Simulações!#REF!</f>
        <v>#REF!</v>
      </c>
      <c r="M490" s="114" t="e">
        <f>IF(Simulações!#REF!="","",Simulações!#REF!)</f>
        <v>#REF!</v>
      </c>
      <c r="N490" s="114" t="e">
        <f>IF(Simulações!#REF!="","",Simulações!#REF!)</f>
        <v>#REF!</v>
      </c>
      <c r="O490" s="114">
        <v>1</v>
      </c>
    </row>
    <row r="491" spans="1:15" ht="15.75" hidden="1" customHeight="1" x14ac:dyDescent="0.3">
      <c r="A491" s="124" t="e">
        <f>Simulações!#REF!</f>
        <v>#REF!</v>
      </c>
      <c r="B491" s="114" t="e">
        <f>Simulações!#REF!</f>
        <v>#REF!</v>
      </c>
      <c r="C491" s="125" t="e">
        <f>Simulações!#REF!</f>
        <v>#REF!</v>
      </c>
      <c r="D491" s="114" t="e">
        <f>Simulações!#REF!</f>
        <v>#REF!</v>
      </c>
      <c r="E491" s="114" t="e">
        <f>Simulações!#REF!</f>
        <v>#REF!</v>
      </c>
      <c r="F491" s="114" t="e">
        <f>Simulações!#REF!</f>
        <v>#REF!</v>
      </c>
      <c r="G491" s="114" t="e">
        <f>Simulações!#REF!</f>
        <v>#REF!</v>
      </c>
      <c r="H491" s="114" t="e">
        <f>Simulações!#REF!</f>
        <v>#REF!</v>
      </c>
      <c r="I491" s="114" t="e">
        <f>IF(Simulações!#REF!="","",Simulações!#REF!)</f>
        <v>#REF!</v>
      </c>
      <c r="J491" s="114" t="e">
        <f>IF(Simulações!#REF!="","",Simulações!#REF!)</f>
        <v>#REF!</v>
      </c>
      <c r="K491" s="117" t="e">
        <f>Simulações!#REF!</f>
        <v>#REF!</v>
      </c>
      <c r="L491" s="117" t="e">
        <f>Simulações!#REF!</f>
        <v>#REF!</v>
      </c>
      <c r="M491" s="114" t="e">
        <f>IF(Simulações!#REF!="","",Simulações!#REF!)</f>
        <v>#REF!</v>
      </c>
      <c r="N491" s="114" t="e">
        <f>IF(Simulações!#REF!="","",Simulações!#REF!)</f>
        <v>#REF!</v>
      </c>
      <c r="O491" s="114">
        <v>1</v>
      </c>
    </row>
    <row r="492" spans="1:15" ht="15.75" hidden="1" customHeight="1" x14ac:dyDescent="0.3">
      <c r="A492" s="124" t="e">
        <f>Simulações!#REF!</f>
        <v>#REF!</v>
      </c>
      <c r="B492" s="114" t="e">
        <f>Simulações!#REF!</f>
        <v>#REF!</v>
      </c>
      <c r="C492" s="125" t="e">
        <f>Simulações!#REF!</f>
        <v>#REF!</v>
      </c>
      <c r="D492" s="114" t="e">
        <f>Simulações!#REF!</f>
        <v>#REF!</v>
      </c>
      <c r="E492" s="114" t="e">
        <f>Simulações!#REF!</f>
        <v>#REF!</v>
      </c>
      <c r="F492" s="114" t="e">
        <f>Simulações!#REF!</f>
        <v>#REF!</v>
      </c>
      <c r="G492" s="114" t="e">
        <f>Simulações!#REF!</f>
        <v>#REF!</v>
      </c>
      <c r="H492" s="114" t="e">
        <f>Simulações!#REF!</f>
        <v>#REF!</v>
      </c>
      <c r="I492" s="114" t="e">
        <f>IF(Simulações!#REF!="","",Simulações!#REF!)</f>
        <v>#REF!</v>
      </c>
      <c r="J492" s="114" t="e">
        <f>IF(Simulações!#REF!="","",Simulações!#REF!)</f>
        <v>#REF!</v>
      </c>
      <c r="K492" s="117" t="e">
        <f>Simulações!#REF!</f>
        <v>#REF!</v>
      </c>
      <c r="L492" s="117" t="e">
        <f>Simulações!#REF!</f>
        <v>#REF!</v>
      </c>
      <c r="M492" s="114" t="e">
        <f>IF(Simulações!#REF!="","",Simulações!#REF!)</f>
        <v>#REF!</v>
      </c>
      <c r="N492" s="114" t="e">
        <f>IF(Simulações!#REF!="","",Simulações!#REF!)</f>
        <v>#REF!</v>
      </c>
      <c r="O492" s="114">
        <v>1</v>
      </c>
    </row>
    <row r="493" spans="1:15" ht="15.75" hidden="1" customHeight="1" x14ac:dyDescent="0.3">
      <c r="A493" s="124" t="e">
        <f>Simulações!#REF!</f>
        <v>#REF!</v>
      </c>
      <c r="B493" s="114" t="e">
        <f>Simulações!#REF!</f>
        <v>#REF!</v>
      </c>
      <c r="C493" s="125" t="e">
        <f>Simulações!#REF!</f>
        <v>#REF!</v>
      </c>
      <c r="D493" s="114" t="e">
        <f>Simulações!#REF!</f>
        <v>#REF!</v>
      </c>
      <c r="E493" s="114" t="e">
        <f>Simulações!#REF!</f>
        <v>#REF!</v>
      </c>
      <c r="F493" s="114" t="e">
        <f>Simulações!#REF!</f>
        <v>#REF!</v>
      </c>
      <c r="G493" s="114" t="e">
        <f>Simulações!#REF!</f>
        <v>#REF!</v>
      </c>
      <c r="H493" s="114" t="e">
        <f>Simulações!#REF!</f>
        <v>#REF!</v>
      </c>
      <c r="I493" s="114" t="e">
        <f>IF(Simulações!#REF!="","",Simulações!#REF!)</f>
        <v>#REF!</v>
      </c>
      <c r="J493" s="114" t="e">
        <f>IF(Simulações!#REF!="","",Simulações!#REF!)</f>
        <v>#REF!</v>
      </c>
      <c r="K493" s="117" t="e">
        <f>Simulações!#REF!</f>
        <v>#REF!</v>
      </c>
      <c r="L493" s="117" t="e">
        <f>Simulações!#REF!</f>
        <v>#REF!</v>
      </c>
      <c r="M493" s="114" t="e">
        <f>IF(Simulações!#REF!="","",Simulações!#REF!)</f>
        <v>#REF!</v>
      </c>
      <c r="N493" s="114" t="e">
        <f>IF(Simulações!#REF!="","",Simulações!#REF!)</f>
        <v>#REF!</v>
      </c>
      <c r="O493" s="114">
        <v>1</v>
      </c>
    </row>
    <row r="494" spans="1:15" ht="15.75" hidden="1" customHeight="1" x14ac:dyDescent="0.3">
      <c r="A494" s="124" t="e">
        <f>Simulações!#REF!</f>
        <v>#REF!</v>
      </c>
      <c r="B494" s="114" t="e">
        <f>Simulações!#REF!</f>
        <v>#REF!</v>
      </c>
      <c r="C494" s="125" t="e">
        <f>Simulações!#REF!</f>
        <v>#REF!</v>
      </c>
      <c r="D494" s="114" t="e">
        <f>Simulações!#REF!</f>
        <v>#REF!</v>
      </c>
      <c r="E494" s="114" t="e">
        <f>Simulações!#REF!</f>
        <v>#REF!</v>
      </c>
      <c r="F494" s="114" t="e">
        <f>Simulações!#REF!</f>
        <v>#REF!</v>
      </c>
      <c r="G494" s="114" t="e">
        <f>Simulações!#REF!</f>
        <v>#REF!</v>
      </c>
      <c r="H494" s="114" t="e">
        <f>Simulações!#REF!</f>
        <v>#REF!</v>
      </c>
      <c r="I494" s="114" t="e">
        <f>IF(Simulações!#REF!="","",Simulações!#REF!)</f>
        <v>#REF!</v>
      </c>
      <c r="J494" s="114" t="e">
        <f>IF(Simulações!#REF!="","",Simulações!#REF!)</f>
        <v>#REF!</v>
      </c>
      <c r="K494" s="117" t="e">
        <f>Simulações!#REF!</f>
        <v>#REF!</v>
      </c>
      <c r="L494" s="117" t="e">
        <f>Simulações!#REF!</f>
        <v>#REF!</v>
      </c>
      <c r="M494" s="114" t="e">
        <f>IF(Simulações!#REF!="","",Simulações!#REF!)</f>
        <v>#REF!</v>
      </c>
      <c r="N494" s="114" t="e">
        <f>IF(Simulações!#REF!="","",Simulações!#REF!)</f>
        <v>#REF!</v>
      </c>
      <c r="O494" s="114">
        <v>1</v>
      </c>
    </row>
    <row r="495" spans="1:15" ht="15.75" hidden="1" customHeight="1" x14ac:dyDescent="0.3">
      <c r="A495" s="124" t="e">
        <f>Simulações!#REF!</f>
        <v>#REF!</v>
      </c>
      <c r="B495" s="114" t="e">
        <f>Simulações!#REF!</f>
        <v>#REF!</v>
      </c>
      <c r="C495" s="125" t="e">
        <f>Simulações!#REF!</f>
        <v>#REF!</v>
      </c>
      <c r="D495" s="114" t="e">
        <f>Simulações!#REF!</f>
        <v>#REF!</v>
      </c>
      <c r="E495" s="114" t="e">
        <f>Simulações!#REF!</f>
        <v>#REF!</v>
      </c>
      <c r="F495" s="114" t="e">
        <f>Simulações!#REF!</f>
        <v>#REF!</v>
      </c>
      <c r="G495" s="114" t="e">
        <f>Simulações!#REF!</f>
        <v>#REF!</v>
      </c>
      <c r="H495" s="114" t="e">
        <f>Simulações!#REF!</f>
        <v>#REF!</v>
      </c>
      <c r="I495" s="114" t="e">
        <f>IF(Simulações!#REF!="","",Simulações!#REF!)</f>
        <v>#REF!</v>
      </c>
      <c r="J495" s="114" t="e">
        <f>IF(Simulações!#REF!="","",Simulações!#REF!)</f>
        <v>#REF!</v>
      </c>
      <c r="K495" s="117" t="e">
        <f>Simulações!#REF!</f>
        <v>#REF!</v>
      </c>
      <c r="L495" s="117" t="e">
        <f>Simulações!#REF!</f>
        <v>#REF!</v>
      </c>
      <c r="M495" s="114" t="e">
        <f>IF(Simulações!#REF!="","",Simulações!#REF!)</f>
        <v>#REF!</v>
      </c>
      <c r="N495" s="114" t="e">
        <f>IF(Simulações!#REF!="","",Simulações!#REF!)</f>
        <v>#REF!</v>
      </c>
      <c r="O495" s="114">
        <v>1</v>
      </c>
    </row>
    <row r="496" spans="1:15" ht="15.75" hidden="1" customHeight="1" x14ac:dyDescent="0.3">
      <c r="A496" s="124" t="e">
        <f>Simulações!#REF!</f>
        <v>#REF!</v>
      </c>
      <c r="B496" s="114" t="e">
        <f>Simulações!#REF!</f>
        <v>#REF!</v>
      </c>
      <c r="C496" s="125" t="e">
        <f>Simulações!#REF!</f>
        <v>#REF!</v>
      </c>
      <c r="D496" s="114" t="e">
        <f>Simulações!#REF!</f>
        <v>#REF!</v>
      </c>
      <c r="E496" s="114" t="e">
        <f>Simulações!#REF!</f>
        <v>#REF!</v>
      </c>
      <c r="F496" s="114" t="e">
        <f>Simulações!#REF!</f>
        <v>#REF!</v>
      </c>
      <c r="G496" s="114" t="e">
        <f>Simulações!#REF!</f>
        <v>#REF!</v>
      </c>
      <c r="H496" s="114" t="e">
        <f>Simulações!#REF!</f>
        <v>#REF!</v>
      </c>
      <c r="I496" s="114" t="e">
        <f>IF(Simulações!#REF!="","",Simulações!#REF!)</f>
        <v>#REF!</v>
      </c>
      <c r="J496" s="114" t="e">
        <f>IF(Simulações!#REF!="","",Simulações!#REF!)</f>
        <v>#REF!</v>
      </c>
      <c r="K496" s="117" t="e">
        <f>Simulações!#REF!</f>
        <v>#REF!</v>
      </c>
      <c r="L496" s="117" t="e">
        <f>Simulações!#REF!</f>
        <v>#REF!</v>
      </c>
      <c r="M496" s="114" t="e">
        <f>IF(Simulações!#REF!="","",Simulações!#REF!)</f>
        <v>#REF!</v>
      </c>
      <c r="N496" s="114" t="e">
        <f>IF(Simulações!#REF!="","",Simulações!#REF!)</f>
        <v>#REF!</v>
      </c>
      <c r="O496" s="114">
        <v>1</v>
      </c>
    </row>
    <row r="497" spans="1:15" ht="15.75" hidden="1" customHeight="1" x14ac:dyDescent="0.3">
      <c r="A497" s="124" t="e">
        <f>Simulações!#REF!</f>
        <v>#REF!</v>
      </c>
      <c r="B497" s="114" t="e">
        <f>Simulações!#REF!</f>
        <v>#REF!</v>
      </c>
      <c r="C497" s="125" t="e">
        <f>Simulações!#REF!</f>
        <v>#REF!</v>
      </c>
      <c r="D497" s="114" t="e">
        <f>Simulações!#REF!</f>
        <v>#REF!</v>
      </c>
      <c r="E497" s="114" t="e">
        <f>Simulações!#REF!</f>
        <v>#REF!</v>
      </c>
      <c r="F497" s="114" t="e">
        <f>Simulações!#REF!</f>
        <v>#REF!</v>
      </c>
      <c r="G497" s="114" t="e">
        <f>Simulações!#REF!</f>
        <v>#REF!</v>
      </c>
      <c r="H497" s="114" t="e">
        <f>Simulações!#REF!</f>
        <v>#REF!</v>
      </c>
      <c r="I497" s="114" t="e">
        <f>IF(Simulações!#REF!="","",Simulações!#REF!)</f>
        <v>#REF!</v>
      </c>
      <c r="J497" s="114" t="e">
        <f>IF(Simulações!#REF!="","",Simulações!#REF!)</f>
        <v>#REF!</v>
      </c>
      <c r="K497" s="117" t="e">
        <f>Simulações!#REF!</f>
        <v>#REF!</v>
      </c>
      <c r="L497" s="117" t="e">
        <f>Simulações!#REF!</f>
        <v>#REF!</v>
      </c>
      <c r="M497" s="114" t="e">
        <f>IF(Simulações!#REF!="","",Simulações!#REF!)</f>
        <v>#REF!</v>
      </c>
      <c r="N497" s="114" t="e">
        <f>IF(Simulações!#REF!="","",Simulações!#REF!)</f>
        <v>#REF!</v>
      </c>
      <c r="O497" s="114">
        <v>1</v>
      </c>
    </row>
    <row r="498" spans="1:15" ht="15.75" hidden="1" customHeight="1" x14ac:dyDescent="0.3">
      <c r="A498" s="124" t="e">
        <f>Simulações!#REF!</f>
        <v>#REF!</v>
      </c>
      <c r="B498" s="114" t="e">
        <f>Simulações!#REF!</f>
        <v>#REF!</v>
      </c>
      <c r="C498" s="125" t="e">
        <f>Simulações!#REF!</f>
        <v>#REF!</v>
      </c>
      <c r="D498" s="114" t="e">
        <f>Simulações!#REF!</f>
        <v>#REF!</v>
      </c>
      <c r="E498" s="114" t="e">
        <f>Simulações!#REF!</f>
        <v>#REF!</v>
      </c>
      <c r="F498" s="114" t="e">
        <f>Simulações!#REF!</f>
        <v>#REF!</v>
      </c>
      <c r="G498" s="114" t="e">
        <f>Simulações!#REF!</f>
        <v>#REF!</v>
      </c>
      <c r="H498" s="114" t="e">
        <f>Simulações!#REF!</f>
        <v>#REF!</v>
      </c>
      <c r="I498" s="114" t="e">
        <f>IF(Simulações!#REF!="","",Simulações!#REF!)</f>
        <v>#REF!</v>
      </c>
      <c r="J498" s="114" t="e">
        <f>IF(Simulações!#REF!="","",Simulações!#REF!)</f>
        <v>#REF!</v>
      </c>
      <c r="K498" s="117" t="e">
        <f>Simulações!#REF!</f>
        <v>#REF!</v>
      </c>
      <c r="L498" s="117" t="e">
        <f>Simulações!#REF!</f>
        <v>#REF!</v>
      </c>
      <c r="M498" s="114" t="e">
        <f>IF(Simulações!#REF!="","",Simulações!#REF!)</f>
        <v>#REF!</v>
      </c>
      <c r="N498" s="114" t="e">
        <f>IF(Simulações!#REF!="","",Simulações!#REF!)</f>
        <v>#REF!</v>
      </c>
      <c r="O498" s="114">
        <v>1</v>
      </c>
    </row>
    <row r="499" spans="1:15" ht="15.75" hidden="1" customHeight="1" x14ac:dyDescent="0.3">
      <c r="A499" s="124" t="e">
        <f>Simulações!#REF!</f>
        <v>#REF!</v>
      </c>
      <c r="B499" s="114" t="e">
        <f>Simulações!#REF!</f>
        <v>#REF!</v>
      </c>
      <c r="C499" s="125" t="e">
        <f>Simulações!#REF!</f>
        <v>#REF!</v>
      </c>
      <c r="D499" s="114" t="e">
        <f>Simulações!#REF!</f>
        <v>#REF!</v>
      </c>
      <c r="E499" s="114" t="e">
        <f>Simulações!#REF!</f>
        <v>#REF!</v>
      </c>
      <c r="F499" s="114" t="e">
        <f>Simulações!#REF!</f>
        <v>#REF!</v>
      </c>
      <c r="G499" s="114" t="e">
        <f>Simulações!#REF!</f>
        <v>#REF!</v>
      </c>
      <c r="H499" s="114" t="e">
        <f>Simulações!#REF!</f>
        <v>#REF!</v>
      </c>
      <c r="I499" s="114" t="e">
        <f>IF(Simulações!#REF!="","",Simulações!#REF!)</f>
        <v>#REF!</v>
      </c>
      <c r="J499" s="114" t="e">
        <f>IF(Simulações!#REF!="","",Simulações!#REF!)</f>
        <v>#REF!</v>
      </c>
      <c r="K499" s="117" t="e">
        <f>Simulações!#REF!</f>
        <v>#REF!</v>
      </c>
      <c r="L499" s="117" t="e">
        <f>Simulações!#REF!</f>
        <v>#REF!</v>
      </c>
      <c r="M499" s="114" t="e">
        <f>IF(Simulações!#REF!="","",Simulações!#REF!)</f>
        <v>#REF!</v>
      </c>
      <c r="N499" s="114" t="e">
        <f>IF(Simulações!#REF!="","",Simulações!#REF!)</f>
        <v>#REF!</v>
      </c>
      <c r="O499" s="114">
        <v>1</v>
      </c>
    </row>
    <row r="500" spans="1:15" ht="15.75" hidden="1" customHeight="1" x14ac:dyDescent="0.3">
      <c r="A500" s="124" t="e">
        <f>Simulações!#REF!</f>
        <v>#REF!</v>
      </c>
      <c r="B500" s="114" t="e">
        <f>Simulações!#REF!</f>
        <v>#REF!</v>
      </c>
      <c r="C500" s="125" t="e">
        <f>Simulações!#REF!</f>
        <v>#REF!</v>
      </c>
      <c r="D500" s="114" t="e">
        <f>Simulações!#REF!</f>
        <v>#REF!</v>
      </c>
      <c r="E500" s="114" t="e">
        <f>Simulações!#REF!</f>
        <v>#REF!</v>
      </c>
      <c r="F500" s="114" t="e">
        <f>Simulações!#REF!</f>
        <v>#REF!</v>
      </c>
      <c r="G500" s="114" t="e">
        <f>Simulações!#REF!</f>
        <v>#REF!</v>
      </c>
      <c r="H500" s="114" t="e">
        <f>Simulações!#REF!</f>
        <v>#REF!</v>
      </c>
      <c r="I500" s="114" t="e">
        <f>IF(Simulações!#REF!="","",Simulações!#REF!)</f>
        <v>#REF!</v>
      </c>
      <c r="J500" s="114" t="e">
        <f>IF(Simulações!#REF!="","",Simulações!#REF!)</f>
        <v>#REF!</v>
      </c>
      <c r="K500" s="117" t="e">
        <f>Simulações!#REF!</f>
        <v>#REF!</v>
      </c>
      <c r="L500" s="117" t="e">
        <f>Simulações!#REF!</f>
        <v>#REF!</v>
      </c>
      <c r="M500" s="114" t="e">
        <f>IF(Simulações!#REF!="","",Simulações!#REF!)</f>
        <v>#REF!</v>
      </c>
      <c r="N500" s="114" t="e">
        <f>IF(Simulações!#REF!="","",Simulações!#REF!)</f>
        <v>#REF!</v>
      </c>
      <c r="O500" s="114">
        <v>1</v>
      </c>
    </row>
    <row r="501" spans="1:15" ht="15.75" hidden="1" customHeight="1" x14ac:dyDescent="0.3">
      <c r="A501" s="124" t="e">
        <f>Simulações!#REF!</f>
        <v>#REF!</v>
      </c>
      <c r="B501" s="114" t="e">
        <f>Simulações!#REF!</f>
        <v>#REF!</v>
      </c>
      <c r="C501" s="125" t="e">
        <f>Simulações!#REF!</f>
        <v>#REF!</v>
      </c>
      <c r="D501" s="114" t="e">
        <f>Simulações!#REF!</f>
        <v>#REF!</v>
      </c>
      <c r="E501" s="114" t="e">
        <f>Simulações!#REF!</f>
        <v>#REF!</v>
      </c>
      <c r="F501" s="114" t="e">
        <f>Simulações!#REF!</f>
        <v>#REF!</v>
      </c>
      <c r="G501" s="114" t="e">
        <f>Simulações!#REF!</f>
        <v>#REF!</v>
      </c>
      <c r="H501" s="114" t="e">
        <f>Simulações!#REF!</f>
        <v>#REF!</v>
      </c>
      <c r="I501" s="114" t="e">
        <f>IF(Simulações!#REF!="","",Simulações!#REF!)</f>
        <v>#REF!</v>
      </c>
      <c r="J501" s="114" t="e">
        <f>IF(Simulações!#REF!="","",Simulações!#REF!)</f>
        <v>#REF!</v>
      </c>
      <c r="K501" s="117" t="e">
        <f>Simulações!#REF!</f>
        <v>#REF!</v>
      </c>
      <c r="L501" s="117" t="e">
        <f>Simulações!#REF!</f>
        <v>#REF!</v>
      </c>
      <c r="M501" s="114" t="e">
        <f>IF(Simulações!#REF!="","",Simulações!#REF!)</f>
        <v>#REF!</v>
      </c>
      <c r="N501" s="114" t="e">
        <f>IF(Simulações!#REF!="","",Simulações!#REF!)</f>
        <v>#REF!</v>
      </c>
      <c r="O501" s="114">
        <v>1</v>
      </c>
    </row>
    <row r="502" spans="1:15" ht="15.75" hidden="1" customHeight="1" x14ac:dyDescent="0.3">
      <c r="A502" s="124" t="e">
        <f>Simulações!#REF!</f>
        <v>#REF!</v>
      </c>
      <c r="B502" s="114" t="e">
        <f>Simulações!#REF!</f>
        <v>#REF!</v>
      </c>
      <c r="C502" s="125" t="e">
        <f>Simulações!#REF!</f>
        <v>#REF!</v>
      </c>
      <c r="D502" s="114" t="e">
        <f>Simulações!#REF!</f>
        <v>#REF!</v>
      </c>
      <c r="E502" s="114" t="e">
        <f>Simulações!#REF!</f>
        <v>#REF!</v>
      </c>
      <c r="F502" s="114" t="e">
        <f>Simulações!#REF!</f>
        <v>#REF!</v>
      </c>
      <c r="G502" s="114" t="e">
        <f>Simulações!#REF!</f>
        <v>#REF!</v>
      </c>
      <c r="H502" s="114" t="e">
        <f>Simulações!#REF!</f>
        <v>#REF!</v>
      </c>
      <c r="I502" s="114" t="e">
        <f>IF(Simulações!#REF!="","",Simulações!#REF!)</f>
        <v>#REF!</v>
      </c>
      <c r="J502" s="114" t="e">
        <f>IF(Simulações!#REF!="","",Simulações!#REF!)</f>
        <v>#REF!</v>
      </c>
      <c r="K502" s="117" t="e">
        <f>Simulações!#REF!</f>
        <v>#REF!</v>
      </c>
      <c r="L502" s="117" t="e">
        <f>Simulações!#REF!</f>
        <v>#REF!</v>
      </c>
      <c r="M502" s="114" t="e">
        <f>IF(Simulações!#REF!="","",Simulações!#REF!)</f>
        <v>#REF!</v>
      </c>
      <c r="N502" s="114" t="e">
        <f>IF(Simulações!#REF!="","",Simulações!#REF!)</f>
        <v>#REF!</v>
      </c>
      <c r="O502" s="114">
        <v>1</v>
      </c>
    </row>
    <row r="503" spans="1:15" ht="15.75" hidden="1" customHeight="1" x14ac:dyDescent="0.3">
      <c r="A503" s="124" t="e">
        <f>Simulações!#REF!</f>
        <v>#REF!</v>
      </c>
      <c r="B503" s="114" t="e">
        <f>Simulações!#REF!</f>
        <v>#REF!</v>
      </c>
      <c r="C503" s="125" t="e">
        <f>Simulações!#REF!</f>
        <v>#REF!</v>
      </c>
      <c r="D503" s="114" t="e">
        <f>Simulações!#REF!</f>
        <v>#REF!</v>
      </c>
      <c r="E503" s="114" t="e">
        <f>Simulações!#REF!</f>
        <v>#REF!</v>
      </c>
      <c r="F503" s="114" t="e">
        <f>Simulações!#REF!</f>
        <v>#REF!</v>
      </c>
      <c r="G503" s="114" t="e">
        <f>Simulações!#REF!</f>
        <v>#REF!</v>
      </c>
      <c r="H503" s="114" t="e">
        <f>Simulações!#REF!</f>
        <v>#REF!</v>
      </c>
      <c r="I503" s="114" t="e">
        <f>IF(Simulações!#REF!="","",Simulações!#REF!)</f>
        <v>#REF!</v>
      </c>
      <c r="J503" s="114" t="e">
        <f>IF(Simulações!#REF!="","",Simulações!#REF!)</f>
        <v>#REF!</v>
      </c>
      <c r="K503" s="117" t="e">
        <f>Simulações!#REF!</f>
        <v>#REF!</v>
      </c>
      <c r="L503" s="117" t="e">
        <f>Simulações!#REF!</f>
        <v>#REF!</v>
      </c>
      <c r="M503" s="114" t="e">
        <f>IF(Simulações!#REF!="","",Simulações!#REF!)</f>
        <v>#REF!</v>
      </c>
      <c r="N503" s="114" t="e">
        <f>IF(Simulações!#REF!="","",Simulações!#REF!)</f>
        <v>#REF!</v>
      </c>
      <c r="O503" s="114">
        <v>1</v>
      </c>
    </row>
    <row r="504" spans="1:15" ht="15.75" hidden="1" customHeight="1" x14ac:dyDescent="0.3">
      <c r="A504" s="124" t="e">
        <f>Simulações!#REF!</f>
        <v>#REF!</v>
      </c>
      <c r="B504" s="114" t="e">
        <f>Simulações!#REF!</f>
        <v>#REF!</v>
      </c>
      <c r="C504" s="125" t="e">
        <f>Simulações!#REF!</f>
        <v>#REF!</v>
      </c>
      <c r="D504" s="114" t="e">
        <f>Simulações!#REF!</f>
        <v>#REF!</v>
      </c>
      <c r="E504" s="114" t="e">
        <f>Simulações!#REF!</f>
        <v>#REF!</v>
      </c>
      <c r="F504" s="114" t="e">
        <f>Simulações!#REF!</f>
        <v>#REF!</v>
      </c>
      <c r="G504" s="114" t="e">
        <f>Simulações!#REF!</f>
        <v>#REF!</v>
      </c>
      <c r="H504" s="114" t="e">
        <f>Simulações!#REF!</f>
        <v>#REF!</v>
      </c>
      <c r="I504" s="114" t="e">
        <f>IF(Simulações!#REF!="","",Simulações!#REF!)</f>
        <v>#REF!</v>
      </c>
      <c r="J504" s="114" t="e">
        <f>IF(Simulações!#REF!="","",Simulações!#REF!)</f>
        <v>#REF!</v>
      </c>
      <c r="K504" s="117" t="e">
        <f>Simulações!#REF!</f>
        <v>#REF!</v>
      </c>
      <c r="L504" s="117" t="e">
        <f>Simulações!#REF!</f>
        <v>#REF!</v>
      </c>
      <c r="M504" s="114" t="e">
        <f>IF(Simulações!#REF!="","",Simulações!#REF!)</f>
        <v>#REF!</v>
      </c>
      <c r="N504" s="114" t="e">
        <f>IF(Simulações!#REF!="","",Simulações!#REF!)</f>
        <v>#REF!</v>
      </c>
      <c r="O504" s="114">
        <v>1</v>
      </c>
    </row>
    <row r="505" spans="1:15" ht="15.75" hidden="1" customHeight="1" x14ac:dyDescent="0.3">
      <c r="A505" s="124" t="e">
        <f>Simulações!#REF!</f>
        <v>#REF!</v>
      </c>
      <c r="B505" s="114" t="e">
        <f>Simulações!#REF!</f>
        <v>#REF!</v>
      </c>
      <c r="C505" s="125" t="e">
        <f>Simulações!#REF!</f>
        <v>#REF!</v>
      </c>
      <c r="D505" s="114" t="e">
        <f>Simulações!#REF!</f>
        <v>#REF!</v>
      </c>
      <c r="E505" s="114" t="e">
        <f>Simulações!#REF!</f>
        <v>#REF!</v>
      </c>
      <c r="F505" s="114" t="e">
        <f>Simulações!#REF!</f>
        <v>#REF!</v>
      </c>
      <c r="G505" s="114" t="e">
        <f>Simulações!#REF!</f>
        <v>#REF!</v>
      </c>
      <c r="H505" s="114" t="e">
        <f>Simulações!#REF!</f>
        <v>#REF!</v>
      </c>
      <c r="I505" s="114" t="e">
        <f>IF(Simulações!#REF!="","",Simulações!#REF!)</f>
        <v>#REF!</v>
      </c>
      <c r="J505" s="114" t="e">
        <f>IF(Simulações!#REF!="","",Simulações!#REF!)</f>
        <v>#REF!</v>
      </c>
      <c r="K505" s="117" t="e">
        <f>Simulações!#REF!</f>
        <v>#REF!</v>
      </c>
      <c r="L505" s="117" t="e">
        <f>Simulações!#REF!</f>
        <v>#REF!</v>
      </c>
      <c r="M505" s="114" t="e">
        <f>IF(Simulações!#REF!="","",Simulações!#REF!)</f>
        <v>#REF!</v>
      </c>
      <c r="N505" s="114" t="e">
        <f>IF(Simulações!#REF!="","",Simulações!#REF!)</f>
        <v>#REF!</v>
      </c>
      <c r="O505" s="114">
        <v>1</v>
      </c>
    </row>
    <row r="506" spans="1:15" ht="15.75" hidden="1" customHeight="1" x14ac:dyDescent="0.3">
      <c r="A506" s="124" t="e">
        <f>Simulações!#REF!</f>
        <v>#REF!</v>
      </c>
      <c r="B506" s="114" t="e">
        <f>Simulações!#REF!</f>
        <v>#REF!</v>
      </c>
      <c r="C506" s="125" t="e">
        <f>Simulações!#REF!</f>
        <v>#REF!</v>
      </c>
      <c r="D506" s="114" t="e">
        <f>Simulações!#REF!</f>
        <v>#REF!</v>
      </c>
      <c r="E506" s="114" t="e">
        <f>Simulações!#REF!</f>
        <v>#REF!</v>
      </c>
      <c r="F506" s="114" t="e">
        <f>Simulações!#REF!</f>
        <v>#REF!</v>
      </c>
      <c r="G506" s="114" t="e">
        <f>Simulações!#REF!</f>
        <v>#REF!</v>
      </c>
      <c r="H506" s="114" t="e">
        <f>Simulações!#REF!</f>
        <v>#REF!</v>
      </c>
      <c r="I506" s="114" t="e">
        <f>IF(Simulações!#REF!="","",Simulações!#REF!)</f>
        <v>#REF!</v>
      </c>
      <c r="J506" s="114" t="e">
        <f>IF(Simulações!#REF!="","",Simulações!#REF!)</f>
        <v>#REF!</v>
      </c>
      <c r="K506" s="117" t="e">
        <f>Simulações!#REF!</f>
        <v>#REF!</v>
      </c>
      <c r="L506" s="117" t="e">
        <f>Simulações!#REF!</f>
        <v>#REF!</v>
      </c>
      <c r="M506" s="114" t="e">
        <f>IF(Simulações!#REF!="","",Simulações!#REF!)</f>
        <v>#REF!</v>
      </c>
      <c r="N506" s="114" t="e">
        <f>IF(Simulações!#REF!="","",Simulações!#REF!)</f>
        <v>#REF!</v>
      </c>
      <c r="O506" s="114">
        <v>1</v>
      </c>
    </row>
    <row r="507" spans="1:15" ht="15.75" hidden="1" customHeight="1" x14ac:dyDescent="0.3">
      <c r="A507" s="124" t="e">
        <f>Simulações!#REF!</f>
        <v>#REF!</v>
      </c>
      <c r="B507" s="114" t="e">
        <f>Simulações!#REF!</f>
        <v>#REF!</v>
      </c>
      <c r="C507" s="125" t="e">
        <f>Simulações!#REF!</f>
        <v>#REF!</v>
      </c>
      <c r="D507" s="114" t="e">
        <f>Simulações!#REF!</f>
        <v>#REF!</v>
      </c>
      <c r="E507" s="114" t="e">
        <f>Simulações!#REF!</f>
        <v>#REF!</v>
      </c>
      <c r="F507" s="114" t="e">
        <f>Simulações!#REF!</f>
        <v>#REF!</v>
      </c>
      <c r="G507" s="114" t="e">
        <f>Simulações!#REF!</f>
        <v>#REF!</v>
      </c>
      <c r="H507" s="114" t="e">
        <f>Simulações!#REF!</f>
        <v>#REF!</v>
      </c>
      <c r="I507" s="114" t="e">
        <f>IF(Simulações!#REF!="","",Simulações!#REF!)</f>
        <v>#REF!</v>
      </c>
      <c r="J507" s="114" t="e">
        <f>IF(Simulações!#REF!="","",Simulações!#REF!)</f>
        <v>#REF!</v>
      </c>
      <c r="K507" s="117" t="e">
        <f>Simulações!#REF!</f>
        <v>#REF!</v>
      </c>
      <c r="L507" s="117" t="e">
        <f>Simulações!#REF!</f>
        <v>#REF!</v>
      </c>
      <c r="M507" s="114" t="e">
        <f>IF(Simulações!#REF!="","",Simulações!#REF!)</f>
        <v>#REF!</v>
      </c>
      <c r="N507" s="114" t="e">
        <f>IF(Simulações!#REF!="","",Simulações!#REF!)</f>
        <v>#REF!</v>
      </c>
      <c r="O507" s="114">
        <v>1</v>
      </c>
    </row>
    <row r="508" spans="1:15" ht="15.75" hidden="1" customHeight="1" x14ac:dyDescent="0.3">
      <c r="A508" s="124" t="e">
        <f>Simulações!#REF!</f>
        <v>#REF!</v>
      </c>
      <c r="B508" s="114" t="e">
        <f>Simulações!#REF!</f>
        <v>#REF!</v>
      </c>
      <c r="C508" s="125" t="e">
        <f>Simulações!#REF!</f>
        <v>#REF!</v>
      </c>
      <c r="D508" s="114" t="e">
        <f>Simulações!#REF!</f>
        <v>#REF!</v>
      </c>
      <c r="E508" s="114" t="e">
        <f>Simulações!#REF!</f>
        <v>#REF!</v>
      </c>
      <c r="F508" s="114" t="e">
        <f>Simulações!#REF!</f>
        <v>#REF!</v>
      </c>
      <c r="G508" s="114" t="e">
        <f>Simulações!#REF!</f>
        <v>#REF!</v>
      </c>
      <c r="H508" s="114" t="e">
        <f>Simulações!#REF!</f>
        <v>#REF!</v>
      </c>
      <c r="I508" s="114" t="e">
        <f>IF(Simulações!#REF!="","",Simulações!#REF!)</f>
        <v>#REF!</v>
      </c>
      <c r="J508" s="114" t="e">
        <f>IF(Simulações!#REF!="","",Simulações!#REF!)</f>
        <v>#REF!</v>
      </c>
      <c r="K508" s="117" t="e">
        <f>Simulações!#REF!</f>
        <v>#REF!</v>
      </c>
      <c r="L508" s="117" t="e">
        <f>Simulações!#REF!</f>
        <v>#REF!</v>
      </c>
      <c r="M508" s="114" t="e">
        <f>IF(Simulações!#REF!="","",Simulações!#REF!)</f>
        <v>#REF!</v>
      </c>
      <c r="N508" s="114" t="e">
        <f>IF(Simulações!#REF!="","",Simulações!#REF!)</f>
        <v>#REF!</v>
      </c>
      <c r="O508" s="114">
        <v>1</v>
      </c>
    </row>
    <row r="509" spans="1:15" ht="15.75" hidden="1" customHeight="1" x14ac:dyDescent="0.3">
      <c r="A509" s="124" t="e">
        <f>Simulações!#REF!</f>
        <v>#REF!</v>
      </c>
      <c r="B509" s="114" t="e">
        <f>Simulações!#REF!</f>
        <v>#REF!</v>
      </c>
      <c r="C509" s="125" t="e">
        <f>Simulações!#REF!</f>
        <v>#REF!</v>
      </c>
      <c r="D509" s="114" t="e">
        <f>Simulações!#REF!</f>
        <v>#REF!</v>
      </c>
      <c r="E509" s="114" t="e">
        <f>Simulações!#REF!</f>
        <v>#REF!</v>
      </c>
      <c r="F509" s="114" t="e">
        <f>Simulações!#REF!</f>
        <v>#REF!</v>
      </c>
      <c r="G509" s="114" t="e">
        <f>Simulações!#REF!</f>
        <v>#REF!</v>
      </c>
      <c r="H509" s="114" t="e">
        <f>Simulações!#REF!</f>
        <v>#REF!</v>
      </c>
      <c r="I509" s="114" t="e">
        <f>IF(Simulações!#REF!="","",Simulações!#REF!)</f>
        <v>#REF!</v>
      </c>
      <c r="J509" s="114" t="e">
        <f>IF(Simulações!#REF!="","",Simulações!#REF!)</f>
        <v>#REF!</v>
      </c>
      <c r="K509" s="117" t="e">
        <f>Simulações!#REF!</f>
        <v>#REF!</v>
      </c>
      <c r="L509" s="117" t="e">
        <f>Simulações!#REF!</f>
        <v>#REF!</v>
      </c>
      <c r="M509" s="114" t="e">
        <f>IF(Simulações!#REF!="","",Simulações!#REF!)</f>
        <v>#REF!</v>
      </c>
      <c r="N509" s="114" t="e">
        <f>IF(Simulações!#REF!="","",Simulações!#REF!)</f>
        <v>#REF!</v>
      </c>
      <c r="O509" s="114">
        <v>1</v>
      </c>
    </row>
    <row r="510" spans="1:15" ht="15.75" hidden="1" customHeight="1" x14ac:dyDescent="0.3">
      <c r="A510" s="124" t="e">
        <f>Simulações!#REF!</f>
        <v>#REF!</v>
      </c>
      <c r="B510" s="114" t="e">
        <f>Simulações!#REF!</f>
        <v>#REF!</v>
      </c>
      <c r="C510" s="125" t="e">
        <f>Simulações!#REF!</f>
        <v>#REF!</v>
      </c>
      <c r="D510" s="114" t="e">
        <f>Simulações!#REF!</f>
        <v>#REF!</v>
      </c>
      <c r="E510" s="114" t="e">
        <f>Simulações!#REF!</f>
        <v>#REF!</v>
      </c>
      <c r="F510" s="114" t="e">
        <f>Simulações!#REF!</f>
        <v>#REF!</v>
      </c>
      <c r="G510" s="114" t="e">
        <f>Simulações!#REF!</f>
        <v>#REF!</v>
      </c>
      <c r="H510" s="114" t="e">
        <f>Simulações!#REF!</f>
        <v>#REF!</v>
      </c>
      <c r="I510" s="114" t="e">
        <f>IF(Simulações!#REF!="","",Simulações!#REF!)</f>
        <v>#REF!</v>
      </c>
      <c r="J510" s="114" t="e">
        <f>IF(Simulações!#REF!="","",Simulações!#REF!)</f>
        <v>#REF!</v>
      </c>
      <c r="K510" s="117" t="e">
        <f>Simulações!#REF!</f>
        <v>#REF!</v>
      </c>
      <c r="L510" s="117" t="e">
        <f>Simulações!#REF!</f>
        <v>#REF!</v>
      </c>
      <c r="M510" s="114" t="e">
        <f>IF(Simulações!#REF!="","",Simulações!#REF!)</f>
        <v>#REF!</v>
      </c>
      <c r="N510" s="114" t="e">
        <f>IF(Simulações!#REF!="","",Simulações!#REF!)</f>
        <v>#REF!</v>
      </c>
      <c r="O510" s="114">
        <v>1</v>
      </c>
    </row>
    <row r="511" spans="1:15" ht="15.75" hidden="1" customHeight="1" x14ac:dyDescent="0.3">
      <c r="A511" s="124" t="e">
        <f>Simulações!#REF!</f>
        <v>#REF!</v>
      </c>
      <c r="B511" s="114" t="e">
        <f>Simulações!#REF!</f>
        <v>#REF!</v>
      </c>
      <c r="C511" s="125" t="e">
        <f>Simulações!#REF!</f>
        <v>#REF!</v>
      </c>
      <c r="D511" s="114" t="e">
        <f>Simulações!#REF!</f>
        <v>#REF!</v>
      </c>
      <c r="E511" s="114" t="e">
        <f>Simulações!#REF!</f>
        <v>#REF!</v>
      </c>
      <c r="F511" s="114" t="e">
        <f>Simulações!#REF!</f>
        <v>#REF!</v>
      </c>
      <c r="G511" s="114" t="e">
        <f>Simulações!#REF!</f>
        <v>#REF!</v>
      </c>
      <c r="H511" s="114" t="e">
        <f>Simulações!#REF!</f>
        <v>#REF!</v>
      </c>
      <c r="I511" s="114" t="e">
        <f>IF(Simulações!#REF!="","",Simulações!#REF!)</f>
        <v>#REF!</v>
      </c>
      <c r="J511" s="114" t="e">
        <f>IF(Simulações!#REF!="","",Simulações!#REF!)</f>
        <v>#REF!</v>
      </c>
      <c r="K511" s="117" t="e">
        <f>Simulações!#REF!</f>
        <v>#REF!</v>
      </c>
      <c r="L511" s="117" t="e">
        <f>Simulações!#REF!</f>
        <v>#REF!</v>
      </c>
      <c r="M511" s="114" t="e">
        <f>IF(Simulações!#REF!="","",Simulações!#REF!)</f>
        <v>#REF!</v>
      </c>
      <c r="N511" s="114" t="e">
        <f>IF(Simulações!#REF!="","",Simulações!#REF!)</f>
        <v>#REF!</v>
      </c>
      <c r="O511" s="114">
        <v>1</v>
      </c>
    </row>
    <row r="512" spans="1:15" ht="15.75" hidden="1" customHeight="1" x14ac:dyDescent="0.3">
      <c r="A512" s="124" t="e">
        <f>Simulações!#REF!</f>
        <v>#REF!</v>
      </c>
      <c r="B512" s="114" t="e">
        <f>Simulações!#REF!</f>
        <v>#REF!</v>
      </c>
      <c r="C512" s="125" t="e">
        <f>Simulações!#REF!</f>
        <v>#REF!</v>
      </c>
      <c r="D512" s="114" t="e">
        <f>Simulações!#REF!</f>
        <v>#REF!</v>
      </c>
      <c r="E512" s="114" t="e">
        <f>Simulações!#REF!</f>
        <v>#REF!</v>
      </c>
      <c r="F512" s="114" t="e">
        <f>Simulações!#REF!</f>
        <v>#REF!</v>
      </c>
      <c r="G512" s="114" t="e">
        <f>Simulações!#REF!</f>
        <v>#REF!</v>
      </c>
      <c r="H512" s="114" t="e">
        <f>Simulações!#REF!</f>
        <v>#REF!</v>
      </c>
      <c r="I512" s="114" t="e">
        <f>IF(Simulações!#REF!="","",Simulações!#REF!)</f>
        <v>#REF!</v>
      </c>
      <c r="J512" s="114" t="e">
        <f>IF(Simulações!#REF!="","",Simulações!#REF!)</f>
        <v>#REF!</v>
      </c>
      <c r="K512" s="117" t="e">
        <f>Simulações!#REF!</f>
        <v>#REF!</v>
      </c>
      <c r="L512" s="117" t="e">
        <f>Simulações!#REF!</f>
        <v>#REF!</v>
      </c>
      <c r="M512" s="114" t="e">
        <f>IF(Simulações!#REF!="","",Simulações!#REF!)</f>
        <v>#REF!</v>
      </c>
      <c r="N512" s="114" t="e">
        <f>IF(Simulações!#REF!="","",Simulações!#REF!)</f>
        <v>#REF!</v>
      </c>
      <c r="O512" s="114">
        <v>1</v>
      </c>
    </row>
    <row r="513" spans="1:15" ht="15.75" hidden="1" customHeight="1" x14ac:dyDescent="0.3">
      <c r="A513" s="124" t="e">
        <f>Simulações!#REF!</f>
        <v>#REF!</v>
      </c>
      <c r="B513" s="114" t="e">
        <f>Simulações!#REF!</f>
        <v>#REF!</v>
      </c>
      <c r="C513" s="125" t="e">
        <f>Simulações!#REF!</f>
        <v>#REF!</v>
      </c>
      <c r="D513" s="114" t="e">
        <f>Simulações!#REF!</f>
        <v>#REF!</v>
      </c>
      <c r="E513" s="114" t="e">
        <f>Simulações!#REF!</f>
        <v>#REF!</v>
      </c>
      <c r="F513" s="114" t="e">
        <f>Simulações!#REF!</f>
        <v>#REF!</v>
      </c>
      <c r="G513" s="114" t="e">
        <f>Simulações!#REF!</f>
        <v>#REF!</v>
      </c>
      <c r="H513" s="114" t="e">
        <f>Simulações!#REF!</f>
        <v>#REF!</v>
      </c>
      <c r="I513" s="114" t="e">
        <f>IF(Simulações!#REF!="","",Simulações!#REF!)</f>
        <v>#REF!</v>
      </c>
      <c r="J513" s="114" t="e">
        <f>IF(Simulações!#REF!="","",Simulações!#REF!)</f>
        <v>#REF!</v>
      </c>
      <c r="K513" s="117" t="e">
        <f>Simulações!#REF!</f>
        <v>#REF!</v>
      </c>
      <c r="L513" s="117" t="e">
        <f>Simulações!#REF!</f>
        <v>#REF!</v>
      </c>
      <c r="M513" s="114" t="e">
        <f>IF(Simulações!#REF!="","",Simulações!#REF!)</f>
        <v>#REF!</v>
      </c>
      <c r="N513" s="114" t="e">
        <f>IF(Simulações!#REF!="","",Simulações!#REF!)</f>
        <v>#REF!</v>
      </c>
      <c r="O513" s="114">
        <v>1</v>
      </c>
    </row>
    <row r="514" spans="1:15" ht="15.75" hidden="1" customHeight="1" x14ac:dyDescent="0.3">
      <c r="A514" s="124" t="e">
        <f>Simulações!#REF!</f>
        <v>#REF!</v>
      </c>
      <c r="B514" s="114" t="e">
        <f>Simulações!#REF!</f>
        <v>#REF!</v>
      </c>
      <c r="C514" s="125" t="e">
        <f>Simulações!#REF!</f>
        <v>#REF!</v>
      </c>
      <c r="D514" s="114" t="e">
        <f>Simulações!#REF!</f>
        <v>#REF!</v>
      </c>
      <c r="E514" s="114" t="e">
        <f>Simulações!#REF!</f>
        <v>#REF!</v>
      </c>
      <c r="F514" s="114" t="e">
        <f>Simulações!#REF!</f>
        <v>#REF!</v>
      </c>
      <c r="G514" s="114" t="e">
        <f>Simulações!#REF!</f>
        <v>#REF!</v>
      </c>
      <c r="H514" s="114" t="e">
        <f>Simulações!#REF!</f>
        <v>#REF!</v>
      </c>
      <c r="I514" s="114" t="e">
        <f>IF(Simulações!#REF!="","",Simulações!#REF!)</f>
        <v>#REF!</v>
      </c>
      <c r="J514" s="114" t="e">
        <f>IF(Simulações!#REF!="","",Simulações!#REF!)</f>
        <v>#REF!</v>
      </c>
      <c r="K514" s="117" t="e">
        <f>Simulações!#REF!</f>
        <v>#REF!</v>
      </c>
      <c r="L514" s="117" t="e">
        <f>Simulações!#REF!</f>
        <v>#REF!</v>
      </c>
      <c r="M514" s="114" t="e">
        <f>IF(Simulações!#REF!="","",Simulações!#REF!)</f>
        <v>#REF!</v>
      </c>
      <c r="N514" s="114" t="e">
        <f>IF(Simulações!#REF!="","",Simulações!#REF!)</f>
        <v>#REF!</v>
      </c>
      <c r="O514" s="114">
        <v>1</v>
      </c>
    </row>
    <row r="515" spans="1:15" ht="15.75" hidden="1" customHeight="1" x14ac:dyDescent="0.3">
      <c r="A515" s="124" t="e">
        <f>Simulações!#REF!</f>
        <v>#REF!</v>
      </c>
      <c r="B515" s="114" t="e">
        <f>Simulações!#REF!</f>
        <v>#REF!</v>
      </c>
      <c r="C515" s="125" t="e">
        <f>Simulações!#REF!</f>
        <v>#REF!</v>
      </c>
      <c r="D515" s="114" t="e">
        <f>Simulações!#REF!</f>
        <v>#REF!</v>
      </c>
      <c r="E515" s="114" t="e">
        <f>Simulações!#REF!</f>
        <v>#REF!</v>
      </c>
      <c r="F515" s="114" t="e">
        <f>Simulações!#REF!</f>
        <v>#REF!</v>
      </c>
      <c r="G515" s="114" t="e">
        <f>Simulações!#REF!</f>
        <v>#REF!</v>
      </c>
      <c r="H515" s="114" t="e">
        <f>Simulações!#REF!</f>
        <v>#REF!</v>
      </c>
      <c r="I515" s="114" t="e">
        <f>IF(Simulações!#REF!="","",Simulações!#REF!)</f>
        <v>#REF!</v>
      </c>
      <c r="J515" s="114" t="e">
        <f>IF(Simulações!#REF!="","",Simulações!#REF!)</f>
        <v>#REF!</v>
      </c>
      <c r="K515" s="117" t="e">
        <f>Simulações!#REF!</f>
        <v>#REF!</v>
      </c>
      <c r="L515" s="117" t="e">
        <f>Simulações!#REF!</f>
        <v>#REF!</v>
      </c>
      <c r="M515" s="114" t="e">
        <f>IF(Simulações!#REF!="","",Simulações!#REF!)</f>
        <v>#REF!</v>
      </c>
      <c r="N515" s="114" t="e">
        <f>IF(Simulações!#REF!="","",Simulações!#REF!)</f>
        <v>#REF!</v>
      </c>
      <c r="O515" s="114">
        <v>1</v>
      </c>
    </row>
    <row r="516" spans="1:15" ht="15.75" hidden="1" customHeight="1" x14ac:dyDescent="0.3">
      <c r="A516" s="124" t="e">
        <f>Simulações!#REF!</f>
        <v>#REF!</v>
      </c>
      <c r="B516" s="114" t="e">
        <f>Simulações!#REF!</f>
        <v>#REF!</v>
      </c>
      <c r="C516" s="125" t="e">
        <f>Simulações!#REF!</f>
        <v>#REF!</v>
      </c>
      <c r="D516" s="114" t="e">
        <f>Simulações!#REF!</f>
        <v>#REF!</v>
      </c>
      <c r="E516" s="114" t="e">
        <f>Simulações!#REF!</f>
        <v>#REF!</v>
      </c>
      <c r="F516" s="114" t="e">
        <f>Simulações!#REF!</f>
        <v>#REF!</v>
      </c>
      <c r="G516" s="114" t="e">
        <f>Simulações!#REF!</f>
        <v>#REF!</v>
      </c>
      <c r="H516" s="114" t="e">
        <f>Simulações!#REF!</f>
        <v>#REF!</v>
      </c>
      <c r="I516" s="114" t="e">
        <f>IF(Simulações!#REF!="","",Simulações!#REF!)</f>
        <v>#REF!</v>
      </c>
      <c r="J516" s="114" t="e">
        <f>IF(Simulações!#REF!="","",Simulações!#REF!)</f>
        <v>#REF!</v>
      </c>
      <c r="K516" s="117" t="e">
        <f>Simulações!#REF!</f>
        <v>#REF!</v>
      </c>
      <c r="L516" s="117" t="e">
        <f>Simulações!#REF!</f>
        <v>#REF!</v>
      </c>
      <c r="M516" s="114" t="e">
        <f>IF(Simulações!#REF!="","",Simulações!#REF!)</f>
        <v>#REF!</v>
      </c>
      <c r="N516" s="114" t="e">
        <f>IF(Simulações!#REF!="","",Simulações!#REF!)</f>
        <v>#REF!</v>
      </c>
      <c r="O516" s="114">
        <v>1</v>
      </c>
    </row>
    <row r="517" spans="1:15" ht="15.75" hidden="1" customHeight="1" x14ac:dyDescent="0.3">
      <c r="A517" s="124" t="e">
        <f>Simulações!#REF!</f>
        <v>#REF!</v>
      </c>
      <c r="B517" s="114" t="e">
        <f>Simulações!#REF!</f>
        <v>#REF!</v>
      </c>
      <c r="C517" s="125" t="e">
        <f>Simulações!#REF!</f>
        <v>#REF!</v>
      </c>
      <c r="D517" s="114" t="e">
        <f>Simulações!#REF!</f>
        <v>#REF!</v>
      </c>
      <c r="E517" s="114" t="e">
        <f>Simulações!#REF!</f>
        <v>#REF!</v>
      </c>
      <c r="F517" s="114" t="e">
        <f>Simulações!#REF!</f>
        <v>#REF!</v>
      </c>
      <c r="G517" s="114" t="e">
        <f>Simulações!#REF!</f>
        <v>#REF!</v>
      </c>
      <c r="H517" s="114" t="e">
        <f>Simulações!#REF!</f>
        <v>#REF!</v>
      </c>
      <c r="I517" s="114" t="e">
        <f>IF(Simulações!#REF!="","",Simulações!#REF!)</f>
        <v>#REF!</v>
      </c>
      <c r="J517" s="114" t="e">
        <f>IF(Simulações!#REF!="","",Simulações!#REF!)</f>
        <v>#REF!</v>
      </c>
      <c r="K517" s="117" t="e">
        <f>Simulações!#REF!</f>
        <v>#REF!</v>
      </c>
      <c r="L517" s="117" t="e">
        <f>Simulações!#REF!</f>
        <v>#REF!</v>
      </c>
      <c r="M517" s="114" t="e">
        <f>IF(Simulações!#REF!="","",Simulações!#REF!)</f>
        <v>#REF!</v>
      </c>
      <c r="N517" s="114" t="e">
        <f>IF(Simulações!#REF!="","",Simulações!#REF!)</f>
        <v>#REF!</v>
      </c>
      <c r="O517" s="114">
        <v>1</v>
      </c>
    </row>
    <row r="518" spans="1:15" ht="15.75" hidden="1" customHeight="1" x14ac:dyDescent="0.3">
      <c r="A518" s="124" t="e">
        <f>Simulações!#REF!</f>
        <v>#REF!</v>
      </c>
      <c r="B518" s="114" t="e">
        <f>Simulações!#REF!</f>
        <v>#REF!</v>
      </c>
      <c r="C518" s="125" t="e">
        <f>Simulações!#REF!</f>
        <v>#REF!</v>
      </c>
      <c r="D518" s="114" t="e">
        <f>Simulações!#REF!</f>
        <v>#REF!</v>
      </c>
      <c r="E518" s="114" t="e">
        <f>Simulações!#REF!</f>
        <v>#REF!</v>
      </c>
      <c r="F518" s="114" t="e">
        <f>Simulações!#REF!</f>
        <v>#REF!</v>
      </c>
      <c r="G518" s="114" t="e">
        <f>Simulações!#REF!</f>
        <v>#REF!</v>
      </c>
      <c r="H518" s="114" t="e">
        <f>Simulações!#REF!</f>
        <v>#REF!</v>
      </c>
      <c r="I518" s="114" t="e">
        <f>IF(Simulações!#REF!="","",Simulações!#REF!)</f>
        <v>#REF!</v>
      </c>
      <c r="J518" s="114" t="e">
        <f>IF(Simulações!#REF!="","",Simulações!#REF!)</f>
        <v>#REF!</v>
      </c>
      <c r="K518" s="117" t="e">
        <f>Simulações!#REF!</f>
        <v>#REF!</v>
      </c>
      <c r="L518" s="117" t="e">
        <f>Simulações!#REF!</f>
        <v>#REF!</v>
      </c>
      <c r="M518" s="114" t="e">
        <f>IF(Simulações!#REF!="","",Simulações!#REF!)</f>
        <v>#REF!</v>
      </c>
      <c r="N518" s="114" t="e">
        <f>IF(Simulações!#REF!="","",Simulações!#REF!)</f>
        <v>#REF!</v>
      </c>
      <c r="O518" s="114">
        <v>1</v>
      </c>
    </row>
    <row r="519" spans="1:15" ht="15.75" hidden="1" customHeight="1" x14ac:dyDescent="0.3">
      <c r="A519" s="124" t="e">
        <f>Simulações!#REF!</f>
        <v>#REF!</v>
      </c>
      <c r="B519" s="114" t="e">
        <f>Simulações!#REF!</f>
        <v>#REF!</v>
      </c>
      <c r="C519" s="125" t="e">
        <f>Simulações!#REF!</f>
        <v>#REF!</v>
      </c>
      <c r="D519" s="114" t="e">
        <f>Simulações!#REF!</f>
        <v>#REF!</v>
      </c>
      <c r="E519" s="114" t="e">
        <f>Simulações!#REF!</f>
        <v>#REF!</v>
      </c>
      <c r="F519" s="114" t="e">
        <f>Simulações!#REF!</f>
        <v>#REF!</v>
      </c>
      <c r="G519" s="114" t="e">
        <f>Simulações!#REF!</f>
        <v>#REF!</v>
      </c>
      <c r="H519" s="114" t="e">
        <f>Simulações!#REF!</f>
        <v>#REF!</v>
      </c>
      <c r="I519" s="114" t="e">
        <f>IF(Simulações!#REF!="","",Simulações!#REF!)</f>
        <v>#REF!</v>
      </c>
      <c r="J519" s="114" t="e">
        <f>IF(Simulações!#REF!="","",Simulações!#REF!)</f>
        <v>#REF!</v>
      </c>
      <c r="K519" s="117" t="e">
        <f>Simulações!#REF!</f>
        <v>#REF!</v>
      </c>
      <c r="L519" s="117" t="e">
        <f>Simulações!#REF!</f>
        <v>#REF!</v>
      </c>
      <c r="M519" s="114" t="e">
        <f>IF(Simulações!#REF!="","",Simulações!#REF!)</f>
        <v>#REF!</v>
      </c>
      <c r="N519" s="114" t="e">
        <f>IF(Simulações!#REF!="","",Simulações!#REF!)</f>
        <v>#REF!</v>
      </c>
      <c r="O519" s="114">
        <v>1</v>
      </c>
    </row>
    <row r="520" spans="1:15" ht="15.75" hidden="1" customHeight="1" x14ac:dyDescent="0.3">
      <c r="A520" s="124" t="e">
        <f>Simulações!#REF!</f>
        <v>#REF!</v>
      </c>
      <c r="B520" s="114" t="e">
        <f>Simulações!#REF!</f>
        <v>#REF!</v>
      </c>
      <c r="C520" s="125" t="e">
        <f>Simulações!#REF!</f>
        <v>#REF!</v>
      </c>
      <c r="D520" s="114" t="e">
        <f>Simulações!#REF!</f>
        <v>#REF!</v>
      </c>
      <c r="E520" s="114" t="e">
        <f>Simulações!#REF!</f>
        <v>#REF!</v>
      </c>
      <c r="F520" s="114" t="e">
        <f>Simulações!#REF!</f>
        <v>#REF!</v>
      </c>
      <c r="G520" s="114" t="e">
        <f>Simulações!#REF!</f>
        <v>#REF!</v>
      </c>
      <c r="H520" s="114" t="e">
        <f>Simulações!#REF!</f>
        <v>#REF!</v>
      </c>
      <c r="I520" s="114" t="e">
        <f>IF(Simulações!#REF!="","",Simulações!#REF!)</f>
        <v>#REF!</v>
      </c>
      <c r="J520" s="114" t="e">
        <f>IF(Simulações!#REF!="","",Simulações!#REF!)</f>
        <v>#REF!</v>
      </c>
      <c r="K520" s="117" t="e">
        <f>Simulações!#REF!</f>
        <v>#REF!</v>
      </c>
      <c r="L520" s="117" t="e">
        <f>Simulações!#REF!</f>
        <v>#REF!</v>
      </c>
      <c r="M520" s="114" t="e">
        <f>IF(Simulações!#REF!="","",Simulações!#REF!)</f>
        <v>#REF!</v>
      </c>
      <c r="N520" s="114" t="e">
        <f>IF(Simulações!#REF!="","",Simulações!#REF!)</f>
        <v>#REF!</v>
      </c>
      <c r="O520" s="114">
        <v>1</v>
      </c>
    </row>
    <row r="521" spans="1:15" ht="15.75" hidden="1" customHeight="1" x14ac:dyDescent="0.3">
      <c r="A521" s="124" t="e">
        <f>Simulações!#REF!</f>
        <v>#REF!</v>
      </c>
      <c r="B521" s="114" t="e">
        <f>Simulações!#REF!</f>
        <v>#REF!</v>
      </c>
      <c r="C521" s="125" t="e">
        <f>Simulações!#REF!</f>
        <v>#REF!</v>
      </c>
      <c r="D521" s="114" t="e">
        <f>Simulações!#REF!</f>
        <v>#REF!</v>
      </c>
      <c r="E521" s="114" t="e">
        <f>Simulações!#REF!</f>
        <v>#REF!</v>
      </c>
      <c r="F521" s="114" t="e">
        <f>Simulações!#REF!</f>
        <v>#REF!</v>
      </c>
      <c r="G521" s="114" t="e">
        <f>Simulações!#REF!</f>
        <v>#REF!</v>
      </c>
      <c r="H521" s="114" t="e">
        <f>Simulações!#REF!</f>
        <v>#REF!</v>
      </c>
      <c r="I521" s="114" t="e">
        <f>IF(Simulações!#REF!="","",Simulações!#REF!)</f>
        <v>#REF!</v>
      </c>
      <c r="J521" s="114" t="e">
        <f>IF(Simulações!#REF!="","",Simulações!#REF!)</f>
        <v>#REF!</v>
      </c>
      <c r="K521" s="117" t="e">
        <f>Simulações!#REF!</f>
        <v>#REF!</v>
      </c>
      <c r="L521" s="117" t="e">
        <f>Simulações!#REF!</f>
        <v>#REF!</v>
      </c>
      <c r="M521" s="114" t="e">
        <f>IF(Simulações!#REF!="","",Simulações!#REF!)</f>
        <v>#REF!</v>
      </c>
      <c r="N521" s="114" t="e">
        <f>IF(Simulações!#REF!="","",Simulações!#REF!)</f>
        <v>#REF!</v>
      </c>
      <c r="O521" s="114">
        <v>1</v>
      </c>
    </row>
    <row r="522" spans="1:15" ht="15.75" hidden="1" customHeight="1" x14ac:dyDescent="0.3">
      <c r="A522" s="124" t="e">
        <f>Simulações!#REF!</f>
        <v>#REF!</v>
      </c>
      <c r="B522" s="114" t="e">
        <f>Simulações!#REF!</f>
        <v>#REF!</v>
      </c>
      <c r="C522" s="125" t="e">
        <f>Simulações!#REF!</f>
        <v>#REF!</v>
      </c>
      <c r="D522" s="114" t="e">
        <f>Simulações!#REF!</f>
        <v>#REF!</v>
      </c>
      <c r="E522" s="114" t="e">
        <f>Simulações!#REF!</f>
        <v>#REF!</v>
      </c>
      <c r="F522" s="114" t="e">
        <f>Simulações!#REF!</f>
        <v>#REF!</v>
      </c>
      <c r="G522" s="114" t="e">
        <f>Simulações!#REF!</f>
        <v>#REF!</v>
      </c>
      <c r="H522" s="114" t="e">
        <f>Simulações!#REF!</f>
        <v>#REF!</v>
      </c>
      <c r="I522" s="114" t="e">
        <f>IF(Simulações!#REF!="","",Simulações!#REF!)</f>
        <v>#REF!</v>
      </c>
      <c r="J522" s="114" t="e">
        <f>IF(Simulações!#REF!="","",Simulações!#REF!)</f>
        <v>#REF!</v>
      </c>
      <c r="K522" s="117" t="e">
        <f>Simulações!#REF!</f>
        <v>#REF!</v>
      </c>
      <c r="L522" s="117" t="e">
        <f>Simulações!#REF!</f>
        <v>#REF!</v>
      </c>
      <c r="M522" s="114" t="e">
        <f>IF(Simulações!#REF!="","",Simulações!#REF!)</f>
        <v>#REF!</v>
      </c>
      <c r="N522" s="114" t="e">
        <f>IF(Simulações!#REF!="","",Simulações!#REF!)</f>
        <v>#REF!</v>
      </c>
      <c r="O522" s="114">
        <v>1</v>
      </c>
    </row>
    <row r="523" spans="1:15" ht="15.75" hidden="1" customHeight="1" x14ac:dyDescent="0.3">
      <c r="A523" s="124" t="e">
        <f>Simulações!#REF!</f>
        <v>#REF!</v>
      </c>
      <c r="B523" s="114" t="e">
        <f>Simulações!#REF!</f>
        <v>#REF!</v>
      </c>
      <c r="C523" s="125" t="e">
        <f>Simulações!#REF!</f>
        <v>#REF!</v>
      </c>
      <c r="D523" s="114" t="e">
        <f>Simulações!#REF!</f>
        <v>#REF!</v>
      </c>
      <c r="E523" s="114" t="e">
        <f>Simulações!#REF!</f>
        <v>#REF!</v>
      </c>
      <c r="F523" s="114" t="e">
        <f>Simulações!#REF!</f>
        <v>#REF!</v>
      </c>
      <c r="G523" s="114" t="e">
        <f>Simulações!#REF!</f>
        <v>#REF!</v>
      </c>
      <c r="H523" s="114" t="e">
        <f>Simulações!#REF!</f>
        <v>#REF!</v>
      </c>
      <c r="I523" s="114" t="e">
        <f>IF(Simulações!#REF!="","",Simulações!#REF!)</f>
        <v>#REF!</v>
      </c>
      <c r="J523" s="114" t="e">
        <f>IF(Simulações!#REF!="","",Simulações!#REF!)</f>
        <v>#REF!</v>
      </c>
      <c r="K523" s="117" t="e">
        <f>Simulações!#REF!</f>
        <v>#REF!</v>
      </c>
      <c r="L523" s="117" t="e">
        <f>Simulações!#REF!</f>
        <v>#REF!</v>
      </c>
      <c r="M523" s="114" t="e">
        <f>IF(Simulações!#REF!="","",Simulações!#REF!)</f>
        <v>#REF!</v>
      </c>
      <c r="N523" s="114" t="e">
        <f>IF(Simulações!#REF!="","",Simulações!#REF!)</f>
        <v>#REF!</v>
      </c>
      <c r="O523" s="114">
        <v>1</v>
      </c>
    </row>
    <row r="524" spans="1:15" ht="15.75" hidden="1" customHeight="1" x14ac:dyDescent="0.3">
      <c r="A524" s="124" t="e">
        <f>Simulações!#REF!</f>
        <v>#REF!</v>
      </c>
      <c r="B524" s="114" t="e">
        <f>Simulações!#REF!</f>
        <v>#REF!</v>
      </c>
      <c r="C524" s="125" t="e">
        <f>Simulações!#REF!</f>
        <v>#REF!</v>
      </c>
      <c r="D524" s="114" t="e">
        <f>Simulações!#REF!</f>
        <v>#REF!</v>
      </c>
      <c r="E524" s="114" t="e">
        <f>Simulações!#REF!</f>
        <v>#REF!</v>
      </c>
      <c r="F524" s="114" t="e">
        <f>Simulações!#REF!</f>
        <v>#REF!</v>
      </c>
      <c r="G524" s="114" t="e">
        <f>Simulações!#REF!</f>
        <v>#REF!</v>
      </c>
      <c r="H524" s="114" t="e">
        <f>Simulações!#REF!</f>
        <v>#REF!</v>
      </c>
      <c r="I524" s="114" t="e">
        <f>IF(Simulações!#REF!="","",Simulações!#REF!)</f>
        <v>#REF!</v>
      </c>
      <c r="J524" s="114" t="e">
        <f>IF(Simulações!#REF!="","",Simulações!#REF!)</f>
        <v>#REF!</v>
      </c>
      <c r="K524" s="117" t="e">
        <f>Simulações!#REF!</f>
        <v>#REF!</v>
      </c>
      <c r="L524" s="117" t="e">
        <f>Simulações!#REF!</f>
        <v>#REF!</v>
      </c>
      <c r="M524" s="114" t="e">
        <f>IF(Simulações!#REF!="","",Simulações!#REF!)</f>
        <v>#REF!</v>
      </c>
      <c r="N524" s="114" t="e">
        <f>IF(Simulações!#REF!="","",Simulações!#REF!)</f>
        <v>#REF!</v>
      </c>
      <c r="O524" s="114">
        <v>1</v>
      </c>
    </row>
    <row r="525" spans="1:15" ht="15.75" hidden="1" customHeight="1" x14ac:dyDescent="0.3">
      <c r="A525" s="124" t="e">
        <f>Simulações!#REF!</f>
        <v>#REF!</v>
      </c>
      <c r="B525" s="114" t="e">
        <f>Simulações!#REF!</f>
        <v>#REF!</v>
      </c>
      <c r="C525" s="125" t="e">
        <f>Simulações!#REF!</f>
        <v>#REF!</v>
      </c>
      <c r="D525" s="114" t="e">
        <f>Simulações!#REF!</f>
        <v>#REF!</v>
      </c>
      <c r="E525" s="114" t="e">
        <f>Simulações!#REF!</f>
        <v>#REF!</v>
      </c>
      <c r="F525" s="114" t="e">
        <f>Simulações!#REF!</f>
        <v>#REF!</v>
      </c>
      <c r="G525" s="114" t="e">
        <f>Simulações!#REF!</f>
        <v>#REF!</v>
      </c>
      <c r="H525" s="114" t="e">
        <f>Simulações!#REF!</f>
        <v>#REF!</v>
      </c>
      <c r="I525" s="114" t="e">
        <f>IF(Simulações!#REF!="","",Simulações!#REF!)</f>
        <v>#REF!</v>
      </c>
      <c r="J525" s="114" t="e">
        <f>IF(Simulações!#REF!="","",Simulações!#REF!)</f>
        <v>#REF!</v>
      </c>
      <c r="K525" s="117" t="e">
        <f>Simulações!#REF!</f>
        <v>#REF!</v>
      </c>
      <c r="L525" s="117" t="e">
        <f>Simulações!#REF!</f>
        <v>#REF!</v>
      </c>
      <c r="M525" s="114" t="e">
        <f>IF(Simulações!#REF!="","",Simulações!#REF!)</f>
        <v>#REF!</v>
      </c>
      <c r="N525" s="114" t="e">
        <f>IF(Simulações!#REF!="","",Simulações!#REF!)</f>
        <v>#REF!</v>
      </c>
      <c r="O525" s="114">
        <v>1</v>
      </c>
    </row>
    <row r="526" spans="1:15" ht="15.75" hidden="1" customHeight="1" x14ac:dyDescent="0.3">
      <c r="A526" s="124" t="e">
        <f>Simulações!#REF!</f>
        <v>#REF!</v>
      </c>
      <c r="B526" s="114" t="e">
        <f>Simulações!#REF!</f>
        <v>#REF!</v>
      </c>
      <c r="C526" s="125" t="e">
        <f>Simulações!#REF!</f>
        <v>#REF!</v>
      </c>
      <c r="D526" s="114" t="e">
        <f>Simulações!#REF!</f>
        <v>#REF!</v>
      </c>
      <c r="E526" s="114" t="e">
        <f>Simulações!#REF!</f>
        <v>#REF!</v>
      </c>
      <c r="F526" s="114" t="e">
        <f>Simulações!#REF!</f>
        <v>#REF!</v>
      </c>
      <c r="G526" s="114" t="e">
        <f>Simulações!#REF!</f>
        <v>#REF!</v>
      </c>
      <c r="H526" s="114" t="e">
        <f>Simulações!#REF!</f>
        <v>#REF!</v>
      </c>
      <c r="I526" s="114" t="e">
        <f>IF(Simulações!#REF!="","",Simulações!#REF!)</f>
        <v>#REF!</v>
      </c>
      <c r="J526" s="114" t="e">
        <f>IF(Simulações!#REF!="","",Simulações!#REF!)</f>
        <v>#REF!</v>
      </c>
      <c r="K526" s="117" t="e">
        <f>Simulações!#REF!</f>
        <v>#REF!</v>
      </c>
      <c r="L526" s="117" t="e">
        <f>Simulações!#REF!</f>
        <v>#REF!</v>
      </c>
      <c r="M526" s="114" t="e">
        <f>IF(Simulações!#REF!="","",Simulações!#REF!)</f>
        <v>#REF!</v>
      </c>
      <c r="N526" s="114" t="e">
        <f>IF(Simulações!#REF!="","",Simulações!#REF!)</f>
        <v>#REF!</v>
      </c>
      <c r="O526" s="114">
        <v>1</v>
      </c>
    </row>
    <row r="527" spans="1:15" ht="15.75" hidden="1" customHeight="1" x14ac:dyDescent="0.3">
      <c r="A527" s="124" t="e">
        <f>Simulações!#REF!</f>
        <v>#REF!</v>
      </c>
      <c r="B527" s="114" t="e">
        <f>Simulações!#REF!</f>
        <v>#REF!</v>
      </c>
      <c r="C527" s="125" t="e">
        <f>Simulações!#REF!</f>
        <v>#REF!</v>
      </c>
      <c r="D527" s="114" t="e">
        <f>Simulações!#REF!</f>
        <v>#REF!</v>
      </c>
      <c r="E527" s="114" t="e">
        <f>Simulações!#REF!</f>
        <v>#REF!</v>
      </c>
      <c r="F527" s="114" t="e">
        <f>Simulações!#REF!</f>
        <v>#REF!</v>
      </c>
      <c r="G527" s="114" t="e">
        <f>Simulações!#REF!</f>
        <v>#REF!</v>
      </c>
      <c r="H527" s="114" t="e">
        <f>Simulações!#REF!</f>
        <v>#REF!</v>
      </c>
      <c r="I527" s="114" t="e">
        <f>IF(Simulações!#REF!="","",Simulações!#REF!)</f>
        <v>#REF!</v>
      </c>
      <c r="J527" s="114" t="e">
        <f>IF(Simulações!#REF!="","",Simulações!#REF!)</f>
        <v>#REF!</v>
      </c>
      <c r="K527" s="117" t="e">
        <f>Simulações!#REF!</f>
        <v>#REF!</v>
      </c>
      <c r="L527" s="117" t="e">
        <f>Simulações!#REF!</f>
        <v>#REF!</v>
      </c>
      <c r="M527" s="114" t="e">
        <f>IF(Simulações!#REF!="","",Simulações!#REF!)</f>
        <v>#REF!</v>
      </c>
      <c r="N527" s="114" t="e">
        <f>IF(Simulações!#REF!="","",Simulações!#REF!)</f>
        <v>#REF!</v>
      </c>
      <c r="O527" s="114">
        <v>1</v>
      </c>
    </row>
    <row r="528" spans="1:15" ht="15.75" hidden="1" customHeight="1" x14ac:dyDescent="0.3">
      <c r="A528" s="124" t="e">
        <f>Simulações!#REF!</f>
        <v>#REF!</v>
      </c>
      <c r="B528" s="114" t="e">
        <f>Simulações!#REF!</f>
        <v>#REF!</v>
      </c>
      <c r="C528" s="125" t="e">
        <f>Simulações!#REF!</f>
        <v>#REF!</v>
      </c>
      <c r="D528" s="114" t="e">
        <f>Simulações!#REF!</f>
        <v>#REF!</v>
      </c>
      <c r="E528" s="114" t="e">
        <f>Simulações!#REF!</f>
        <v>#REF!</v>
      </c>
      <c r="F528" s="114" t="e">
        <f>Simulações!#REF!</f>
        <v>#REF!</v>
      </c>
      <c r="G528" s="114" t="e">
        <f>Simulações!#REF!</f>
        <v>#REF!</v>
      </c>
      <c r="H528" s="114" t="e">
        <f>Simulações!#REF!</f>
        <v>#REF!</v>
      </c>
      <c r="I528" s="114" t="e">
        <f>IF(Simulações!#REF!="","",Simulações!#REF!)</f>
        <v>#REF!</v>
      </c>
      <c r="J528" s="114" t="e">
        <f>IF(Simulações!#REF!="","",Simulações!#REF!)</f>
        <v>#REF!</v>
      </c>
      <c r="K528" s="117" t="e">
        <f>Simulações!#REF!</f>
        <v>#REF!</v>
      </c>
      <c r="L528" s="117" t="e">
        <f>Simulações!#REF!</f>
        <v>#REF!</v>
      </c>
      <c r="M528" s="114" t="e">
        <f>IF(Simulações!#REF!="","",Simulações!#REF!)</f>
        <v>#REF!</v>
      </c>
      <c r="N528" s="114" t="e">
        <f>IF(Simulações!#REF!="","",Simulações!#REF!)</f>
        <v>#REF!</v>
      </c>
      <c r="O528" s="114">
        <v>1</v>
      </c>
    </row>
    <row r="529" spans="1:15" ht="15.75" hidden="1" customHeight="1" x14ac:dyDescent="0.3">
      <c r="A529" s="124" t="e">
        <f>Simulações!#REF!</f>
        <v>#REF!</v>
      </c>
      <c r="B529" s="114" t="e">
        <f>Simulações!#REF!</f>
        <v>#REF!</v>
      </c>
      <c r="C529" s="125" t="e">
        <f>Simulações!#REF!</f>
        <v>#REF!</v>
      </c>
      <c r="D529" s="114" t="e">
        <f>Simulações!#REF!</f>
        <v>#REF!</v>
      </c>
      <c r="E529" s="114" t="e">
        <f>Simulações!#REF!</f>
        <v>#REF!</v>
      </c>
      <c r="F529" s="114" t="e">
        <f>Simulações!#REF!</f>
        <v>#REF!</v>
      </c>
      <c r="G529" s="114" t="e">
        <f>Simulações!#REF!</f>
        <v>#REF!</v>
      </c>
      <c r="H529" s="114" t="e">
        <f>Simulações!#REF!</f>
        <v>#REF!</v>
      </c>
      <c r="I529" s="114" t="e">
        <f>IF(Simulações!#REF!="","",Simulações!#REF!)</f>
        <v>#REF!</v>
      </c>
      <c r="J529" s="114" t="e">
        <f>IF(Simulações!#REF!="","",Simulações!#REF!)</f>
        <v>#REF!</v>
      </c>
      <c r="K529" s="117" t="e">
        <f>Simulações!#REF!</f>
        <v>#REF!</v>
      </c>
      <c r="L529" s="117" t="e">
        <f>Simulações!#REF!</f>
        <v>#REF!</v>
      </c>
      <c r="M529" s="114" t="e">
        <f>IF(Simulações!#REF!="","",Simulações!#REF!)</f>
        <v>#REF!</v>
      </c>
      <c r="N529" s="114" t="e">
        <f>IF(Simulações!#REF!="","",Simulações!#REF!)</f>
        <v>#REF!</v>
      </c>
      <c r="O529" s="114">
        <v>1</v>
      </c>
    </row>
    <row r="530" spans="1:15" ht="15.75" hidden="1" customHeight="1" x14ac:dyDescent="0.3">
      <c r="A530" s="124" t="e">
        <f>Simulações!#REF!</f>
        <v>#REF!</v>
      </c>
      <c r="B530" s="114" t="e">
        <f>Simulações!#REF!</f>
        <v>#REF!</v>
      </c>
      <c r="C530" s="125" t="e">
        <f>Simulações!#REF!</f>
        <v>#REF!</v>
      </c>
      <c r="D530" s="114" t="e">
        <f>Simulações!#REF!</f>
        <v>#REF!</v>
      </c>
      <c r="E530" s="114" t="e">
        <f>Simulações!#REF!</f>
        <v>#REF!</v>
      </c>
      <c r="F530" s="114" t="e">
        <f>Simulações!#REF!</f>
        <v>#REF!</v>
      </c>
      <c r="G530" s="114" t="e">
        <f>Simulações!#REF!</f>
        <v>#REF!</v>
      </c>
      <c r="H530" s="114" t="e">
        <f>Simulações!#REF!</f>
        <v>#REF!</v>
      </c>
      <c r="I530" s="114" t="e">
        <f>IF(Simulações!#REF!="","",Simulações!#REF!)</f>
        <v>#REF!</v>
      </c>
      <c r="J530" s="114" t="e">
        <f>IF(Simulações!#REF!="","",Simulações!#REF!)</f>
        <v>#REF!</v>
      </c>
      <c r="K530" s="117" t="e">
        <f>Simulações!#REF!</f>
        <v>#REF!</v>
      </c>
      <c r="L530" s="117" t="e">
        <f>Simulações!#REF!</f>
        <v>#REF!</v>
      </c>
      <c r="M530" s="114" t="e">
        <f>IF(Simulações!#REF!="","",Simulações!#REF!)</f>
        <v>#REF!</v>
      </c>
      <c r="N530" s="114" t="e">
        <f>IF(Simulações!#REF!="","",Simulações!#REF!)</f>
        <v>#REF!</v>
      </c>
      <c r="O530" s="114">
        <v>1</v>
      </c>
    </row>
    <row r="531" spans="1:15" ht="15.75" hidden="1" customHeight="1" x14ac:dyDescent="0.3">
      <c r="A531" s="124" t="e">
        <f>Simulações!#REF!</f>
        <v>#REF!</v>
      </c>
      <c r="B531" s="114" t="e">
        <f>Simulações!#REF!</f>
        <v>#REF!</v>
      </c>
      <c r="C531" s="125" t="e">
        <f>Simulações!#REF!</f>
        <v>#REF!</v>
      </c>
      <c r="D531" s="114" t="e">
        <f>Simulações!#REF!</f>
        <v>#REF!</v>
      </c>
      <c r="E531" s="114" t="e">
        <f>Simulações!#REF!</f>
        <v>#REF!</v>
      </c>
      <c r="F531" s="114" t="e">
        <f>Simulações!#REF!</f>
        <v>#REF!</v>
      </c>
      <c r="G531" s="114" t="e">
        <f>Simulações!#REF!</f>
        <v>#REF!</v>
      </c>
      <c r="H531" s="114" t="e">
        <f>Simulações!#REF!</f>
        <v>#REF!</v>
      </c>
      <c r="I531" s="114" t="e">
        <f>IF(Simulações!#REF!="","",Simulações!#REF!)</f>
        <v>#REF!</v>
      </c>
      <c r="J531" s="114" t="e">
        <f>IF(Simulações!#REF!="","",Simulações!#REF!)</f>
        <v>#REF!</v>
      </c>
      <c r="K531" s="117" t="e">
        <f>Simulações!#REF!</f>
        <v>#REF!</v>
      </c>
      <c r="L531" s="117" t="e">
        <f>Simulações!#REF!</f>
        <v>#REF!</v>
      </c>
      <c r="M531" s="114" t="e">
        <f>IF(Simulações!#REF!="","",Simulações!#REF!)</f>
        <v>#REF!</v>
      </c>
      <c r="N531" s="114" t="e">
        <f>IF(Simulações!#REF!="","",Simulações!#REF!)</f>
        <v>#REF!</v>
      </c>
      <c r="O531" s="114">
        <v>1</v>
      </c>
    </row>
    <row r="532" spans="1:15" ht="15.75" hidden="1" customHeight="1" x14ac:dyDescent="0.3">
      <c r="A532" s="124" t="e">
        <f>Simulações!#REF!</f>
        <v>#REF!</v>
      </c>
      <c r="B532" s="114" t="e">
        <f>Simulações!#REF!</f>
        <v>#REF!</v>
      </c>
      <c r="C532" s="125" t="e">
        <f>Simulações!#REF!</f>
        <v>#REF!</v>
      </c>
      <c r="D532" s="114" t="e">
        <f>Simulações!#REF!</f>
        <v>#REF!</v>
      </c>
      <c r="E532" s="114" t="e">
        <f>Simulações!#REF!</f>
        <v>#REF!</v>
      </c>
      <c r="F532" s="114" t="e">
        <f>Simulações!#REF!</f>
        <v>#REF!</v>
      </c>
      <c r="G532" s="114" t="e">
        <f>Simulações!#REF!</f>
        <v>#REF!</v>
      </c>
      <c r="H532" s="114" t="e">
        <f>Simulações!#REF!</f>
        <v>#REF!</v>
      </c>
      <c r="I532" s="114" t="e">
        <f>IF(Simulações!#REF!="","",Simulações!#REF!)</f>
        <v>#REF!</v>
      </c>
      <c r="J532" s="114" t="e">
        <f>IF(Simulações!#REF!="","",Simulações!#REF!)</f>
        <v>#REF!</v>
      </c>
      <c r="K532" s="117" t="e">
        <f>Simulações!#REF!</f>
        <v>#REF!</v>
      </c>
      <c r="L532" s="117" t="e">
        <f>Simulações!#REF!</f>
        <v>#REF!</v>
      </c>
      <c r="M532" s="114" t="e">
        <f>IF(Simulações!#REF!="","",Simulações!#REF!)</f>
        <v>#REF!</v>
      </c>
      <c r="N532" s="114" t="e">
        <f>IF(Simulações!#REF!="","",Simulações!#REF!)</f>
        <v>#REF!</v>
      </c>
      <c r="O532" s="114">
        <v>1</v>
      </c>
    </row>
    <row r="533" spans="1:15" ht="15.75" hidden="1" customHeight="1" x14ac:dyDescent="0.3">
      <c r="A533" s="124" t="e">
        <f>Simulações!#REF!</f>
        <v>#REF!</v>
      </c>
      <c r="B533" s="114" t="e">
        <f>Simulações!#REF!</f>
        <v>#REF!</v>
      </c>
      <c r="C533" s="125" t="e">
        <f>Simulações!#REF!</f>
        <v>#REF!</v>
      </c>
      <c r="D533" s="114" t="e">
        <f>Simulações!#REF!</f>
        <v>#REF!</v>
      </c>
      <c r="E533" s="114" t="e">
        <f>Simulações!#REF!</f>
        <v>#REF!</v>
      </c>
      <c r="F533" s="114" t="e">
        <f>Simulações!#REF!</f>
        <v>#REF!</v>
      </c>
      <c r="G533" s="114" t="e">
        <f>Simulações!#REF!</f>
        <v>#REF!</v>
      </c>
      <c r="H533" s="114" t="e">
        <f>Simulações!#REF!</f>
        <v>#REF!</v>
      </c>
      <c r="I533" s="114" t="e">
        <f>IF(Simulações!#REF!="","",Simulações!#REF!)</f>
        <v>#REF!</v>
      </c>
      <c r="J533" s="114" t="e">
        <f>IF(Simulações!#REF!="","",Simulações!#REF!)</f>
        <v>#REF!</v>
      </c>
      <c r="K533" s="117" t="e">
        <f>Simulações!#REF!</f>
        <v>#REF!</v>
      </c>
      <c r="L533" s="117" t="e">
        <f>Simulações!#REF!</f>
        <v>#REF!</v>
      </c>
      <c r="M533" s="114" t="e">
        <f>IF(Simulações!#REF!="","",Simulações!#REF!)</f>
        <v>#REF!</v>
      </c>
      <c r="N533" s="114" t="e">
        <f>IF(Simulações!#REF!="","",Simulações!#REF!)</f>
        <v>#REF!</v>
      </c>
      <c r="O533" s="114">
        <v>1</v>
      </c>
    </row>
    <row r="534" spans="1:15" ht="15.75" hidden="1" customHeight="1" x14ac:dyDescent="0.3">
      <c r="A534" s="124" t="e">
        <f>Simulações!#REF!</f>
        <v>#REF!</v>
      </c>
      <c r="B534" s="114" t="e">
        <f>Simulações!#REF!</f>
        <v>#REF!</v>
      </c>
      <c r="C534" s="125" t="e">
        <f>Simulações!#REF!</f>
        <v>#REF!</v>
      </c>
      <c r="D534" s="114" t="e">
        <f>Simulações!#REF!</f>
        <v>#REF!</v>
      </c>
      <c r="E534" s="114" t="e">
        <f>Simulações!#REF!</f>
        <v>#REF!</v>
      </c>
      <c r="F534" s="114" t="e">
        <f>Simulações!#REF!</f>
        <v>#REF!</v>
      </c>
      <c r="G534" s="114" t="e">
        <f>Simulações!#REF!</f>
        <v>#REF!</v>
      </c>
      <c r="H534" s="114" t="e">
        <f>Simulações!#REF!</f>
        <v>#REF!</v>
      </c>
      <c r="I534" s="114" t="e">
        <f>IF(Simulações!#REF!="","",Simulações!#REF!)</f>
        <v>#REF!</v>
      </c>
      <c r="J534" s="114" t="e">
        <f>IF(Simulações!#REF!="","",Simulações!#REF!)</f>
        <v>#REF!</v>
      </c>
      <c r="K534" s="117" t="e">
        <f>Simulações!#REF!</f>
        <v>#REF!</v>
      </c>
      <c r="L534" s="117" t="e">
        <f>Simulações!#REF!</f>
        <v>#REF!</v>
      </c>
      <c r="M534" s="114" t="e">
        <f>IF(Simulações!#REF!="","",Simulações!#REF!)</f>
        <v>#REF!</v>
      </c>
      <c r="N534" s="114" t="e">
        <f>IF(Simulações!#REF!="","",Simulações!#REF!)</f>
        <v>#REF!</v>
      </c>
      <c r="O534" s="114">
        <v>1</v>
      </c>
    </row>
    <row r="535" spans="1:15" ht="15.75" hidden="1" customHeight="1" x14ac:dyDescent="0.3">
      <c r="A535" s="124" t="e">
        <f>Simulações!#REF!</f>
        <v>#REF!</v>
      </c>
      <c r="B535" s="114" t="e">
        <f>Simulações!#REF!</f>
        <v>#REF!</v>
      </c>
      <c r="C535" s="125" t="e">
        <f>Simulações!#REF!</f>
        <v>#REF!</v>
      </c>
      <c r="D535" s="114" t="e">
        <f>Simulações!#REF!</f>
        <v>#REF!</v>
      </c>
      <c r="E535" s="114" t="e">
        <f>Simulações!#REF!</f>
        <v>#REF!</v>
      </c>
      <c r="F535" s="114" t="e">
        <f>Simulações!#REF!</f>
        <v>#REF!</v>
      </c>
      <c r="G535" s="114" t="e">
        <f>Simulações!#REF!</f>
        <v>#REF!</v>
      </c>
      <c r="H535" s="114" t="e">
        <f>Simulações!#REF!</f>
        <v>#REF!</v>
      </c>
      <c r="I535" s="114" t="e">
        <f>IF(Simulações!#REF!="","",Simulações!#REF!)</f>
        <v>#REF!</v>
      </c>
      <c r="J535" s="114" t="e">
        <f>IF(Simulações!#REF!="","",Simulações!#REF!)</f>
        <v>#REF!</v>
      </c>
      <c r="K535" s="117" t="e">
        <f>Simulações!#REF!</f>
        <v>#REF!</v>
      </c>
      <c r="L535" s="117" t="e">
        <f>Simulações!#REF!</f>
        <v>#REF!</v>
      </c>
      <c r="M535" s="114" t="e">
        <f>IF(Simulações!#REF!="","",Simulações!#REF!)</f>
        <v>#REF!</v>
      </c>
      <c r="N535" s="114" t="e">
        <f>IF(Simulações!#REF!="","",Simulações!#REF!)</f>
        <v>#REF!</v>
      </c>
      <c r="O535" s="114">
        <v>1</v>
      </c>
    </row>
    <row r="536" spans="1:15" ht="15.75" hidden="1" customHeight="1" x14ac:dyDescent="0.3">
      <c r="A536" s="124" t="e">
        <f>Simulações!#REF!</f>
        <v>#REF!</v>
      </c>
      <c r="B536" s="114" t="e">
        <f>Simulações!#REF!</f>
        <v>#REF!</v>
      </c>
      <c r="C536" s="125" t="e">
        <f>Simulações!#REF!</f>
        <v>#REF!</v>
      </c>
      <c r="D536" s="114" t="e">
        <f>Simulações!#REF!</f>
        <v>#REF!</v>
      </c>
      <c r="E536" s="114" t="e">
        <f>Simulações!#REF!</f>
        <v>#REF!</v>
      </c>
      <c r="F536" s="114" t="e">
        <f>Simulações!#REF!</f>
        <v>#REF!</v>
      </c>
      <c r="G536" s="114" t="e">
        <f>Simulações!#REF!</f>
        <v>#REF!</v>
      </c>
      <c r="H536" s="114" t="e">
        <f>Simulações!#REF!</f>
        <v>#REF!</v>
      </c>
      <c r="I536" s="114" t="e">
        <f>IF(Simulações!#REF!="","",Simulações!#REF!)</f>
        <v>#REF!</v>
      </c>
      <c r="J536" s="114" t="e">
        <f>IF(Simulações!#REF!="","",Simulações!#REF!)</f>
        <v>#REF!</v>
      </c>
      <c r="K536" s="117" t="e">
        <f>Simulações!#REF!</f>
        <v>#REF!</v>
      </c>
      <c r="L536" s="117" t="e">
        <f>Simulações!#REF!</f>
        <v>#REF!</v>
      </c>
      <c r="M536" s="114" t="e">
        <f>IF(Simulações!#REF!="","",Simulações!#REF!)</f>
        <v>#REF!</v>
      </c>
      <c r="N536" s="114" t="e">
        <f>IF(Simulações!#REF!="","",Simulações!#REF!)</f>
        <v>#REF!</v>
      </c>
      <c r="O536" s="114">
        <v>1</v>
      </c>
    </row>
    <row r="537" spans="1:15" ht="15.75" hidden="1" customHeight="1" x14ac:dyDescent="0.3">
      <c r="A537" s="124" t="e">
        <f>Simulações!#REF!</f>
        <v>#REF!</v>
      </c>
      <c r="B537" s="114" t="e">
        <f>Simulações!#REF!</f>
        <v>#REF!</v>
      </c>
      <c r="C537" s="125" t="e">
        <f>Simulações!#REF!</f>
        <v>#REF!</v>
      </c>
      <c r="D537" s="114" t="e">
        <f>Simulações!#REF!</f>
        <v>#REF!</v>
      </c>
      <c r="E537" s="114" t="e">
        <f>Simulações!#REF!</f>
        <v>#REF!</v>
      </c>
      <c r="F537" s="114" t="e">
        <f>Simulações!#REF!</f>
        <v>#REF!</v>
      </c>
      <c r="G537" s="114" t="e">
        <f>Simulações!#REF!</f>
        <v>#REF!</v>
      </c>
      <c r="H537" s="114" t="e">
        <f>Simulações!#REF!</f>
        <v>#REF!</v>
      </c>
      <c r="I537" s="114" t="e">
        <f>IF(Simulações!#REF!="","",Simulações!#REF!)</f>
        <v>#REF!</v>
      </c>
      <c r="J537" s="114" t="e">
        <f>IF(Simulações!#REF!="","",Simulações!#REF!)</f>
        <v>#REF!</v>
      </c>
      <c r="K537" s="117" t="e">
        <f>Simulações!#REF!</f>
        <v>#REF!</v>
      </c>
      <c r="L537" s="117" t="e">
        <f>Simulações!#REF!</f>
        <v>#REF!</v>
      </c>
      <c r="M537" s="114" t="e">
        <f>IF(Simulações!#REF!="","",Simulações!#REF!)</f>
        <v>#REF!</v>
      </c>
      <c r="N537" s="114" t="e">
        <f>IF(Simulações!#REF!="","",Simulações!#REF!)</f>
        <v>#REF!</v>
      </c>
      <c r="O537" s="114">
        <v>1</v>
      </c>
    </row>
    <row r="538" spans="1:15" ht="15.75" hidden="1" customHeight="1" x14ac:dyDescent="0.3">
      <c r="A538" s="124" t="e">
        <f>Simulações!#REF!</f>
        <v>#REF!</v>
      </c>
      <c r="B538" s="114" t="e">
        <f>Simulações!#REF!</f>
        <v>#REF!</v>
      </c>
      <c r="C538" s="125" t="e">
        <f>Simulações!#REF!</f>
        <v>#REF!</v>
      </c>
      <c r="D538" s="114" t="e">
        <f>Simulações!#REF!</f>
        <v>#REF!</v>
      </c>
      <c r="E538" s="114" t="e">
        <f>Simulações!#REF!</f>
        <v>#REF!</v>
      </c>
      <c r="F538" s="114" t="e">
        <f>Simulações!#REF!</f>
        <v>#REF!</v>
      </c>
      <c r="G538" s="114" t="e">
        <f>Simulações!#REF!</f>
        <v>#REF!</v>
      </c>
      <c r="H538" s="114" t="e">
        <f>Simulações!#REF!</f>
        <v>#REF!</v>
      </c>
      <c r="I538" s="114" t="e">
        <f>IF(Simulações!#REF!="","",Simulações!#REF!)</f>
        <v>#REF!</v>
      </c>
      <c r="J538" s="114" t="e">
        <f>IF(Simulações!#REF!="","",Simulações!#REF!)</f>
        <v>#REF!</v>
      </c>
      <c r="K538" s="117" t="e">
        <f>Simulações!#REF!</f>
        <v>#REF!</v>
      </c>
      <c r="L538" s="117" t="e">
        <f>Simulações!#REF!</f>
        <v>#REF!</v>
      </c>
      <c r="M538" s="114" t="e">
        <f>IF(Simulações!#REF!="","",Simulações!#REF!)</f>
        <v>#REF!</v>
      </c>
      <c r="N538" s="114" t="e">
        <f>IF(Simulações!#REF!="","",Simulações!#REF!)</f>
        <v>#REF!</v>
      </c>
      <c r="O538" s="114">
        <v>1</v>
      </c>
    </row>
    <row r="539" spans="1:15" ht="15.75" hidden="1" customHeight="1" x14ac:dyDescent="0.3">
      <c r="A539" s="124" t="e">
        <f>Simulações!#REF!</f>
        <v>#REF!</v>
      </c>
      <c r="B539" s="114" t="e">
        <f>Simulações!#REF!</f>
        <v>#REF!</v>
      </c>
      <c r="C539" s="125" t="e">
        <f>Simulações!#REF!</f>
        <v>#REF!</v>
      </c>
      <c r="D539" s="114" t="e">
        <f>Simulações!#REF!</f>
        <v>#REF!</v>
      </c>
      <c r="E539" s="114" t="e">
        <f>Simulações!#REF!</f>
        <v>#REF!</v>
      </c>
      <c r="F539" s="114" t="e">
        <f>Simulações!#REF!</f>
        <v>#REF!</v>
      </c>
      <c r="G539" s="114" t="e">
        <f>Simulações!#REF!</f>
        <v>#REF!</v>
      </c>
      <c r="H539" s="114" t="e">
        <f>Simulações!#REF!</f>
        <v>#REF!</v>
      </c>
      <c r="I539" s="114" t="e">
        <f>IF(Simulações!#REF!="","",Simulações!#REF!)</f>
        <v>#REF!</v>
      </c>
      <c r="J539" s="114" t="e">
        <f>IF(Simulações!#REF!="","",Simulações!#REF!)</f>
        <v>#REF!</v>
      </c>
      <c r="K539" s="117" t="e">
        <f>Simulações!#REF!</f>
        <v>#REF!</v>
      </c>
      <c r="L539" s="117" t="e">
        <f>Simulações!#REF!</f>
        <v>#REF!</v>
      </c>
      <c r="M539" s="114" t="e">
        <f>IF(Simulações!#REF!="","",Simulações!#REF!)</f>
        <v>#REF!</v>
      </c>
      <c r="N539" s="114" t="e">
        <f>IF(Simulações!#REF!="","",Simulações!#REF!)</f>
        <v>#REF!</v>
      </c>
      <c r="O539" s="114">
        <v>1</v>
      </c>
    </row>
    <row r="540" spans="1:15" ht="15.75" hidden="1" customHeight="1" x14ac:dyDescent="0.3">
      <c r="A540" s="124" t="e">
        <f>Simulações!#REF!</f>
        <v>#REF!</v>
      </c>
      <c r="B540" s="114" t="e">
        <f>Simulações!#REF!</f>
        <v>#REF!</v>
      </c>
      <c r="C540" s="125" t="e">
        <f>Simulações!#REF!</f>
        <v>#REF!</v>
      </c>
      <c r="D540" s="114" t="e">
        <f>Simulações!#REF!</f>
        <v>#REF!</v>
      </c>
      <c r="E540" s="114" t="e">
        <f>Simulações!#REF!</f>
        <v>#REF!</v>
      </c>
      <c r="F540" s="114" t="e">
        <f>Simulações!#REF!</f>
        <v>#REF!</v>
      </c>
      <c r="G540" s="114" t="e">
        <f>Simulações!#REF!</f>
        <v>#REF!</v>
      </c>
      <c r="H540" s="114" t="e">
        <f>Simulações!#REF!</f>
        <v>#REF!</v>
      </c>
      <c r="I540" s="114" t="e">
        <f>IF(Simulações!#REF!="","",Simulações!#REF!)</f>
        <v>#REF!</v>
      </c>
      <c r="J540" s="114" t="e">
        <f>IF(Simulações!#REF!="","",Simulações!#REF!)</f>
        <v>#REF!</v>
      </c>
      <c r="K540" s="117" t="e">
        <f>Simulações!#REF!</f>
        <v>#REF!</v>
      </c>
      <c r="L540" s="117" t="e">
        <f>Simulações!#REF!</f>
        <v>#REF!</v>
      </c>
      <c r="M540" s="114" t="e">
        <f>IF(Simulações!#REF!="","",Simulações!#REF!)</f>
        <v>#REF!</v>
      </c>
      <c r="N540" s="114" t="e">
        <f>IF(Simulações!#REF!="","",Simulações!#REF!)</f>
        <v>#REF!</v>
      </c>
      <c r="O540" s="114">
        <v>1</v>
      </c>
    </row>
    <row r="541" spans="1:15" ht="15.75" hidden="1" customHeight="1" x14ac:dyDescent="0.3">
      <c r="A541" s="124" t="e">
        <f>Simulações!#REF!</f>
        <v>#REF!</v>
      </c>
      <c r="B541" s="114" t="e">
        <f>Simulações!#REF!</f>
        <v>#REF!</v>
      </c>
      <c r="C541" s="125" t="e">
        <f>Simulações!#REF!</f>
        <v>#REF!</v>
      </c>
      <c r="D541" s="114" t="e">
        <f>Simulações!#REF!</f>
        <v>#REF!</v>
      </c>
      <c r="E541" s="114" t="e">
        <f>Simulações!#REF!</f>
        <v>#REF!</v>
      </c>
      <c r="F541" s="114" t="e">
        <f>Simulações!#REF!</f>
        <v>#REF!</v>
      </c>
      <c r="G541" s="114" t="e">
        <f>Simulações!#REF!</f>
        <v>#REF!</v>
      </c>
      <c r="H541" s="114" t="e">
        <f>Simulações!#REF!</f>
        <v>#REF!</v>
      </c>
      <c r="I541" s="114" t="e">
        <f>IF(Simulações!#REF!="","",Simulações!#REF!)</f>
        <v>#REF!</v>
      </c>
      <c r="J541" s="114" t="e">
        <f>IF(Simulações!#REF!="","",Simulações!#REF!)</f>
        <v>#REF!</v>
      </c>
      <c r="K541" s="117" t="e">
        <f>Simulações!#REF!</f>
        <v>#REF!</v>
      </c>
      <c r="L541" s="117" t="e">
        <f>Simulações!#REF!</f>
        <v>#REF!</v>
      </c>
      <c r="M541" s="114" t="e">
        <f>IF(Simulações!#REF!="","",Simulações!#REF!)</f>
        <v>#REF!</v>
      </c>
      <c r="N541" s="114" t="e">
        <f>IF(Simulações!#REF!="","",Simulações!#REF!)</f>
        <v>#REF!</v>
      </c>
      <c r="O541" s="114">
        <v>1</v>
      </c>
    </row>
    <row r="542" spans="1:15" ht="15.75" hidden="1" customHeight="1" x14ac:dyDescent="0.3">
      <c r="A542" s="124" t="e">
        <f>Simulações!#REF!</f>
        <v>#REF!</v>
      </c>
      <c r="B542" s="114" t="e">
        <f>Simulações!#REF!</f>
        <v>#REF!</v>
      </c>
      <c r="C542" s="125" t="e">
        <f>Simulações!#REF!</f>
        <v>#REF!</v>
      </c>
      <c r="D542" s="114" t="e">
        <f>Simulações!#REF!</f>
        <v>#REF!</v>
      </c>
      <c r="E542" s="114" t="e">
        <f>Simulações!#REF!</f>
        <v>#REF!</v>
      </c>
      <c r="F542" s="114" t="e">
        <f>Simulações!#REF!</f>
        <v>#REF!</v>
      </c>
      <c r="G542" s="114" t="e">
        <f>Simulações!#REF!</f>
        <v>#REF!</v>
      </c>
      <c r="H542" s="114" t="e">
        <f>Simulações!#REF!</f>
        <v>#REF!</v>
      </c>
      <c r="I542" s="114" t="e">
        <f>IF(Simulações!#REF!="","",Simulações!#REF!)</f>
        <v>#REF!</v>
      </c>
      <c r="J542" s="114" t="e">
        <f>IF(Simulações!#REF!="","",Simulações!#REF!)</f>
        <v>#REF!</v>
      </c>
      <c r="K542" s="117" t="e">
        <f>Simulações!#REF!</f>
        <v>#REF!</v>
      </c>
      <c r="L542" s="117" t="e">
        <f>Simulações!#REF!</f>
        <v>#REF!</v>
      </c>
      <c r="M542" s="114" t="e">
        <f>IF(Simulações!#REF!="","",Simulações!#REF!)</f>
        <v>#REF!</v>
      </c>
      <c r="N542" s="114" t="e">
        <f>IF(Simulações!#REF!="","",Simulações!#REF!)</f>
        <v>#REF!</v>
      </c>
      <c r="O542" s="114">
        <v>1</v>
      </c>
    </row>
    <row r="543" spans="1:15" ht="15.75" hidden="1" customHeight="1" x14ac:dyDescent="0.3">
      <c r="A543" s="124" t="e">
        <f>Simulações!#REF!</f>
        <v>#REF!</v>
      </c>
      <c r="B543" s="114" t="e">
        <f>Simulações!#REF!</f>
        <v>#REF!</v>
      </c>
      <c r="C543" s="125" t="e">
        <f>Simulações!#REF!</f>
        <v>#REF!</v>
      </c>
      <c r="D543" s="114" t="e">
        <f>Simulações!#REF!</f>
        <v>#REF!</v>
      </c>
      <c r="E543" s="114" t="e">
        <f>Simulações!#REF!</f>
        <v>#REF!</v>
      </c>
      <c r="F543" s="114" t="e">
        <f>Simulações!#REF!</f>
        <v>#REF!</v>
      </c>
      <c r="G543" s="114" t="e">
        <f>Simulações!#REF!</f>
        <v>#REF!</v>
      </c>
      <c r="H543" s="114" t="e">
        <f>Simulações!#REF!</f>
        <v>#REF!</v>
      </c>
      <c r="I543" s="114" t="e">
        <f>IF(Simulações!#REF!="","",Simulações!#REF!)</f>
        <v>#REF!</v>
      </c>
      <c r="J543" s="114" t="e">
        <f>IF(Simulações!#REF!="","",Simulações!#REF!)</f>
        <v>#REF!</v>
      </c>
      <c r="K543" s="117" t="e">
        <f>Simulações!#REF!</f>
        <v>#REF!</v>
      </c>
      <c r="L543" s="117" t="e">
        <f>Simulações!#REF!</f>
        <v>#REF!</v>
      </c>
      <c r="M543" s="114" t="e">
        <f>IF(Simulações!#REF!="","",Simulações!#REF!)</f>
        <v>#REF!</v>
      </c>
      <c r="N543" s="114" t="e">
        <f>IF(Simulações!#REF!="","",Simulações!#REF!)</f>
        <v>#REF!</v>
      </c>
      <c r="O543" s="114">
        <v>1</v>
      </c>
    </row>
    <row r="544" spans="1:15" ht="15.75" hidden="1" customHeight="1" x14ac:dyDescent="0.3">
      <c r="A544" s="124" t="e">
        <f>Simulações!#REF!</f>
        <v>#REF!</v>
      </c>
      <c r="B544" s="114" t="e">
        <f>Simulações!#REF!</f>
        <v>#REF!</v>
      </c>
      <c r="C544" s="125" t="e">
        <f>Simulações!#REF!</f>
        <v>#REF!</v>
      </c>
      <c r="D544" s="114" t="e">
        <f>Simulações!#REF!</f>
        <v>#REF!</v>
      </c>
      <c r="E544" s="114" t="e">
        <f>Simulações!#REF!</f>
        <v>#REF!</v>
      </c>
      <c r="F544" s="114" t="e">
        <f>Simulações!#REF!</f>
        <v>#REF!</v>
      </c>
      <c r="G544" s="114" t="e">
        <f>Simulações!#REF!</f>
        <v>#REF!</v>
      </c>
      <c r="H544" s="114" t="e">
        <f>Simulações!#REF!</f>
        <v>#REF!</v>
      </c>
      <c r="I544" s="114" t="e">
        <f>IF(Simulações!#REF!="","",Simulações!#REF!)</f>
        <v>#REF!</v>
      </c>
      <c r="J544" s="114" t="e">
        <f>IF(Simulações!#REF!="","",Simulações!#REF!)</f>
        <v>#REF!</v>
      </c>
      <c r="K544" s="117" t="e">
        <f>Simulações!#REF!</f>
        <v>#REF!</v>
      </c>
      <c r="L544" s="117" t="e">
        <f>Simulações!#REF!</f>
        <v>#REF!</v>
      </c>
      <c r="M544" s="114" t="e">
        <f>IF(Simulações!#REF!="","",Simulações!#REF!)</f>
        <v>#REF!</v>
      </c>
      <c r="N544" s="114" t="e">
        <f>IF(Simulações!#REF!="","",Simulações!#REF!)</f>
        <v>#REF!</v>
      </c>
      <c r="O544" s="114">
        <v>1</v>
      </c>
    </row>
    <row r="545" spans="1:15" ht="15.75" hidden="1" customHeight="1" x14ac:dyDescent="0.3">
      <c r="A545" s="124" t="e">
        <f>Simulações!#REF!</f>
        <v>#REF!</v>
      </c>
      <c r="B545" s="114" t="e">
        <f>Simulações!#REF!</f>
        <v>#REF!</v>
      </c>
      <c r="C545" s="125" t="e">
        <f>Simulações!#REF!</f>
        <v>#REF!</v>
      </c>
      <c r="D545" s="114" t="e">
        <f>Simulações!#REF!</f>
        <v>#REF!</v>
      </c>
      <c r="E545" s="114" t="e">
        <f>Simulações!#REF!</f>
        <v>#REF!</v>
      </c>
      <c r="F545" s="114" t="e">
        <f>Simulações!#REF!</f>
        <v>#REF!</v>
      </c>
      <c r="G545" s="114" t="e">
        <f>Simulações!#REF!</f>
        <v>#REF!</v>
      </c>
      <c r="H545" s="114" t="e">
        <f>Simulações!#REF!</f>
        <v>#REF!</v>
      </c>
      <c r="I545" s="114" t="e">
        <f>IF(Simulações!#REF!="","",Simulações!#REF!)</f>
        <v>#REF!</v>
      </c>
      <c r="J545" s="114" t="e">
        <f>IF(Simulações!#REF!="","",Simulações!#REF!)</f>
        <v>#REF!</v>
      </c>
      <c r="K545" s="117" t="e">
        <f>Simulações!#REF!</f>
        <v>#REF!</v>
      </c>
      <c r="L545" s="117" t="e">
        <f>Simulações!#REF!</f>
        <v>#REF!</v>
      </c>
      <c r="M545" s="114" t="e">
        <f>IF(Simulações!#REF!="","",Simulações!#REF!)</f>
        <v>#REF!</v>
      </c>
      <c r="N545" s="114" t="e">
        <f>IF(Simulações!#REF!="","",Simulações!#REF!)</f>
        <v>#REF!</v>
      </c>
      <c r="O545" s="114">
        <v>1</v>
      </c>
    </row>
    <row r="546" spans="1:15" ht="15.75" hidden="1" customHeight="1" x14ac:dyDescent="0.3">
      <c r="A546" s="124" t="e">
        <f>Simulações!#REF!</f>
        <v>#REF!</v>
      </c>
      <c r="B546" s="114" t="e">
        <f>Simulações!#REF!</f>
        <v>#REF!</v>
      </c>
      <c r="C546" s="125" t="e">
        <f>Simulações!#REF!</f>
        <v>#REF!</v>
      </c>
      <c r="D546" s="114" t="e">
        <f>Simulações!#REF!</f>
        <v>#REF!</v>
      </c>
      <c r="E546" s="114" t="e">
        <f>Simulações!#REF!</f>
        <v>#REF!</v>
      </c>
      <c r="F546" s="114" t="e">
        <f>Simulações!#REF!</f>
        <v>#REF!</v>
      </c>
      <c r="G546" s="114" t="e">
        <f>Simulações!#REF!</f>
        <v>#REF!</v>
      </c>
      <c r="H546" s="114" t="e">
        <f>Simulações!#REF!</f>
        <v>#REF!</v>
      </c>
      <c r="I546" s="114" t="e">
        <f>IF(Simulações!#REF!="","",Simulações!#REF!)</f>
        <v>#REF!</v>
      </c>
      <c r="J546" s="114" t="e">
        <f>IF(Simulações!#REF!="","",Simulações!#REF!)</f>
        <v>#REF!</v>
      </c>
      <c r="K546" s="117" t="e">
        <f>Simulações!#REF!</f>
        <v>#REF!</v>
      </c>
      <c r="L546" s="117" t="e">
        <f>Simulações!#REF!</f>
        <v>#REF!</v>
      </c>
      <c r="M546" s="114" t="e">
        <f>IF(Simulações!#REF!="","",Simulações!#REF!)</f>
        <v>#REF!</v>
      </c>
      <c r="N546" s="114" t="e">
        <f>IF(Simulações!#REF!="","",Simulações!#REF!)</f>
        <v>#REF!</v>
      </c>
      <c r="O546" s="114">
        <v>1</v>
      </c>
    </row>
    <row r="547" spans="1:15" ht="15.75" hidden="1" customHeight="1" x14ac:dyDescent="0.3">
      <c r="A547" s="124" t="e">
        <f>Simulações!#REF!</f>
        <v>#REF!</v>
      </c>
      <c r="B547" s="114" t="e">
        <f>Simulações!#REF!</f>
        <v>#REF!</v>
      </c>
      <c r="C547" s="125" t="e">
        <f>Simulações!#REF!</f>
        <v>#REF!</v>
      </c>
      <c r="D547" s="114" t="e">
        <f>Simulações!#REF!</f>
        <v>#REF!</v>
      </c>
      <c r="E547" s="114" t="e">
        <f>Simulações!#REF!</f>
        <v>#REF!</v>
      </c>
      <c r="F547" s="114" t="e">
        <f>Simulações!#REF!</f>
        <v>#REF!</v>
      </c>
      <c r="G547" s="114" t="e">
        <f>Simulações!#REF!</f>
        <v>#REF!</v>
      </c>
      <c r="H547" s="114" t="e">
        <f>Simulações!#REF!</f>
        <v>#REF!</v>
      </c>
      <c r="I547" s="114" t="e">
        <f>IF(Simulações!#REF!="","",Simulações!#REF!)</f>
        <v>#REF!</v>
      </c>
      <c r="J547" s="114" t="e">
        <f>IF(Simulações!#REF!="","",Simulações!#REF!)</f>
        <v>#REF!</v>
      </c>
      <c r="K547" s="117" t="e">
        <f>Simulações!#REF!</f>
        <v>#REF!</v>
      </c>
      <c r="L547" s="117" t="e">
        <f>Simulações!#REF!</f>
        <v>#REF!</v>
      </c>
      <c r="M547" s="114" t="e">
        <f>IF(Simulações!#REF!="","",Simulações!#REF!)</f>
        <v>#REF!</v>
      </c>
      <c r="N547" s="114" t="e">
        <f>IF(Simulações!#REF!="","",Simulações!#REF!)</f>
        <v>#REF!</v>
      </c>
      <c r="O547" s="114">
        <v>1</v>
      </c>
    </row>
    <row r="548" spans="1:15" ht="15.75" hidden="1" customHeight="1" x14ac:dyDescent="0.3">
      <c r="A548" s="124" t="e">
        <f>Simulações!#REF!</f>
        <v>#REF!</v>
      </c>
      <c r="B548" s="114" t="e">
        <f>Simulações!#REF!</f>
        <v>#REF!</v>
      </c>
      <c r="C548" s="125" t="e">
        <f>Simulações!#REF!</f>
        <v>#REF!</v>
      </c>
      <c r="D548" s="114" t="e">
        <f>Simulações!#REF!</f>
        <v>#REF!</v>
      </c>
      <c r="E548" s="114" t="e">
        <f>Simulações!#REF!</f>
        <v>#REF!</v>
      </c>
      <c r="F548" s="114" t="e">
        <f>Simulações!#REF!</f>
        <v>#REF!</v>
      </c>
      <c r="G548" s="114" t="e">
        <f>Simulações!#REF!</f>
        <v>#REF!</v>
      </c>
      <c r="H548" s="114" t="e">
        <f>Simulações!#REF!</f>
        <v>#REF!</v>
      </c>
      <c r="I548" s="114" t="e">
        <f>IF(Simulações!#REF!="","",Simulações!#REF!)</f>
        <v>#REF!</v>
      </c>
      <c r="J548" s="114" t="e">
        <f>IF(Simulações!#REF!="","",Simulações!#REF!)</f>
        <v>#REF!</v>
      </c>
      <c r="K548" s="117" t="e">
        <f>Simulações!#REF!</f>
        <v>#REF!</v>
      </c>
      <c r="L548" s="117" t="e">
        <f>Simulações!#REF!</f>
        <v>#REF!</v>
      </c>
      <c r="M548" s="114" t="e">
        <f>IF(Simulações!#REF!="","",Simulações!#REF!)</f>
        <v>#REF!</v>
      </c>
      <c r="N548" s="114" t="e">
        <f>IF(Simulações!#REF!="","",Simulações!#REF!)</f>
        <v>#REF!</v>
      </c>
      <c r="O548" s="114">
        <v>1</v>
      </c>
    </row>
    <row r="549" spans="1:15" ht="15.75" hidden="1" customHeight="1" x14ac:dyDescent="0.3">
      <c r="A549" s="124" t="e">
        <f>Simulações!#REF!</f>
        <v>#REF!</v>
      </c>
      <c r="B549" s="114" t="e">
        <f>Simulações!#REF!</f>
        <v>#REF!</v>
      </c>
      <c r="C549" s="125" t="e">
        <f>Simulações!#REF!</f>
        <v>#REF!</v>
      </c>
      <c r="D549" s="114" t="e">
        <f>Simulações!#REF!</f>
        <v>#REF!</v>
      </c>
      <c r="E549" s="114" t="e">
        <f>Simulações!#REF!</f>
        <v>#REF!</v>
      </c>
      <c r="F549" s="114" t="e">
        <f>Simulações!#REF!</f>
        <v>#REF!</v>
      </c>
      <c r="G549" s="114" t="e">
        <f>Simulações!#REF!</f>
        <v>#REF!</v>
      </c>
      <c r="H549" s="114" t="e">
        <f>Simulações!#REF!</f>
        <v>#REF!</v>
      </c>
      <c r="I549" s="114" t="e">
        <f>IF(Simulações!#REF!="","",Simulações!#REF!)</f>
        <v>#REF!</v>
      </c>
      <c r="J549" s="114" t="e">
        <f>IF(Simulações!#REF!="","",Simulações!#REF!)</f>
        <v>#REF!</v>
      </c>
      <c r="K549" s="117" t="e">
        <f>Simulações!#REF!</f>
        <v>#REF!</v>
      </c>
      <c r="L549" s="117" t="e">
        <f>Simulações!#REF!</f>
        <v>#REF!</v>
      </c>
      <c r="M549" s="114" t="e">
        <f>IF(Simulações!#REF!="","",Simulações!#REF!)</f>
        <v>#REF!</v>
      </c>
      <c r="N549" s="114" t="e">
        <f>IF(Simulações!#REF!="","",Simulações!#REF!)</f>
        <v>#REF!</v>
      </c>
      <c r="O549" s="114">
        <v>1</v>
      </c>
    </row>
    <row r="550" spans="1:15" ht="15.75" hidden="1" customHeight="1" x14ac:dyDescent="0.3">
      <c r="A550" s="124" t="e">
        <f>Simulações!#REF!</f>
        <v>#REF!</v>
      </c>
      <c r="B550" s="114" t="e">
        <f>Simulações!#REF!</f>
        <v>#REF!</v>
      </c>
      <c r="C550" s="125" t="e">
        <f>Simulações!#REF!</f>
        <v>#REF!</v>
      </c>
      <c r="D550" s="114" t="e">
        <f>Simulações!#REF!</f>
        <v>#REF!</v>
      </c>
      <c r="E550" s="114" t="e">
        <f>Simulações!#REF!</f>
        <v>#REF!</v>
      </c>
      <c r="F550" s="114" t="e">
        <f>Simulações!#REF!</f>
        <v>#REF!</v>
      </c>
      <c r="G550" s="114" t="e">
        <f>Simulações!#REF!</f>
        <v>#REF!</v>
      </c>
      <c r="H550" s="114" t="e">
        <f>Simulações!#REF!</f>
        <v>#REF!</v>
      </c>
      <c r="I550" s="114" t="e">
        <f>IF(Simulações!#REF!="","",Simulações!#REF!)</f>
        <v>#REF!</v>
      </c>
      <c r="J550" s="114" t="e">
        <f>IF(Simulações!#REF!="","",Simulações!#REF!)</f>
        <v>#REF!</v>
      </c>
      <c r="K550" s="117" t="e">
        <f>Simulações!#REF!</f>
        <v>#REF!</v>
      </c>
      <c r="L550" s="117" t="e">
        <f>Simulações!#REF!</f>
        <v>#REF!</v>
      </c>
      <c r="M550" s="114" t="e">
        <f>IF(Simulações!#REF!="","",Simulações!#REF!)</f>
        <v>#REF!</v>
      </c>
      <c r="N550" s="114" t="e">
        <f>IF(Simulações!#REF!="","",Simulações!#REF!)</f>
        <v>#REF!</v>
      </c>
      <c r="O550" s="114">
        <v>1</v>
      </c>
    </row>
    <row r="551" spans="1:15" ht="15.75" hidden="1" customHeight="1" x14ac:dyDescent="0.3">
      <c r="A551" s="124" t="e">
        <f>Simulações!#REF!</f>
        <v>#REF!</v>
      </c>
      <c r="B551" s="114" t="e">
        <f>Simulações!#REF!</f>
        <v>#REF!</v>
      </c>
      <c r="C551" s="125" t="e">
        <f>Simulações!#REF!</f>
        <v>#REF!</v>
      </c>
      <c r="D551" s="114" t="e">
        <f>Simulações!#REF!</f>
        <v>#REF!</v>
      </c>
      <c r="E551" s="114" t="e">
        <f>Simulações!#REF!</f>
        <v>#REF!</v>
      </c>
      <c r="F551" s="114" t="e">
        <f>Simulações!#REF!</f>
        <v>#REF!</v>
      </c>
      <c r="G551" s="114" t="e">
        <f>Simulações!#REF!</f>
        <v>#REF!</v>
      </c>
      <c r="H551" s="114" t="e">
        <f>Simulações!#REF!</f>
        <v>#REF!</v>
      </c>
      <c r="I551" s="114" t="e">
        <f>IF(Simulações!#REF!="","",Simulações!#REF!)</f>
        <v>#REF!</v>
      </c>
      <c r="J551" s="114" t="e">
        <f>IF(Simulações!#REF!="","",Simulações!#REF!)</f>
        <v>#REF!</v>
      </c>
      <c r="K551" s="117" t="e">
        <f>Simulações!#REF!</f>
        <v>#REF!</v>
      </c>
      <c r="L551" s="117" t="e">
        <f>Simulações!#REF!</f>
        <v>#REF!</v>
      </c>
      <c r="M551" s="114" t="e">
        <f>IF(Simulações!#REF!="","",Simulações!#REF!)</f>
        <v>#REF!</v>
      </c>
      <c r="N551" s="114" t="e">
        <f>IF(Simulações!#REF!="","",Simulações!#REF!)</f>
        <v>#REF!</v>
      </c>
      <c r="O551" s="114">
        <v>1</v>
      </c>
    </row>
    <row r="552" spans="1:15" ht="15.75" hidden="1" customHeight="1" x14ac:dyDescent="0.3">
      <c r="A552" s="124" t="e">
        <f>Simulações!#REF!</f>
        <v>#REF!</v>
      </c>
      <c r="B552" s="114" t="e">
        <f>Simulações!#REF!</f>
        <v>#REF!</v>
      </c>
      <c r="C552" s="125" t="e">
        <f>Simulações!#REF!</f>
        <v>#REF!</v>
      </c>
      <c r="D552" s="114" t="e">
        <f>Simulações!#REF!</f>
        <v>#REF!</v>
      </c>
      <c r="E552" s="114" t="e">
        <f>Simulações!#REF!</f>
        <v>#REF!</v>
      </c>
      <c r="F552" s="114" t="e">
        <f>Simulações!#REF!</f>
        <v>#REF!</v>
      </c>
      <c r="G552" s="114" t="e">
        <f>Simulações!#REF!</f>
        <v>#REF!</v>
      </c>
      <c r="H552" s="114" t="e">
        <f>Simulações!#REF!</f>
        <v>#REF!</v>
      </c>
      <c r="I552" s="114" t="e">
        <f>IF(Simulações!#REF!="","",Simulações!#REF!)</f>
        <v>#REF!</v>
      </c>
      <c r="J552" s="114" t="e">
        <f>IF(Simulações!#REF!="","",Simulações!#REF!)</f>
        <v>#REF!</v>
      </c>
      <c r="K552" s="117" t="e">
        <f>Simulações!#REF!</f>
        <v>#REF!</v>
      </c>
      <c r="L552" s="117" t="e">
        <f>Simulações!#REF!</f>
        <v>#REF!</v>
      </c>
      <c r="M552" s="114" t="e">
        <f>IF(Simulações!#REF!="","",Simulações!#REF!)</f>
        <v>#REF!</v>
      </c>
      <c r="N552" s="114" t="e">
        <f>IF(Simulações!#REF!="","",Simulações!#REF!)</f>
        <v>#REF!</v>
      </c>
      <c r="O552" s="114">
        <v>1</v>
      </c>
    </row>
    <row r="553" spans="1:15" ht="15.75" hidden="1" customHeight="1" x14ac:dyDescent="0.3">
      <c r="A553" s="124" t="e">
        <f>Simulações!#REF!</f>
        <v>#REF!</v>
      </c>
      <c r="B553" s="114" t="e">
        <f>Simulações!#REF!</f>
        <v>#REF!</v>
      </c>
      <c r="C553" s="125" t="e">
        <f>Simulações!#REF!</f>
        <v>#REF!</v>
      </c>
      <c r="D553" s="114" t="e">
        <f>Simulações!#REF!</f>
        <v>#REF!</v>
      </c>
      <c r="E553" s="114" t="e">
        <f>Simulações!#REF!</f>
        <v>#REF!</v>
      </c>
      <c r="F553" s="114" t="e">
        <f>Simulações!#REF!</f>
        <v>#REF!</v>
      </c>
      <c r="G553" s="114" t="e">
        <f>Simulações!#REF!</f>
        <v>#REF!</v>
      </c>
      <c r="H553" s="114" t="e">
        <f>Simulações!#REF!</f>
        <v>#REF!</v>
      </c>
      <c r="I553" s="114" t="e">
        <f>IF(Simulações!#REF!="","",Simulações!#REF!)</f>
        <v>#REF!</v>
      </c>
      <c r="J553" s="114" t="e">
        <f>IF(Simulações!#REF!="","",Simulações!#REF!)</f>
        <v>#REF!</v>
      </c>
      <c r="K553" s="117" t="e">
        <f>Simulações!#REF!</f>
        <v>#REF!</v>
      </c>
      <c r="L553" s="117" t="e">
        <f>Simulações!#REF!</f>
        <v>#REF!</v>
      </c>
      <c r="M553" s="114" t="e">
        <f>IF(Simulações!#REF!="","",Simulações!#REF!)</f>
        <v>#REF!</v>
      </c>
      <c r="N553" s="114" t="e">
        <f>IF(Simulações!#REF!="","",Simulações!#REF!)</f>
        <v>#REF!</v>
      </c>
      <c r="O553" s="114">
        <v>1</v>
      </c>
    </row>
    <row r="554" spans="1:15" ht="15.75" hidden="1" customHeight="1" x14ac:dyDescent="0.3">
      <c r="A554" s="124" t="e">
        <f>Simulações!#REF!</f>
        <v>#REF!</v>
      </c>
      <c r="B554" s="114" t="e">
        <f>Simulações!#REF!</f>
        <v>#REF!</v>
      </c>
      <c r="C554" s="125" t="e">
        <f>Simulações!#REF!</f>
        <v>#REF!</v>
      </c>
      <c r="D554" s="114" t="e">
        <f>Simulações!#REF!</f>
        <v>#REF!</v>
      </c>
      <c r="E554" s="114" t="e">
        <f>Simulações!#REF!</f>
        <v>#REF!</v>
      </c>
      <c r="F554" s="114" t="e">
        <f>Simulações!#REF!</f>
        <v>#REF!</v>
      </c>
      <c r="G554" s="114" t="e">
        <f>Simulações!#REF!</f>
        <v>#REF!</v>
      </c>
      <c r="H554" s="114" t="e">
        <f>Simulações!#REF!</f>
        <v>#REF!</v>
      </c>
      <c r="I554" s="114" t="e">
        <f>IF(Simulações!#REF!="","",Simulações!#REF!)</f>
        <v>#REF!</v>
      </c>
      <c r="J554" s="114" t="e">
        <f>IF(Simulações!#REF!="","",Simulações!#REF!)</f>
        <v>#REF!</v>
      </c>
      <c r="K554" s="117" t="e">
        <f>Simulações!#REF!</f>
        <v>#REF!</v>
      </c>
      <c r="L554" s="117" t="e">
        <f>Simulações!#REF!</f>
        <v>#REF!</v>
      </c>
      <c r="M554" s="114" t="e">
        <f>IF(Simulações!#REF!="","",Simulações!#REF!)</f>
        <v>#REF!</v>
      </c>
      <c r="N554" s="114" t="e">
        <f>IF(Simulações!#REF!="","",Simulações!#REF!)</f>
        <v>#REF!</v>
      </c>
      <c r="O554" s="114">
        <v>1</v>
      </c>
    </row>
    <row r="555" spans="1:15" ht="15.75" hidden="1" customHeight="1" x14ac:dyDescent="0.3">
      <c r="A555" s="124" t="e">
        <f>Simulações!#REF!</f>
        <v>#REF!</v>
      </c>
      <c r="B555" s="114" t="e">
        <f>Simulações!#REF!</f>
        <v>#REF!</v>
      </c>
      <c r="C555" s="125" t="e">
        <f>Simulações!#REF!</f>
        <v>#REF!</v>
      </c>
      <c r="D555" s="114" t="e">
        <f>Simulações!#REF!</f>
        <v>#REF!</v>
      </c>
      <c r="E555" s="114" t="e">
        <f>Simulações!#REF!</f>
        <v>#REF!</v>
      </c>
      <c r="F555" s="114" t="e">
        <f>Simulações!#REF!</f>
        <v>#REF!</v>
      </c>
      <c r="G555" s="114" t="e">
        <f>Simulações!#REF!</f>
        <v>#REF!</v>
      </c>
      <c r="H555" s="114" t="e">
        <f>Simulações!#REF!</f>
        <v>#REF!</v>
      </c>
      <c r="I555" s="114" t="e">
        <f>IF(Simulações!#REF!="","",Simulações!#REF!)</f>
        <v>#REF!</v>
      </c>
      <c r="J555" s="114" t="e">
        <f>IF(Simulações!#REF!="","",Simulações!#REF!)</f>
        <v>#REF!</v>
      </c>
      <c r="K555" s="117" t="e">
        <f>Simulações!#REF!</f>
        <v>#REF!</v>
      </c>
      <c r="L555" s="117" t="e">
        <f>Simulações!#REF!</f>
        <v>#REF!</v>
      </c>
      <c r="M555" s="114" t="e">
        <f>IF(Simulações!#REF!="","",Simulações!#REF!)</f>
        <v>#REF!</v>
      </c>
      <c r="N555" s="114" t="e">
        <f>IF(Simulações!#REF!="","",Simulações!#REF!)</f>
        <v>#REF!</v>
      </c>
      <c r="O555" s="114">
        <v>1</v>
      </c>
    </row>
    <row r="556" spans="1:15" ht="15.75" hidden="1" customHeight="1" x14ac:dyDescent="0.3">
      <c r="A556" s="124" t="e">
        <f>Simulações!#REF!</f>
        <v>#REF!</v>
      </c>
      <c r="B556" s="114" t="e">
        <f>Simulações!#REF!</f>
        <v>#REF!</v>
      </c>
      <c r="C556" s="125" t="e">
        <f>Simulações!#REF!</f>
        <v>#REF!</v>
      </c>
      <c r="D556" s="114" t="e">
        <f>Simulações!#REF!</f>
        <v>#REF!</v>
      </c>
      <c r="E556" s="114" t="e">
        <f>Simulações!#REF!</f>
        <v>#REF!</v>
      </c>
      <c r="F556" s="114" t="e">
        <f>Simulações!#REF!</f>
        <v>#REF!</v>
      </c>
      <c r="G556" s="114" t="e">
        <f>Simulações!#REF!</f>
        <v>#REF!</v>
      </c>
      <c r="H556" s="114" t="e">
        <f>Simulações!#REF!</f>
        <v>#REF!</v>
      </c>
      <c r="I556" s="114" t="e">
        <f>IF(Simulações!#REF!="","",Simulações!#REF!)</f>
        <v>#REF!</v>
      </c>
      <c r="J556" s="114" t="e">
        <f>IF(Simulações!#REF!="","",Simulações!#REF!)</f>
        <v>#REF!</v>
      </c>
      <c r="K556" s="117" t="e">
        <f>Simulações!#REF!</f>
        <v>#REF!</v>
      </c>
      <c r="L556" s="117" t="e">
        <f>Simulações!#REF!</f>
        <v>#REF!</v>
      </c>
      <c r="M556" s="114" t="e">
        <f>IF(Simulações!#REF!="","",Simulações!#REF!)</f>
        <v>#REF!</v>
      </c>
      <c r="N556" s="114" t="e">
        <f>IF(Simulações!#REF!="","",Simulações!#REF!)</f>
        <v>#REF!</v>
      </c>
      <c r="O556" s="114">
        <v>1</v>
      </c>
    </row>
    <row r="557" spans="1:15" ht="15.75" hidden="1" customHeight="1" x14ac:dyDescent="0.3">
      <c r="A557" s="124" t="e">
        <f>Simulações!#REF!</f>
        <v>#REF!</v>
      </c>
      <c r="B557" s="114" t="e">
        <f>Simulações!#REF!</f>
        <v>#REF!</v>
      </c>
      <c r="C557" s="125" t="e">
        <f>Simulações!#REF!</f>
        <v>#REF!</v>
      </c>
      <c r="D557" s="114" t="e">
        <f>Simulações!#REF!</f>
        <v>#REF!</v>
      </c>
      <c r="E557" s="114" t="e">
        <f>Simulações!#REF!</f>
        <v>#REF!</v>
      </c>
      <c r="F557" s="114" t="e">
        <f>Simulações!#REF!</f>
        <v>#REF!</v>
      </c>
      <c r="G557" s="114" t="e">
        <f>Simulações!#REF!</f>
        <v>#REF!</v>
      </c>
      <c r="H557" s="114" t="e">
        <f>Simulações!#REF!</f>
        <v>#REF!</v>
      </c>
      <c r="I557" s="114" t="e">
        <f>IF(Simulações!#REF!="","",Simulações!#REF!)</f>
        <v>#REF!</v>
      </c>
      <c r="J557" s="114" t="e">
        <f>IF(Simulações!#REF!="","",Simulações!#REF!)</f>
        <v>#REF!</v>
      </c>
      <c r="K557" s="117" t="e">
        <f>Simulações!#REF!</f>
        <v>#REF!</v>
      </c>
      <c r="L557" s="117" t="e">
        <f>Simulações!#REF!</f>
        <v>#REF!</v>
      </c>
      <c r="M557" s="114" t="e">
        <f>IF(Simulações!#REF!="","",Simulações!#REF!)</f>
        <v>#REF!</v>
      </c>
      <c r="N557" s="114" t="e">
        <f>IF(Simulações!#REF!="","",Simulações!#REF!)</f>
        <v>#REF!</v>
      </c>
      <c r="O557" s="114">
        <v>1</v>
      </c>
    </row>
    <row r="558" spans="1:15" ht="15.75" hidden="1" customHeight="1" x14ac:dyDescent="0.3">
      <c r="A558" s="124" t="e">
        <f>Simulações!#REF!</f>
        <v>#REF!</v>
      </c>
      <c r="B558" s="114" t="e">
        <f>Simulações!#REF!</f>
        <v>#REF!</v>
      </c>
      <c r="C558" s="125" t="e">
        <f>Simulações!#REF!</f>
        <v>#REF!</v>
      </c>
      <c r="D558" s="114" t="e">
        <f>Simulações!#REF!</f>
        <v>#REF!</v>
      </c>
      <c r="E558" s="114" t="e">
        <f>Simulações!#REF!</f>
        <v>#REF!</v>
      </c>
      <c r="F558" s="114" t="e">
        <f>Simulações!#REF!</f>
        <v>#REF!</v>
      </c>
      <c r="G558" s="114" t="e">
        <f>Simulações!#REF!</f>
        <v>#REF!</v>
      </c>
      <c r="H558" s="114" t="e">
        <f>Simulações!#REF!</f>
        <v>#REF!</v>
      </c>
      <c r="I558" s="114" t="e">
        <f>IF(Simulações!#REF!="","",Simulações!#REF!)</f>
        <v>#REF!</v>
      </c>
      <c r="J558" s="114" t="e">
        <f>IF(Simulações!#REF!="","",Simulações!#REF!)</f>
        <v>#REF!</v>
      </c>
      <c r="K558" s="117" t="e">
        <f>Simulações!#REF!</f>
        <v>#REF!</v>
      </c>
      <c r="L558" s="117" t="e">
        <f>Simulações!#REF!</f>
        <v>#REF!</v>
      </c>
      <c r="M558" s="114" t="e">
        <f>IF(Simulações!#REF!="","",Simulações!#REF!)</f>
        <v>#REF!</v>
      </c>
      <c r="N558" s="114" t="e">
        <f>IF(Simulações!#REF!="","",Simulações!#REF!)</f>
        <v>#REF!</v>
      </c>
      <c r="O558" s="114">
        <v>1</v>
      </c>
    </row>
    <row r="559" spans="1:15" ht="15.75" hidden="1" customHeight="1" x14ac:dyDescent="0.3">
      <c r="A559" s="124" t="e">
        <f>Simulações!#REF!</f>
        <v>#REF!</v>
      </c>
      <c r="B559" s="114" t="e">
        <f>Simulações!#REF!</f>
        <v>#REF!</v>
      </c>
      <c r="C559" s="125" t="e">
        <f>Simulações!#REF!</f>
        <v>#REF!</v>
      </c>
      <c r="D559" s="114" t="e">
        <f>Simulações!#REF!</f>
        <v>#REF!</v>
      </c>
      <c r="E559" s="114" t="e">
        <f>Simulações!#REF!</f>
        <v>#REF!</v>
      </c>
      <c r="F559" s="114" t="e">
        <f>Simulações!#REF!</f>
        <v>#REF!</v>
      </c>
      <c r="G559" s="114" t="e">
        <f>Simulações!#REF!</f>
        <v>#REF!</v>
      </c>
      <c r="H559" s="114" t="e">
        <f>Simulações!#REF!</f>
        <v>#REF!</v>
      </c>
      <c r="I559" s="114" t="e">
        <f>IF(Simulações!#REF!="","",Simulações!#REF!)</f>
        <v>#REF!</v>
      </c>
      <c r="J559" s="114" t="e">
        <f>IF(Simulações!#REF!="","",Simulações!#REF!)</f>
        <v>#REF!</v>
      </c>
      <c r="K559" s="117" t="e">
        <f>Simulações!#REF!</f>
        <v>#REF!</v>
      </c>
      <c r="L559" s="117" t="e">
        <f>Simulações!#REF!</f>
        <v>#REF!</v>
      </c>
      <c r="M559" s="114" t="e">
        <f>IF(Simulações!#REF!="","",Simulações!#REF!)</f>
        <v>#REF!</v>
      </c>
      <c r="N559" s="114" t="e">
        <f>IF(Simulações!#REF!="","",Simulações!#REF!)</f>
        <v>#REF!</v>
      </c>
      <c r="O559" s="114">
        <v>1</v>
      </c>
    </row>
    <row r="560" spans="1:15" ht="15.75" hidden="1" customHeight="1" x14ac:dyDescent="0.3">
      <c r="A560" s="124" t="e">
        <f>Simulações!#REF!</f>
        <v>#REF!</v>
      </c>
      <c r="B560" s="114" t="e">
        <f>Simulações!#REF!</f>
        <v>#REF!</v>
      </c>
      <c r="C560" s="125" t="e">
        <f>Simulações!#REF!</f>
        <v>#REF!</v>
      </c>
      <c r="D560" s="114" t="e">
        <f>Simulações!#REF!</f>
        <v>#REF!</v>
      </c>
      <c r="E560" s="114" t="e">
        <f>Simulações!#REF!</f>
        <v>#REF!</v>
      </c>
      <c r="F560" s="114" t="e">
        <f>Simulações!#REF!</f>
        <v>#REF!</v>
      </c>
      <c r="G560" s="114" t="e">
        <f>Simulações!#REF!</f>
        <v>#REF!</v>
      </c>
      <c r="H560" s="114" t="e">
        <f>Simulações!#REF!</f>
        <v>#REF!</v>
      </c>
      <c r="I560" s="114" t="e">
        <f>IF(Simulações!#REF!="","",Simulações!#REF!)</f>
        <v>#REF!</v>
      </c>
      <c r="J560" s="114" t="e">
        <f>IF(Simulações!#REF!="","",Simulações!#REF!)</f>
        <v>#REF!</v>
      </c>
      <c r="K560" s="117" t="e">
        <f>Simulações!#REF!</f>
        <v>#REF!</v>
      </c>
      <c r="L560" s="117" t="e">
        <f>Simulações!#REF!</f>
        <v>#REF!</v>
      </c>
      <c r="M560" s="114" t="e">
        <f>IF(Simulações!#REF!="","",Simulações!#REF!)</f>
        <v>#REF!</v>
      </c>
      <c r="N560" s="114" t="e">
        <f>IF(Simulações!#REF!="","",Simulações!#REF!)</f>
        <v>#REF!</v>
      </c>
      <c r="O560" s="114">
        <v>1</v>
      </c>
    </row>
    <row r="561" spans="1:15" ht="15.75" hidden="1" customHeight="1" x14ac:dyDescent="0.3">
      <c r="A561" s="124" t="e">
        <f>Simulações!#REF!</f>
        <v>#REF!</v>
      </c>
      <c r="B561" s="114" t="e">
        <f>Simulações!#REF!</f>
        <v>#REF!</v>
      </c>
      <c r="C561" s="125" t="e">
        <f>Simulações!#REF!</f>
        <v>#REF!</v>
      </c>
      <c r="D561" s="114" t="e">
        <f>Simulações!#REF!</f>
        <v>#REF!</v>
      </c>
      <c r="E561" s="114" t="e">
        <f>Simulações!#REF!</f>
        <v>#REF!</v>
      </c>
      <c r="F561" s="114" t="e">
        <f>Simulações!#REF!</f>
        <v>#REF!</v>
      </c>
      <c r="G561" s="114" t="e">
        <f>Simulações!#REF!</f>
        <v>#REF!</v>
      </c>
      <c r="H561" s="114" t="e">
        <f>Simulações!#REF!</f>
        <v>#REF!</v>
      </c>
      <c r="I561" s="114" t="e">
        <f>IF(Simulações!#REF!="","",Simulações!#REF!)</f>
        <v>#REF!</v>
      </c>
      <c r="J561" s="114" t="e">
        <f>IF(Simulações!#REF!="","",Simulações!#REF!)</f>
        <v>#REF!</v>
      </c>
      <c r="K561" s="117" t="e">
        <f>Simulações!#REF!</f>
        <v>#REF!</v>
      </c>
      <c r="L561" s="117" t="e">
        <f>Simulações!#REF!</f>
        <v>#REF!</v>
      </c>
      <c r="M561" s="114" t="e">
        <f>IF(Simulações!#REF!="","",Simulações!#REF!)</f>
        <v>#REF!</v>
      </c>
      <c r="N561" s="114" t="e">
        <f>IF(Simulações!#REF!="","",Simulações!#REF!)</f>
        <v>#REF!</v>
      </c>
      <c r="O561" s="114">
        <v>1</v>
      </c>
    </row>
    <row r="562" spans="1:15" ht="15.75" hidden="1" customHeight="1" x14ac:dyDescent="0.3">
      <c r="A562" s="124" t="e">
        <f>Simulações!#REF!</f>
        <v>#REF!</v>
      </c>
      <c r="B562" s="114" t="e">
        <f>Simulações!#REF!</f>
        <v>#REF!</v>
      </c>
      <c r="C562" s="125" t="e">
        <f>Simulações!#REF!</f>
        <v>#REF!</v>
      </c>
      <c r="D562" s="114" t="e">
        <f>Simulações!#REF!</f>
        <v>#REF!</v>
      </c>
      <c r="E562" s="114" t="e">
        <f>Simulações!#REF!</f>
        <v>#REF!</v>
      </c>
      <c r="F562" s="114" t="e">
        <f>Simulações!#REF!</f>
        <v>#REF!</v>
      </c>
      <c r="G562" s="114" t="e">
        <f>Simulações!#REF!</f>
        <v>#REF!</v>
      </c>
      <c r="H562" s="114" t="e">
        <f>Simulações!#REF!</f>
        <v>#REF!</v>
      </c>
      <c r="I562" s="114" t="e">
        <f>IF(Simulações!#REF!="","",Simulações!#REF!)</f>
        <v>#REF!</v>
      </c>
      <c r="J562" s="114" t="e">
        <f>IF(Simulações!#REF!="","",Simulações!#REF!)</f>
        <v>#REF!</v>
      </c>
      <c r="K562" s="117" t="e">
        <f>Simulações!#REF!</f>
        <v>#REF!</v>
      </c>
      <c r="L562" s="117" t="e">
        <f>Simulações!#REF!</f>
        <v>#REF!</v>
      </c>
      <c r="M562" s="114" t="e">
        <f>IF(Simulações!#REF!="","",Simulações!#REF!)</f>
        <v>#REF!</v>
      </c>
      <c r="N562" s="114" t="e">
        <f>IF(Simulações!#REF!="","",Simulações!#REF!)</f>
        <v>#REF!</v>
      </c>
      <c r="O562" s="114">
        <v>1</v>
      </c>
    </row>
    <row r="563" spans="1:15" ht="15.75" hidden="1" customHeight="1" x14ac:dyDescent="0.3">
      <c r="A563" s="124" t="e">
        <f>Simulações!#REF!</f>
        <v>#REF!</v>
      </c>
      <c r="B563" s="114" t="e">
        <f>Simulações!#REF!</f>
        <v>#REF!</v>
      </c>
      <c r="C563" s="125" t="e">
        <f>Simulações!#REF!</f>
        <v>#REF!</v>
      </c>
      <c r="D563" s="114" t="e">
        <f>Simulações!#REF!</f>
        <v>#REF!</v>
      </c>
      <c r="E563" s="114" t="e">
        <f>Simulações!#REF!</f>
        <v>#REF!</v>
      </c>
      <c r="F563" s="114" t="e">
        <f>Simulações!#REF!</f>
        <v>#REF!</v>
      </c>
      <c r="G563" s="114" t="e">
        <f>Simulações!#REF!</f>
        <v>#REF!</v>
      </c>
      <c r="H563" s="114" t="e">
        <f>Simulações!#REF!</f>
        <v>#REF!</v>
      </c>
      <c r="I563" s="114" t="e">
        <f>IF(Simulações!#REF!="","",Simulações!#REF!)</f>
        <v>#REF!</v>
      </c>
      <c r="J563" s="114" t="e">
        <f>IF(Simulações!#REF!="","",Simulações!#REF!)</f>
        <v>#REF!</v>
      </c>
      <c r="K563" s="117" t="e">
        <f>Simulações!#REF!</f>
        <v>#REF!</v>
      </c>
      <c r="L563" s="117" t="e">
        <f>Simulações!#REF!</f>
        <v>#REF!</v>
      </c>
      <c r="M563" s="114" t="e">
        <f>IF(Simulações!#REF!="","",Simulações!#REF!)</f>
        <v>#REF!</v>
      </c>
      <c r="N563" s="114" t="e">
        <f>IF(Simulações!#REF!="","",Simulações!#REF!)</f>
        <v>#REF!</v>
      </c>
      <c r="O563" s="114">
        <v>1</v>
      </c>
    </row>
    <row r="564" spans="1:15" ht="15.75" hidden="1" customHeight="1" x14ac:dyDescent="0.3">
      <c r="A564" s="124" t="e">
        <f>Simulações!#REF!</f>
        <v>#REF!</v>
      </c>
      <c r="B564" s="114" t="e">
        <f>Simulações!#REF!</f>
        <v>#REF!</v>
      </c>
      <c r="C564" s="125" t="e">
        <f>Simulações!#REF!</f>
        <v>#REF!</v>
      </c>
      <c r="D564" s="114" t="e">
        <f>Simulações!#REF!</f>
        <v>#REF!</v>
      </c>
      <c r="E564" s="114" t="e">
        <f>Simulações!#REF!</f>
        <v>#REF!</v>
      </c>
      <c r="F564" s="114" t="e">
        <f>Simulações!#REF!</f>
        <v>#REF!</v>
      </c>
      <c r="G564" s="114" t="e">
        <f>Simulações!#REF!</f>
        <v>#REF!</v>
      </c>
      <c r="H564" s="114" t="e">
        <f>Simulações!#REF!</f>
        <v>#REF!</v>
      </c>
      <c r="I564" s="114" t="e">
        <f>IF(Simulações!#REF!="","",Simulações!#REF!)</f>
        <v>#REF!</v>
      </c>
      <c r="J564" s="114" t="e">
        <f>IF(Simulações!#REF!="","",Simulações!#REF!)</f>
        <v>#REF!</v>
      </c>
      <c r="K564" s="117" t="e">
        <f>Simulações!#REF!</f>
        <v>#REF!</v>
      </c>
      <c r="L564" s="117" t="e">
        <f>Simulações!#REF!</f>
        <v>#REF!</v>
      </c>
      <c r="M564" s="114" t="e">
        <f>IF(Simulações!#REF!="","",Simulações!#REF!)</f>
        <v>#REF!</v>
      </c>
      <c r="N564" s="114" t="e">
        <f>IF(Simulações!#REF!="","",Simulações!#REF!)</f>
        <v>#REF!</v>
      </c>
      <c r="O564" s="114">
        <v>1</v>
      </c>
    </row>
    <row r="565" spans="1:15" ht="15.75" hidden="1" customHeight="1" x14ac:dyDescent="0.3">
      <c r="A565" s="124" t="e">
        <f>Simulações!#REF!</f>
        <v>#REF!</v>
      </c>
      <c r="B565" s="114" t="e">
        <f>Simulações!#REF!</f>
        <v>#REF!</v>
      </c>
      <c r="C565" s="125" t="e">
        <f>Simulações!#REF!</f>
        <v>#REF!</v>
      </c>
      <c r="D565" s="114" t="e">
        <f>Simulações!#REF!</f>
        <v>#REF!</v>
      </c>
      <c r="E565" s="114" t="e">
        <f>Simulações!#REF!</f>
        <v>#REF!</v>
      </c>
      <c r="F565" s="114" t="e">
        <f>Simulações!#REF!</f>
        <v>#REF!</v>
      </c>
      <c r="G565" s="114" t="e">
        <f>Simulações!#REF!</f>
        <v>#REF!</v>
      </c>
      <c r="H565" s="114" t="e">
        <f>Simulações!#REF!</f>
        <v>#REF!</v>
      </c>
      <c r="I565" s="114" t="e">
        <f>IF(Simulações!#REF!="","",Simulações!#REF!)</f>
        <v>#REF!</v>
      </c>
      <c r="J565" s="114" t="e">
        <f>IF(Simulações!#REF!="","",Simulações!#REF!)</f>
        <v>#REF!</v>
      </c>
      <c r="K565" s="117" t="e">
        <f>Simulações!#REF!</f>
        <v>#REF!</v>
      </c>
      <c r="L565" s="117" t="e">
        <f>Simulações!#REF!</f>
        <v>#REF!</v>
      </c>
      <c r="M565" s="114" t="e">
        <f>IF(Simulações!#REF!="","",Simulações!#REF!)</f>
        <v>#REF!</v>
      </c>
      <c r="N565" s="114" t="e">
        <f>IF(Simulações!#REF!="","",Simulações!#REF!)</f>
        <v>#REF!</v>
      </c>
      <c r="O565" s="114">
        <v>1</v>
      </c>
    </row>
    <row r="566" spans="1:15" ht="15.75" hidden="1" customHeight="1" x14ac:dyDescent="0.3">
      <c r="A566" s="124" t="e">
        <f>Simulações!#REF!</f>
        <v>#REF!</v>
      </c>
      <c r="B566" s="114" t="e">
        <f>Simulações!#REF!</f>
        <v>#REF!</v>
      </c>
      <c r="C566" s="125" t="e">
        <f>Simulações!#REF!</f>
        <v>#REF!</v>
      </c>
      <c r="D566" s="114" t="e">
        <f>Simulações!#REF!</f>
        <v>#REF!</v>
      </c>
      <c r="E566" s="114" t="e">
        <f>Simulações!#REF!</f>
        <v>#REF!</v>
      </c>
      <c r="F566" s="114" t="e">
        <f>Simulações!#REF!</f>
        <v>#REF!</v>
      </c>
      <c r="G566" s="114" t="e">
        <f>Simulações!#REF!</f>
        <v>#REF!</v>
      </c>
      <c r="H566" s="114" t="e">
        <f>Simulações!#REF!</f>
        <v>#REF!</v>
      </c>
      <c r="I566" s="114" t="e">
        <f>IF(Simulações!#REF!="","",Simulações!#REF!)</f>
        <v>#REF!</v>
      </c>
      <c r="J566" s="114" t="e">
        <f>IF(Simulações!#REF!="","",Simulações!#REF!)</f>
        <v>#REF!</v>
      </c>
      <c r="K566" s="117" t="e">
        <f>Simulações!#REF!</f>
        <v>#REF!</v>
      </c>
      <c r="L566" s="117" t="e">
        <f>Simulações!#REF!</f>
        <v>#REF!</v>
      </c>
      <c r="M566" s="114" t="e">
        <f>IF(Simulações!#REF!="","",Simulações!#REF!)</f>
        <v>#REF!</v>
      </c>
      <c r="N566" s="114" t="e">
        <f>IF(Simulações!#REF!="","",Simulações!#REF!)</f>
        <v>#REF!</v>
      </c>
      <c r="O566" s="114">
        <v>1</v>
      </c>
    </row>
    <row r="567" spans="1:15" ht="15.75" hidden="1" customHeight="1" x14ac:dyDescent="0.3">
      <c r="A567" s="124" t="e">
        <f>Simulações!#REF!</f>
        <v>#REF!</v>
      </c>
      <c r="B567" s="114" t="e">
        <f>Simulações!#REF!</f>
        <v>#REF!</v>
      </c>
      <c r="C567" s="125" t="e">
        <f>Simulações!#REF!</f>
        <v>#REF!</v>
      </c>
      <c r="D567" s="114" t="e">
        <f>Simulações!#REF!</f>
        <v>#REF!</v>
      </c>
      <c r="E567" s="114" t="e">
        <f>Simulações!#REF!</f>
        <v>#REF!</v>
      </c>
      <c r="F567" s="114" t="e">
        <f>Simulações!#REF!</f>
        <v>#REF!</v>
      </c>
      <c r="G567" s="114" t="e">
        <f>Simulações!#REF!</f>
        <v>#REF!</v>
      </c>
      <c r="H567" s="114" t="e">
        <f>Simulações!#REF!</f>
        <v>#REF!</v>
      </c>
      <c r="I567" s="114" t="e">
        <f>IF(Simulações!#REF!="","",Simulações!#REF!)</f>
        <v>#REF!</v>
      </c>
      <c r="J567" s="114" t="e">
        <f>IF(Simulações!#REF!="","",Simulações!#REF!)</f>
        <v>#REF!</v>
      </c>
      <c r="K567" s="117" t="e">
        <f>Simulações!#REF!</f>
        <v>#REF!</v>
      </c>
      <c r="L567" s="117" t="e">
        <f>Simulações!#REF!</f>
        <v>#REF!</v>
      </c>
      <c r="M567" s="114" t="e">
        <f>IF(Simulações!#REF!="","",Simulações!#REF!)</f>
        <v>#REF!</v>
      </c>
      <c r="N567" s="114" t="e">
        <f>IF(Simulações!#REF!="","",Simulações!#REF!)</f>
        <v>#REF!</v>
      </c>
      <c r="O567" s="114">
        <v>1</v>
      </c>
    </row>
    <row r="568" spans="1:15" ht="15.75" hidden="1" customHeight="1" x14ac:dyDescent="0.3">
      <c r="A568" s="124" t="e">
        <f>Simulações!#REF!</f>
        <v>#REF!</v>
      </c>
      <c r="B568" s="114" t="e">
        <f>Simulações!#REF!</f>
        <v>#REF!</v>
      </c>
      <c r="C568" s="125" t="e">
        <f>Simulações!#REF!</f>
        <v>#REF!</v>
      </c>
      <c r="D568" s="114" t="e">
        <f>Simulações!#REF!</f>
        <v>#REF!</v>
      </c>
      <c r="E568" s="114" t="e">
        <f>Simulações!#REF!</f>
        <v>#REF!</v>
      </c>
      <c r="F568" s="114" t="e">
        <f>Simulações!#REF!</f>
        <v>#REF!</v>
      </c>
      <c r="G568" s="114" t="e">
        <f>Simulações!#REF!</f>
        <v>#REF!</v>
      </c>
      <c r="H568" s="114" t="e">
        <f>Simulações!#REF!</f>
        <v>#REF!</v>
      </c>
      <c r="I568" s="114" t="e">
        <f>IF(Simulações!#REF!="","",Simulações!#REF!)</f>
        <v>#REF!</v>
      </c>
      <c r="J568" s="114" t="e">
        <f>IF(Simulações!#REF!="","",Simulações!#REF!)</f>
        <v>#REF!</v>
      </c>
      <c r="K568" s="117" t="e">
        <f>Simulações!#REF!</f>
        <v>#REF!</v>
      </c>
      <c r="L568" s="117" t="e">
        <f>Simulações!#REF!</f>
        <v>#REF!</v>
      </c>
      <c r="M568" s="114" t="e">
        <f>IF(Simulações!#REF!="","",Simulações!#REF!)</f>
        <v>#REF!</v>
      </c>
      <c r="N568" s="114" t="e">
        <f>IF(Simulações!#REF!="","",Simulações!#REF!)</f>
        <v>#REF!</v>
      </c>
      <c r="O568" s="114">
        <v>1</v>
      </c>
    </row>
    <row r="569" spans="1:15" ht="15.75" hidden="1" customHeight="1" x14ac:dyDescent="0.3">
      <c r="A569" s="124" t="e">
        <f>Simulações!#REF!</f>
        <v>#REF!</v>
      </c>
      <c r="B569" s="114" t="e">
        <f>Simulações!#REF!</f>
        <v>#REF!</v>
      </c>
      <c r="C569" s="125" t="e">
        <f>Simulações!#REF!</f>
        <v>#REF!</v>
      </c>
      <c r="D569" s="114" t="e">
        <f>Simulações!#REF!</f>
        <v>#REF!</v>
      </c>
      <c r="E569" s="114" t="e">
        <f>Simulações!#REF!</f>
        <v>#REF!</v>
      </c>
      <c r="F569" s="114" t="e">
        <f>Simulações!#REF!</f>
        <v>#REF!</v>
      </c>
      <c r="G569" s="114" t="e">
        <f>Simulações!#REF!</f>
        <v>#REF!</v>
      </c>
      <c r="H569" s="114" t="e">
        <f>Simulações!#REF!</f>
        <v>#REF!</v>
      </c>
      <c r="I569" s="114" t="e">
        <f>IF(Simulações!#REF!="","",Simulações!#REF!)</f>
        <v>#REF!</v>
      </c>
      <c r="J569" s="114" t="e">
        <f>IF(Simulações!#REF!="","",Simulações!#REF!)</f>
        <v>#REF!</v>
      </c>
      <c r="K569" s="117" t="e">
        <f>Simulações!#REF!</f>
        <v>#REF!</v>
      </c>
      <c r="L569" s="117" t="e">
        <f>Simulações!#REF!</f>
        <v>#REF!</v>
      </c>
      <c r="M569" s="114" t="e">
        <f>IF(Simulações!#REF!="","",Simulações!#REF!)</f>
        <v>#REF!</v>
      </c>
      <c r="N569" s="114" t="e">
        <f>IF(Simulações!#REF!="","",Simulações!#REF!)</f>
        <v>#REF!</v>
      </c>
      <c r="O569" s="114">
        <v>1</v>
      </c>
    </row>
    <row r="570" spans="1:15" ht="15.75" hidden="1" customHeight="1" x14ac:dyDescent="0.3">
      <c r="A570" s="124" t="e">
        <f>Simulações!#REF!</f>
        <v>#REF!</v>
      </c>
      <c r="B570" s="114" t="e">
        <f>Simulações!#REF!</f>
        <v>#REF!</v>
      </c>
      <c r="C570" s="125" t="e">
        <f>Simulações!#REF!</f>
        <v>#REF!</v>
      </c>
      <c r="D570" s="114" t="e">
        <f>Simulações!#REF!</f>
        <v>#REF!</v>
      </c>
      <c r="E570" s="114" t="e">
        <f>Simulações!#REF!</f>
        <v>#REF!</v>
      </c>
      <c r="F570" s="114" t="e">
        <f>Simulações!#REF!</f>
        <v>#REF!</v>
      </c>
      <c r="G570" s="114" t="e">
        <f>Simulações!#REF!</f>
        <v>#REF!</v>
      </c>
      <c r="H570" s="114" t="e">
        <f>Simulações!#REF!</f>
        <v>#REF!</v>
      </c>
      <c r="I570" s="114" t="e">
        <f>IF(Simulações!#REF!="","",Simulações!#REF!)</f>
        <v>#REF!</v>
      </c>
      <c r="J570" s="114" t="e">
        <f>IF(Simulações!#REF!="","",Simulações!#REF!)</f>
        <v>#REF!</v>
      </c>
      <c r="K570" s="117" t="e">
        <f>Simulações!#REF!</f>
        <v>#REF!</v>
      </c>
      <c r="L570" s="117" t="e">
        <f>Simulações!#REF!</f>
        <v>#REF!</v>
      </c>
      <c r="M570" s="114" t="e">
        <f>IF(Simulações!#REF!="","",Simulações!#REF!)</f>
        <v>#REF!</v>
      </c>
      <c r="N570" s="114" t="e">
        <f>IF(Simulações!#REF!="","",Simulações!#REF!)</f>
        <v>#REF!</v>
      </c>
      <c r="O570" s="114">
        <v>1</v>
      </c>
    </row>
    <row r="571" spans="1:15" ht="15.75" hidden="1" customHeight="1" x14ac:dyDescent="0.3">
      <c r="A571" s="124" t="e">
        <f>Simulações!#REF!</f>
        <v>#REF!</v>
      </c>
      <c r="B571" s="114" t="e">
        <f>Simulações!#REF!</f>
        <v>#REF!</v>
      </c>
      <c r="C571" s="125" t="e">
        <f>Simulações!#REF!</f>
        <v>#REF!</v>
      </c>
      <c r="D571" s="114" t="e">
        <f>Simulações!#REF!</f>
        <v>#REF!</v>
      </c>
      <c r="E571" s="114" t="e">
        <f>Simulações!#REF!</f>
        <v>#REF!</v>
      </c>
      <c r="F571" s="114" t="e">
        <f>Simulações!#REF!</f>
        <v>#REF!</v>
      </c>
      <c r="G571" s="114" t="e">
        <f>Simulações!#REF!</f>
        <v>#REF!</v>
      </c>
      <c r="H571" s="114" t="e">
        <f>Simulações!#REF!</f>
        <v>#REF!</v>
      </c>
      <c r="I571" s="114" t="e">
        <f>IF(Simulações!#REF!="","",Simulações!#REF!)</f>
        <v>#REF!</v>
      </c>
      <c r="J571" s="114" t="e">
        <f>IF(Simulações!#REF!="","",Simulações!#REF!)</f>
        <v>#REF!</v>
      </c>
      <c r="K571" s="117" t="e">
        <f>Simulações!#REF!</f>
        <v>#REF!</v>
      </c>
      <c r="L571" s="117" t="e">
        <f>Simulações!#REF!</f>
        <v>#REF!</v>
      </c>
      <c r="M571" s="114" t="e">
        <f>IF(Simulações!#REF!="","",Simulações!#REF!)</f>
        <v>#REF!</v>
      </c>
      <c r="N571" s="114" t="e">
        <f>IF(Simulações!#REF!="","",Simulações!#REF!)</f>
        <v>#REF!</v>
      </c>
      <c r="O571" s="114">
        <v>1</v>
      </c>
    </row>
    <row r="572" spans="1:15" ht="15.75" hidden="1" customHeight="1" x14ac:dyDescent="0.3">
      <c r="A572" s="124" t="e">
        <f>Simulações!#REF!</f>
        <v>#REF!</v>
      </c>
      <c r="B572" s="114" t="e">
        <f>Simulações!#REF!</f>
        <v>#REF!</v>
      </c>
      <c r="C572" s="125" t="e">
        <f>Simulações!#REF!</f>
        <v>#REF!</v>
      </c>
      <c r="D572" s="114" t="e">
        <f>Simulações!#REF!</f>
        <v>#REF!</v>
      </c>
      <c r="E572" s="114" t="e">
        <f>Simulações!#REF!</f>
        <v>#REF!</v>
      </c>
      <c r="F572" s="114" t="e">
        <f>Simulações!#REF!</f>
        <v>#REF!</v>
      </c>
      <c r="G572" s="114" t="e">
        <f>Simulações!#REF!</f>
        <v>#REF!</v>
      </c>
      <c r="H572" s="114" t="e">
        <f>Simulações!#REF!</f>
        <v>#REF!</v>
      </c>
      <c r="I572" s="114" t="e">
        <f>IF(Simulações!#REF!="","",Simulações!#REF!)</f>
        <v>#REF!</v>
      </c>
      <c r="J572" s="114" t="e">
        <f>IF(Simulações!#REF!="","",Simulações!#REF!)</f>
        <v>#REF!</v>
      </c>
      <c r="K572" s="117" t="e">
        <f>Simulações!#REF!</f>
        <v>#REF!</v>
      </c>
      <c r="L572" s="117" t="e">
        <f>Simulações!#REF!</f>
        <v>#REF!</v>
      </c>
      <c r="M572" s="114" t="e">
        <f>IF(Simulações!#REF!="","",Simulações!#REF!)</f>
        <v>#REF!</v>
      </c>
      <c r="N572" s="114" t="e">
        <f>IF(Simulações!#REF!="","",Simulações!#REF!)</f>
        <v>#REF!</v>
      </c>
      <c r="O572" s="114">
        <v>1</v>
      </c>
    </row>
    <row r="573" spans="1:15" ht="15.75" hidden="1" customHeight="1" x14ac:dyDescent="0.3">
      <c r="A573" s="124" t="e">
        <f>Simulações!#REF!</f>
        <v>#REF!</v>
      </c>
      <c r="B573" s="114" t="e">
        <f>Simulações!#REF!</f>
        <v>#REF!</v>
      </c>
      <c r="C573" s="125" t="e">
        <f>Simulações!#REF!</f>
        <v>#REF!</v>
      </c>
      <c r="D573" s="114" t="e">
        <f>Simulações!#REF!</f>
        <v>#REF!</v>
      </c>
      <c r="E573" s="114" t="e">
        <f>Simulações!#REF!</f>
        <v>#REF!</v>
      </c>
      <c r="F573" s="114" t="e">
        <f>Simulações!#REF!</f>
        <v>#REF!</v>
      </c>
      <c r="G573" s="114" t="e">
        <f>Simulações!#REF!</f>
        <v>#REF!</v>
      </c>
      <c r="H573" s="114" t="e">
        <f>Simulações!#REF!</f>
        <v>#REF!</v>
      </c>
      <c r="I573" s="114" t="e">
        <f>IF(Simulações!#REF!="","",Simulações!#REF!)</f>
        <v>#REF!</v>
      </c>
      <c r="J573" s="114" t="e">
        <f>IF(Simulações!#REF!="","",Simulações!#REF!)</f>
        <v>#REF!</v>
      </c>
      <c r="K573" s="117" t="e">
        <f>Simulações!#REF!</f>
        <v>#REF!</v>
      </c>
      <c r="L573" s="117" t="e">
        <f>Simulações!#REF!</f>
        <v>#REF!</v>
      </c>
      <c r="M573" s="114" t="e">
        <f>IF(Simulações!#REF!="","",Simulações!#REF!)</f>
        <v>#REF!</v>
      </c>
      <c r="N573" s="114" t="e">
        <f>IF(Simulações!#REF!="","",Simulações!#REF!)</f>
        <v>#REF!</v>
      </c>
      <c r="O573" s="114">
        <v>1</v>
      </c>
    </row>
    <row r="574" spans="1:15" ht="15.75" hidden="1" customHeight="1" x14ac:dyDescent="0.3">
      <c r="A574" s="124" t="e">
        <f>Simulações!#REF!</f>
        <v>#REF!</v>
      </c>
      <c r="B574" s="114" t="e">
        <f>Simulações!#REF!</f>
        <v>#REF!</v>
      </c>
      <c r="C574" s="125" t="e">
        <f>Simulações!#REF!</f>
        <v>#REF!</v>
      </c>
      <c r="D574" s="114" t="e">
        <f>Simulações!#REF!</f>
        <v>#REF!</v>
      </c>
      <c r="E574" s="114" t="e">
        <f>Simulações!#REF!</f>
        <v>#REF!</v>
      </c>
      <c r="F574" s="114" t="e">
        <f>Simulações!#REF!</f>
        <v>#REF!</v>
      </c>
      <c r="G574" s="114" t="e">
        <f>Simulações!#REF!</f>
        <v>#REF!</v>
      </c>
      <c r="H574" s="114" t="e">
        <f>Simulações!#REF!</f>
        <v>#REF!</v>
      </c>
      <c r="I574" s="114" t="e">
        <f>IF(Simulações!#REF!="","",Simulações!#REF!)</f>
        <v>#REF!</v>
      </c>
      <c r="J574" s="114" t="e">
        <f>IF(Simulações!#REF!="","",Simulações!#REF!)</f>
        <v>#REF!</v>
      </c>
      <c r="K574" s="117" t="e">
        <f>Simulações!#REF!</f>
        <v>#REF!</v>
      </c>
      <c r="L574" s="117" t="e">
        <f>Simulações!#REF!</f>
        <v>#REF!</v>
      </c>
      <c r="M574" s="114" t="e">
        <f>IF(Simulações!#REF!="","",Simulações!#REF!)</f>
        <v>#REF!</v>
      </c>
      <c r="N574" s="114" t="e">
        <f>IF(Simulações!#REF!="","",Simulações!#REF!)</f>
        <v>#REF!</v>
      </c>
      <c r="O574" s="114">
        <v>1</v>
      </c>
    </row>
    <row r="575" spans="1:15" ht="15.75" hidden="1" customHeight="1" x14ac:dyDescent="0.3">
      <c r="A575" s="124" t="e">
        <f>Simulações!#REF!</f>
        <v>#REF!</v>
      </c>
      <c r="B575" s="114" t="e">
        <f>Simulações!#REF!</f>
        <v>#REF!</v>
      </c>
      <c r="C575" s="125" t="e">
        <f>Simulações!#REF!</f>
        <v>#REF!</v>
      </c>
      <c r="D575" s="114" t="e">
        <f>Simulações!#REF!</f>
        <v>#REF!</v>
      </c>
      <c r="E575" s="114" t="e">
        <f>Simulações!#REF!</f>
        <v>#REF!</v>
      </c>
      <c r="F575" s="114" t="e">
        <f>Simulações!#REF!</f>
        <v>#REF!</v>
      </c>
      <c r="G575" s="114" t="e">
        <f>Simulações!#REF!</f>
        <v>#REF!</v>
      </c>
      <c r="H575" s="114" t="e">
        <f>Simulações!#REF!</f>
        <v>#REF!</v>
      </c>
      <c r="I575" s="114" t="e">
        <f>IF(Simulações!#REF!="","",Simulações!#REF!)</f>
        <v>#REF!</v>
      </c>
      <c r="J575" s="114" t="e">
        <f>IF(Simulações!#REF!="","",Simulações!#REF!)</f>
        <v>#REF!</v>
      </c>
      <c r="K575" s="117" t="e">
        <f>Simulações!#REF!</f>
        <v>#REF!</v>
      </c>
      <c r="L575" s="117" t="e">
        <f>Simulações!#REF!</f>
        <v>#REF!</v>
      </c>
      <c r="M575" s="114" t="e">
        <f>IF(Simulações!#REF!="","",Simulações!#REF!)</f>
        <v>#REF!</v>
      </c>
      <c r="N575" s="114" t="e">
        <f>IF(Simulações!#REF!="","",Simulações!#REF!)</f>
        <v>#REF!</v>
      </c>
      <c r="O575" s="114">
        <v>1</v>
      </c>
    </row>
    <row r="576" spans="1:15" ht="15.75" hidden="1" customHeight="1" x14ac:dyDescent="0.3">
      <c r="A576" s="124" t="e">
        <f>Simulações!#REF!</f>
        <v>#REF!</v>
      </c>
      <c r="B576" s="114" t="e">
        <f>Simulações!#REF!</f>
        <v>#REF!</v>
      </c>
      <c r="C576" s="125" t="e">
        <f>Simulações!#REF!</f>
        <v>#REF!</v>
      </c>
      <c r="D576" s="114" t="e">
        <f>Simulações!#REF!</f>
        <v>#REF!</v>
      </c>
      <c r="E576" s="114" t="e">
        <f>Simulações!#REF!</f>
        <v>#REF!</v>
      </c>
      <c r="F576" s="114" t="e">
        <f>Simulações!#REF!</f>
        <v>#REF!</v>
      </c>
      <c r="G576" s="114" t="e">
        <f>Simulações!#REF!</f>
        <v>#REF!</v>
      </c>
      <c r="H576" s="114" t="e">
        <f>Simulações!#REF!</f>
        <v>#REF!</v>
      </c>
      <c r="I576" s="114" t="e">
        <f>IF(Simulações!#REF!="","",Simulações!#REF!)</f>
        <v>#REF!</v>
      </c>
      <c r="J576" s="114" t="e">
        <f>IF(Simulações!#REF!="","",Simulações!#REF!)</f>
        <v>#REF!</v>
      </c>
      <c r="K576" s="117" t="e">
        <f>Simulações!#REF!</f>
        <v>#REF!</v>
      </c>
      <c r="L576" s="117" t="e">
        <f>Simulações!#REF!</f>
        <v>#REF!</v>
      </c>
      <c r="M576" s="114" t="e">
        <f>IF(Simulações!#REF!="","",Simulações!#REF!)</f>
        <v>#REF!</v>
      </c>
      <c r="N576" s="114" t="e">
        <f>IF(Simulações!#REF!="","",Simulações!#REF!)</f>
        <v>#REF!</v>
      </c>
      <c r="O576" s="114">
        <v>1</v>
      </c>
    </row>
    <row r="577" spans="1:15" ht="15.75" hidden="1" customHeight="1" x14ac:dyDescent="0.3">
      <c r="A577" s="124" t="e">
        <f>Simulações!#REF!</f>
        <v>#REF!</v>
      </c>
      <c r="B577" s="114" t="e">
        <f>Simulações!#REF!</f>
        <v>#REF!</v>
      </c>
      <c r="C577" s="125" t="e">
        <f>Simulações!#REF!</f>
        <v>#REF!</v>
      </c>
      <c r="D577" s="114" t="e">
        <f>Simulações!#REF!</f>
        <v>#REF!</v>
      </c>
      <c r="E577" s="114" t="e">
        <f>Simulações!#REF!</f>
        <v>#REF!</v>
      </c>
      <c r="F577" s="114" t="e">
        <f>Simulações!#REF!</f>
        <v>#REF!</v>
      </c>
      <c r="G577" s="114" t="e">
        <f>Simulações!#REF!</f>
        <v>#REF!</v>
      </c>
      <c r="H577" s="114" t="e">
        <f>Simulações!#REF!</f>
        <v>#REF!</v>
      </c>
      <c r="I577" s="114" t="e">
        <f>IF(Simulações!#REF!="","",Simulações!#REF!)</f>
        <v>#REF!</v>
      </c>
      <c r="J577" s="114" t="e">
        <f>IF(Simulações!#REF!="","",Simulações!#REF!)</f>
        <v>#REF!</v>
      </c>
      <c r="K577" s="117" t="e">
        <f>Simulações!#REF!</f>
        <v>#REF!</v>
      </c>
      <c r="L577" s="117" t="e">
        <f>Simulações!#REF!</f>
        <v>#REF!</v>
      </c>
      <c r="M577" s="114" t="e">
        <f>IF(Simulações!#REF!="","",Simulações!#REF!)</f>
        <v>#REF!</v>
      </c>
      <c r="N577" s="114" t="e">
        <f>IF(Simulações!#REF!="","",Simulações!#REF!)</f>
        <v>#REF!</v>
      </c>
      <c r="O577" s="114">
        <v>1</v>
      </c>
    </row>
    <row r="578" spans="1:15" ht="15.75" hidden="1" customHeight="1" x14ac:dyDescent="0.3">
      <c r="A578" s="124" t="e">
        <f>Simulações!#REF!</f>
        <v>#REF!</v>
      </c>
      <c r="B578" s="114" t="e">
        <f>Simulações!#REF!</f>
        <v>#REF!</v>
      </c>
      <c r="C578" s="125" t="e">
        <f>Simulações!#REF!</f>
        <v>#REF!</v>
      </c>
      <c r="D578" s="114" t="e">
        <f>Simulações!#REF!</f>
        <v>#REF!</v>
      </c>
      <c r="E578" s="114" t="e">
        <f>Simulações!#REF!</f>
        <v>#REF!</v>
      </c>
      <c r="F578" s="114" t="e">
        <f>Simulações!#REF!</f>
        <v>#REF!</v>
      </c>
      <c r="G578" s="114" t="e">
        <f>Simulações!#REF!</f>
        <v>#REF!</v>
      </c>
      <c r="H578" s="114" t="e">
        <f>Simulações!#REF!</f>
        <v>#REF!</v>
      </c>
      <c r="I578" s="114" t="e">
        <f>IF(Simulações!#REF!="","",Simulações!#REF!)</f>
        <v>#REF!</v>
      </c>
      <c r="J578" s="114" t="e">
        <f>IF(Simulações!#REF!="","",Simulações!#REF!)</f>
        <v>#REF!</v>
      </c>
      <c r="K578" s="117" t="e">
        <f>Simulações!#REF!</f>
        <v>#REF!</v>
      </c>
      <c r="L578" s="117" t="e">
        <f>Simulações!#REF!</f>
        <v>#REF!</v>
      </c>
      <c r="M578" s="114" t="e">
        <f>IF(Simulações!#REF!="","",Simulações!#REF!)</f>
        <v>#REF!</v>
      </c>
      <c r="N578" s="114" t="e">
        <f>IF(Simulações!#REF!="","",Simulações!#REF!)</f>
        <v>#REF!</v>
      </c>
      <c r="O578" s="114">
        <v>1</v>
      </c>
    </row>
    <row r="579" spans="1:15" ht="15.75" hidden="1" customHeight="1" x14ac:dyDescent="0.3">
      <c r="A579" s="124" t="e">
        <f>Simulações!#REF!</f>
        <v>#REF!</v>
      </c>
      <c r="B579" s="114" t="e">
        <f>Simulações!#REF!</f>
        <v>#REF!</v>
      </c>
      <c r="C579" s="125" t="e">
        <f>Simulações!#REF!</f>
        <v>#REF!</v>
      </c>
      <c r="D579" s="114" t="e">
        <f>Simulações!#REF!</f>
        <v>#REF!</v>
      </c>
      <c r="E579" s="114" t="e">
        <f>Simulações!#REF!</f>
        <v>#REF!</v>
      </c>
      <c r="F579" s="114" t="e">
        <f>Simulações!#REF!</f>
        <v>#REF!</v>
      </c>
      <c r="G579" s="114" t="e">
        <f>Simulações!#REF!</f>
        <v>#REF!</v>
      </c>
      <c r="H579" s="114" t="e">
        <f>Simulações!#REF!</f>
        <v>#REF!</v>
      </c>
      <c r="I579" s="114" t="e">
        <f>IF(Simulações!#REF!="","",Simulações!#REF!)</f>
        <v>#REF!</v>
      </c>
      <c r="J579" s="114" t="e">
        <f>IF(Simulações!#REF!="","",Simulações!#REF!)</f>
        <v>#REF!</v>
      </c>
      <c r="K579" s="117" t="e">
        <f>Simulações!#REF!</f>
        <v>#REF!</v>
      </c>
      <c r="L579" s="117" t="e">
        <f>Simulações!#REF!</f>
        <v>#REF!</v>
      </c>
      <c r="M579" s="114" t="e">
        <f>IF(Simulações!#REF!="","",Simulações!#REF!)</f>
        <v>#REF!</v>
      </c>
      <c r="N579" s="114" t="e">
        <f>IF(Simulações!#REF!="","",Simulações!#REF!)</f>
        <v>#REF!</v>
      </c>
      <c r="O579" s="114">
        <v>1</v>
      </c>
    </row>
    <row r="580" spans="1:15" ht="15.75" hidden="1" customHeight="1" x14ac:dyDescent="0.3">
      <c r="A580" s="124" t="e">
        <f>Simulações!#REF!</f>
        <v>#REF!</v>
      </c>
      <c r="B580" s="114" t="e">
        <f>Simulações!#REF!</f>
        <v>#REF!</v>
      </c>
      <c r="C580" s="125" t="e">
        <f>Simulações!#REF!</f>
        <v>#REF!</v>
      </c>
      <c r="D580" s="114" t="e">
        <f>Simulações!#REF!</f>
        <v>#REF!</v>
      </c>
      <c r="E580" s="114" t="e">
        <f>Simulações!#REF!</f>
        <v>#REF!</v>
      </c>
      <c r="F580" s="114" t="e">
        <f>Simulações!#REF!</f>
        <v>#REF!</v>
      </c>
      <c r="G580" s="114" t="e">
        <f>Simulações!#REF!</f>
        <v>#REF!</v>
      </c>
      <c r="H580" s="114" t="e">
        <f>Simulações!#REF!</f>
        <v>#REF!</v>
      </c>
      <c r="I580" s="114" t="e">
        <f>IF(Simulações!#REF!="","",Simulações!#REF!)</f>
        <v>#REF!</v>
      </c>
      <c r="J580" s="114" t="e">
        <f>IF(Simulações!#REF!="","",Simulações!#REF!)</f>
        <v>#REF!</v>
      </c>
      <c r="K580" s="117" t="e">
        <f>Simulações!#REF!</f>
        <v>#REF!</v>
      </c>
      <c r="L580" s="117" t="e">
        <f>Simulações!#REF!</f>
        <v>#REF!</v>
      </c>
      <c r="M580" s="114" t="e">
        <f>IF(Simulações!#REF!="","",Simulações!#REF!)</f>
        <v>#REF!</v>
      </c>
      <c r="N580" s="114" t="e">
        <f>IF(Simulações!#REF!="","",Simulações!#REF!)</f>
        <v>#REF!</v>
      </c>
      <c r="O580" s="114">
        <v>1</v>
      </c>
    </row>
    <row r="581" spans="1:15" ht="15.75" hidden="1" customHeight="1" x14ac:dyDescent="0.3">
      <c r="A581" s="124" t="e">
        <f>Simulações!#REF!</f>
        <v>#REF!</v>
      </c>
      <c r="B581" s="114" t="e">
        <f>Simulações!#REF!</f>
        <v>#REF!</v>
      </c>
      <c r="C581" s="125" t="e">
        <f>Simulações!#REF!</f>
        <v>#REF!</v>
      </c>
      <c r="D581" s="114" t="e">
        <f>Simulações!#REF!</f>
        <v>#REF!</v>
      </c>
      <c r="E581" s="114" t="e">
        <f>Simulações!#REF!</f>
        <v>#REF!</v>
      </c>
      <c r="F581" s="114" t="e">
        <f>Simulações!#REF!</f>
        <v>#REF!</v>
      </c>
      <c r="G581" s="114" t="e">
        <f>Simulações!#REF!</f>
        <v>#REF!</v>
      </c>
      <c r="H581" s="114" t="e">
        <f>Simulações!#REF!</f>
        <v>#REF!</v>
      </c>
      <c r="I581" s="114" t="e">
        <f>IF(Simulações!#REF!="","",Simulações!#REF!)</f>
        <v>#REF!</v>
      </c>
      <c r="J581" s="114" t="e">
        <f>IF(Simulações!#REF!="","",Simulações!#REF!)</f>
        <v>#REF!</v>
      </c>
      <c r="K581" s="117" t="e">
        <f>Simulações!#REF!</f>
        <v>#REF!</v>
      </c>
      <c r="L581" s="117" t="e">
        <f>Simulações!#REF!</f>
        <v>#REF!</v>
      </c>
      <c r="M581" s="114" t="e">
        <f>IF(Simulações!#REF!="","",Simulações!#REF!)</f>
        <v>#REF!</v>
      </c>
      <c r="N581" s="114" t="e">
        <f>IF(Simulações!#REF!="","",Simulações!#REF!)</f>
        <v>#REF!</v>
      </c>
      <c r="O581" s="114">
        <v>1</v>
      </c>
    </row>
    <row r="582" spans="1:15" ht="15.75" hidden="1" customHeight="1" x14ac:dyDescent="0.3">
      <c r="A582" s="124" t="e">
        <f>Simulações!#REF!</f>
        <v>#REF!</v>
      </c>
      <c r="B582" s="114" t="e">
        <f>Simulações!#REF!</f>
        <v>#REF!</v>
      </c>
      <c r="C582" s="125" t="e">
        <f>Simulações!#REF!</f>
        <v>#REF!</v>
      </c>
      <c r="D582" s="114" t="e">
        <f>Simulações!#REF!</f>
        <v>#REF!</v>
      </c>
      <c r="E582" s="114" t="e">
        <f>Simulações!#REF!</f>
        <v>#REF!</v>
      </c>
      <c r="F582" s="114" t="e">
        <f>Simulações!#REF!</f>
        <v>#REF!</v>
      </c>
      <c r="G582" s="114" t="e">
        <f>Simulações!#REF!</f>
        <v>#REF!</v>
      </c>
      <c r="H582" s="114" t="e">
        <f>Simulações!#REF!</f>
        <v>#REF!</v>
      </c>
      <c r="I582" s="114" t="e">
        <f>IF(Simulações!#REF!="","",Simulações!#REF!)</f>
        <v>#REF!</v>
      </c>
      <c r="J582" s="114" t="e">
        <f>IF(Simulações!#REF!="","",Simulações!#REF!)</f>
        <v>#REF!</v>
      </c>
      <c r="K582" s="117" t="e">
        <f>Simulações!#REF!</f>
        <v>#REF!</v>
      </c>
      <c r="L582" s="117" t="e">
        <f>Simulações!#REF!</f>
        <v>#REF!</v>
      </c>
      <c r="M582" s="114" t="e">
        <f>IF(Simulações!#REF!="","",Simulações!#REF!)</f>
        <v>#REF!</v>
      </c>
      <c r="N582" s="114" t="e">
        <f>IF(Simulações!#REF!="","",Simulações!#REF!)</f>
        <v>#REF!</v>
      </c>
      <c r="O582" s="114">
        <v>1</v>
      </c>
    </row>
    <row r="583" spans="1:15" ht="15.75" hidden="1" customHeight="1" x14ac:dyDescent="0.3">
      <c r="A583" s="124" t="e">
        <f>Simulações!#REF!</f>
        <v>#REF!</v>
      </c>
      <c r="B583" s="114" t="e">
        <f>Simulações!#REF!</f>
        <v>#REF!</v>
      </c>
      <c r="C583" s="125" t="e">
        <f>Simulações!#REF!</f>
        <v>#REF!</v>
      </c>
      <c r="D583" s="114" t="e">
        <f>Simulações!#REF!</f>
        <v>#REF!</v>
      </c>
      <c r="E583" s="114" t="e">
        <f>Simulações!#REF!</f>
        <v>#REF!</v>
      </c>
      <c r="F583" s="114" t="e">
        <f>Simulações!#REF!</f>
        <v>#REF!</v>
      </c>
      <c r="G583" s="114" t="e">
        <f>Simulações!#REF!</f>
        <v>#REF!</v>
      </c>
      <c r="H583" s="114" t="e">
        <f>Simulações!#REF!</f>
        <v>#REF!</v>
      </c>
      <c r="I583" s="114" t="e">
        <f>IF(Simulações!#REF!="","",Simulações!#REF!)</f>
        <v>#REF!</v>
      </c>
      <c r="J583" s="114" t="e">
        <f>IF(Simulações!#REF!="","",Simulações!#REF!)</f>
        <v>#REF!</v>
      </c>
      <c r="K583" s="117" t="e">
        <f>Simulações!#REF!</f>
        <v>#REF!</v>
      </c>
      <c r="L583" s="117" t="e">
        <f>Simulações!#REF!</f>
        <v>#REF!</v>
      </c>
      <c r="M583" s="114" t="e">
        <f>IF(Simulações!#REF!="","",Simulações!#REF!)</f>
        <v>#REF!</v>
      </c>
      <c r="N583" s="114" t="e">
        <f>IF(Simulações!#REF!="","",Simulações!#REF!)</f>
        <v>#REF!</v>
      </c>
      <c r="O583" s="114">
        <v>1</v>
      </c>
    </row>
    <row r="584" spans="1:15" ht="15.75" hidden="1" customHeight="1" x14ac:dyDescent="0.3">
      <c r="A584" s="124" t="e">
        <f>Simulações!#REF!</f>
        <v>#REF!</v>
      </c>
      <c r="B584" s="114" t="e">
        <f>Simulações!#REF!</f>
        <v>#REF!</v>
      </c>
      <c r="C584" s="125" t="e">
        <f>Simulações!#REF!</f>
        <v>#REF!</v>
      </c>
      <c r="D584" s="114" t="e">
        <f>Simulações!#REF!</f>
        <v>#REF!</v>
      </c>
      <c r="E584" s="114" t="e">
        <f>Simulações!#REF!</f>
        <v>#REF!</v>
      </c>
      <c r="F584" s="114" t="e">
        <f>Simulações!#REF!</f>
        <v>#REF!</v>
      </c>
      <c r="G584" s="114" t="e">
        <f>Simulações!#REF!</f>
        <v>#REF!</v>
      </c>
      <c r="H584" s="114" t="e">
        <f>Simulações!#REF!</f>
        <v>#REF!</v>
      </c>
      <c r="I584" s="114" t="e">
        <f>IF(Simulações!#REF!="","",Simulações!#REF!)</f>
        <v>#REF!</v>
      </c>
      <c r="J584" s="114" t="e">
        <f>IF(Simulações!#REF!="","",Simulações!#REF!)</f>
        <v>#REF!</v>
      </c>
      <c r="K584" s="117" t="e">
        <f>Simulações!#REF!</f>
        <v>#REF!</v>
      </c>
      <c r="L584" s="117" t="e">
        <f>Simulações!#REF!</f>
        <v>#REF!</v>
      </c>
      <c r="M584" s="114" t="e">
        <f>IF(Simulações!#REF!="","",Simulações!#REF!)</f>
        <v>#REF!</v>
      </c>
      <c r="N584" s="114" t="e">
        <f>IF(Simulações!#REF!="","",Simulações!#REF!)</f>
        <v>#REF!</v>
      </c>
      <c r="O584" s="114">
        <v>1</v>
      </c>
    </row>
    <row r="585" spans="1:15" ht="15.75" hidden="1" customHeight="1" x14ac:dyDescent="0.3">
      <c r="A585" s="124" t="e">
        <f>Simulações!#REF!</f>
        <v>#REF!</v>
      </c>
      <c r="B585" s="114" t="e">
        <f>Simulações!#REF!</f>
        <v>#REF!</v>
      </c>
      <c r="C585" s="125" t="e">
        <f>Simulações!#REF!</f>
        <v>#REF!</v>
      </c>
      <c r="D585" s="114" t="e">
        <f>Simulações!#REF!</f>
        <v>#REF!</v>
      </c>
      <c r="E585" s="114" t="e">
        <f>Simulações!#REF!</f>
        <v>#REF!</v>
      </c>
      <c r="F585" s="114" t="e">
        <f>Simulações!#REF!</f>
        <v>#REF!</v>
      </c>
      <c r="G585" s="114" t="e">
        <f>Simulações!#REF!</f>
        <v>#REF!</v>
      </c>
      <c r="H585" s="114" t="e">
        <f>Simulações!#REF!</f>
        <v>#REF!</v>
      </c>
      <c r="I585" s="114" t="e">
        <f>IF(Simulações!#REF!="","",Simulações!#REF!)</f>
        <v>#REF!</v>
      </c>
      <c r="J585" s="114" t="e">
        <f>IF(Simulações!#REF!="","",Simulações!#REF!)</f>
        <v>#REF!</v>
      </c>
      <c r="K585" s="117" t="e">
        <f>Simulações!#REF!</f>
        <v>#REF!</v>
      </c>
      <c r="L585" s="117" t="e">
        <f>Simulações!#REF!</f>
        <v>#REF!</v>
      </c>
      <c r="M585" s="114" t="e">
        <f>IF(Simulações!#REF!="","",Simulações!#REF!)</f>
        <v>#REF!</v>
      </c>
      <c r="N585" s="114" t="e">
        <f>IF(Simulações!#REF!="","",Simulações!#REF!)</f>
        <v>#REF!</v>
      </c>
      <c r="O585" s="114">
        <v>1</v>
      </c>
    </row>
    <row r="586" spans="1:15" ht="15.75" hidden="1" customHeight="1" x14ac:dyDescent="0.3">
      <c r="A586" s="124" t="e">
        <f>Simulações!#REF!</f>
        <v>#REF!</v>
      </c>
      <c r="B586" s="114" t="e">
        <f>Simulações!#REF!</f>
        <v>#REF!</v>
      </c>
      <c r="C586" s="125" t="e">
        <f>Simulações!#REF!</f>
        <v>#REF!</v>
      </c>
      <c r="D586" s="114" t="e">
        <f>Simulações!#REF!</f>
        <v>#REF!</v>
      </c>
      <c r="E586" s="114" t="e">
        <f>Simulações!#REF!</f>
        <v>#REF!</v>
      </c>
      <c r="F586" s="114" t="e">
        <f>Simulações!#REF!</f>
        <v>#REF!</v>
      </c>
      <c r="G586" s="114" t="e">
        <f>Simulações!#REF!</f>
        <v>#REF!</v>
      </c>
      <c r="H586" s="114" t="e">
        <f>Simulações!#REF!</f>
        <v>#REF!</v>
      </c>
      <c r="I586" s="114" t="e">
        <f>IF(Simulações!#REF!="","",Simulações!#REF!)</f>
        <v>#REF!</v>
      </c>
      <c r="J586" s="114" t="e">
        <f>IF(Simulações!#REF!="","",Simulações!#REF!)</f>
        <v>#REF!</v>
      </c>
      <c r="K586" s="117" t="e">
        <f>Simulações!#REF!</f>
        <v>#REF!</v>
      </c>
      <c r="L586" s="117" t="e">
        <f>Simulações!#REF!</f>
        <v>#REF!</v>
      </c>
      <c r="M586" s="114" t="e">
        <f>IF(Simulações!#REF!="","",Simulações!#REF!)</f>
        <v>#REF!</v>
      </c>
      <c r="N586" s="114" t="e">
        <f>IF(Simulações!#REF!="","",Simulações!#REF!)</f>
        <v>#REF!</v>
      </c>
      <c r="O586" s="114">
        <v>1</v>
      </c>
    </row>
    <row r="587" spans="1:15" ht="15.75" hidden="1" customHeight="1" x14ac:dyDescent="0.3">
      <c r="A587" s="124" t="e">
        <f>Simulações!#REF!</f>
        <v>#REF!</v>
      </c>
      <c r="B587" s="114" t="e">
        <f>Simulações!#REF!</f>
        <v>#REF!</v>
      </c>
      <c r="C587" s="125" t="e">
        <f>Simulações!#REF!</f>
        <v>#REF!</v>
      </c>
      <c r="D587" s="114" t="e">
        <f>Simulações!#REF!</f>
        <v>#REF!</v>
      </c>
      <c r="E587" s="114" t="e">
        <f>Simulações!#REF!</f>
        <v>#REF!</v>
      </c>
      <c r="F587" s="114" t="e">
        <f>Simulações!#REF!</f>
        <v>#REF!</v>
      </c>
      <c r="G587" s="114" t="e">
        <f>Simulações!#REF!</f>
        <v>#REF!</v>
      </c>
      <c r="H587" s="114" t="e">
        <f>Simulações!#REF!</f>
        <v>#REF!</v>
      </c>
      <c r="I587" s="114" t="e">
        <f>IF(Simulações!#REF!="","",Simulações!#REF!)</f>
        <v>#REF!</v>
      </c>
      <c r="J587" s="114" t="e">
        <f>IF(Simulações!#REF!="","",Simulações!#REF!)</f>
        <v>#REF!</v>
      </c>
      <c r="K587" s="117" t="e">
        <f>Simulações!#REF!</f>
        <v>#REF!</v>
      </c>
      <c r="L587" s="117" t="e">
        <f>Simulações!#REF!</f>
        <v>#REF!</v>
      </c>
      <c r="M587" s="114" t="e">
        <f>IF(Simulações!#REF!="","",Simulações!#REF!)</f>
        <v>#REF!</v>
      </c>
      <c r="N587" s="114" t="e">
        <f>IF(Simulações!#REF!="","",Simulações!#REF!)</f>
        <v>#REF!</v>
      </c>
      <c r="O587" s="114">
        <v>1</v>
      </c>
    </row>
    <row r="588" spans="1:15" ht="15.75" hidden="1" customHeight="1" x14ac:dyDescent="0.3">
      <c r="A588" s="124" t="e">
        <f>Simulações!#REF!</f>
        <v>#REF!</v>
      </c>
      <c r="B588" s="114" t="e">
        <f>Simulações!#REF!</f>
        <v>#REF!</v>
      </c>
      <c r="C588" s="125" t="e">
        <f>Simulações!#REF!</f>
        <v>#REF!</v>
      </c>
      <c r="D588" s="114" t="e">
        <f>Simulações!#REF!</f>
        <v>#REF!</v>
      </c>
      <c r="E588" s="114" t="e">
        <f>Simulações!#REF!</f>
        <v>#REF!</v>
      </c>
      <c r="F588" s="114" t="e">
        <f>Simulações!#REF!</f>
        <v>#REF!</v>
      </c>
      <c r="G588" s="114" t="e">
        <f>Simulações!#REF!</f>
        <v>#REF!</v>
      </c>
      <c r="H588" s="114" t="e">
        <f>Simulações!#REF!</f>
        <v>#REF!</v>
      </c>
      <c r="I588" s="114" t="e">
        <f>IF(Simulações!#REF!="","",Simulações!#REF!)</f>
        <v>#REF!</v>
      </c>
      <c r="J588" s="114" t="e">
        <f>IF(Simulações!#REF!="","",Simulações!#REF!)</f>
        <v>#REF!</v>
      </c>
      <c r="K588" s="117" t="e">
        <f>Simulações!#REF!</f>
        <v>#REF!</v>
      </c>
      <c r="L588" s="117" t="e">
        <f>Simulações!#REF!</f>
        <v>#REF!</v>
      </c>
      <c r="M588" s="114" t="e">
        <f>IF(Simulações!#REF!="","",Simulações!#REF!)</f>
        <v>#REF!</v>
      </c>
      <c r="N588" s="114" t="e">
        <f>IF(Simulações!#REF!="","",Simulações!#REF!)</f>
        <v>#REF!</v>
      </c>
      <c r="O588" s="114">
        <v>1</v>
      </c>
    </row>
    <row r="589" spans="1:15" ht="15.75" hidden="1" customHeight="1" x14ac:dyDescent="0.3">
      <c r="A589" s="124" t="e">
        <f>Simulações!#REF!</f>
        <v>#REF!</v>
      </c>
      <c r="B589" s="114" t="e">
        <f>Simulações!#REF!</f>
        <v>#REF!</v>
      </c>
      <c r="C589" s="125" t="e">
        <f>Simulações!#REF!</f>
        <v>#REF!</v>
      </c>
      <c r="D589" s="114" t="e">
        <f>Simulações!#REF!</f>
        <v>#REF!</v>
      </c>
      <c r="E589" s="114" t="e">
        <f>Simulações!#REF!</f>
        <v>#REF!</v>
      </c>
      <c r="F589" s="114" t="e">
        <f>Simulações!#REF!</f>
        <v>#REF!</v>
      </c>
      <c r="G589" s="114" t="e">
        <f>Simulações!#REF!</f>
        <v>#REF!</v>
      </c>
      <c r="H589" s="114" t="e">
        <f>Simulações!#REF!</f>
        <v>#REF!</v>
      </c>
      <c r="I589" s="114" t="e">
        <f>IF(Simulações!#REF!="","",Simulações!#REF!)</f>
        <v>#REF!</v>
      </c>
      <c r="J589" s="114" t="e">
        <f>IF(Simulações!#REF!="","",Simulações!#REF!)</f>
        <v>#REF!</v>
      </c>
      <c r="K589" s="117" t="e">
        <f>Simulações!#REF!</f>
        <v>#REF!</v>
      </c>
      <c r="L589" s="117" t="e">
        <f>Simulações!#REF!</f>
        <v>#REF!</v>
      </c>
      <c r="M589" s="114" t="e">
        <f>IF(Simulações!#REF!="","",Simulações!#REF!)</f>
        <v>#REF!</v>
      </c>
      <c r="N589" s="114" t="e">
        <f>IF(Simulações!#REF!="","",Simulações!#REF!)</f>
        <v>#REF!</v>
      </c>
      <c r="O589" s="114">
        <v>1</v>
      </c>
    </row>
    <row r="590" spans="1:15" ht="15.75" hidden="1" customHeight="1" x14ac:dyDescent="0.3">
      <c r="A590" s="124" t="e">
        <f>Simulações!#REF!</f>
        <v>#REF!</v>
      </c>
      <c r="B590" s="114" t="e">
        <f>Simulações!#REF!</f>
        <v>#REF!</v>
      </c>
      <c r="C590" s="125" t="e">
        <f>Simulações!#REF!</f>
        <v>#REF!</v>
      </c>
      <c r="D590" s="114" t="e">
        <f>Simulações!#REF!</f>
        <v>#REF!</v>
      </c>
      <c r="E590" s="114" t="e">
        <f>Simulações!#REF!</f>
        <v>#REF!</v>
      </c>
      <c r="F590" s="114" t="e">
        <f>Simulações!#REF!</f>
        <v>#REF!</v>
      </c>
      <c r="G590" s="114" t="e">
        <f>Simulações!#REF!</f>
        <v>#REF!</v>
      </c>
      <c r="H590" s="114" t="e">
        <f>Simulações!#REF!</f>
        <v>#REF!</v>
      </c>
      <c r="I590" s="114" t="e">
        <f>IF(Simulações!#REF!="","",Simulações!#REF!)</f>
        <v>#REF!</v>
      </c>
      <c r="J590" s="114" t="e">
        <f>IF(Simulações!#REF!="","",Simulações!#REF!)</f>
        <v>#REF!</v>
      </c>
      <c r="K590" s="117" t="e">
        <f>Simulações!#REF!</f>
        <v>#REF!</v>
      </c>
      <c r="L590" s="117" t="e">
        <f>Simulações!#REF!</f>
        <v>#REF!</v>
      </c>
      <c r="M590" s="114" t="e">
        <f>IF(Simulações!#REF!="","",Simulações!#REF!)</f>
        <v>#REF!</v>
      </c>
      <c r="N590" s="114" t="e">
        <f>IF(Simulações!#REF!="","",Simulações!#REF!)</f>
        <v>#REF!</v>
      </c>
      <c r="O590" s="114">
        <v>1</v>
      </c>
    </row>
    <row r="591" spans="1:15" ht="15.75" hidden="1" customHeight="1" x14ac:dyDescent="0.3">
      <c r="A591" s="124" t="e">
        <f>Simulações!#REF!</f>
        <v>#REF!</v>
      </c>
      <c r="B591" s="114" t="e">
        <f>Simulações!#REF!</f>
        <v>#REF!</v>
      </c>
      <c r="C591" s="125" t="e">
        <f>Simulações!#REF!</f>
        <v>#REF!</v>
      </c>
      <c r="D591" s="114" t="e">
        <f>Simulações!#REF!</f>
        <v>#REF!</v>
      </c>
      <c r="E591" s="114" t="e">
        <f>Simulações!#REF!</f>
        <v>#REF!</v>
      </c>
      <c r="F591" s="114" t="e">
        <f>Simulações!#REF!</f>
        <v>#REF!</v>
      </c>
      <c r="G591" s="114" t="e">
        <f>Simulações!#REF!</f>
        <v>#REF!</v>
      </c>
      <c r="H591" s="114" t="e">
        <f>Simulações!#REF!</f>
        <v>#REF!</v>
      </c>
      <c r="I591" s="114" t="e">
        <f>IF(Simulações!#REF!="","",Simulações!#REF!)</f>
        <v>#REF!</v>
      </c>
      <c r="J591" s="114" t="e">
        <f>IF(Simulações!#REF!="","",Simulações!#REF!)</f>
        <v>#REF!</v>
      </c>
      <c r="K591" s="117" t="e">
        <f>Simulações!#REF!</f>
        <v>#REF!</v>
      </c>
      <c r="L591" s="117" t="e">
        <f>Simulações!#REF!</f>
        <v>#REF!</v>
      </c>
      <c r="M591" s="114" t="e">
        <f>IF(Simulações!#REF!="","",Simulações!#REF!)</f>
        <v>#REF!</v>
      </c>
      <c r="N591" s="114" t="e">
        <f>IF(Simulações!#REF!="","",Simulações!#REF!)</f>
        <v>#REF!</v>
      </c>
      <c r="O591" s="114">
        <v>1</v>
      </c>
    </row>
    <row r="592" spans="1:15" ht="15.75" hidden="1" customHeight="1" x14ac:dyDescent="0.3">
      <c r="A592" s="124" t="e">
        <f>Simulações!#REF!</f>
        <v>#REF!</v>
      </c>
      <c r="B592" s="114" t="e">
        <f>Simulações!#REF!</f>
        <v>#REF!</v>
      </c>
      <c r="C592" s="125" t="e">
        <f>Simulações!#REF!</f>
        <v>#REF!</v>
      </c>
      <c r="D592" s="114" t="e">
        <f>Simulações!#REF!</f>
        <v>#REF!</v>
      </c>
      <c r="E592" s="114" t="e">
        <f>Simulações!#REF!</f>
        <v>#REF!</v>
      </c>
      <c r="F592" s="114" t="e">
        <f>Simulações!#REF!</f>
        <v>#REF!</v>
      </c>
      <c r="G592" s="114" t="e">
        <f>Simulações!#REF!</f>
        <v>#REF!</v>
      </c>
      <c r="H592" s="114" t="e">
        <f>Simulações!#REF!</f>
        <v>#REF!</v>
      </c>
      <c r="I592" s="114" t="e">
        <f>IF(Simulações!#REF!="","",Simulações!#REF!)</f>
        <v>#REF!</v>
      </c>
      <c r="J592" s="114" t="e">
        <f>IF(Simulações!#REF!="","",Simulações!#REF!)</f>
        <v>#REF!</v>
      </c>
      <c r="K592" s="117" t="e">
        <f>Simulações!#REF!</f>
        <v>#REF!</v>
      </c>
      <c r="L592" s="117" t="e">
        <f>Simulações!#REF!</f>
        <v>#REF!</v>
      </c>
      <c r="M592" s="114" t="e">
        <f>IF(Simulações!#REF!="","",Simulações!#REF!)</f>
        <v>#REF!</v>
      </c>
      <c r="N592" s="114" t="e">
        <f>IF(Simulações!#REF!="","",Simulações!#REF!)</f>
        <v>#REF!</v>
      </c>
      <c r="O592" s="114">
        <v>1</v>
      </c>
    </row>
    <row r="593" spans="1:15" ht="15.75" hidden="1" customHeight="1" x14ac:dyDescent="0.3">
      <c r="A593" s="124" t="e">
        <f>Simulações!#REF!</f>
        <v>#REF!</v>
      </c>
      <c r="B593" s="114" t="e">
        <f>Simulações!#REF!</f>
        <v>#REF!</v>
      </c>
      <c r="C593" s="125" t="e">
        <f>Simulações!#REF!</f>
        <v>#REF!</v>
      </c>
      <c r="D593" s="114" t="e">
        <f>Simulações!#REF!</f>
        <v>#REF!</v>
      </c>
      <c r="E593" s="114" t="e">
        <f>Simulações!#REF!</f>
        <v>#REF!</v>
      </c>
      <c r="F593" s="114" t="e">
        <f>Simulações!#REF!</f>
        <v>#REF!</v>
      </c>
      <c r="G593" s="114" t="e">
        <f>Simulações!#REF!</f>
        <v>#REF!</v>
      </c>
      <c r="H593" s="114" t="e">
        <f>Simulações!#REF!</f>
        <v>#REF!</v>
      </c>
      <c r="I593" s="114" t="e">
        <f>IF(Simulações!#REF!="","",Simulações!#REF!)</f>
        <v>#REF!</v>
      </c>
      <c r="J593" s="114" t="e">
        <f>IF(Simulações!#REF!="","",Simulações!#REF!)</f>
        <v>#REF!</v>
      </c>
      <c r="K593" s="117" t="e">
        <f>Simulações!#REF!</f>
        <v>#REF!</v>
      </c>
      <c r="L593" s="117" t="e">
        <f>Simulações!#REF!</f>
        <v>#REF!</v>
      </c>
      <c r="M593" s="114" t="e">
        <f>IF(Simulações!#REF!="","",Simulações!#REF!)</f>
        <v>#REF!</v>
      </c>
      <c r="N593" s="114" t="e">
        <f>IF(Simulações!#REF!="","",Simulações!#REF!)</f>
        <v>#REF!</v>
      </c>
      <c r="O593" s="114">
        <v>1</v>
      </c>
    </row>
    <row r="594" spans="1:15" ht="15.75" hidden="1" customHeight="1" x14ac:dyDescent="0.3">
      <c r="A594" s="124" t="e">
        <f>Simulações!#REF!</f>
        <v>#REF!</v>
      </c>
      <c r="B594" s="114" t="e">
        <f>Simulações!#REF!</f>
        <v>#REF!</v>
      </c>
      <c r="C594" s="125" t="e">
        <f>Simulações!#REF!</f>
        <v>#REF!</v>
      </c>
      <c r="D594" s="114" t="e">
        <f>Simulações!#REF!</f>
        <v>#REF!</v>
      </c>
      <c r="E594" s="114" t="e">
        <f>Simulações!#REF!</f>
        <v>#REF!</v>
      </c>
      <c r="F594" s="114" t="e">
        <f>Simulações!#REF!</f>
        <v>#REF!</v>
      </c>
      <c r="G594" s="114" t="e">
        <f>Simulações!#REF!</f>
        <v>#REF!</v>
      </c>
      <c r="H594" s="114" t="e">
        <f>Simulações!#REF!</f>
        <v>#REF!</v>
      </c>
      <c r="I594" s="114" t="e">
        <f>IF(Simulações!#REF!="","",Simulações!#REF!)</f>
        <v>#REF!</v>
      </c>
      <c r="J594" s="114" t="e">
        <f>IF(Simulações!#REF!="","",Simulações!#REF!)</f>
        <v>#REF!</v>
      </c>
      <c r="K594" s="117" t="e">
        <f>Simulações!#REF!</f>
        <v>#REF!</v>
      </c>
      <c r="L594" s="117" t="e">
        <f>Simulações!#REF!</f>
        <v>#REF!</v>
      </c>
      <c r="M594" s="114" t="e">
        <f>IF(Simulações!#REF!="","",Simulações!#REF!)</f>
        <v>#REF!</v>
      </c>
      <c r="N594" s="114" t="e">
        <f>IF(Simulações!#REF!="","",Simulações!#REF!)</f>
        <v>#REF!</v>
      </c>
      <c r="O594" s="114">
        <v>1</v>
      </c>
    </row>
    <row r="595" spans="1:15" ht="15.75" hidden="1" customHeight="1" x14ac:dyDescent="0.3">
      <c r="A595" s="124" t="e">
        <f>Simulações!#REF!</f>
        <v>#REF!</v>
      </c>
      <c r="B595" s="114" t="e">
        <f>Simulações!#REF!</f>
        <v>#REF!</v>
      </c>
      <c r="C595" s="125" t="e">
        <f>Simulações!#REF!</f>
        <v>#REF!</v>
      </c>
      <c r="D595" s="114" t="e">
        <f>Simulações!#REF!</f>
        <v>#REF!</v>
      </c>
      <c r="E595" s="114" t="e">
        <f>Simulações!#REF!</f>
        <v>#REF!</v>
      </c>
      <c r="F595" s="114" t="e">
        <f>Simulações!#REF!</f>
        <v>#REF!</v>
      </c>
      <c r="G595" s="114" t="e">
        <f>Simulações!#REF!</f>
        <v>#REF!</v>
      </c>
      <c r="H595" s="114" t="e">
        <f>Simulações!#REF!</f>
        <v>#REF!</v>
      </c>
      <c r="I595" s="114" t="e">
        <f>IF(Simulações!#REF!="","",Simulações!#REF!)</f>
        <v>#REF!</v>
      </c>
      <c r="J595" s="114" t="e">
        <f>IF(Simulações!#REF!="","",Simulações!#REF!)</f>
        <v>#REF!</v>
      </c>
      <c r="K595" s="117" t="e">
        <f>Simulações!#REF!</f>
        <v>#REF!</v>
      </c>
      <c r="L595" s="117" t="e">
        <f>Simulações!#REF!</f>
        <v>#REF!</v>
      </c>
      <c r="M595" s="114" t="e">
        <f>IF(Simulações!#REF!="","",Simulações!#REF!)</f>
        <v>#REF!</v>
      </c>
      <c r="N595" s="114" t="e">
        <f>IF(Simulações!#REF!="","",Simulações!#REF!)</f>
        <v>#REF!</v>
      </c>
      <c r="O595" s="114">
        <v>1</v>
      </c>
    </row>
    <row r="596" spans="1:15" ht="15.75" hidden="1" customHeight="1" x14ac:dyDescent="0.3">
      <c r="A596" s="124" t="e">
        <f>Simulações!#REF!</f>
        <v>#REF!</v>
      </c>
      <c r="B596" s="114" t="e">
        <f>Simulações!#REF!</f>
        <v>#REF!</v>
      </c>
      <c r="C596" s="125" t="e">
        <f>Simulações!#REF!</f>
        <v>#REF!</v>
      </c>
      <c r="D596" s="114" t="e">
        <f>Simulações!#REF!</f>
        <v>#REF!</v>
      </c>
      <c r="E596" s="114" t="e">
        <f>Simulações!#REF!</f>
        <v>#REF!</v>
      </c>
      <c r="F596" s="114" t="e">
        <f>Simulações!#REF!</f>
        <v>#REF!</v>
      </c>
      <c r="G596" s="114" t="e">
        <f>Simulações!#REF!</f>
        <v>#REF!</v>
      </c>
      <c r="H596" s="114" t="e">
        <f>Simulações!#REF!</f>
        <v>#REF!</v>
      </c>
      <c r="I596" s="114" t="e">
        <f>IF(Simulações!#REF!="","",Simulações!#REF!)</f>
        <v>#REF!</v>
      </c>
      <c r="J596" s="114" t="e">
        <f>IF(Simulações!#REF!="","",Simulações!#REF!)</f>
        <v>#REF!</v>
      </c>
      <c r="K596" s="117" t="e">
        <f>Simulações!#REF!</f>
        <v>#REF!</v>
      </c>
      <c r="L596" s="117" t="e">
        <f>Simulações!#REF!</f>
        <v>#REF!</v>
      </c>
      <c r="M596" s="114" t="e">
        <f>IF(Simulações!#REF!="","",Simulações!#REF!)</f>
        <v>#REF!</v>
      </c>
      <c r="N596" s="114" t="e">
        <f>IF(Simulações!#REF!="","",Simulações!#REF!)</f>
        <v>#REF!</v>
      </c>
      <c r="O596" s="114">
        <v>1</v>
      </c>
    </row>
    <row r="597" spans="1:15" ht="15.75" hidden="1" customHeight="1" x14ac:dyDescent="0.3">
      <c r="A597" s="124" t="e">
        <f>Simulações!#REF!</f>
        <v>#REF!</v>
      </c>
      <c r="B597" s="114" t="e">
        <f>Simulações!#REF!</f>
        <v>#REF!</v>
      </c>
      <c r="C597" s="125" t="e">
        <f>Simulações!#REF!</f>
        <v>#REF!</v>
      </c>
      <c r="D597" s="114" t="e">
        <f>Simulações!#REF!</f>
        <v>#REF!</v>
      </c>
      <c r="E597" s="114" t="e">
        <f>Simulações!#REF!</f>
        <v>#REF!</v>
      </c>
      <c r="F597" s="114" t="e">
        <f>Simulações!#REF!</f>
        <v>#REF!</v>
      </c>
      <c r="G597" s="114" t="e">
        <f>Simulações!#REF!</f>
        <v>#REF!</v>
      </c>
      <c r="H597" s="114" t="e">
        <f>Simulações!#REF!</f>
        <v>#REF!</v>
      </c>
      <c r="I597" s="114" t="e">
        <f>IF(Simulações!#REF!="","",Simulações!#REF!)</f>
        <v>#REF!</v>
      </c>
      <c r="J597" s="114" t="e">
        <f>IF(Simulações!#REF!="","",Simulações!#REF!)</f>
        <v>#REF!</v>
      </c>
      <c r="K597" s="117" t="e">
        <f>Simulações!#REF!</f>
        <v>#REF!</v>
      </c>
      <c r="L597" s="117" t="e">
        <f>Simulações!#REF!</f>
        <v>#REF!</v>
      </c>
      <c r="M597" s="114" t="e">
        <f>IF(Simulações!#REF!="","",Simulações!#REF!)</f>
        <v>#REF!</v>
      </c>
      <c r="N597" s="114" t="e">
        <f>IF(Simulações!#REF!="","",Simulações!#REF!)</f>
        <v>#REF!</v>
      </c>
      <c r="O597" s="114">
        <v>1</v>
      </c>
    </row>
    <row r="598" spans="1:15" ht="15.75" hidden="1" customHeight="1" x14ac:dyDescent="0.3">
      <c r="A598" s="124" t="e">
        <f>Simulações!#REF!</f>
        <v>#REF!</v>
      </c>
      <c r="B598" s="114" t="e">
        <f>Simulações!#REF!</f>
        <v>#REF!</v>
      </c>
      <c r="C598" s="125" t="e">
        <f>Simulações!#REF!</f>
        <v>#REF!</v>
      </c>
      <c r="D598" s="114" t="e">
        <f>Simulações!#REF!</f>
        <v>#REF!</v>
      </c>
      <c r="E598" s="114" t="e">
        <f>Simulações!#REF!</f>
        <v>#REF!</v>
      </c>
      <c r="F598" s="114" t="e">
        <f>Simulações!#REF!</f>
        <v>#REF!</v>
      </c>
      <c r="G598" s="114" t="e">
        <f>Simulações!#REF!</f>
        <v>#REF!</v>
      </c>
      <c r="H598" s="114" t="e">
        <f>Simulações!#REF!</f>
        <v>#REF!</v>
      </c>
      <c r="I598" s="114" t="e">
        <f>IF(Simulações!#REF!="","",Simulações!#REF!)</f>
        <v>#REF!</v>
      </c>
      <c r="J598" s="114" t="e">
        <f>IF(Simulações!#REF!="","",Simulações!#REF!)</f>
        <v>#REF!</v>
      </c>
      <c r="K598" s="117" t="e">
        <f>Simulações!#REF!</f>
        <v>#REF!</v>
      </c>
      <c r="L598" s="117" t="e">
        <f>Simulações!#REF!</f>
        <v>#REF!</v>
      </c>
      <c r="M598" s="114" t="e">
        <f>IF(Simulações!#REF!="","",Simulações!#REF!)</f>
        <v>#REF!</v>
      </c>
      <c r="N598" s="114" t="e">
        <f>IF(Simulações!#REF!="","",Simulações!#REF!)</f>
        <v>#REF!</v>
      </c>
      <c r="O598" s="114">
        <v>1</v>
      </c>
    </row>
    <row r="599" spans="1:15" ht="15.75" hidden="1" customHeight="1" x14ac:dyDescent="0.3">
      <c r="A599" s="124" t="e">
        <f>Simulações!#REF!</f>
        <v>#REF!</v>
      </c>
      <c r="B599" s="114" t="e">
        <f>Simulações!#REF!</f>
        <v>#REF!</v>
      </c>
      <c r="C599" s="125" t="e">
        <f>Simulações!#REF!</f>
        <v>#REF!</v>
      </c>
      <c r="D599" s="114" t="e">
        <f>Simulações!#REF!</f>
        <v>#REF!</v>
      </c>
      <c r="E599" s="114" t="e">
        <f>Simulações!#REF!</f>
        <v>#REF!</v>
      </c>
      <c r="F599" s="114" t="e">
        <f>Simulações!#REF!</f>
        <v>#REF!</v>
      </c>
      <c r="G599" s="114" t="e">
        <f>Simulações!#REF!</f>
        <v>#REF!</v>
      </c>
      <c r="H599" s="114" t="e">
        <f>Simulações!#REF!</f>
        <v>#REF!</v>
      </c>
      <c r="I599" s="114" t="e">
        <f>IF(Simulações!#REF!="","",Simulações!#REF!)</f>
        <v>#REF!</v>
      </c>
      <c r="J599" s="114" t="e">
        <f>IF(Simulações!#REF!="","",Simulações!#REF!)</f>
        <v>#REF!</v>
      </c>
      <c r="K599" s="117" t="e">
        <f>Simulações!#REF!</f>
        <v>#REF!</v>
      </c>
      <c r="L599" s="117" t="e">
        <f>Simulações!#REF!</f>
        <v>#REF!</v>
      </c>
      <c r="M599" s="114" t="e">
        <f>IF(Simulações!#REF!="","",Simulações!#REF!)</f>
        <v>#REF!</v>
      </c>
      <c r="N599" s="114" t="e">
        <f>IF(Simulações!#REF!="","",Simulações!#REF!)</f>
        <v>#REF!</v>
      </c>
      <c r="O599" s="114">
        <v>1</v>
      </c>
    </row>
    <row r="600" spans="1:15" ht="15.75" hidden="1" customHeight="1" x14ac:dyDescent="0.3">
      <c r="A600" s="124" t="e">
        <f>Simulações!#REF!</f>
        <v>#REF!</v>
      </c>
      <c r="B600" s="114" t="e">
        <f>Simulações!#REF!</f>
        <v>#REF!</v>
      </c>
      <c r="C600" s="125" t="e">
        <f>Simulações!#REF!</f>
        <v>#REF!</v>
      </c>
      <c r="D600" s="114" t="e">
        <f>Simulações!#REF!</f>
        <v>#REF!</v>
      </c>
      <c r="E600" s="114" t="e">
        <f>Simulações!#REF!</f>
        <v>#REF!</v>
      </c>
      <c r="F600" s="114" t="e">
        <f>Simulações!#REF!</f>
        <v>#REF!</v>
      </c>
      <c r="G600" s="114" t="e">
        <f>Simulações!#REF!</f>
        <v>#REF!</v>
      </c>
      <c r="H600" s="114" t="e">
        <f>Simulações!#REF!</f>
        <v>#REF!</v>
      </c>
      <c r="I600" s="114" t="e">
        <f>IF(Simulações!#REF!="","",Simulações!#REF!)</f>
        <v>#REF!</v>
      </c>
      <c r="J600" s="114" t="e">
        <f>IF(Simulações!#REF!="","",Simulações!#REF!)</f>
        <v>#REF!</v>
      </c>
      <c r="K600" s="117" t="e">
        <f>Simulações!#REF!</f>
        <v>#REF!</v>
      </c>
      <c r="L600" s="117" t="e">
        <f>Simulações!#REF!</f>
        <v>#REF!</v>
      </c>
      <c r="M600" s="114" t="e">
        <f>IF(Simulações!#REF!="","",Simulações!#REF!)</f>
        <v>#REF!</v>
      </c>
      <c r="N600" s="114" t="e">
        <f>IF(Simulações!#REF!="","",Simulações!#REF!)</f>
        <v>#REF!</v>
      </c>
      <c r="O600" s="114">
        <v>1</v>
      </c>
    </row>
    <row r="601" spans="1:15" ht="15.75" hidden="1" customHeight="1" x14ac:dyDescent="0.3">
      <c r="A601" s="124" t="e">
        <f>Simulações!#REF!</f>
        <v>#REF!</v>
      </c>
      <c r="B601" s="114" t="e">
        <f>Simulações!#REF!</f>
        <v>#REF!</v>
      </c>
      <c r="C601" s="125" t="e">
        <f>Simulações!#REF!</f>
        <v>#REF!</v>
      </c>
      <c r="D601" s="114" t="e">
        <f>Simulações!#REF!</f>
        <v>#REF!</v>
      </c>
      <c r="E601" s="114" t="e">
        <f>Simulações!#REF!</f>
        <v>#REF!</v>
      </c>
      <c r="F601" s="114" t="e">
        <f>Simulações!#REF!</f>
        <v>#REF!</v>
      </c>
      <c r="G601" s="114" t="e">
        <f>Simulações!#REF!</f>
        <v>#REF!</v>
      </c>
      <c r="H601" s="114" t="e">
        <f>Simulações!#REF!</f>
        <v>#REF!</v>
      </c>
      <c r="I601" s="114" t="e">
        <f>IF(Simulações!#REF!="","",Simulações!#REF!)</f>
        <v>#REF!</v>
      </c>
      <c r="J601" s="114" t="e">
        <f>IF(Simulações!#REF!="","",Simulações!#REF!)</f>
        <v>#REF!</v>
      </c>
      <c r="K601" s="117" t="e">
        <f>Simulações!#REF!</f>
        <v>#REF!</v>
      </c>
      <c r="L601" s="117" t="e">
        <f>Simulações!#REF!</f>
        <v>#REF!</v>
      </c>
      <c r="M601" s="114" t="e">
        <f>IF(Simulações!#REF!="","",Simulações!#REF!)</f>
        <v>#REF!</v>
      </c>
      <c r="N601" s="114" t="e">
        <f>IF(Simulações!#REF!="","",Simulações!#REF!)</f>
        <v>#REF!</v>
      </c>
      <c r="O601" s="114">
        <v>1</v>
      </c>
    </row>
    <row r="602" spans="1:15" ht="15.75" hidden="1" customHeight="1" x14ac:dyDescent="0.3">
      <c r="A602" s="124" t="e">
        <f>Simulações!#REF!</f>
        <v>#REF!</v>
      </c>
      <c r="B602" s="114" t="e">
        <f>Simulações!#REF!</f>
        <v>#REF!</v>
      </c>
      <c r="C602" s="125" t="e">
        <f>Simulações!#REF!</f>
        <v>#REF!</v>
      </c>
      <c r="D602" s="114" t="e">
        <f>Simulações!#REF!</f>
        <v>#REF!</v>
      </c>
      <c r="E602" s="114" t="e">
        <f>Simulações!#REF!</f>
        <v>#REF!</v>
      </c>
      <c r="F602" s="114" t="e">
        <f>Simulações!#REF!</f>
        <v>#REF!</v>
      </c>
      <c r="G602" s="114" t="e">
        <f>Simulações!#REF!</f>
        <v>#REF!</v>
      </c>
      <c r="H602" s="114" t="e">
        <f>Simulações!#REF!</f>
        <v>#REF!</v>
      </c>
      <c r="I602" s="114" t="e">
        <f>IF(Simulações!#REF!="","",Simulações!#REF!)</f>
        <v>#REF!</v>
      </c>
      <c r="J602" s="114" t="e">
        <f>IF(Simulações!#REF!="","",Simulações!#REF!)</f>
        <v>#REF!</v>
      </c>
      <c r="K602" s="117" t="e">
        <f>Simulações!#REF!</f>
        <v>#REF!</v>
      </c>
      <c r="L602" s="117" t="e">
        <f>Simulações!#REF!</f>
        <v>#REF!</v>
      </c>
      <c r="M602" s="114" t="e">
        <f>IF(Simulações!#REF!="","",Simulações!#REF!)</f>
        <v>#REF!</v>
      </c>
      <c r="N602" s="114" t="e">
        <f>IF(Simulações!#REF!="","",Simulações!#REF!)</f>
        <v>#REF!</v>
      </c>
      <c r="O602" s="114">
        <v>1</v>
      </c>
    </row>
    <row r="603" spans="1:15" ht="15.75" hidden="1" customHeight="1" x14ac:dyDescent="0.3">
      <c r="A603" s="124" t="e">
        <f>Simulações!#REF!</f>
        <v>#REF!</v>
      </c>
      <c r="B603" s="114" t="e">
        <f>Simulações!#REF!</f>
        <v>#REF!</v>
      </c>
      <c r="C603" s="125" t="e">
        <f>Simulações!#REF!</f>
        <v>#REF!</v>
      </c>
      <c r="D603" s="114" t="e">
        <f>Simulações!#REF!</f>
        <v>#REF!</v>
      </c>
      <c r="E603" s="114" t="e">
        <f>Simulações!#REF!</f>
        <v>#REF!</v>
      </c>
      <c r="F603" s="114" t="e">
        <f>Simulações!#REF!</f>
        <v>#REF!</v>
      </c>
      <c r="G603" s="114" t="e">
        <f>Simulações!#REF!</f>
        <v>#REF!</v>
      </c>
      <c r="H603" s="114" t="e">
        <f>Simulações!#REF!</f>
        <v>#REF!</v>
      </c>
      <c r="I603" s="114" t="e">
        <f>IF(Simulações!#REF!="","",Simulações!#REF!)</f>
        <v>#REF!</v>
      </c>
      <c r="J603" s="114" t="e">
        <f>IF(Simulações!#REF!="","",Simulações!#REF!)</f>
        <v>#REF!</v>
      </c>
      <c r="K603" s="117" t="e">
        <f>Simulações!#REF!</f>
        <v>#REF!</v>
      </c>
      <c r="L603" s="117" t="e">
        <f>Simulações!#REF!</f>
        <v>#REF!</v>
      </c>
      <c r="M603" s="114" t="e">
        <f>IF(Simulações!#REF!="","",Simulações!#REF!)</f>
        <v>#REF!</v>
      </c>
      <c r="N603" s="114" t="e">
        <f>IF(Simulações!#REF!="","",Simulações!#REF!)</f>
        <v>#REF!</v>
      </c>
      <c r="O603" s="114">
        <v>1</v>
      </c>
    </row>
    <row r="604" spans="1:15" ht="15.75" hidden="1" customHeight="1" x14ac:dyDescent="0.3">
      <c r="A604" s="124" t="e">
        <f>Simulações!#REF!</f>
        <v>#REF!</v>
      </c>
      <c r="B604" s="114" t="e">
        <f>Simulações!#REF!</f>
        <v>#REF!</v>
      </c>
      <c r="C604" s="125" t="e">
        <f>Simulações!#REF!</f>
        <v>#REF!</v>
      </c>
      <c r="D604" s="114" t="e">
        <f>Simulações!#REF!</f>
        <v>#REF!</v>
      </c>
      <c r="E604" s="114" t="e">
        <f>Simulações!#REF!</f>
        <v>#REF!</v>
      </c>
      <c r="F604" s="114" t="e">
        <f>Simulações!#REF!</f>
        <v>#REF!</v>
      </c>
      <c r="G604" s="114" t="e">
        <f>Simulações!#REF!</f>
        <v>#REF!</v>
      </c>
      <c r="H604" s="114" t="e">
        <f>Simulações!#REF!</f>
        <v>#REF!</v>
      </c>
      <c r="I604" s="114" t="e">
        <f>IF(Simulações!#REF!="","",Simulações!#REF!)</f>
        <v>#REF!</v>
      </c>
      <c r="J604" s="114" t="e">
        <f>IF(Simulações!#REF!="","",Simulações!#REF!)</f>
        <v>#REF!</v>
      </c>
      <c r="K604" s="117" t="e">
        <f>Simulações!#REF!</f>
        <v>#REF!</v>
      </c>
      <c r="L604" s="117" t="e">
        <f>Simulações!#REF!</f>
        <v>#REF!</v>
      </c>
      <c r="M604" s="114" t="e">
        <f>IF(Simulações!#REF!="","",Simulações!#REF!)</f>
        <v>#REF!</v>
      </c>
      <c r="N604" s="114" t="e">
        <f>IF(Simulações!#REF!="","",Simulações!#REF!)</f>
        <v>#REF!</v>
      </c>
      <c r="O604" s="114">
        <v>1</v>
      </c>
    </row>
    <row r="605" spans="1:15" ht="15.75" hidden="1" customHeight="1" x14ac:dyDescent="0.3">
      <c r="A605" s="124" t="e">
        <f>Simulações!#REF!</f>
        <v>#REF!</v>
      </c>
      <c r="B605" s="114" t="e">
        <f>Simulações!#REF!</f>
        <v>#REF!</v>
      </c>
      <c r="C605" s="125" t="e">
        <f>Simulações!#REF!</f>
        <v>#REF!</v>
      </c>
      <c r="D605" s="114" t="e">
        <f>Simulações!#REF!</f>
        <v>#REF!</v>
      </c>
      <c r="E605" s="114" t="e">
        <f>Simulações!#REF!</f>
        <v>#REF!</v>
      </c>
      <c r="F605" s="114" t="e">
        <f>Simulações!#REF!</f>
        <v>#REF!</v>
      </c>
      <c r="G605" s="114" t="e">
        <f>Simulações!#REF!</f>
        <v>#REF!</v>
      </c>
      <c r="H605" s="114" t="e">
        <f>Simulações!#REF!</f>
        <v>#REF!</v>
      </c>
      <c r="I605" s="114" t="e">
        <f>IF(Simulações!#REF!="","",Simulações!#REF!)</f>
        <v>#REF!</v>
      </c>
      <c r="J605" s="114" t="e">
        <f>IF(Simulações!#REF!="","",Simulações!#REF!)</f>
        <v>#REF!</v>
      </c>
      <c r="K605" s="117" t="e">
        <f>Simulações!#REF!</f>
        <v>#REF!</v>
      </c>
      <c r="L605" s="117" t="e">
        <f>Simulações!#REF!</f>
        <v>#REF!</v>
      </c>
      <c r="M605" s="114" t="e">
        <f>IF(Simulações!#REF!="","",Simulações!#REF!)</f>
        <v>#REF!</v>
      </c>
      <c r="N605" s="114" t="e">
        <f>IF(Simulações!#REF!="","",Simulações!#REF!)</f>
        <v>#REF!</v>
      </c>
      <c r="O605" s="114">
        <v>1</v>
      </c>
    </row>
    <row r="606" spans="1:15" ht="15.75" hidden="1" customHeight="1" x14ac:dyDescent="0.3">
      <c r="A606" s="124" t="e">
        <f>Simulações!#REF!</f>
        <v>#REF!</v>
      </c>
      <c r="B606" s="114" t="e">
        <f>Simulações!#REF!</f>
        <v>#REF!</v>
      </c>
      <c r="C606" s="125" t="e">
        <f>Simulações!#REF!</f>
        <v>#REF!</v>
      </c>
      <c r="D606" s="114" t="e">
        <f>Simulações!#REF!</f>
        <v>#REF!</v>
      </c>
      <c r="E606" s="114" t="e">
        <f>Simulações!#REF!</f>
        <v>#REF!</v>
      </c>
      <c r="F606" s="114" t="e">
        <f>Simulações!#REF!</f>
        <v>#REF!</v>
      </c>
      <c r="G606" s="114" t="e">
        <f>Simulações!#REF!</f>
        <v>#REF!</v>
      </c>
      <c r="H606" s="114" t="e">
        <f>Simulações!#REF!</f>
        <v>#REF!</v>
      </c>
      <c r="I606" s="114" t="e">
        <f>IF(Simulações!#REF!="","",Simulações!#REF!)</f>
        <v>#REF!</v>
      </c>
      <c r="J606" s="114" t="e">
        <f>IF(Simulações!#REF!="","",Simulações!#REF!)</f>
        <v>#REF!</v>
      </c>
      <c r="K606" s="117" t="e">
        <f>Simulações!#REF!</f>
        <v>#REF!</v>
      </c>
      <c r="L606" s="117" t="e">
        <f>Simulações!#REF!</f>
        <v>#REF!</v>
      </c>
      <c r="M606" s="114" t="e">
        <f>IF(Simulações!#REF!="","",Simulações!#REF!)</f>
        <v>#REF!</v>
      </c>
      <c r="N606" s="114" t="e">
        <f>IF(Simulações!#REF!="","",Simulações!#REF!)</f>
        <v>#REF!</v>
      </c>
      <c r="O606" s="114">
        <v>1</v>
      </c>
    </row>
    <row r="607" spans="1:15" ht="15.75" hidden="1" customHeight="1" x14ac:dyDescent="0.3">
      <c r="A607" s="124" t="e">
        <f>Simulações!#REF!</f>
        <v>#REF!</v>
      </c>
      <c r="B607" s="114" t="e">
        <f>Simulações!#REF!</f>
        <v>#REF!</v>
      </c>
      <c r="C607" s="125" t="e">
        <f>Simulações!#REF!</f>
        <v>#REF!</v>
      </c>
      <c r="D607" s="114" t="e">
        <f>Simulações!#REF!</f>
        <v>#REF!</v>
      </c>
      <c r="E607" s="114" t="e">
        <f>Simulações!#REF!</f>
        <v>#REF!</v>
      </c>
      <c r="F607" s="114" t="e">
        <f>Simulações!#REF!</f>
        <v>#REF!</v>
      </c>
      <c r="G607" s="114" t="e">
        <f>Simulações!#REF!</f>
        <v>#REF!</v>
      </c>
      <c r="H607" s="114" t="e">
        <f>Simulações!#REF!</f>
        <v>#REF!</v>
      </c>
      <c r="I607" s="114" t="e">
        <f>IF(Simulações!#REF!="","",Simulações!#REF!)</f>
        <v>#REF!</v>
      </c>
      <c r="J607" s="114" t="e">
        <f>IF(Simulações!#REF!="","",Simulações!#REF!)</f>
        <v>#REF!</v>
      </c>
      <c r="K607" s="117" t="e">
        <f>Simulações!#REF!</f>
        <v>#REF!</v>
      </c>
      <c r="L607" s="117" t="e">
        <f>Simulações!#REF!</f>
        <v>#REF!</v>
      </c>
      <c r="M607" s="114" t="e">
        <f>IF(Simulações!#REF!="","",Simulações!#REF!)</f>
        <v>#REF!</v>
      </c>
      <c r="N607" s="114" t="e">
        <f>IF(Simulações!#REF!="","",Simulações!#REF!)</f>
        <v>#REF!</v>
      </c>
      <c r="O607" s="114">
        <v>1</v>
      </c>
    </row>
    <row r="608" spans="1:15" ht="15.75" hidden="1" customHeight="1" x14ac:dyDescent="0.3">
      <c r="A608" s="124" t="e">
        <f>Simulações!#REF!</f>
        <v>#REF!</v>
      </c>
      <c r="B608" s="114" t="e">
        <f>Simulações!#REF!</f>
        <v>#REF!</v>
      </c>
      <c r="C608" s="125" t="e">
        <f>Simulações!#REF!</f>
        <v>#REF!</v>
      </c>
      <c r="D608" s="114" t="e">
        <f>Simulações!#REF!</f>
        <v>#REF!</v>
      </c>
      <c r="E608" s="114" t="e">
        <f>Simulações!#REF!</f>
        <v>#REF!</v>
      </c>
      <c r="F608" s="114" t="e">
        <f>Simulações!#REF!</f>
        <v>#REF!</v>
      </c>
      <c r="G608" s="114" t="e">
        <f>Simulações!#REF!</f>
        <v>#REF!</v>
      </c>
      <c r="H608" s="114" t="e">
        <f>Simulações!#REF!</f>
        <v>#REF!</v>
      </c>
      <c r="I608" s="114" t="e">
        <f>IF(Simulações!#REF!="","",Simulações!#REF!)</f>
        <v>#REF!</v>
      </c>
      <c r="J608" s="114" t="e">
        <f>IF(Simulações!#REF!="","",Simulações!#REF!)</f>
        <v>#REF!</v>
      </c>
      <c r="K608" s="117" t="e">
        <f>Simulações!#REF!</f>
        <v>#REF!</v>
      </c>
      <c r="L608" s="117" t="e">
        <f>Simulações!#REF!</f>
        <v>#REF!</v>
      </c>
      <c r="M608" s="114" t="e">
        <f>IF(Simulações!#REF!="","",Simulações!#REF!)</f>
        <v>#REF!</v>
      </c>
      <c r="N608" s="114" t="e">
        <f>IF(Simulações!#REF!="","",Simulações!#REF!)</f>
        <v>#REF!</v>
      </c>
      <c r="O608" s="114">
        <v>1</v>
      </c>
    </row>
    <row r="609" spans="1:15" ht="15.75" hidden="1" customHeight="1" x14ac:dyDescent="0.3">
      <c r="A609" s="124" t="e">
        <f>Simulações!#REF!</f>
        <v>#REF!</v>
      </c>
      <c r="B609" s="114" t="e">
        <f>Simulações!#REF!</f>
        <v>#REF!</v>
      </c>
      <c r="C609" s="125" t="e">
        <f>Simulações!#REF!</f>
        <v>#REF!</v>
      </c>
      <c r="D609" s="114" t="e">
        <f>Simulações!#REF!</f>
        <v>#REF!</v>
      </c>
      <c r="E609" s="114" t="e">
        <f>Simulações!#REF!</f>
        <v>#REF!</v>
      </c>
      <c r="F609" s="114" t="e">
        <f>Simulações!#REF!</f>
        <v>#REF!</v>
      </c>
      <c r="G609" s="114" t="e">
        <f>Simulações!#REF!</f>
        <v>#REF!</v>
      </c>
      <c r="H609" s="114" t="e">
        <f>Simulações!#REF!</f>
        <v>#REF!</v>
      </c>
      <c r="I609" s="114" t="e">
        <f>IF(Simulações!#REF!="","",Simulações!#REF!)</f>
        <v>#REF!</v>
      </c>
      <c r="J609" s="114" t="e">
        <f>IF(Simulações!#REF!="","",Simulações!#REF!)</f>
        <v>#REF!</v>
      </c>
      <c r="K609" s="117" t="e">
        <f>Simulações!#REF!</f>
        <v>#REF!</v>
      </c>
      <c r="L609" s="117" t="e">
        <f>Simulações!#REF!</f>
        <v>#REF!</v>
      </c>
      <c r="M609" s="114" t="e">
        <f>IF(Simulações!#REF!="","",Simulações!#REF!)</f>
        <v>#REF!</v>
      </c>
      <c r="N609" s="114" t="e">
        <f>IF(Simulações!#REF!="","",Simulações!#REF!)</f>
        <v>#REF!</v>
      </c>
      <c r="O609" s="114">
        <v>1</v>
      </c>
    </row>
    <row r="610" spans="1:15" ht="15.75" hidden="1" customHeight="1" x14ac:dyDescent="0.3">
      <c r="A610" s="124" t="e">
        <f>Simulações!#REF!</f>
        <v>#REF!</v>
      </c>
      <c r="B610" s="114" t="e">
        <f>Simulações!#REF!</f>
        <v>#REF!</v>
      </c>
      <c r="C610" s="125" t="e">
        <f>Simulações!#REF!</f>
        <v>#REF!</v>
      </c>
      <c r="D610" s="114" t="e">
        <f>Simulações!#REF!</f>
        <v>#REF!</v>
      </c>
      <c r="E610" s="114" t="e">
        <f>Simulações!#REF!</f>
        <v>#REF!</v>
      </c>
      <c r="F610" s="114" t="e">
        <f>Simulações!#REF!</f>
        <v>#REF!</v>
      </c>
      <c r="G610" s="114" t="e">
        <f>Simulações!#REF!</f>
        <v>#REF!</v>
      </c>
      <c r="H610" s="114" t="e">
        <f>Simulações!#REF!</f>
        <v>#REF!</v>
      </c>
      <c r="I610" s="114" t="e">
        <f>IF(Simulações!#REF!="","",Simulações!#REF!)</f>
        <v>#REF!</v>
      </c>
      <c r="J610" s="114" t="e">
        <f>IF(Simulações!#REF!="","",Simulações!#REF!)</f>
        <v>#REF!</v>
      </c>
      <c r="K610" s="117" t="e">
        <f>Simulações!#REF!</f>
        <v>#REF!</v>
      </c>
      <c r="L610" s="117" t="e">
        <f>Simulações!#REF!</f>
        <v>#REF!</v>
      </c>
      <c r="M610" s="114" t="e">
        <f>IF(Simulações!#REF!="","",Simulações!#REF!)</f>
        <v>#REF!</v>
      </c>
      <c r="N610" s="114" t="e">
        <f>IF(Simulações!#REF!="","",Simulações!#REF!)</f>
        <v>#REF!</v>
      </c>
      <c r="O610" s="114">
        <v>1</v>
      </c>
    </row>
    <row r="611" spans="1:15" ht="15.75" hidden="1" customHeight="1" x14ac:dyDescent="0.3">
      <c r="A611" s="124" t="e">
        <f>Simulações!#REF!</f>
        <v>#REF!</v>
      </c>
      <c r="B611" s="114" t="e">
        <f>Simulações!#REF!</f>
        <v>#REF!</v>
      </c>
      <c r="C611" s="125" t="e">
        <f>Simulações!#REF!</f>
        <v>#REF!</v>
      </c>
      <c r="D611" s="114" t="e">
        <f>Simulações!#REF!</f>
        <v>#REF!</v>
      </c>
      <c r="E611" s="114" t="e">
        <f>Simulações!#REF!</f>
        <v>#REF!</v>
      </c>
      <c r="F611" s="114" t="e">
        <f>Simulações!#REF!</f>
        <v>#REF!</v>
      </c>
      <c r="G611" s="114" t="e">
        <f>Simulações!#REF!</f>
        <v>#REF!</v>
      </c>
      <c r="H611" s="114" t="e">
        <f>Simulações!#REF!</f>
        <v>#REF!</v>
      </c>
      <c r="I611" s="114" t="e">
        <f>IF(Simulações!#REF!="","",Simulações!#REF!)</f>
        <v>#REF!</v>
      </c>
      <c r="J611" s="114" t="e">
        <f>IF(Simulações!#REF!="","",Simulações!#REF!)</f>
        <v>#REF!</v>
      </c>
      <c r="K611" s="117" t="e">
        <f>Simulações!#REF!</f>
        <v>#REF!</v>
      </c>
      <c r="L611" s="117" t="e">
        <f>Simulações!#REF!</f>
        <v>#REF!</v>
      </c>
      <c r="M611" s="114" t="e">
        <f>IF(Simulações!#REF!="","",Simulações!#REF!)</f>
        <v>#REF!</v>
      </c>
      <c r="N611" s="114" t="e">
        <f>IF(Simulações!#REF!="","",Simulações!#REF!)</f>
        <v>#REF!</v>
      </c>
      <c r="O611" s="114">
        <v>1</v>
      </c>
    </row>
    <row r="612" spans="1:15" ht="15.75" hidden="1" customHeight="1" x14ac:dyDescent="0.3">
      <c r="A612" s="124" t="e">
        <f>Simulações!#REF!</f>
        <v>#REF!</v>
      </c>
      <c r="B612" s="114" t="e">
        <f>Simulações!#REF!</f>
        <v>#REF!</v>
      </c>
      <c r="C612" s="125" t="e">
        <f>Simulações!#REF!</f>
        <v>#REF!</v>
      </c>
      <c r="D612" s="114" t="e">
        <f>Simulações!#REF!</f>
        <v>#REF!</v>
      </c>
      <c r="E612" s="114" t="e">
        <f>Simulações!#REF!</f>
        <v>#REF!</v>
      </c>
      <c r="F612" s="114" t="e">
        <f>Simulações!#REF!</f>
        <v>#REF!</v>
      </c>
      <c r="G612" s="114" t="e">
        <f>Simulações!#REF!</f>
        <v>#REF!</v>
      </c>
      <c r="H612" s="114" t="e">
        <f>Simulações!#REF!</f>
        <v>#REF!</v>
      </c>
      <c r="I612" s="114" t="e">
        <f>IF(Simulações!#REF!="","",Simulações!#REF!)</f>
        <v>#REF!</v>
      </c>
      <c r="J612" s="114" t="e">
        <f>IF(Simulações!#REF!="","",Simulações!#REF!)</f>
        <v>#REF!</v>
      </c>
      <c r="K612" s="117" t="e">
        <f>Simulações!#REF!</f>
        <v>#REF!</v>
      </c>
      <c r="L612" s="117" t="e">
        <f>Simulações!#REF!</f>
        <v>#REF!</v>
      </c>
      <c r="M612" s="114" t="e">
        <f>IF(Simulações!#REF!="","",Simulações!#REF!)</f>
        <v>#REF!</v>
      </c>
      <c r="N612" s="114" t="e">
        <f>IF(Simulações!#REF!="","",Simulações!#REF!)</f>
        <v>#REF!</v>
      </c>
      <c r="O612" s="114">
        <v>1</v>
      </c>
    </row>
    <row r="613" spans="1:15" ht="15.75" hidden="1" customHeight="1" x14ac:dyDescent="0.3">
      <c r="A613" s="124" t="e">
        <f>Simulações!#REF!</f>
        <v>#REF!</v>
      </c>
      <c r="B613" s="114" t="e">
        <f>Simulações!#REF!</f>
        <v>#REF!</v>
      </c>
      <c r="C613" s="125" t="e">
        <f>Simulações!#REF!</f>
        <v>#REF!</v>
      </c>
      <c r="D613" s="114" t="e">
        <f>Simulações!#REF!</f>
        <v>#REF!</v>
      </c>
      <c r="E613" s="114" t="e">
        <f>Simulações!#REF!</f>
        <v>#REF!</v>
      </c>
      <c r="F613" s="114" t="e">
        <f>Simulações!#REF!</f>
        <v>#REF!</v>
      </c>
      <c r="G613" s="114" t="e">
        <f>Simulações!#REF!</f>
        <v>#REF!</v>
      </c>
      <c r="H613" s="114" t="e">
        <f>Simulações!#REF!</f>
        <v>#REF!</v>
      </c>
      <c r="I613" s="114" t="e">
        <f>IF(Simulações!#REF!="","",Simulações!#REF!)</f>
        <v>#REF!</v>
      </c>
      <c r="J613" s="114" t="e">
        <f>IF(Simulações!#REF!="","",Simulações!#REF!)</f>
        <v>#REF!</v>
      </c>
      <c r="K613" s="117" t="e">
        <f>Simulações!#REF!</f>
        <v>#REF!</v>
      </c>
      <c r="L613" s="117" t="e">
        <f>Simulações!#REF!</f>
        <v>#REF!</v>
      </c>
      <c r="M613" s="114" t="e">
        <f>IF(Simulações!#REF!="","",Simulações!#REF!)</f>
        <v>#REF!</v>
      </c>
      <c r="N613" s="114" t="e">
        <f>IF(Simulações!#REF!="","",Simulações!#REF!)</f>
        <v>#REF!</v>
      </c>
      <c r="O613" s="114">
        <v>1</v>
      </c>
    </row>
    <row r="614" spans="1:15" ht="15.75" hidden="1" customHeight="1" x14ac:dyDescent="0.3">
      <c r="A614" s="124" t="e">
        <f>Simulações!#REF!</f>
        <v>#REF!</v>
      </c>
      <c r="B614" s="114" t="e">
        <f>Simulações!#REF!</f>
        <v>#REF!</v>
      </c>
      <c r="C614" s="125" t="e">
        <f>Simulações!#REF!</f>
        <v>#REF!</v>
      </c>
      <c r="D614" s="114" t="e">
        <f>Simulações!#REF!</f>
        <v>#REF!</v>
      </c>
      <c r="E614" s="114" t="e">
        <f>Simulações!#REF!</f>
        <v>#REF!</v>
      </c>
      <c r="F614" s="114" t="e">
        <f>Simulações!#REF!</f>
        <v>#REF!</v>
      </c>
      <c r="G614" s="114" t="e">
        <f>Simulações!#REF!</f>
        <v>#REF!</v>
      </c>
      <c r="H614" s="114" t="e">
        <f>Simulações!#REF!</f>
        <v>#REF!</v>
      </c>
      <c r="I614" s="114" t="e">
        <f>IF(Simulações!#REF!="","",Simulações!#REF!)</f>
        <v>#REF!</v>
      </c>
      <c r="J614" s="114" t="e">
        <f>IF(Simulações!#REF!="","",Simulações!#REF!)</f>
        <v>#REF!</v>
      </c>
      <c r="K614" s="117" t="e">
        <f>Simulações!#REF!</f>
        <v>#REF!</v>
      </c>
      <c r="L614" s="117" t="e">
        <f>Simulações!#REF!</f>
        <v>#REF!</v>
      </c>
      <c r="M614" s="114" t="e">
        <f>IF(Simulações!#REF!="","",Simulações!#REF!)</f>
        <v>#REF!</v>
      </c>
      <c r="N614" s="114" t="e">
        <f>IF(Simulações!#REF!="","",Simulações!#REF!)</f>
        <v>#REF!</v>
      </c>
      <c r="O614" s="114">
        <v>1</v>
      </c>
    </row>
    <row r="615" spans="1:15" ht="15.75" hidden="1" customHeight="1" x14ac:dyDescent="0.3">
      <c r="A615" s="124" t="e">
        <f>Simulações!#REF!</f>
        <v>#REF!</v>
      </c>
      <c r="B615" s="114" t="e">
        <f>Simulações!#REF!</f>
        <v>#REF!</v>
      </c>
      <c r="C615" s="125" t="e">
        <f>Simulações!#REF!</f>
        <v>#REF!</v>
      </c>
      <c r="D615" s="114" t="e">
        <f>Simulações!#REF!</f>
        <v>#REF!</v>
      </c>
      <c r="E615" s="114" t="e">
        <f>Simulações!#REF!</f>
        <v>#REF!</v>
      </c>
      <c r="F615" s="114" t="e">
        <f>Simulações!#REF!</f>
        <v>#REF!</v>
      </c>
      <c r="G615" s="114" t="e">
        <f>Simulações!#REF!</f>
        <v>#REF!</v>
      </c>
      <c r="H615" s="114" t="e">
        <f>Simulações!#REF!</f>
        <v>#REF!</v>
      </c>
      <c r="I615" s="114" t="e">
        <f>IF(Simulações!#REF!="","",Simulações!#REF!)</f>
        <v>#REF!</v>
      </c>
      <c r="J615" s="114" t="e">
        <f>IF(Simulações!#REF!="","",Simulações!#REF!)</f>
        <v>#REF!</v>
      </c>
      <c r="K615" s="117" t="e">
        <f>Simulações!#REF!</f>
        <v>#REF!</v>
      </c>
      <c r="L615" s="117" t="e">
        <f>Simulações!#REF!</f>
        <v>#REF!</v>
      </c>
      <c r="M615" s="114" t="e">
        <f>IF(Simulações!#REF!="","",Simulações!#REF!)</f>
        <v>#REF!</v>
      </c>
      <c r="N615" s="114" t="e">
        <f>IF(Simulações!#REF!="","",Simulações!#REF!)</f>
        <v>#REF!</v>
      </c>
      <c r="O615" s="114">
        <v>1</v>
      </c>
    </row>
    <row r="616" spans="1:15" ht="15.75" hidden="1" customHeight="1" x14ac:dyDescent="0.3">
      <c r="A616" s="124" t="e">
        <f>Simulações!#REF!</f>
        <v>#REF!</v>
      </c>
      <c r="B616" s="114" t="e">
        <f>Simulações!#REF!</f>
        <v>#REF!</v>
      </c>
      <c r="C616" s="125" t="e">
        <f>Simulações!#REF!</f>
        <v>#REF!</v>
      </c>
      <c r="D616" s="114" t="e">
        <f>Simulações!#REF!</f>
        <v>#REF!</v>
      </c>
      <c r="E616" s="114" t="e">
        <f>Simulações!#REF!</f>
        <v>#REF!</v>
      </c>
      <c r="F616" s="114" t="e">
        <f>Simulações!#REF!</f>
        <v>#REF!</v>
      </c>
      <c r="G616" s="114" t="e">
        <f>Simulações!#REF!</f>
        <v>#REF!</v>
      </c>
      <c r="H616" s="114" t="e">
        <f>Simulações!#REF!</f>
        <v>#REF!</v>
      </c>
      <c r="I616" s="114" t="e">
        <f>IF(Simulações!#REF!="","",Simulações!#REF!)</f>
        <v>#REF!</v>
      </c>
      <c r="J616" s="114" t="e">
        <f>IF(Simulações!#REF!="","",Simulações!#REF!)</f>
        <v>#REF!</v>
      </c>
      <c r="K616" s="117" t="e">
        <f>Simulações!#REF!</f>
        <v>#REF!</v>
      </c>
      <c r="L616" s="117" t="e">
        <f>Simulações!#REF!</f>
        <v>#REF!</v>
      </c>
      <c r="M616" s="114" t="e">
        <f>IF(Simulações!#REF!="","",Simulações!#REF!)</f>
        <v>#REF!</v>
      </c>
      <c r="N616" s="114" t="e">
        <f>IF(Simulações!#REF!="","",Simulações!#REF!)</f>
        <v>#REF!</v>
      </c>
      <c r="O616" s="114">
        <v>1</v>
      </c>
    </row>
    <row r="617" spans="1:15" ht="15.75" hidden="1" customHeight="1" x14ac:dyDescent="0.3">
      <c r="A617" s="124" t="e">
        <f>Simulações!#REF!</f>
        <v>#REF!</v>
      </c>
      <c r="B617" s="114" t="e">
        <f>Simulações!#REF!</f>
        <v>#REF!</v>
      </c>
      <c r="C617" s="125" t="e">
        <f>Simulações!#REF!</f>
        <v>#REF!</v>
      </c>
      <c r="D617" s="114" t="e">
        <f>Simulações!#REF!</f>
        <v>#REF!</v>
      </c>
      <c r="E617" s="114" t="e">
        <f>Simulações!#REF!</f>
        <v>#REF!</v>
      </c>
      <c r="F617" s="114" t="e">
        <f>Simulações!#REF!</f>
        <v>#REF!</v>
      </c>
      <c r="G617" s="114" t="e">
        <f>Simulações!#REF!</f>
        <v>#REF!</v>
      </c>
      <c r="H617" s="114" t="e">
        <f>Simulações!#REF!</f>
        <v>#REF!</v>
      </c>
      <c r="I617" s="114" t="e">
        <f>IF(Simulações!#REF!="","",Simulações!#REF!)</f>
        <v>#REF!</v>
      </c>
      <c r="J617" s="114" t="e">
        <f>IF(Simulações!#REF!="","",Simulações!#REF!)</f>
        <v>#REF!</v>
      </c>
      <c r="K617" s="117" t="e">
        <f>Simulações!#REF!</f>
        <v>#REF!</v>
      </c>
      <c r="L617" s="117" t="e">
        <f>Simulações!#REF!</f>
        <v>#REF!</v>
      </c>
      <c r="M617" s="114" t="e">
        <f>IF(Simulações!#REF!="","",Simulações!#REF!)</f>
        <v>#REF!</v>
      </c>
      <c r="N617" s="114" t="e">
        <f>IF(Simulações!#REF!="","",Simulações!#REF!)</f>
        <v>#REF!</v>
      </c>
      <c r="O617" s="114">
        <v>1</v>
      </c>
    </row>
    <row r="618" spans="1:15" ht="15.75" hidden="1" customHeight="1" x14ac:dyDescent="0.3">
      <c r="A618" s="124" t="e">
        <f>Simulações!#REF!</f>
        <v>#REF!</v>
      </c>
      <c r="B618" s="114" t="e">
        <f>Simulações!#REF!</f>
        <v>#REF!</v>
      </c>
      <c r="C618" s="125" t="e">
        <f>Simulações!#REF!</f>
        <v>#REF!</v>
      </c>
      <c r="D618" s="114" t="e">
        <f>Simulações!#REF!</f>
        <v>#REF!</v>
      </c>
      <c r="E618" s="114" t="e">
        <f>Simulações!#REF!</f>
        <v>#REF!</v>
      </c>
      <c r="F618" s="114" t="e">
        <f>Simulações!#REF!</f>
        <v>#REF!</v>
      </c>
      <c r="G618" s="114" t="e">
        <f>Simulações!#REF!</f>
        <v>#REF!</v>
      </c>
      <c r="H618" s="114" t="e">
        <f>Simulações!#REF!</f>
        <v>#REF!</v>
      </c>
      <c r="I618" s="114" t="e">
        <f>IF(Simulações!#REF!="","",Simulações!#REF!)</f>
        <v>#REF!</v>
      </c>
      <c r="J618" s="114" t="e">
        <f>IF(Simulações!#REF!="","",Simulações!#REF!)</f>
        <v>#REF!</v>
      </c>
      <c r="K618" s="117" t="e">
        <f>Simulações!#REF!</f>
        <v>#REF!</v>
      </c>
      <c r="L618" s="117" t="e">
        <f>Simulações!#REF!</f>
        <v>#REF!</v>
      </c>
      <c r="M618" s="114" t="e">
        <f>IF(Simulações!#REF!="","",Simulações!#REF!)</f>
        <v>#REF!</v>
      </c>
      <c r="N618" s="114" t="e">
        <f>IF(Simulações!#REF!="","",Simulações!#REF!)</f>
        <v>#REF!</v>
      </c>
      <c r="O618" s="114">
        <v>1</v>
      </c>
    </row>
    <row r="619" spans="1:15" ht="15.75" hidden="1" customHeight="1" x14ac:dyDescent="0.3">
      <c r="A619" s="124" t="e">
        <f>Simulações!#REF!</f>
        <v>#REF!</v>
      </c>
      <c r="B619" s="114" t="e">
        <f>Simulações!#REF!</f>
        <v>#REF!</v>
      </c>
      <c r="C619" s="125" t="e">
        <f>Simulações!#REF!</f>
        <v>#REF!</v>
      </c>
      <c r="D619" s="114" t="e">
        <f>Simulações!#REF!</f>
        <v>#REF!</v>
      </c>
      <c r="E619" s="114" t="e">
        <f>Simulações!#REF!</f>
        <v>#REF!</v>
      </c>
      <c r="F619" s="114" t="e">
        <f>Simulações!#REF!</f>
        <v>#REF!</v>
      </c>
      <c r="G619" s="114" t="e">
        <f>Simulações!#REF!</f>
        <v>#REF!</v>
      </c>
      <c r="H619" s="114" t="e">
        <f>Simulações!#REF!</f>
        <v>#REF!</v>
      </c>
      <c r="I619" s="114" t="e">
        <f>IF(Simulações!#REF!="","",Simulações!#REF!)</f>
        <v>#REF!</v>
      </c>
      <c r="J619" s="114" t="e">
        <f>IF(Simulações!#REF!="","",Simulações!#REF!)</f>
        <v>#REF!</v>
      </c>
      <c r="K619" s="117" t="e">
        <f>Simulações!#REF!</f>
        <v>#REF!</v>
      </c>
      <c r="L619" s="117" t="e">
        <f>Simulações!#REF!</f>
        <v>#REF!</v>
      </c>
      <c r="M619" s="114" t="e">
        <f>IF(Simulações!#REF!="","",Simulações!#REF!)</f>
        <v>#REF!</v>
      </c>
      <c r="N619" s="114" t="e">
        <f>IF(Simulações!#REF!="","",Simulações!#REF!)</f>
        <v>#REF!</v>
      </c>
      <c r="O619" s="114">
        <v>1</v>
      </c>
    </row>
    <row r="620" spans="1:15" ht="15.75" hidden="1" customHeight="1" x14ac:dyDescent="0.3">
      <c r="A620" s="124" t="e">
        <f>Simulações!#REF!</f>
        <v>#REF!</v>
      </c>
      <c r="B620" s="114" t="e">
        <f>Simulações!#REF!</f>
        <v>#REF!</v>
      </c>
      <c r="C620" s="125" t="e">
        <f>Simulações!#REF!</f>
        <v>#REF!</v>
      </c>
      <c r="D620" s="114" t="e">
        <f>Simulações!#REF!</f>
        <v>#REF!</v>
      </c>
      <c r="E620" s="114" t="e">
        <f>Simulações!#REF!</f>
        <v>#REF!</v>
      </c>
      <c r="F620" s="114" t="e">
        <f>Simulações!#REF!</f>
        <v>#REF!</v>
      </c>
      <c r="G620" s="114" t="e">
        <f>Simulações!#REF!</f>
        <v>#REF!</v>
      </c>
      <c r="H620" s="114" t="e">
        <f>Simulações!#REF!</f>
        <v>#REF!</v>
      </c>
      <c r="I620" s="114" t="e">
        <f>IF(Simulações!#REF!="","",Simulações!#REF!)</f>
        <v>#REF!</v>
      </c>
      <c r="J620" s="114" t="e">
        <f>IF(Simulações!#REF!="","",Simulações!#REF!)</f>
        <v>#REF!</v>
      </c>
      <c r="K620" s="117" t="e">
        <f>Simulações!#REF!</f>
        <v>#REF!</v>
      </c>
      <c r="L620" s="117" t="e">
        <f>Simulações!#REF!</f>
        <v>#REF!</v>
      </c>
      <c r="M620" s="114" t="e">
        <f>IF(Simulações!#REF!="","",Simulações!#REF!)</f>
        <v>#REF!</v>
      </c>
      <c r="N620" s="114" t="e">
        <f>IF(Simulações!#REF!="","",Simulações!#REF!)</f>
        <v>#REF!</v>
      </c>
      <c r="O620" s="114">
        <v>1</v>
      </c>
    </row>
    <row r="621" spans="1:15" ht="15.75" hidden="1" customHeight="1" x14ac:dyDescent="0.3">
      <c r="A621" s="124" t="e">
        <f>Simulações!#REF!</f>
        <v>#REF!</v>
      </c>
      <c r="B621" s="114" t="e">
        <f>Simulações!#REF!</f>
        <v>#REF!</v>
      </c>
      <c r="C621" s="125" t="e">
        <f>Simulações!#REF!</f>
        <v>#REF!</v>
      </c>
      <c r="D621" s="114" t="e">
        <f>Simulações!#REF!</f>
        <v>#REF!</v>
      </c>
      <c r="E621" s="114" t="e">
        <f>Simulações!#REF!</f>
        <v>#REF!</v>
      </c>
      <c r="F621" s="114" t="e">
        <f>Simulações!#REF!</f>
        <v>#REF!</v>
      </c>
      <c r="G621" s="114" t="e">
        <f>Simulações!#REF!</f>
        <v>#REF!</v>
      </c>
      <c r="H621" s="114" t="e">
        <f>Simulações!#REF!</f>
        <v>#REF!</v>
      </c>
      <c r="I621" s="114" t="e">
        <f>IF(Simulações!#REF!="","",Simulações!#REF!)</f>
        <v>#REF!</v>
      </c>
      <c r="J621" s="114" t="e">
        <f>IF(Simulações!#REF!="","",Simulações!#REF!)</f>
        <v>#REF!</v>
      </c>
      <c r="K621" s="117" t="e">
        <f>Simulações!#REF!</f>
        <v>#REF!</v>
      </c>
      <c r="L621" s="117" t="e">
        <f>Simulações!#REF!</f>
        <v>#REF!</v>
      </c>
      <c r="M621" s="114" t="e">
        <f>IF(Simulações!#REF!="","",Simulações!#REF!)</f>
        <v>#REF!</v>
      </c>
      <c r="N621" s="114" t="e">
        <f>IF(Simulações!#REF!="","",Simulações!#REF!)</f>
        <v>#REF!</v>
      </c>
      <c r="O621" s="114">
        <v>1</v>
      </c>
    </row>
    <row r="622" spans="1:15" ht="15.75" hidden="1" customHeight="1" x14ac:dyDescent="0.3">
      <c r="A622" s="124" t="e">
        <f>Simulações!#REF!</f>
        <v>#REF!</v>
      </c>
      <c r="B622" s="114" t="e">
        <f>Simulações!#REF!</f>
        <v>#REF!</v>
      </c>
      <c r="C622" s="125" t="e">
        <f>Simulações!#REF!</f>
        <v>#REF!</v>
      </c>
      <c r="D622" s="114" t="e">
        <f>Simulações!#REF!</f>
        <v>#REF!</v>
      </c>
      <c r="E622" s="114" t="e">
        <f>Simulações!#REF!</f>
        <v>#REF!</v>
      </c>
      <c r="F622" s="114" t="e">
        <f>Simulações!#REF!</f>
        <v>#REF!</v>
      </c>
      <c r="G622" s="114" t="e">
        <f>Simulações!#REF!</f>
        <v>#REF!</v>
      </c>
      <c r="H622" s="114" t="e">
        <f>Simulações!#REF!</f>
        <v>#REF!</v>
      </c>
      <c r="I622" s="114" t="e">
        <f>IF(Simulações!#REF!="","",Simulações!#REF!)</f>
        <v>#REF!</v>
      </c>
      <c r="J622" s="114" t="e">
        <f>IF(Simulações!#REF!="","",Simulações!#REF!)</f>
        <v>#REF!</v>
      </c>
      <c r="K622" s="117" t="e">
        <f>Simulações!#REF!</f>
        <v>#REF!</v>
      </c>
      <c r="L622" s="117" t="e">
        <f>Simulações!#REF!</f>
        <v>#REF!</v>
      </c>
      <c r="M622" s="114" t="e">
        <f>IF(Simulações!#REF!="","",Simulações!#REF!)</f>
        <v>#REF!</v>
      </c>
      <c r="N622" s="114" t="e">
        <f>IF(Simulações!#REF!="","",Simulações!#REF!)</f>
        <v>#REF!</v>
      </c>
      <c r="O622" s="114">
        <v>1</v>
      </c>
    </row>
    <row r="623" spans="1:15" ht="15.75" hidden="1" customHeight="1" x14ac:dyDescent="0.3">
      <c r="A623" s="124" t="e">
        <f>Simulações!#REF!</f>
        <v>#REF!</v>
      </c>
      <c r="B623" s="114" t="e">
        <f>Simulações!#REF!</f>
        <v>#REF!</v>
      </c>
      <c r="C623" s="125" t="e">
        <f>Simulações!#REF!</f>
        <v>#REF!</v>
      </c>
      <c r="D623" s="114" t="e">
        <f>Simulações!#REF!</f>
        <v>#REF!</v>
      </c>
      <c r="E623" s="114" t="e">
        <f>Simulações!#REF!</f>
        <v>#REF!</v>
      </c>
      <c r="F623" s="114" t="e">
        <f>Simulações!#REF!</f>
        <v>#REF!</v>
      </c>
      <c r="G623" s="114" t="e">
        <f>Simulações!#REF!</f>
        <v>#REF!</v>
      </c>
      <c r="H623" s="114" t="e">
        <f>Simulações!#REF!</f>
        <v>#REF!</v>
      </c>
      <c r="I623" s="114" t="e">
        <f>IF(Simulações!#REF!="","",Simulações!#REF!)</f>
        <v>#REF!</v>
      </c>
      <c r="J623" s="114" t="e">
        <f>IF(Simulações!#REF!="","",Simulações!#REF!)</f>
        <v>#REF!</v>
      </c>
      <c r="K623" s="117" t="e">
        <f>Simulações!#REF!</f>
        <v>#REF!</v>
      </c>
      <c r="L623" s="117" t="e">
        <f>Simulações!#REF!</f>
        <v>#REF!</v>
      </c>
      <c r="M623" s="114" t="e">
        <f>IF(Simulações!#REF!="","",Simulações!#REF!)</f>
        <v>#REF!</v>
      </c>
      <c r="N623" s="114" t="e">
        <f>IF(Simulações!#REF!="","",Simulações!#REF!)</f>
        <v>#REF!</v>
      </c>
      <c r="O623" s="114">
        <v>1</v>
      </c>
    </row>
    <row r="624" spans="1:15" ht="15.75" hidden="1" customHeight="1" x14ac:dyDescent="0.3">
      <c r="A624" s="124" t="e">
        <f>Simulações!#REF!</f>
        <v>#REF!</v>
      </c>
      <c r="B624" s="114" t="e">
        <f>Simulações!#REF!</f>
        <v>#REF!</v>
      </c>
      <c r="C624" s="125" t="e">
        <f>Simulações!#REF!</f>
        <v>#REF!</v>
      </c>
      <c r="D624" s="114" t="e">
        <f>Simulações!#REF!</f>
        <v>#REF!</v>
      </c>
      <c r="E624" s="114" t="e">
        <f>Simulações!#REF!</f>
        <v>#REF!</v>
      </c>
      <c r="F624" s="114" t="e">
        <f>Simulações!#REF!</f>
        <v>#REF!</v>
      </c>
      <c r="G624" s="114" t="e">
        <f>Simulações!#REF!</f>
        <v>#REF!</v>
      </c>
      <c r="H624" s="114" t="e">
        <f>Simulações!#REF!</f>
        <v>#REF!</v>
      </c>
      <c r="I624" s="114" t="e">
        <f>IF(Simulações!#REF!="","",Simulações!#REF!)</f>
        <v>#REF!</v>
      </c>
      <c r="J624" s="114" t="e">
        <f>IF(Simulações!#REF!="","",Simulações!#REF!)</f>
        <v>#REF!</v>
      </c>
      <c r="K624" s="117" t="e">
        <f>Simulações!#REF!</f>
        <v>#REF!</v>
      </c>
      <c r="L624" s="117" t="e">
        <f>Simulações!#REF!</f>
        <v>#REF!</v>
      </c>
      <c r="M624" s="114" t="e">
        <f>IF(Simulações!#REF!="","",Simulações!#REF!)</f>
        <v>#REF!</v>
      </c>
      <c r="N624" s="114" t="e">
        <f>IF(Simulações!#REF!="","",Simulações!#REF!)</f>
        <v>#REF!</v>
      </c>
      <c r="O624" s="114">
        <v>1</v>
      </c>
    </row>
    <row r="625" spans="1:15" ht="15.75" hidden="1" customHeight="1" x14ac:dyDescent="0.3">
      <c r="A625" s="124" t="e">
        <f>Simulações!#REF!</f>
        <v>#REF!</v>
      </c>
      <c r="B625" s="114" t="e">
        <f>Simulações!#REF!</f>
        <v>#REF!</v>
      </c>
      <c r="C625" s="125" t="e">
        <f>Simulações!#REF!</f>
        <v>#REF!</v>
      </c>
      <c r="D625" s="114" t="e">
        <f>Simulações!#REF!</f>
        <v>#REF!</v>
      </c>
      <c r="E625" s="114" t="e">
        <f>Simulações!#REF!</f>
        <v>#REF!</v>
      </c>
      <c r="F625" s="114" t="e">
        <f>Simulações!#REF!</f>
        <v>#REF!</v>
      </c>
      <c r="G625" s="114" t="e">
        <f>Simulações!#REF!</f>
        <v>#REF!</v>
      </c>
      <c r="H625" s="114" t="e">
        <f>Simulações!#REF!</f>
        <v>#REF!</v>
      </c>
      <c r="I625" s="114" t="e">
        <f>IF(Simulações!#REF!="","",Simulações!#REF!)</f>
        <v>#REF!</v>
      </c>
      <c r="J625" s="114" t="e">
        <f>IF(Simulações!#REF!="","",Simulações!#REF!)</f>
        <v>#REF!</v>
      </c>
      <c r="K625" s="117" t="e">
        <f>Simulações!#REF!</f>
        <v>#REF!</v>
      </c>
      <c r="L625" s="117" t="e">
        <f>Simulações!#REF!</f>
        <v>#REF!</v>
      </c>
      <c r="M625" s="114" t="e">
        <f>IF(Simulações!#REF!="","",Simulações!#REF!)</f>
        <v>#REF!</v>
      </c>
      <c r="N625" s="114" t="e">
        <f>IF(Simulações!#REF!="","",Simulações!#REF!)</f>
        <v>#REF!</v>
      </c>
      <c r="O625" s="114">
        <v>1</v>
      </c>
    </row>
    <row r="626" spans="1:15" ht="15.75" hidden="1" customHeight="1" x14ac:dyDescent="0.3">
      <c r="A626" s="124" t="e">
        <f>Simulações!#REF!</f>
        <v>#REF!</v>
      </c>
      <c r="B626" s="114" t="e">
        <f>Simulações!#REF!</f>
        <v>#REF!</v>
      </c>
      <c r="C626" s="125" t="e">
        <f>Simulações!#REF!</f>
        <v>#REF!</v>
      </c>
      <c r="D626" s="114" t="e">
        <f>Simulações!#REF!</f>
        <v>#REF!</v>
      </c>
      <c r="E626" s="114" t="e">
        <f>Simulações!#REF!</f>
        <v>#REF!</v>
      </c>
      <c r="F626" s="114" t="e">
        <f>Simulações!#REF!</f>
        <v>#REF!</v>
      </c>
      <c r="G626" s="114" t="e">
        <f>Simulações!#REF!</f>
        <v>#REF!</v>
      </c>
      <c r="H626" s="114" t="e">
        <f>Simulações!#REF!</f>
        <v>#REF!</v>
      </c>
      <c r="I626" s="114" t="e">
        <f>IF(Simulações!#REF!="","",Simulações!#REF!)</f>
        <v>#REF!</v>
      </c>
      <c r="J626" s="114" t="e">
        <f>IF(Simulações!#REF!="","",Simulações!#REF!)</f>
        <v>#REF!</v>
      </c>
      <c r="K626" s="117" t="e">
        <f>Simulações!#REF!</f>
        <v>#REF!</v>
      </c>
      <c r="L626" s="117" t="e">
        <f>Simulações!#REF!</f>
        <v>#REF!</v>
      </c>
      <c r="M626" s="114" t="e">
        <f>IF(Simulações!#REF!="","",Simulações!#REF!)</f>
        <v>#REF!</v>
      </c>
      <c r="N626" s="114" t="e">
        <f>IF(Simulações!#REF!="","",Simulações!#REF!)</f>
        <v>#REF!</v>
      </c>
      <c r="O626" s="114">
        <v>1</v>
      </c>
    </row>
    <row r="627" spans="1:15" ht="15.75" hidden="1" customHeight="1" x14ac:dyDescent="0.3">
      <c r="A627" s="124" t="e">
        <f>Simulações!#REF!</f>
        <v>#REF!</v>
      </c>
      <c r="B627" s="114" t="e">
        <f>Simulações!#REF!</f>
        <v>#REF!</v>
      </c>
      <c r="C627" s="125" t="e">
        <f>Simulações!#REF!</f>
        <v>#REF!</v>
      </c>
      <c r="D627" s="114" t="e">
        <f>Simulações!#REF!</f>
        <v>#REF!</v>
      </c>
      <c r="E627" s="114" t="e">
        <f>Simulações!#REF!</f>
        <v>#REF!</v>
      </c>
      <c r="F627" s="114" t="e">
        <f>Simulações!#REF!</f>
        <v>#REF!</v>
      </c>
      <c r="G627" s="114" t="e">
        <f>Simulações!#REF!</f>
        <v>#REF!</v>
      </c>
      <c r="H627" s="114" t="e">
        <f>Simulações!#REF!</f>
        <v>#REF!</v>
      </c>
      <c r="I627" s="114" t="e">
        <f>IF(Simulações!#REF!="","",Simulações!#REF!)</f>
        <v>#REF!</v>
      </c>
      <c r="J627" s="114" t="e">
        <f>IF(Simulações!#REF!="","",Simulações!#REF!)</f>
        <v>#REF!</v>
      </c>
      <c r="K627" s="117" t="e">
        <f>Simulações!#REF!</f>
        <v>#REF!</v>
      </c>
      <c r="L627" s="117" t="e">
        <f>Simulações!#REF!</f>
        <v>#REF!</v>
      </c>
      <c r="M627" s="114" t="e">
        <f>IF(Simulações!#REF!="","",Simulações!#REF!)</f>
        <v>#REF!</v>
      </c>
      <c r="N627" s="114" t="e">
        <f>IF(Simulações!#REF!="","",Simulações!#REF!)</f>
        <v>#REF!</v>
      </c>
      <c r="O627" s="114">
        <v>1</v>
      </c>
    </row>
    <row r="628" spans="1:15" ht="15.75" hidden="1" customHeight="1" x14ac:dyDescent="0.3">
      <c r="A628" s="124" t="e">
        <f>Simulações!#REF!</f>
        <v>#REF!</v>
      </c>
      <c r="B628" s="114" t="e">
        <f>Simulações!#REF!</f>
        <v>#REF!</v>
      </c>
      <c r="C628" s="125" t="e">
        <f>Simulações!#REF!</f>
        <v>#REF!</v>
      </c>
      <c r="D628" s="114" t="e">
        <f>Simulações!#REF!</f>
        <v>#REF!</v>
      </c>
      <c r="E628" s="114" t="e">
        <f>Simulações!#REF!</f>
        <v>#REF!</v>
      </c>
      <c r="F628" s="114" t="e">
        <f>Simulações!#REF!</f>
        <v>#REF!</v>
      </c>
      <c r="G628" s="114" t="e">
        <f>Simulações!#REF!</f>
        <v>#REF!</v>
      </c>
      <c r="H628" s="114" t="e">
        <f>Simulações!#REF!</f>
        <v>#REF!</v>
      </c>
      <c r="I628" s="114" t="e">
        <f>IF(Simulações!#REF!="","",Simulações!#REF!)</f>
        <v>#REF!</v>
      </c>
      <c r="J628" s="114" t="e">
        <f>IF(Simulações!#REF!="","",Simulações!#REF!)</f>
        <v>#REF!</v>
      </c>
      <c r="K628" s="117" t="e">
        <f>Simulações!#REF!</f>
        <v>#REF!</v>
      </c>
      <c r="L628" s="117" t="e">
        <f>Simulações!#REF!</f>
        <v>#REF!</v>
      </c>
      <c r="M628" s="114" t="e">
        <f>IF(Simulações!#REF!="","",Simulações!#REF!)</f>
        <v>#REF!</v>
      </c>
      <c r="N628" s="114" t="e">
        <f>IF(Simulações!#REF!="","",Simulações!#REF!)</f>
        <v>#REF!</v>
      </c>
      <c r="O628" s="114">
        <v>1</v>
      </c>
    </row>
    <row r="629" spans="1:15" ht="15.75" hidden="1" customHeight="1" x14ac:dyDescent="0.3">
      <c r="A629" s="124" t="e">
        <f>Simulações!#REF!</f>
        <v>#REF!</v>
      </c>
      <c r="B629" s="114" t="e">
        <f>Simulações!#REF!</f>
        <v>#REF!</v>
      </c>
      <c r="C629" s="125" t="e">
        <f>Simulações!#REF!</f>
        <v>#REF!</v>
      </c>
      <c r="D629" s="114" t="e">
        <f>Simulações!#REF!</f>
        <v>#REF!</v>
      </c>
      <c r="E629" s="114" t="e">
        <f>Simulações!#REF!</f>
        <v>#REF!</v>
      </c>
      <c r="F629" s="114" t="e">
        <f>Simulações!#REF!</f>
        <v>#REF!</v>
      </c>
      <c r="G629" s="114" t="e">
        <f>Simulações!#REF!</f>
        <v>#REF!</v>
      </c>
      <c r="H629" s="114" t="e">
        <f>Simulações!#REF!</f>
        <v>#REF!</v>
      </c>
      <c r="I629" s="114" t="e">
        <f>IF(Simulações!#REF!="","",Simulações!#REF!)</f>
        <v>#REF!</v>
      </c>
      <c r="J629" s="114" t="e">
        <f>IF(Simulações!#REF!="","",Simulações!#REF!)</f>
        <v>#REF!</v>
      </c>
      <c r="K629" s="117" t="e">
        <f>Simulações!#REF!</f>
        <v>#REF!</v>
      </c>
      <c r="L629" s="117" t="e">
        <f>Simulações!#REF!</f>
        <v>#REF!</v>
      </c>
      <c r="M629" s="114" t="e">
        <f>IF(Simulações!#REF!="","",Simulações!#REF!)</f>
        <v>#REF!</v>
      </c>
      <c r="N629" s="114" t="e">
        <f>IF(Simulações!#REF!="","",Simulações!#REF!)</f>
        <v>#REF!</v>
      </c>
      <c r="O629" s="114">
        <v>1</v>
      </c>
    </row>
    <row r="630" spans="1:15" ht="15.75" hidden="1" customHeight="1" x14ac:dyDescent="0.3">
      <c r="A630" s="124" t="e">
        <f>Simulações!#REF!</f>
        <v>#REF!</v>
      </c>
      <c r="B630" s="114" t="e">
        <f>Simulações!#REF!</f>
        <v>#REF!</v>
      </c>
      <c r="C630" s="125" t="e">
        <f>Simulações!#REF!</f>
        <v>#REF!</v>
      </c>
      <c r="D630" s="114" t="e">
        <f>Simulações!#REF!</f>
        <v>#REF!</v>
      </c>
      <c r="E630" s="114" t="e">
        <f>Simulações!#REF!</f>
        <v>#REF!</v>
      </c>
      <c r="F630" s="114" t="e">
        <f>Simulações!#REF!</f>
        <v>#REF!</v>
      </c>
      <c r="G630" s="114" t="e">
        <f>Simulações!#REF!</f>
        <v>#REF!</v>
      </c>
      <c r="H630" s="114" t="e">
        <f>Simulações!#REF!</f>
        <v>#REF!</v>
      </c>
      <c r="I630" s="114" t="e">
        <f>IF(Simulações!#REF!="","",Simulações!#REF!)</f>
        <v>#REF!</v>
      </c>
      <c r="J630" s="114" t="e">
        <f>IF(Simulações!#REF!="","",Simulações!#REF!)</f>
        <v>#REF!</v>
      </c>
      <c r="K630" s="117" t="e">
        <f>Simulações!#REF!</f>
        <v>#REF!</v>
      </c>
      <c r="L630" s="117" t="e">
        <f>Simulações!#REF!</f>
        <v>#REF!</v>
      </c>
      <c r="M630" s="114" t="e">
        <f>IF(Simulações!#REF!="","",Simulações!#REF!)</f>
        <v>#REF!</v>
      </c>
      <c r="N630" s="114" t="e">
        <f>IF(Simulações!#REF!="","",Simulações!#REF!)</f>
        <v>#REF!</v>
      </c>
      <c r="O630" s="114">
        <v>1</v>
      </c>
    </row>
    <row r="631" spans="1:15" ht="15.75" hidden="1" customHeight="1" x14ac:dyDescent="0.3">
      <c r="A631" s="124" t="e">
        <f>Simulações!#REF!</f>
        <v>#REF!</v>
      </c>
      <c r="B631" s="114" t="e">
        <f>Simulações!#REF!</f>
        <v>#REF!</v>
      </c>
      <c r="C631" s="125" t="e">
        <f>Simulações!#REF!</f>
        <v>#REF!</v>
      </c>
      <c r="D631" s="114" t="e">
        <f>Simulações!#REF!</f>
        <v>#REF!</v>
      </c>
      <c r="E631" s="114" t="e">
        <f>Simulações!#REF!</f>
        <v>#REF!</v>
      </c>
      <c r="F631" s="114" t="e">
        <f>Simulações!#REF!</f>
        <v>#REF!</v>
      </c>
      <c r="G631" s="114" t="e">
        <f>Simulações!#REF!</f>
        <v>#REF!</v>
      </c>
      <c r="H631" s="114" t="e">
        <f>Simulações!#REF!</f>
        <v>#REF!</v>
      </c>
      <c r="I631" s="114" t="e">
        <f>IF(Simulações!#REF!="","",Simulações!#REF!)</f>
        <v>#REF!</v>
      </c>
      <c r="J631" s="114" t="e">
        <f>IF(Simulações!#REF!="","",Simulações!#REF!)</f>
        <v>#REF!</v>
      </c>
      <c r="K631" s="117" t="e">
        <f>Simulações!#REF!</f>
        <v>#REF!</v>
      </c>
      <c r="L631" s="117" t="e">
        <f>Simulações!#REF!</f>
        <v>#REF!</v>
      </c>
      <c r="M631" s="114" t="e">
        <f>IF(Simulações!#REF!="","",Simulações!#REF!)</f>
        <v>#REF!</v>
      </c>
      <c r="N631" s="114" t="e">
        <f>IF(Simulações!#REF!="","",Simulações!#REF!)</f>
        <v>#REF!</v>
      </c>
      <c r="O631" s="114">
        <v>1</v>
      </c>
    </row>
    <row r="632" spans="1:15" ht="15.75" hidden="1" customHeight="1" x14ac:dyDescent="0.3">
      <c r="A632" s="124" t="e">
        <f>Simulações!#REF!</f>
        <v>#REF!</v>
      </c>
      <c r="B632" s="114" t="e">
        <f>Simulações!#REF!</f>
        <v>#REF!</v>
      </c>
      <c r="C632" s="125" t="e">
        <f>Simulações!#REF!</f>
        <v>#REF!</v>
      </c>
      <c r="D632" s="114" t="e">
        <f>Simulações!#REF!</f>
        <v>#REF!</v>
      </c>
      <c r="E632" s="114" t="e">
        <f>Simulações!#REF!</f>
        <v>#REF!</v>
      </c>
      <c r="F632" s="114" t="e">
        <f>Simulações!#REF!</f>
        <v>#REF!</v>
      </c>
      <c r="G632" s="114" t="e">
        <f>Simulações!#REF!</f>
        <v>#REF!</v>
      </c>
      <c r="H632" s="114" t="e">
        <f>Simulações!#REF!</f>
        <v>#REF!</v>
      </c>
      <c r="I632" s="114" t="e">
        <f>IF(Simulações!#REF!="","",Simulações!#REF!)</f>
        <v>#REF!</v>
      </c>
      <c r="J632" s="114" t="e">
        <f>IF(Simulações!#REF!="","",Simulações!#REF!)</f>
        <v>#REF!</v>
      </c>
      <c r="K632" s="117" t="e">
        <f>Simulações!#REF!</f>
        <v>#REF!</v>
      </c>
      <c r="L632" s="117" t="e">
        <f>Simulações!#REF!</f>
        <v>#REF!</v>
      </c>
      <c r="M632" s="114" t="e">
        <f>IF(Simulações!#REF!="","",Simulações!#REF!)</f>
        <v>#REF!</v>
      </c>
      <c r="N632" s="114" t="e">
        <f>IF(Simulações!#REF!="","",Simulações!#REF!)</f>
        <v>#REF!</v>
      </c>
      <c r="O632" s="114">
        <v>1</v>
      </c>
    </row>
    <row r="633" spans="1:15" ht="15.75" hidden="1" customHeight="1" x14ac:dyDescent="0.3">
      <c r="A633" s="124" t="e">
        <f>Simulações!#REF!</f>
        <v>#REF!</v>
      </c>
      <c r="B633" s="114" t="e">
        <f>Simulações!#REF!</f>
        <v>#REF!</v>
      </c>
      <c r="C633" s="125" t="e">
        <f>Simulações!#REF!</f>
        <v>#REF!</v>
      </c>
      <c r="D633" s="114" t="e">
        <f>Simulações!#REF!</f>
        <v>#REF!</v>
      </c>
      <c r="E633" s="114" t="e">
        <f>Simulações!#REF!</f>
        <v>#REF!</v>
      </c>
      <c r="F633" s="114" t="e">
        <f>Simulações!#REF!</f>
        <v>#REF!</v>
      </c>
      <c r="G633" s="114" t="e">
        <f>Simulações!#REF!</f>
        <v>#REF!</v>
      </c>
      <c r="H633" s="114" t="e">
        <f>Simulações!#REF!</f>
        <v>#REF!</v>
      </c>
      <c r="I633" s="114" t="e">
        <f>IF(Simulações!#REF!="","",Simulações!#REF!)</f>
        <v>#REF!</v>
      </c>
      <c r="J633" s="114" t="e">
        <f>IF(Simulações!#REF!="","",Simulações!#REF!)</f>
        <v>#REF!</v>
      </c>
      <c r="K633" s="117" t="e">
        <f>Simulações!#REF!</f>
        <v>#REF!</v>
      </c>
      <c r="L633" s="117" t="e">
        <f>Simulações!#REF!</f>
        <v>#REF!</v>
      </c>
      <c r="M633" s="114" t="e">
        <f>IF(Simulações!#REF!="","",Simulações!#REF!)</f>
        <v>#REF!</v>
      </c>
      <c r="N633" s="114" t="e">
        <f>IF(Simulações!#REF!="","",Simulações!#REF!)</f>
        <v>#REF!</v>
      </c>
      <c r="O633" s="114">
        <v>1</v>
      </c>
    </row>
    <row r="634" spans="1:15" ht="15.75" hidden="1" customHeight="1" x14ac:dyDescent="0.3">
      <c r="A634" s="124" t="e">
        <f>Simulações!#REF!</f>
        <v>#REF!</v>
      </c>
      <c r="B634" s="114" t="e">
        <f>Simulações!#REF!</f>
        <v>#REF!</v>
      </c>
      <c r="C634" s="125" t="e">
        <f>Simulações!#REF!</f>
        <v>#REF!</v>
      </c>
      <c r="D634" s="114" t="e">
        <f>Simulações!#REF!</f>
        <v>#REF!</v>
      </c>
      <c r="E634" s="114" t="e">
        <f>Simulações!#REF!</f>
        <v>#REF!</v>
      </c>
      <c r="F634" s="114" t="e">
        <f>Simulações!#REF!</f>
        <v>#REF!</v>
      </c>
      <c r="G634" s="114" t="e">
        <f>Simulações!#REF!</f>
        <v>#REF!</v>
      </c>
      <c r="H634" s="114" t="e">
        <f>Simulações!#REF!</f>
        <v>#REF!</v>
      </c>
      <c r="I634" s="114" t="e">
        <f>IF(Simulações!#REF!="","",Simulações!#REF!)</f>
        <v>#REF!</v>
      </c>
      <c r="J634" s="114" t="e">
        <f>IF(Simulações!#REF!="","",Simulações!#REF!)</f>
        <v>#REF!</v>
      </c>
      <c r="K634" s="117" t="e">
        <f>Simulações!#REF!</f>
        <v>#REF!</v>
      </c>
      <c r="L634" s="117" t="e">
        <f>Simulações!#REF!</f>
        <v>#REF!</v>
      </c>
      <c r="M634" s="114" t="e">
        <f>IF(Simulações!#REF!="","",Simulações!#REF!)</f>
        <v>#REF!</v>
      </c>
      <c r="N634" s="114" t="e">
        <f>IF(Simulações!#REF!="","",Simulações!#REF!)</f>
        <v>#REF!</v>
      </c>
      <c r="O634" s="114">
        <v>1</v>
      </c>
    </row>
    <row r="635" spans="1:15" ht="15.75" hidden="1" customHeight="1" x14ac:dyDescent="0.3">
      <c r="A635" s="124" t="e">
        <f>Simulações!#REF!</f>
        <v>#REF!</v>
      </c>
      <c r="B635" s="114" t="e">
        <f>Simulações!#REF!</f>
        <v>#REF!</v>
      </c>
      <c r="C635" s="125" t="e">
        <f>Simulações!#REF!</f>
        <v>#REF!</v>
      </c>
      <c r="D635" s="114" t="e">
        <f>Simulações!#REF!</f>
        <v>#REF!</v>
      </c>
      <c r="E635" s="114" t="e">
        <f>Simulações!#REF!</f>
        <v>#REF!</v>
      </c>
      <c r="F635" s="114" t="e">
        <f>Simulações!#REF!</f>
        <v>#REF!</v>
      </c>
      <c r="G635" s="114" t="e">
        <f>Simulações!#REF!</f>
        <v>#REF!</v>
      </c>
      <c r="H635" s="114" t="e">
        <f>Simulações!#REF!</f>
        <v>#REF!</v>
      </c>
      <c r="I635" s="114" t="e">
        <f>IF(Simulações!#REF!="","",Simulações!#REF!)</f>
        <v>#REF!</v>
      </c>
      <c r="J635" s="114" t="e">
        <f>IF(Simulações!#REF!="","",Simulações!#REF!)</f>
        <v>#REF!</v>
      </c>
      <c r="K635" s="117" t="e">
        <f>Simulações!#REF!</f>
        <v>#REF!</v>
      </c>
      <c r="L635" s="117" t="e">
        <f>Simulações!#REF!</f>
        <v>#REF!</v>
      </c>
      <c r="M635" s="114" t="e">
        <f>IF(Simulações!#REF!="","",Simulações!#REF!)</f>
        <v>#REF!</v>
      </c>
      <c r="N635" s="114" t="e">
        <f>IF(Simulações!#REF!="","",Simulações!#REF!)</f>
        <v>#REF!</v>
      </c>
      <c r="O635" s="114">
        <v>1</v>
      </c>
    </row>
    <row r="636" spans="1:15" ht="15.75" hidden="1" customHeight="1" x14ac:dyDescent="0.3">
      <c r="A636" s="124" t="e">
        <f>Simulações!#REF!</f>
        <v>#REF!</v>
      </c>
      <c r="B636" s="114" t="e">
        <f>Simulações!#REF!</f>
        <v>#REF!</v>
      </c>
      <c r="C636" s="125" t="e">
        <f>Simulações!#REF!</f>
        <v>#REF!</v>
      </c>
      <c r="D636" s="114" t="e">
        <f>Simulações!#REF!</f>
        <v>#REF!</v>
      </c>
      <c r="E636" s="114" t="e">
        <f>Simulações!#REF!</f>
        <v>#REF!</v>
      </c>
      <c r="F636" s="114" t="e">
        <f>Simulações!#REF!</f>
        <v>#REF!</v>
      </c>
      <c r="G636" s="114" t="e">
        <f>Simulações!#REF!</f>
        <v>#REF!</v>
      </c>
      <c r="H636" s="114" t="e">
        <f>Simulações!#REF!</f>
        <v>#REF!</v>
      </c>
      <c r="I636" s="114" t="e">
        <f>IF(Simulações!#REF!="","",Simulações!#REF!)</f>
        <v>#REF!</v>
      </c>
      <c r="J636" s="114" t="e">
        <f>IF(Simulações!#REF!="","",Simulações!#REF!)</f>
        <v>#REF!</v>
      </c>
      <c r="K636" s="117" t="e">
        <f>Simulações!#REF!</f>
        <v>#REF!</v>
      </c>
      <c r="L636" s="117" t="e">
        <f>Simulações!#REF!</f>
        <v>#REF!</v>
      </c>
      <c r="M636" s="114" t="e">
        <f>IF(Simulações!#REF!="","",Simulações!#REF!)</f>
        <v>#REF!</v>
      </c>
      <c r="N636" s="114" t="e">
        <f>IF(Simulações!#REF!="","",Simulações!#REF!)</f>
        <v>#REF!</v>
      </c>
      <c r="O636" s="114">
        <v>1</v>
      </c>
    </row>
    <row r="637" spans="1:15" ht="15.75" hidden="1" customHeight="1" x14ac:dyDescent="0.3">
      <c r="A637" s="124" t="e">
        <f>Simulações!#REF!</f>
        <v>#REF!</v>
      </c>
      <c r="B637" s="114" t="e">
        <f>Simulações!#REF!</f>
        <v>#REF!</v>
      </c>
      <c r="C637" s="125" t="e">
        <f>Simulações!#REF!</f>
        <v>#REF!</v>
      </c>
      <c r="D637" s="114" t="e">
        <f>Simulações!#REF!</f>
        <v>#REF!</v>
      </c>
      <c r="E637" s="114" t="e">
        <f>Simulações!#REF!</f>
        <v>#REF!</v>
      </c>
      <c r="F637" s="114" t="e">
        <f>Simulações!#REF!</f>
        <v>#REF!</v>
      </c>
      <c r="G637" s="114" t="e">
        <f>Simulações!#REF!</f>
        <v>#REF!</v>
      </c>
      <c r="H637" s="114" t="e">
        <f>Simulações!#REF!</f>
        <v>#REF!</v>
      </c>
      <c r="I637" s="114" t="e">
        <f>IF(Simulações!#REF!="","",Simulações!#REF!)</f>
        <v>#REF!</v>
      </c>
      <c r="J637" s="114" t="e">
        <f>IF(Simulações!#REF!="","",Simulações!#REF!)</f>
        <v>#REF!</v>
      </c>
      <c r="K637" s="117" t="e">
        <f>Simulações!#REF!</f>
        <v>#REF!</v>
      </c>
      <c r="L637" s="117" t="e">
        <f>Simulações!#REF!</f>
        <v>#REF!</v>
      </c>
      <c r="M637" s="114" t="e">
        <f>IF(Simulações!#REF!="","",Simulações!#REF!)</f>
        <v>#REF!</v>
      </c>
      <c r="N637" s="114" t="e">
        <f>IF(Simulações!#REF!="","",Simulações!#REF!)</f>
        <v>#REF!</v>
      </c>
      <c r="O637" s="114">
        <v>1</v>
      </c>
    </row>
    <row r="638" spans="1:15" ht="15.75" hidden="1" customHeight="1" x14ac:dyDescent="0.3">
      <c r="A638" s="124" t="e">
        <f>Simulações!#REF!</f>
        <v>#REF!</v>
      </c>
      <c r="B638" s="114" t="e">
        <f>Simulações!#REF!</f>
        <v>#REF!</v>
      </c>
      <c r="C638" s="125" t="e">
        <f>Simulações!#REF!</f>
        <v>#REF!</v>
      </c>
      <c r="D638" s="114" t="e">
        <f>Simulações!#REF!</f>
        <v>#REF!</v>
      </c>
      <c r="E638" s="114" t="e">
        <f>Simulações!#REF!</f>
        <v>#REF!</v>
      </c>
      <c r="F638" s="114" t="e">
        <f>Simulações!#REF!</f>
        <v>#REF!</v>
      </c>
      <c r="G638" s="114" t="e">
        <f>Simulações!#REF!</f>
        <v>#REF!</v>
      </c>
      <c r="H638" s="114" t="e">
        <f>Simulações!#REF!</f>
        <v>#REF!</v>
      </c>
      <c r="I638" s="114" t="e">
        <f>IF(Simulações!#REF!="","",Simulações!#REF!)</f>
        <v>#REF!</v>
      </c>
      <c r="J638" s="114" t="e">
        <f>IF(Simulações!#REF!="","",Simulações!#REF!)</f>
        <v>#REF!</v>
      </c>
      <c r="K638" s="117" t="e">
        <f>Simulações!#REF!</f>
        <v>#REF!</v>
      </c>
      <c r="L638" s="117" t="e">
        <f>Simulações!#REF!</f>
        <v>#REF!</v>
      </c>
      <c r="M638" s="114" t="e">
        <f>IF(Simulações!#REF!="","",Simulações!#REF!)</f>
        <v>#REF!</v>
      </c>
      <c r="N638" s="114" t="e">
        <f>IF(Simulações!#REF!="","",Simulações!#REF!)</f>
        <v>#REF!</v>
      </c>
      <c r="O638" s="114">
        <v>1</v>
      </c>
    </row>
    <row r="639" spans="1:15" ht="15.75" hidden="1" customHeight="1" x14ac:dyDescent="0.3">
      <c r="A639" s="124" t="e">
        <f>Simulações!#REF!</f>
        <v>#REF!</v>
      </c>
      <c r="B639" s="114" t="e">
        <f>Simulações!#REF!</f>
        <v>#REF!</v>
      </c>
      <c r="C639" s="125" t="e">
        <f>Simulações!#REF!</f>
        <v>#REF!</v>
      </c>
      <c r="D639" s="114" t="e">
        <f>Simulações!#REF!</f>
        <v>#REF!</v>
      </c>
      <c r="E639" s="114" t="e">
        <f>Simulações!#REF!</f>
        <v>#REF!</v>
      </c>
      <c r="F639" s="114" t="e">
        <f>Simulações!#REF!</f>
        <v>#REF!</v>
      </c>
      <c r="G639" s="114" t="e">
        <f>Simulações!#REF!</f>
        <v>#REF!</v>
      </c>
      <c r="H639" s="114" t="e">
        <f>Simulações!#REF!</f>
        <v>#REF!</v>
      </c>
      <c r="I639" s="114" t="e">
        <f>IF(Simulações!#REF!="","",Simulações!#REF!)</f>
        <v>#REF!</v>
      </c>
      <c r="J639" s="114" t="e">
        <f>IF(Simulações!#REF!="","",Simulações!#REF!)</f>
        <v>#REF!</v>
      </c>
      <c r="K639" s="117" t="e">
        <f>Simulações!#REF!</f>
        <v>#REF!</v>
      </c>
      <c r="L639" s="117" t="e">
        <f>Simulações!#REF!</f>
        <v>#REF!</v>
      </c>
      <c r="M639" s="114" t="e">
        <f>IF(Simulações!#REF!="","",Simulações!#REF!)</f>
        <v>#REF!</v>
      </c>
      <c r="N639" s="114" t="e">
        <f>IF(Simulações!#REF!="","",Simulações!#REF!)</f>
        <v>#REF!</v>
      </c>
      <c r="O639" s="114">
        <v>1</v>
      </c>
    </row>
    <row r="640" spans="1:15" ht="15.75" hidden="1" customHeight="1" x14ac:dyDescent="0.3">
      <c r="A640" s="124" t="e">
        <f>Simulações!#REF!</f>
        <v>#REF!</v>
      </c>
      <c r="B640" s="114" t="e">
        <f>Simulações!#REF!</f>
        <v>#REF!</v>
      </c>
      <c r="C640" s="125" t="e">
        <f>Simulações!#REF!</f>
        <v>#REF!</v>
      </c>
      <c r="D640" s="114" t="e">
        <f>Simulações!#REF!</f>
        <v>#REF!</v>
      </c>
      <c r="E640" s="114" t="e">
        <f>Simulações!#REF!</f>
        <v>#REF!</v>
      </c>
      <c r="F640" s="114" t="e">
        <f>Simulações!#REF!</f>
        <v>#REF!</v>
      </c>
      <c r="G640" s="114" t="e">
        <f>Simulações!#REF!</f>
        <v>#REF!</v>
      </c>
      <c r="H640" s="114" t="e">
        <f>Simulações!#REF!</f>
        <v>#REF!</v>
      </c>
      <c r="I640" s="114" t="e">
        <f>IF(Simulações!#REF!="","",Simulações!#REF!)</f>
        <v>#REF!</v>
      </c>
      <c r="J640" s="114" t="e">
        <f>IF(Simulações!#REF!="","",Simulações!#REF!)</f>
        <v>#REF!</v>
      </c>
      <c r="K640" s="117" t="e">
        <f>Simulações!#REF!</f>
        <v>#REF!</v>
      </c>
      <c r="L640" s="117" t="e">
        <f>Simulações!#REF!</f>
        <v>#REF!</v>
      </c>
      <c r="M640" s="114" t="e">
        <f>IF(Simulações!#REF!="","",Simulações!#REF!)</f>
        <v>#REF!</v>
      </c>
      <c r="N640" s="114" t="e">
        <f>IF(Simulações!#REF!="","",Simulações!#REF!)</f>
        <v>#REF!</v>
      </c>
      <c r="O640" s="114">
        <v>1</v>
      </c>
    </row>
    <row r="641" spans="1:15" ht="15.75" hidden="1" customHeight="1" x14ac:dyDescent="0.3">
      <c r="A641" s="124" t="e">
        <f>Simulações!#REF!</f>
        <v>#REF!</v>
      </c>
      <c r="B641" s="114" t="e">
        <f>Simulações!#REF!</f>
        <v>#REF!</v>
      </c>
      <c r="C641" s="125" t="e">
        <f>Simulações!#REF!</f>
        <v>#REF!</v>
      </c>
      <c r="D641" s="114" t="e">
        <f>Simulações!#REF!</f>
        <v>#REF!</v>
      </c>
      <c r="E641" s="114" t="e">
        <f>Simulações!#REF!</f>
        <v>#REF!</v>
      </c>
      <c r="F641" s="114" t="e">
        <f>Simulações!#REF!</f>
        <v>#REF!</v>
      </c>
      <c r="G641" s="114" t="e">
        <f>Simulações!#REF!</f>
        <v>#REF!</v>
      </c>
      <c r="H641" s="114" t="e">
        <f>Simulações!#REF!</f>
        <v>#REF!</v>
      </c>
      <c r="I641" s="114" t="e">
        <f>IF(Simulações!#REF!="","",Simulações!#REF!)</f>
        <v>#REF!</v>
      </c>
      <c r="J641" s="114" t="e">
        <f>IF(Simulações!#REF!="","",Simulações!#REF!)</f>
        <v>#REF!</v>
      </c>
      <c r="K641" s="117" t="e">
        <f>Simulações!#REF!</f>
        <v>#REF!</v>
      </c>
      <c r="L641" s="117" t="e">
        <f>Simulações!#REF!</f>
        <v>#REF!</v>
      </c>
      <c r="M641" s="114" t="e">
        <f>IF(Simulações!#REF!="","",Simulações!#REF!)</f>
        <v>#REF!</v>
      </c>
      <c r="N641" s="114" t="e">
        <f>IF(Simulações!#REF!="","",Simulações!#REF!)</f>
        <v>#REF!</v>
      </c>
      <c r="O641" s="114">
        <v>1</v>
      </c>
    </row>
    <row r="642" spans="1:15" ht="15.75" hidden="1" customHeight="1" x14ac:dyDescent="0.3">
      <c r="A642" s="124" t="e">
        <f>Simulações!#REF!</f>
        <v>#REF!</v>
      </c>
      <c r="B642" s="114" t="e">
        <f>Simulações!#REF!</f>
        <v>#REF!</v>
      </c>
      <c r="C642" s="125" t="e">
        <f>Simulações!#REF!</f>
        <v>#REF!</v>
      </c>
      <c r="D642" s="114" t="e">
        <f>Simulações!#REF!</f>
        <v>#REF!</v>
      </c>
      <c r="E642" s="114" t="e">
        <f>Simulações!#REF!</f>
        <v>#REF!</v>
      </c>
      <c r="F642" s="114" t="e">
        <f>Simulações!#REF!</f>
        <v>#REF!</v>
      </c>
      <c r="G642" s="114" t="e">
        <f>Simulações!#REF!</f>
        <v>#REF!</v>
      </c>
      <c r="H642" s="114" t="e">
        <f>Simulações!#REF!</f>
        <v>#REF!</v>
      </c>
      <c r="I642" s="114" t="e">
        <f>IF(Simulações!#REF!="","",Simulações!#REF!)</f>
        <v>#REF!</v>
      </c>
      <c r="J642" s="114" t="e">
        <f>IF(Simulações!#REF!="","",Simulações!#REF!)</f>
        <v>#REF!</v>
      </c>
      <c r="K642" s="117" t="e">
        <f>Simulações!#REF!</f>
        <v>#REF!</v>
      </c>
      <c r="L642" s="117" t="e">
        <f>Simulações!#REF!</f>
        <v>#REF!</v>
      </c>
      <c r="M642" s="114" t="e">
        <f>IF(Simulações!#REF!="","",Simulações!#REF!)</f>
        <v>#REF!</v>
      </c>
      <c r="N642" s="114" t="e">
        <f>IF(Simulações!#REF!="","",Simulações!#REF!)</f>
        <v>#REF!</v>
      </c>
      <c r="O642" s="114">
        <v>1</v>
      </c>
    </row>
    <row r="643" spans="1:15" ht="15.75" hidden="1" customHeight="1" x14ac:dyDescent="0.3">
      <c r="A643" s="124" t="e">
        <f>Simulações!#REF!</f>
        <v>#REF!</v>
      </c>
      <c r="B643" s="114" t="e">
        <f>Simulações!#REF!</f>
        <v>#REF!</v>
      </c>
      <c r="C643" s="125" t="e">
        <f>Simulações!#REF!</f>
        <v>#REF!</v>
      </c>
      <c r="D643" s="114" t="e">
        <f>Simulações!#REF!</f>
        <v>#REF!</v>
      </c>
      <c r="E643" s="114" t="e">
        <f>Simulações!#REF!</f>
        <v>#REF!</v>
      </c>
      <c r="F643" s="114" t="e">
        <f>Simulações!#REF!</f>
        <v>#REF!</v>
      </c>
      <c r="G643" s="114" t="e">
        <f>Simulações!#REF!</f>
        <v>#REF!</v>
      </c>
      <c r="H643" s="114" t="e">
        <f>Simulações!#REF!</f>
        <v>#REF!</v>
      </c>
      <c r="I643" s="114" t="e">
        <f>IF(Simulações!#REF!="","",Simulações!#REF!)</f>
        <v>#REF!</v>
      </c>
      <c r="J643" s="114" t="e">
        <f>IF(Simulações!#REF!="","",Simulações!#REF!)</f>
        <v>#REF!</v>
      </c>
      <c r="K643" s="117" t="e">
        <f>Simulações!#REF!</f>
        <v>#REF!</v>
      </c>
      <c r="L643" s="117" t="e">
        <f>Simulações!#REF!</f>
        <v>#REF!</v>
      </c>
      <c r="M643" s="114" t="e">
        <f>IF(Simulações!#REF!="","",Simulações!#REF!)</f>
        <v>#REF!</v>
      </c>
      <c r="N643" s="114" t="e">
        <f>IF(Simulações!#REF!="","",Simulações!#REF!)</f>
        <v>#REF!</v>
      </c>
      <c r="O643" s="114">
        <v>1</v>
      </c>
    </row>
    <row r="644" spans="1:15" ht="15.75" hidden="1" customHeight="1" x14ac:dyDescent="0.3">
      <c r="A644" s="124" t="e">
        <f>Simulações!#REF!</f>
        <v>#REF!</v>
      </c>
      <c r="B644" s="114" t="e">
        <f>Simulações!#REF!</f>
        <v>#REF!</v>
      </c>
      <c r="C644" s="125" t="e">
        <f>Simulações!#REF!</f>
        <v>#REF!</v>
      </c>
      <c r="D644" s="114" t="e">
        <f>Simulações!#REF!</f>
        <v>#REF!</v>
      </c>
      <c r="E644" s="114" t="e">
        <f>Simulações!#REF!</f>
        <v>#REF!</v>
      </c>
      <c r="F644" s="114" t="e">
        <f>Simulações!#REF!</f>
        <v>#REF!</v>
      </c>
      <c r="G644" s="114" t="e">
        <f>Simulações!#REF!</f>
        <v>#REF!</v>
      </c>
      <c r="H644" s="114" t="e">
        <f>Simulações!#REF!</f>
        <v>#REF!</v>
      </c>
      <c r="I644" s="114" t="e">
        <f>IF(Simulações!#REF!="","",Simulações!#REF!)</f>
        <v>#REF!</v>
      </c>
      <c r="J644" s="114" t="e">
        <f>IF(Simulações!#REF!="","",Simulações!#REF!)</f>
        <v>#REF!</v>
      </c>
      <c r="K644" s="117" t="e">
        <f>Simulações!#REF!</f>
        <v>#REF!</v>
      </c>
      <c r="L644" s="117" t="e">
        <f>Simulações!#REF!</f>
        <v>#REF!</v>
      </c>
      <c r="M644" s="114" t="e">
        <f>IF(Simulações!#REF!="","",Simulações!#REF!)</f>
        <v>#REF!</v>
      </c>
      <c r="N644" s="114" t="e">
        <f>IF(Simulações!#REF!="","",Simulações!#REF!)</f>
        <v>#REF!</v>
      </c>
      <c r="O644" s="114">
        <v>1</v>
      </c>
    </row>
    <row r="645" spans="1:15" ht="15.75" hidden="1" customHeight="1" x14ac:dyDescent="0.3">
      <c r="A645" s="124" t="e">
        <f>Simulações!#REF!</f>
        <v>#REF!</v>
      </c>
      <c r="B645" s="114" t="e">
        <f>Simulações!#REF!</f>
        <v>#REF!</v>
      </c>
      <c r="C645" s="125" t="e">
        <f>Simulações!#REF!</f>
        <v>#REF!</v>
      </c>
      <c r="D645" s="114" t="e">
        <f>Simulações!#REF!</f>
        <v>#REF!</v>
      </c>
      <c r="E645" s="114" t="e">
        <f>Simulações!#REF!</f>
        <v>#REF!</v>
      </c>
      <c r="F645" s="114" t="e">
        <f>Simulações!#REF!</f>
        <v>#REF!</v>
      </c>
      <c r="G645" s="114" t="e">
        <f>Simulações!#REF!</f>
        <v>#REF!</v>
      </c>
      <c r="H645" s="114" t="e">
        <f>Simulações!#REF!</f>
        <v>#REF!</v>
      </c>
      <c r="I645" s="114" t="e">
        <f>IF(Simulações!#REF!="","",Simulações!#REF!)</f>
        <v>#REF!</v>
      </c>
      <c r="J645" s="114" t="e">
        <f>IF(Simulações!#REF!="","",Simulações!#REF!)</f>
        <v>#REF!</v>
      </c>
      <c r="K645" s="117" t="e">
        <f>Simulações!#REF!</f>
        <v>#REF!</v>
      </c>
      <c r="L645" s="117" t="e">
        <f>Simulações!#REF!</f>
        <v>#REF!</v>
      </c>
      <c r="M645" s="114" t="e">
        <f>IF(Simulações!#REF!="","",Simulações!#REF!)</f>
        <v>#REF!</v>
      </c>
      <c r="N645" s="114" t="e">
        <f>IF(Simulações!#REF!="","",Simulações!#REF!)</f>
        <v>#REF!</v>
      </c>
      <c r="O645" s="114">
        <v>1</v>
      </c>
    </row>
    <row r="646" spans="1:15" ht="15.75" hidden="1" customHeight="1" x14ac:dyDescent="0.3">
      <c r="A646" s="124" t="e">
        <f>Simulações!#REF!</f>
        <v>#REF!</v>
      </c>
      <c r="B646" s="114" t="e">
        <f>Simulações!#REF!</f>
        <v>#REF!</v>
      </c>
      <c r="C646" s="125" t="e">
        <f>Simulações!#REF!</f>
        <v>#REF!</v>
      </c>
      <c r="D646" s="114" t="e">
        <f>Simulações!#REF!</f>
        <v>#REF!</v>
      </c>
      <c r="E646" s="114" t="e">
        <f>Simulações!#REF!</f>
        <v>#REF!</v>
      </c>
      <c r="F646" s="114" t="e">
        <f>Simulações!#REF!</f>
        <v>#REF!</v>
      </c>
      <c r="G646" s="114" t="e">
        <f>Simulações!#REF!</f>
        <v>#REF!</v>
      </c>
      <c r="H646" s="114" t="e">
        <f>Simulações!#REF!</f>
        <v>#REF!</v>
      </c>
      <c r="I646" s="114" t="e">
        <f>IF(Simulações!#REF!="","",Simulações!#REF!)</f>
        <v>#REF!</v>
      </c>
      <c r="J646" s="114" t="e">
        <f>IF(Simulações!#REF!="","",Simulações!#REF!)</f>
        <v>#REF!</v>
      </c>
      <c r="K646" s="117" t="e">
        <f>Simulações!#REF!</f>
        <v>#REF!</v>
      </c>
      <c r="L646" s="117" t="e">
        <f>Simulações!#REF!</f>
        <v>#REF!</v>
      </c>
      <c r="M646" s="114" t="e">
        <f>IF(Simulações!#REF!="","",Simulações!#REF!)</f>
        <v>#REF!</v>
      </c>
      <c r="N646" s="114" t="e">
        <f>IF(Simulações!#REF!="","",Simulações!#REF!)</f>
        <v>#REF!</v>
      </c>
      <c r="O646" s="114">
        <v>1</v>
      </c>
    </row>
    <row r="647" spans="1:15" ht="15.75" hidden="1" customHeight="1" x14ac:dyDescent="0.3">
      <c r="A647" s="124" t="e">
        <f>Simulações!#REF!</f>
        <v>#REF!</v>
      </c>
      <c r="B647" s="114" t="e">
        <f>Simulações!#REF!</f>
        <v>#REF!</v>
      </c>
      <c r="C647" s="125" t="e">
        <f>Simulações!#REF!</f>
        <v>#REF!</v>
      </c>
      <c r="D647" s="114" t="e">
        <f>Simulações!#REF!</f>
        <v>#REF!</v>
      </c>
      <c r="E647" s="114" t="e">
        <f>Simulações!#REF!</f>
        <v>#REF!</v>
      </c>
      <c r="F647" s="114" t="e">
        <f>Simulações!#REF!</f>
        <v>#REF!</v>
      </c>
      <c r="G647" s="114" t="e">
        <f>Simulações!#REF!</f>
        <v>#REF!</v>
      </c>
      <c r="H647" s="114" t="e">
        <f>Simulações!#REF!</f>
        <v>#REF!</v>
      </c>
      <c r="I647" s="114" t="e">
        <f>IF(Simulações!#REF!="","",Simulações!#REF!)</f>
        <v>#REF!</v>
      </c>
      <c r="J647" s="114" t="e">
        <f>IF(Simulações!#REF!="","",Simulações!#REF!)</f>
        <v>#REF!</v>
      </c>
      <c r="K647" s="117" t="e">
        <f>Simulações!#REF!</f>
        <v>#REF!</v>
      </c>
      <c r="L647" s="117" t="e">
        <f>Simulações!#REF!</f>
        <v>#REF!</v>
      </c>
      <c r="M647" s="114" t="e">
        <f>IF(Simulações!#REF!="","",Simulações!#REF!)</f>
        <v>#REF!</v>
      </c>
      <c r="N647" s="114" t="e">
        <f>IF(Simulações!#REF!="","",Simulações!#REF!)</f>
        <v>#REF!</v>
      </c>
      <c r="O647" s="114">
        <v>1</v>
      </c>
    </row>
    <row r="648" spans="1:15" ht="15.75" hidden="1" customHeight="1" x14ac:dyDescent="0.3">
      <c r="A648" s="124" t="e">
        <f>Simulações!#REF!</f>
        <v>#REF!</v>
      </c>
      <c r="B648" s="114" t="e">
        <f>Simulações!#REF!</f>
        <v>#REF!</v>
      </c>
      <c r="C648" s="125" t="e">
        <f>Simulações!#REF!</f>
        <v>#REF!</v>
      </c>
      <c r="D648" s="114" t="e">
        <f>Simulações!#REF!</f>
        <v>#REF!</v>
      </c>
      <c r="E648" s="114" t="e">
        <f>Simulações!#REF!</f>
        <v>#REF!</v>
      </c>
      <c r="F648" s="114" t="e">
        <f>Simulações!#REF!</f>
        <v>#REF!</v>
      </c>
      <c r="G648" s="114" t="e">
        <f>Simulações!#REF!</f>
        <v>#REF!</v>
      </c>
      <c r="H648" s="114" t="e">
        <f>Simulações!#REF!</f>
        <v>#REF!</v>
      </c>
      <c r="I648" s="114" t="e">
        <f>IF(Simulações!#REF!="","",Simulações!#REF!)</f>
        <v>#REF!</v>
      </c>
      <c r="J648" s="114" t="e">
        <f>IF(Simulações!#REF!="","",Simulações!#REF!)</f>
        <v>#REF!</v>
      </c>
      <c r="K648" s="117" t="e">
        <f>Simulações!#REF!</f>
        <v>#REF!</v>
      </c>
      <c r="L648" s="117" t="e">
        <f>Simulações!#REF!</f>
        <v>#REF!</v>
      </c>
      <c r="M648" s="114" t="e">
        <f>IF(Simulações!#REF!="","",Simulações!#REF!)</f>
        <v>#REF!</v>
      </c>
      <c r="N648" s="114" t="e">
        <f>IF(Simulações!#REF!="","",Simulações!#REF!)</f>
        <v>#REF!</v>
      </c>
      <c r="O648" s="114">
        <v>1</v>
      </c>
    </row>
    <row r="649" spans="1:15" ht="15.75" hidden="1" customHeight="1" x14ac:dyDescent="0.3">
      <c r="A649" s="124" t="e">
        <f>Simulações!#REF!</f>
        <v>#REF!</v>
      </c>
      <c r="B649" s="114" t="e">
        <f>Simulações!#REF!</f>
        <v>#REF!</v>
      </c>
      <c r="C649" s="125" t="e">
        <f>Simulações!#REF!</f>
        <v>#REF!</v>
      </c>
      <c r="D649" s="114" t="e">
        <f>Simulações!#REF!</f>
        <v>#REF!</v>
      </c>
      <c r="E649" s="114" t="e">
        <f>Simulações!#REF!</f>
        <v>#REF!</v>
      </c>
      <c r="F649" s="114" t="e">
        <f>Simulações!#REF!</f>
        <v>#REF!</v>
      </c>
      <c r="G649" s="114" t="e">
        <f>Simulações!#REF!</f>
        <v>#REF!</v>
      </c>
      <c r="H649" s="114" t="e">
        <f>Simulações!#REF!</f>
        <v>#REF!</v>
      </c>
      <c r="I649" s="114" t="e">
        <f>IF(Simulações!#REF!="","",Simulações!#REF!)</f>
        <v>#REF!</v>
      </c>
      <c r="J649" s="114" t="e">
        <f>IF(Simulações!#REF!="","",Simulações!#REF!)</f>
        <v>#REF!</v>
      </c>
      <c r="K649" s="117" t="e">
        <f>Simulações!#REF!</f>
        <v>#REF!</v>
      </c>
      <c r="L649" s="117" t="e">
        <f>Simulações!#REF!</f>
        <v>#REF!</v>
      </c>
      <c r="M649" s="114" t="e">
        <f>IF(Simulações!#REF!="","",Simulações!#REF!)</f>
        <v>#REF!</v>
      </c>
      <c r="N649" s="114" t="e">
        <f>IF(Simulações!#REF!="","",Simulações!#REF!)</f>
        <v>#REF!</v>
      </c>
      <c r="O649" s="114">
        <v>1</v>
      </c>
    </row>
    <row r="650" spans="1:15" ht="15.75" hidden="1" customHeight="1" x14ac:dyDescent="0.3">
      <c r="A650" s="124" t="e">
        <f>Simulações!#REF!</f>
        <v>#REF!</v>
      </c>
      <c r="B650" s="114" t="e">
        <f>Simulações!#REF!</f>
        <v>#REF!</v>
      </c>
      <c r="C650" s="125" t="e">
        <f>Simulações!#REF!</f>
        <v>#REF!</v>
      </c>
      <c r="D650" s="114" t="e">
        <f>Simulações!#REF!</f>
        <v>#REF!</v>
      </c>
      <c r="E650" s="114" t="e">
        <f>Simulações!#REF!</f>
        <v>#REF!</v>
      </c>
      <c r="F650" s="114" t="e">
        <f>Simulações!#REF!</f>
        <v>#REF!</v>
      </c>
      <c r="G650" s="114" t="e">
        <f>Simulações!#REF!</f>
        <v>#REF!</v>
      </c>
      <c r="H650" s="114" t="e">
        <f>Simulações!#REF!</f>
        <v>#REF!</v>
      </c>
      <c r="I650" s="114" t="e">
        <f>IF(Simulações!#REF!="","",Simulações!#REF!)</f>
        <v>#REF!</v>
      </c>
      <c r="J650" s="114" t="e">
        <f>IF(Simulações!#REF!="","",Simulações!#REF!)</f>
        <v>#REF!</v>
      </c>
      <c r="K650" s="117" t="e">
        <f>Simulações!#REF!</f>
        <v>#REF!</v>
      </c>
      <c r="L650" s="117" t="e">
        <f>Simulações!#REF!</f>
        <v>#REF!</v>
      </c>
      <c r="M650" s="114" t="e">
        <f>IF(Simulações!#REF!="","",Simulações!#REF!)</f>
        <v>#REF!</v>
      </c>
      <c r="N650" s="114" t="e">
        <f>IF(Simulações!#REF!="","",Simulações!#REF!)</f>
        <v>#REF!</v>
      </c>
      <c r="O650" s="114">
        <v>1</v>
      </c>
    </row>
    <row r="651" spans="1:15" ht="15.75" hidden="1" customHeight="1" x14ac:dyDescent="0.3">
      <c r="A651" s="124" t="e">
        <f>Simulações!#REF!</f>
        <v>#REF!</v>
      </c>
      <c r="B651" s="114" t="e">
        <f>Simulações!#REF!</f>
        <v>#REF!</v>
      </c>
      <c r="C651" s="125" t="e">
        <f>Simulações!#REF!</f>
        <v>#REF!</v>
      </c>
      <c r="D651" s="114" t="e">
        <f>Simulações!#REF!</f>
        <v>#REF!</v>
      </c>
      <c r="E651" s="114" t="e">
        <f>Simulações!#REF!</f>
        <v>#REF!</v>
      </c>
      <c r="F651" s="114" t="e">
        <f>Simulações!#REF!</f>
        <v>#REF!</v>
      </c>
      <c r="G651" s="114" t="e">
        <f>Simulações!#REF!</f>
        <v>#REF!</v>
      </c>
      <c r="H651" s="114" t="e">
        <f>Simulações!#REF!</f>
        <v>#REF!</v>
      </c>
      <c r="I651" s="114" t="e">
        <f>IF(Simulações!#REF!="","",Simulações!#REF!)</f>
        <v>#REF!</v>
      </c>
      <c r="J651" s="114" t="e">
        <f>IF(Simulações!#REF!="","",Simulações!#REF!)</f>
        <v>#REF!</v>
      </c>
      <c r="K651" s="117" t="e">
        <f>Simulações!#REF!</f>
        <v>#REF!</v>
      </c>
      <c r="L651" s="117" t="e">
        <f>Simulações!#REF!</f>
        <v>#REF!</v>
      </c>
      <c r="M651" s="114" t="e">
        <f>IF(Simulações!#REF!="","",Simulações!#REF!)</f>
        <v>#REF!</v>
      </c>
      <c r="N651" s="114" t="e">
        <f>IF(Simulações!#REF!="","",Simulações!#REF!)</f>
        <v>#REF!</v>
      </c>
      <c r="O651" s="114">
        <v>1</v>
      </c>
    </row>
    <row r="652" spans="1:15" ht="15.75" hidden="1" customHeight="1" x14ac:dyDescent="0.3">
      <c r="A652" s="124" t="e">
        <f>Simulações!#REF!</f>
        <v>#REF!</v>
      </c>
      <c r="B652" s="114" t="e">
        <f>Simulações!#REF!</f>
        <v>#REF!</v>
      </c>
      <c r="C652" s="125" t="e">
        <f>Simulações!#REF!</f>
        <v>#REF!</v>
      </c>
      <c r="D652" s="114" t="e">
        <f>Simulações!#REF!</f>
        <v>#REF!</v>
      </c>
      <c r="E652" s="114" t="e">
        <f>Simulações!#REF!</f>
        <v>#REF!</v>
      </c>
      <c r="F652" s="114" t="e">
        <f>Simulações!#REF!</f>
        <v>#REF!</v>
      </c>
      <c r="G652" s="114" t="e">
        <f>Simulações!#REF!</f>
        <v>#REF!</v>
      </c>
      <c r="H652" s="114" t="e">
        <f>Simulações!#REF!</f>
        <v>#REF!</v>
      </c>
      <c r="I652" s="114" t="e">
        <f>IF(Simulações!#REF!="","",Simulações!#REF!)</f>
        <v>#REF!</v>
      </c>
      <c r="J652" s="114" t="e">
        <f>IF(Simulações!#REF!="","",Simulações!#REF!)</f>
        <v>#REF!</v>
      </c>
      <c r="K652" s="117" t="e">
        <f>Simulações!#REF!</f>
        <v>#REF!</v>
      </c>
      <c r="L652" s="117" t="e">
        <f>Simulações!#REF!</f>
        <v>#REF!</v>
      </c>
      <c r="M652" s="114" t="e">
        <f>IF(Simulações!#REF!="","",Simulações!#REF!)</f>
        <v>#REF!</v>
      </c>
      <c r="N652" s="114" t="e">
        <f>IF(Simulações!#REF!="","",Simulações!#REF!)</f>
        <v>#REF!</v>
      </c>
      <c r="O652" s="114">
        <v>1</v>
      </c>
    </row>
    <row r="653" spans="1:15" ht="15.75" hidden="1" customHeight="1" x14ac:dyDescent="0.3">
      <c r="A653" s="124" t="e">
        <f>Simulações!#REF!</f>
        <v>#REF!</v>
      </c>
      <c r="B653" s="114" t="e">
        <f>Simulações!#REF!</f>
        <v>#REF!</v>
      </c>
      <c r="C653" s="125" t="e">
        <f>Simulações!#REF!</f>
        <v>#REF!</v>
      </c>
      <c r="D653" s="114" t="e">
        <f>Simulações!#REF!</f>
        <v>#REF!</v>
      </c>
      <c r="E653" s="114" t="e">
        <f>Simulações!#REF!</f>
        <v>#REF!</v>
      </c>
      <c r="F653" s="114" t="e">
        <f>Simulações!#REF!</f>
        <v>#REF!</v>
      </c>
      <c r="G653" s="114" t="e">
        <f>Simulações!#REF!</f>
        <v>#REF!</v>
      </c>
      <c r="H653" s="114" t="e">
        <f>Simulações!#REF!</f>
        <v>#REF!</v>
      </c>
      <c r="I653" s="114" t="e">
        <f>IF(Simulações!#REF!="","",Simulações!#REF!)</f>
        <v>#REF!</v>
      </c>
      <c r="J653" s="114" t="e">
        <f>IF(Simulações!#REF!="","",Simulações!#REF!)</f>
        <v>#REF!</v>
      </c>
      <c r="K653" s="117" t="e">
        <f>Simulações!#REF!</f>
        <v>#REF!</v>
      </c>
      <c r="L653" s="117" t="e">
        <f>Simulações!#REF!</f>
        <v>#REF!</v>
      </c>
      <c r="M653" s="114" t="e">
        <f>IF(Simulações!#REF!="","",Simulações!#REF!)</f>
        <v>#REF!</v>
      </c>
      <c r="N653" s="114" t="e">
        <f>IF(Simulações!#REF!="","",Simulações!#REF!)</f>
        <v>#REF!</v>
      </c>
      <c r="O653" s="114">
        <v>1</v>
      </c>
    </row>
    <row r="654" spans="1:15" ht="15.75" hidden="1" customHeight="1" x14ac:dyDescent="0.3">
      <c r="A654" s="124" t="e">
        <f>Simulações!#REF!</f>
        <v>#REF!</v>
      </c>
      <c r="B654" s="114" t="e">
        <f>Simulações!#REF!</f>
        <v>#REF!</v>
      </c>
      <c r="C654" s="125" t="e">
        <f>Simulações!#REF!</f>
        <v>#REF!</v>
      </c>
      <c r="D654" s="114" t="e">
        <f>Simulações!#REF!</f>
        <v>#REF!</v>
      </c>
      <c r="E654" s="114" t="e">
        <f>Simulações!#REF!</f>
        <v>#REF!</v>
      </c>
      <c r="F654" s="114" t="e">
        <f>Simulações!#REF!</f>
        <v>#REF!</v>
      </c>
      <c r="G654" s="114" t="e">
        <f>Simulações!#REF!</f>
        <v>#REF!</v>
      </c>
      <c r="H654" s="114" t="e">
        <f>Simulações!#REF!</f>
        <v>#REF!</v>
      </c>
      <c r="I654" s="114" t="e">
        <f>IF(Simulações!#REF!="","",Simulações!#REF!)</f>
        <v>#REF!</v>
      </c>
      <c r="J654" s="114" t="e">
        <f>IF(Simulações!#REF!="","",Simulações!#REF!)</f>
        <v>#REF!</v>
      </c>
      <c r="K654" s="117" t="e">
        <f>Simulações!#REF!</f>
        <v>#REF!</v>
      </c>
      <c r="L654" s="117" t="e">
        <f>Simulações!#REF!</f>
        <v>#REF!</v>
      </c>
      <c r="M654" s="114" t="e">
        <f>IF(Simulações!#REF!="","",Simulações!#REF!)</f>
        <v>#REF!</v>
      </c>
      <c r="N654" s="114" t="e">
        <f>IF(Simulações!#REF!="","",Simulações!#REF!)</f>
        <v>#REF!</v>
      </c>
      <c r="O654" s="114">
        <v>1</v>
      </c>
    </row>
    <row r="655" spans="1:15" ht="15.75" hidden="1" customHeight="1" x14ac:dyDescent="0.3">
      <c r="A655" s="124" t="e">
        <f>Simulações!#REF!</f>
        <v>#REF!</v>
      </c>
      <c r="B655" s="114" t="e">
        <f>Simulações!#REF!</f>
        <v>#REF!</v>
      </c>
      <c r="C655" s="125" t="e">
        <f>Simulações!#REF!</f>
        <v>#REF!</v>
      </c>
      <c r="D655" s="114" t="e">
        <f>Simulações!#REF!</f>
        <v>#REF!</v>
      </c>
      <c r="E655" s="114" t="e">
        <f>Simulações!#REF!</f>
        <v>#REF!</v>
      </c>
      <c r="F655" s="114" t="e">
        <f>Simulações!#REF!</f>
        <v>#REF!</v>
      </c>
      <c r="G655" s="114" t="e">
        <f>Simulações!#REF!</f>
        <v>#REF!</v>
      </c>
      <c r="H655" s="114" t="e">
        <f>Simulações!#REF!</f>
        <v>#REF!</v>
      </c>
      <c r="I655" s="114" t="e">
        <f>IF(Simulações!#REF!="","",Simulações!#REF!)</f>
        <v>#REF!</v>
      </c>
      <c r="J655" s="114" t="e">
        <f>IF(Simulações!#REF!="","",Simulações!#REF!)</f>
        <v>#REF!</v>
      </c>
      <c r="K655" s="117" t="e">
        <f>Simulações!#REF!</f>
        <v>#REF!</v>
      </c>
      <c r="L655" s="117" t="e">
        <f>Simulações!#REF!</f>
        <v>#REF!</v>
      </c>
      <c r="M655" s="114" t="e">
        <f>IF(Simulações!#REF!="","",Simulações!#REF!)</f>
        <v>#REF!</v>
      </c>
      <c r="N655" s="114" t="e">
        <f>IF(Simulações!#REF!="","",Simulações!#REF!)</f>
        <v>#REF!</v>
      </c>
      <c r="O655" s="114">
        <v>1</v>
      </c>
    </row>
    <row r="656" spans="1:15" ht="15.75" hidden="1" customHeight="1" x14ac:dyDescent="0.3">
      <c r="A656" s="124" t="e">
        <f>Simulações!#REF!</f>
        <v>#REF!</v>
      </c>
      <c r="B656" s="114" t="e">
        <f>Simulações!#REF!</f>
        <v>#REF!</v>
      </c>
      <c r="C656" s="125" t="e">
        <f>Simulações!#REF!</f>
        <v>#REF!</v>
      </c>
      <c r="D656" s="114" t="e">
        <f>Simulações!#REF!</f>
        <v>#REF!</v>
      </c>
      <c r="E656" s="114" t="e">
        <f>Simulações!#REF!</f>
        <v>#REF!</v>
      </c>
      <c r="F656" s="114" t="e">
        <f>Simulações!#REF!</f>
        <v>#REF!</v>
      </c>
      <c r="G656" s="114" t="e">
        <f>Simulações!#REF!</f>
        <v>#REF!</v>
      </c>
      <c r="H656" s="114" t="e">
        <f>Simulações!#REF!</f>
        <v>#REF!</v>
      </c>
      <c r="I656" s="114" t="e">
        <f>IF(Simulações!#REF!="","",Simulações!#REF!)</f>
        <v>#REF!</v>
      </c>
      <c r="J656" s="114" t="e">
        <f>IF(Simulações!#REF!="","",Simulações!#REF!)</f>
        <v>#REF!</v>
      </c>
      <c r="K656" s="117" t="e">
        <f>Simulações!#REF!</f>
        <v>#REF!</v>
      </c>
      <c r="L656" s="117" t="e">
        <f>Simulações!#REF!</f>
        <v>#REF!</v>
      </c>
      <c r="M656" s="114" t="e">
        <f>IF(Simulações!#REF!="","",Simulações!#REF!)</f>
        <v>#REF!</v>
      </c>
      <c r="N656" s="114" t="e">
        <f>IF(Simulações!#REF!="","",Simulações!#REF!)</f>
        <v>#REF!</v>
      </c>
      <c r="O656" s="114">
        <v>1</v>
      </c>
    </row>
    <row r="657" spans="1:15" ht="15.75" hidden="1" customHeight="1" x14ac:dyDescent="0.3">
      <c r="A657" s="124" t="e">
        <f>Simulações!#REF!</f>
        <v>#REF!</v>
      </c>
      <c r="B657" s="114" t="e">
        <f>Simulações!#REF!</f>
        <v>#REF!</v>
      </c>
      <c r="C657" s="125" t="e">
        <f>Simulações!#REF!</f>
        <v>#REF!</v>
      </c>
      <c r="D657" s="114" t="e">
        <f>Simulações!#REF!</f>
        <v>#REF!</v>
      </c>
      <c r="E657" s="114" t="e">
        <f>Simulações!#REF!</f>
        <v>#REF!</v>
      </c>
      <c r="F657" s="114" t="e">
        <f>Simulações!#REF!</f>
        <v>#REF!</v>
      </c>
      <c r="G657" s="114" t="e">
        <f>Simulações!#REF!</f>
        <v>#REF!</v>
      </c>
      <c r="H657" s="114" t="e">
        <f>Simulações!#REF!</f>
        <v>#REF!</v>
      </c>
      <c r="I657" s="114" t="e">
        <f>IF(Simulações!#REF!="","",Simulações!#REF!)</f>
        <v>#REF!</v>
      </c>
      <c r="J657" s="114" t="e">
        <f>IF(Simulações!#REF!="","",Simulações!#REF!)</f>
        <v>#REF!</v>
      </c>
      <c r="K657" s="117" t="e">
        <f>Simulações!#REF!</f>
        <v>#REF!</v>
      </c>
      <c r="L657" s="117" t="e">
        <f>Simulações!#REF!</f>
        <v>#REF!</v>
      </c>
      <c r="M657" s="114" t="e">
        <f>IF(Simulações!#REF!="","",Simulações!#REF!)</f>
        <v>#REF!</v>
      </c>
      <c r="N657" s="114" t="e">
        <f>IF(Simulações!#REF!="","",Simulações!#REF!)</f>
        <v>#REF!</v>
      </c>
      <c r="O657" s="114">
        <v>1</v>
      </c>
    </row>
    <row r="658" spans="1:15" ht="15.75" hidden="1" customHeight="1" x14ac:dyDescent="0.3">
      <c r="A658" s="124" t="e">
        <f>Simulações!#REF!</f>
        <v>#REF!</v>
      </c>
      <c r="B658" s="114" t="e">
        <f>Simulações!#REF!</f>
        <v>#REF!</v>
      </c>
      <c r="C658" s="125" t="e">
        <f>Simulações!#REF!</f>
        <v>#REF!</v>
      </c>
      <c r="D658" s="114" t="e">
        <f>Simulações!#REF!</f>
        <v>#REF!</v>
      </c>
      <c r="E658" s="114" t="e">
        <f>Simulações!#REF!</f>
        <v>#REF!</v>
      </c>
      <c r="F658" s="114" t="e">
        <f>Simulações!#REF!</f>
        <v>#REF!</v>
      </c>
      <c r="G658" s="114" t="e">
        <f>Simulações!#REF!</f>
        <v>#REF!</v>
      </c>
      <c r="H658" s="114" t="e">
        <f>Simulações!#REF!</f>
        <v>#REF!</v>
      </c>
      <c r="I658" s="114" t="e">
        <f>IF(Simulações!#REF!="","",Simulações!#REF!)</f>
        <v>#REF!</v>
      </c>
      <c r="J658" s="114" t="e">
        <f>IF(Simulações!#REF!="","",Simulações!#REF!)</f>
        <v>#REF!</v>
      </c>
      <c r="K658" s="117" t="e">
        <f>Simulações!#REF!</f>
        <v>#REF!</v>
      </c>
      <c r="L658" s="117" t="e">
        <f>Simulações!#REF!</f>
        <v>#REF!</v>
      </c>
      <c r="M658" s="114" t="e">
        <f>IF(Simulações!#REF!="","",Simulações!#REF!)</f>
        <v>#REF!</v>
      </c>
      <c r="N658" s="114" t="e">
        <f>IF(Simulações!#REF!="","",Simulações!#REF!)</f>
        <v>#REF!</v>
      </c>
      <c r="O658" s="114">
        <v>1</v>
      </c>
    </row>
    <row r="659" spans="1:15" ht="15.75" hidden="1" customHeight="1" x14ac:dyDescent="0.3">
      <c r="A659" s="124" t="e">
        <f>Simulações!#REF!</f>
        <v>#REF!</v>
      </c>
      <c r="B659" s="114" t="e">
        <f>Simulações!#REF!</f>
        <v>#REF!</v>
      </c>
      <c r="C659" s="125" t="e">
        <f>Simulações!#REF!</f>
        <v>#REF!</v>
      </c>
      <c r="D659" s="114" t="e">
        <f>Simulações!#REF!</f>
        <v>#REF!</v>
      </c>
      <c r="E659" s="114" t="e">
        <f>Simulações!#REF!</f>
        <v>#REF!</v>
      </c>
      <c r="F659" s="114" t="e">
        <f>Simulações!#REF!</f>
        <v>#REF!</v>
      </c>
      <c r="G659" s="114" t="e">
        <f>Simulações!#REF!</f>
        <v>#REF!</v>
      </c>
      <c r="H659" s="114" t="e">
        <f>Simulações!#REF!</f>
        <v>#REF!</v>
      </c>
      <c r="I659" s="114" t="e">
        <f>IF(Simulações!#REF!="","",Simulações!#REF!)</f>
        <v>#REF!</v>
      </c>
      <c r="J659" s="114" t="e">
        <f>IF(Simulações!#REF!="","",Simulações!#REF!)</f>
        <v>#REF!</v>
      </c>
      <c r="K659" s="117" t="e">
        <f>Simulações!#REF!</f>
        <v>#REF!</v>
      </c>
      <c r="L659" s="117" t="e">
        <f>Simulações!#REF!</f>
        <v>#REF!</v>
      </c>
      <c r="M659" s="114" t="e">
        <f>IF(Simulações!#REF!="","",Simulações!#REF!)</f>
        <v>#REF!</v>
      </c>
      <c r="N659" s="114" t="e">
        <f>IF(Simulações!#REF!="","",Simulações!#REF!)</f>
        <v>#REF!</v>
      </c>
      <c r="O659" s="114">
        <v>1</v>
      </c>
    </row>
    <row r="660" spans="1:15" ht="15.75" hidden="1" customHeight="1" x14ac:dyDescent="0.3">
      <c r="A660" s="124" t="e">
        <f>Simulações!#REF!</f>
        <v>#REF!</v>
      </c>
      <c r="B660" s="114" t="e">
        <f>Simulações!#REF!</f>
        <v>#REF!</v>
      </c>
      <c r="C660" s="125" t="e">
        <f>Simulações!#REF!</f>
        <v>#REF!</v>
      </c>
      <c r="D660" s="114" t="e">
        <f>Simulações!#REF!</f>
        <v>#REF!</v>
      </c>
      <c r="E660" s="114" t="e">
        <f>Simulações!#REF!</f>
        <v>#REF!</v>
      </c>
      <c r="F660" s="114" t="e">
        <f>Simulações!#REF!</f>
        <v>#REF!</v>
      </c>
      <c r="G660" s="114" t="e">
        <f>Simulações!#REF!</f>
        <v>#REF!</v>
      </c>
      <c r="H660" s="114" t="e">
        <f>Simulações!#REF!</f>
        <v>#REF!</v>
      </c>
      <c r="I660" s="114" t="e">
        <f>IF(Simulações!#REF!="","",Simulações!#REF!)</f>
        <v>#REF!</v>
      </c>
      <c r="J660" s="114" t="e">
        <f>IF(Simulações!#REF!="","",Simulações!#REF!)</f>
        <v>#REF!</v>
      </c>
      <c r="K660" s="117" t="e">
        <f>Simulações!#REF!</f>
        <v>#REF!</v>
      </c>
      <c r="L660" s="117" t="e">
        <f>Simulações!#REF!</f>
        <v>#REF!</v>
      </c>
      <c r="M660" s="114" t="e">
        <f>IF(Simulações!#REF!="","",Simulações!#REF!)</f>
        <v>#REF!</v>
      </c>
      <c r="N660" s="114" t="e">
        <f>IF(Simulações!#REF!="","",Simulações!#REF!)</f>
        <v>#REF!</v>
      </c>
      <c r="O660" s="114">
        <v>1</v>
      </c>
    </row>
    <row r="661" spans="1:15" ht="15.75" hidden="1" customHeight="1" x14ac:dyDescent="0.3">
      <c r="A661" s="124" t="e">
        <f>Simulações!#REF!</f>
        <v>#REF!</v>
      </c>
      <c r="B661" s="114" t="e">
        <f>Simulações!#REF!</f>
        <v>#REF!</v>
      </c>
      <c r="C661" s="125" t="e">
        <f>Simulações!#REF!</f>
        <v>#REF!</v>
      </c>
      <c r="D661" s="114" t="e">
        <f>Simulações!#REF!</f>
        <v>#REF!</v>
      </c>
      <c r="E661" s="114" t="e">
        <f>Simulações!#REF!</f>
        <v>#REF!</v>
      </c>
      <c r="F661" s="114" t="e">
        <f>Simulações!#REF!</f>
        <v>#REF!</v>
      </c>
      <c r="G661" s="114" t="e">
        <f>Simulações!#REF!</f>
        <v>#REF!</v>
      </c>
      <c r="H661" s="114" t="e">
        <f>Simulações!#REF!</f>
        <v>#REF!</v>
      </c>
      <c r="I661" s="114" t="e">
        <f>IF(Simulações!#REF!="","",Simulações!#REF!)</f>
        <v>#REF!</v>
      </c>
      <c r="J661" s="114" t="e">
        <f>IF(Simulações!#REF!="","",Simulações!#REF!)</f>
        <v>#REF!</v>
      </c>
      <c r="K661" s="117" t="e">
        <f>Simulações!#REF!</f>
        <v>#REF!</v>
      </c>
      <c r="L661" s="117" t="e">
        <f>Simulações!#REF!</f>
        <v>#REF!</v>
      </c>
      <c r="M661" s="114" t="e">
        <f>IF(Simulações!#REF!="","",Simulações!#REF!)</f>
        <v>#REF!</v>
      </c>
      <c r="N661" s="114" t="e">
        <f>IF(Simulações!#REF!="","",Simulações!#REF!)</f>
        <v>#REF!</v>
      </c>
      <c r="O661" s="114">
        <v>1</v>
      </c>
    </row>
    <row r="662" spans="1:15" ht="15.75" hidden="1" customHeight="1" x14ac:dyDescent="0.3">
      <c r="A662" s="124" t="e">
        <f>Simulações!#REF!</f>
        <v>#REF!</v>
      </c>
      <c r="B662" s="114" t="e">
        <f>Simulações!#REF!</f>
        <v>#REF!</v>
      </c>
      <c r="C662" s="125" t="e">
        <f>Simulações!#REF!</f>
        <v>#REF!</v>
      </c>
      <c r="D662" s="114" t="e">
        <f>Simulações!#REF!</f>
        <v>#REF!</v>
      </c>
      <c r="E662" s="114" t="e">
        <f>Simulações!#REF!</f>
        <v>#REF!</v>
      </c>
      <c r="F662" s="114" t="e">
        <f>Simulações!#REF!</f>
        <v>#REF!</v>
      </c>
      <c r="G662" s="114" t="e">
        <f>Simulações!#REF!</f>
        <v>#REF!</v>
      </c>
      <c r="H662" s="114" t="e">
        <f>Simulações!#REF!</f>
        <v>#REF!</v>
      </c>
      <c r="I662" s="114" t="e">
        <f>IF(Simulações!#REF!="","",Simulações!#REF!)</f>
        <v>#REF!</v>
      </c>
      <c r="J662" s="114" t="e">
        <f>IF(Simulações!#REF!="","",Simulações!#REF!)</f>
        <v>#REF!</v>
      </c>
      <c r="K662" s="117" t="e">
        <f>Simulações!#REF!</f>
        <v>#REF!</v>
      </c>
      <c r="L662" s="117" t="e">
        <f>Simulações!#REF!</f>
        <v>#REF!</v>
      </c>
      <c r="M662" s="114" t="e">
        <f>IF(Simulações!#REF!="","",Simulações!#REF!)</f>
        <v>#REF!</v>
      </c>
      <c r="N662" s="114" t="e">
        <f>IF(Simulações!#REF!="","",Simulações!#REF!)</f>
        <v>#REF!</v>
      </c>
      <c r="O662" s="114">
        <v>1</v>
      </c>
    </row>
    <row r="663" spans="1:15" ht="15.75" hidden="1" customHeight="1" x14ac:dyDescent="0.3">
      <c r="A663" s="124" t="e">
        <f>Simulações!#REF!</f>
        <v>#REF!</v>
      </c>
      <c r="B663" s="114" t="e">
        <f>Simulações!#REF!</f>
        <v>#REF!</v>
      </c>
      <c r="C663" s="125" t="e">
        <f>Simulações!#REF!</f>
        <v>#REF!</v>
      </c>
      <c r="D663" s="114" t="e">
        <f>Simulações!#REF!</f>
        <v>#REF!</v>
      </c>
      <c r="E663" s="114" t="e">
        <f>Simulações!#REF!</f>
        <v>#REF!</v>
      </c>
      <c r="F663" s="114" t="e">
        <f>Simulações!#REF!</f>
        <v>#REF!</v>
      </c>
      <c r="G663" s="114" t="e">
        <f>Simulações!#REF!</f>
        <v>#REF!</v>
      </c>
      <c r="H663" s="114" t="e">
        <f>Simulações!#REF!</f>
        <v>#REF!</v>
      </c>
      <c r="I663" s="114" t="e">
        <f>IF(Simulações!#REF!="","",Simulações!#REF!)</f>
        <v>#REF!</v>
      </c>
      <c r="J663" s="114" t="e">
        <f>IF(Simulações!#REF!="","",Simulações!#REF!)</f>
        <v>#REF!</v>
      </c>
      <c r="K663" s="117" t="e">
        <f>Simulações!#REF!</f>
        <v>#REF!</v>
      </c>
      <c r="L663" s="117" t="e">
        <f>Simulações!#REF!</f>
        <v>#REF!</v>
      </c>
      <c r="M663" s="114" t="e">
        <f>IF(Simulações!#REF!="","",Simulações!#REF!)</f>
        <v>#REF!</v>
      </c>
      <c r="N663" s="114" t="e">
        <f>IF(Simulações!#REF!="","",Simulações!#REF!)</f>
        <v>#REF!</v>
      </c>
      <c r="O663" s="114">
        <v>1</v>
      </c>
    </row>
    <row r="664" spans="1:15" ht="15.75" hidden="1" customHeight="1" x14ac:dyDescent="0.3">
      <c r="A664" s="124" t="e">
        <f>Simulações!#REF!</f>
        <v>#REF!</v>
      </c>
      <c r="B664" s="114" t="e">
        <f>Simulações!#REF!</f>
        <v>#REF!</v>
      </c>
      <c r="C664" s="125" t="e">
        <f>Simulações!#REF!</f>
        <v>#REF!</v>
      </c>
      <c r="D664" s="114" t="e">
        <f>Simulações!#REF!</f>
        <v>#REF!</v>
      </c>
      <c r="E664" s="114" t="e">
        <f>Simulações!#REF!</f>
        <v>#REF!</v>
      </c>
      <c r="F664" s="114" t="e">
        <f>Simulações!#REF!</f>
        <v>#REF!</v>
      </c>
      <c r="G664" s="114" t="e">
        <f>Simulações!#REF!</f>
        <v>#REF!</v>
      </c>
      <c r="H664" s="114" t="e">
        <f>Simulações!#REF!</f>
        <v>#REF!</v>
      </c>
      <c r="I664" s="114" t="e">
        <f>IF(Simulações!#REF!="","",Simulações!#REF!)</f>
        <v>#REF!</v>
      </c>
      <c r="J664" s="114" t="e">
        <f>IF(Simulações!#REF!="","",Simulações!#REF!)</f>
        <v>#REF!</v>
      </c>
      <c r="K664" s="117" t="e">
        <f>Simulações!#REF!</f>
        <v>#REF!</v>
      </c>
      <c r="L664" s="117" t="e">
        <f>Simulações!#REF!</f>
        <v>#REF!</v>
      </c>
      <c r="M664" s="114" t="e">
        <f>IF(Simulações!#REF!="","",Simulações!#REF!)</f>
        <v>#REF!</v>
      </c>
      <c r="N664" s="114" t="e">
        <f>IF(Simulações!#REF!="","",Simulações!#REF!)</f>
        <v>#REF!</v>
      </c>
      <c r="O664" s="114">
        <v>1</v>
      </c>
    </row>
    <row r="665" spans="1:15" ht="15.75" hidden="1" customHeight="1" x14ac:dyDescent="0.3">
      <c r="A665" s="124" t="e">
        <f>Simulações!#REF!</f>
        <v>#REF!</v>
      </c>
      <c r="B665" s="114" t="e">
        <f>Simulações!#REF!</f>
        <v>#REF!</v>
      </c>
      <c r="C665" s="125" t="e">
        <f>Simulações!#REF!</f>
        <v>#REF!</v>
      </c>
      <c r="D665" s="114" t="e">
        <f>Simulações!#REF!</f>
        <v>#REF!</v>
      </c>
      <c r="E665" s="114" t="e">
        <f>Simulações!#REF!</f>
        <v>#REF!</v>
      </c>
      <c r="F665" s="114" t="e">
        <f>Simulações!#REF!</f>
        <v>#REF!</v>
      </c>
      <c r="G665" s="114" t="e">
        <f>Simulações!#REF!</f>
        <v>#REF!</v>
      </c>
      <c r="H665" s="114" t="e">
        <f>Simulações!#REF!</f>
        <v>#REF!</v>
      </c>
      <c r="I665" s="114" t="e">
        <f>IF(Simulações!#REF!="","",Simulações!#REF!)</f>
        <v>#REF!</v>
      </c>
      <c r="J665" s="114" t="e">
        <f>IF(Simulações!#REF!="","",Simulações!#REF!)</f>
        <v>#REF!</v>
      </c>
      <c r="K665" s="117" t="e">
        <f>Simulações!#REF!</f>
        <v>#REF!</v>
      </c>
      <c r="L665" s="117" t="e">
        <f>Simulações!#REF!</f>
        <v>#REF!</v>
      </c>
      <c r="M665" s="114" t="e">
        <f>IF(Simulações!#REF!="","",Simulações!#REF!)</f>
        <v>#REF!</v>
      </c>
      <c r="N665" s="114" t="e">
        <f>IF(Simulações!#REF!="","",Simulações!#REF!)</f>
        <v>#REF!</v>
      </c>
      <c r="O665" s="114">
        <v>1</v>
      </c>
    </row>
    <row r="666" spans="1:15" ht="15.75" hidden="1" customHeight="1" x14ac:dyDescent="0.3">
      <c r="A666" s="124" t="e">
        <f>Simulações!#REF!</f>
        <v>#REF!</v>
      </c>
      <c r="B666" s="114" t="e">
        <f>Simulações!#REF!</f>
        <v>#REF!</v>
      </c>
      <c r="C666" s="125" t="e">
        <f>Simulações!#REF!</f>
        <v>#REF!</v>
      </c>
      <c r="D666" s="114" t="e">
        <f>Simulações!#REF!</f>
        <v>#REF!</v>
      </c>
      <c r="E666" s="114" t="e">
        <f>Simulações!#REF!</f>
        <v>#REF!</v>
      </c>
      <c r="F666" s="114" t="e">
        <f>Simulações!#REF!</f>
        <v>#REF!</v>
      </c>
      <c r="G666" s="114" t="e">
        <f>Simulações!#REF!</f>
        <v>#REF!</v>
      </c>
      <c r="H666" s="114" t="e">
        <f>Simulações!#REF!</f>
        <v>#REF!</v>
      </c>
      <c r="I666" s="114" t="e">
        <f>IF(Simulações!#REF!="","",Simulações!#REF!)</f>
        <v>#REF!</v>
      </c>
      <c r="J666" s="114" t="e">
        <f>IF(Simulações!#REF!="","",Simulações!#REF!)</f>
        <v>#REF!</v>
      </c>
      <c r="K666" s="117" t="e">
        <f>Simulações!#REF!</f>
        <v>#REF!</v>
      </c>
      <c r="L666" s="117" t="e">
        <f>Simulações!#REF!</f>
        <v>#REF!</v>
      </c>
      <c r="M666" s="114" t="e">
        <f>IF(Simulações!#REF!="","",Simulações!#REF!)</f>
        <v>#REF!</v>
      </c>
      <c r="N666" s="114" t="e">
        <f>IF(Simulações!#REF!="","",Simulações!#REF!)</f>
        <v>#REF!</v>
      </c>
      <c r="O666" s="114">
        <v>1</v>
      </c>
    </row>
    <row r="667" spans="1:15" ht="15.75" hidden="1" customHeight="1" x14ac:dyDescent="0.3">
      <c r="A667" s="124" t="e">
        <f>Simulações!#REF!</f>
        <v>#REF!</v>
      </c>
      <c r="B667" s="114" t="e">
        <f>Simulações!#REF!</f>
        <v>#REF!</v>
      </c>
      <c r="C667" s="125" t="e">
        <f>Simulações!#REF!</f>
        <v>#REF!</v>
      </c>
      <c r="D667" s="114" t="e">
        <f>Simulações!#REF!</f>
        <v>#REF!</v>
      </c>
      <c r="E667" s="114" t="e">
        <f>Simulações!#REF!</f>
        <v>#REF!</v>
      </c>
      <c r="F667" s="114" t="e">
        <f>Simulações!#REF!</f>
        <v>#REF!</v>
      </c>
      <c r="G667" s="114" t="e">
        <f>Simulações!#REF!</f>
        <v>#REF!</v>
      </c>
      <c r="H667" s="114" t="e">
        <f>Simulações!#REF!</f>
        <v>#REF!</v>
      </c>
      <c r="I667" s="114" t="e">
        <f>IF(Simulações!#REF!="","",Simulações!#REF!)</f>
        <v>#REF!</v>
      </c>
      <c r="J667" s="114" t="e">
        <f>IF(Simulações!#REF!="","",Simulações!#REF!)</f>
        <v>#REF!</v>
      </c>
      <c r="K667" s="117" t="e">
        <f>Simulações!#REF!</f>
        <v>#REF!</v>
      </c>
      <c r="L667" s="117" t="e">
        <f>Simulações!#REF!</f>
        <v>#REF!</v>
      </c>
      <c r="M667" s="114" t="e">
        <f>IF(Simulações!#REF!="","",Simulações!#REF!)</f>
        <v>#REF!</v>
      </c>
      <c r="N667" s="114" t="e">
        <f>IF(Simulações!#REF!="","",Simulações!#REF!)</f>
        <v>#REF!</v>
      </c>
      <c r="O667" s="114">
        <v>1</v>
      </c>
    </row>
    <row r="668" spans="1:15" ht="15.75" hidden="1" customHeight="1" x14ac:dyDescent="0.3">
      <c r="A668" s="124" t="e">
        <f>Simulações!#REF!</f>
        <v>#REF!</v>
      </c>
      <c r="B668" s="114" t="e">
        <f>Simulações!#REF!</f>
        <v>#REF!</v>
      </c>
      <c r="C668" s="125" t="e">
        <f>Simulações!#REF!</f>
        <v>#REF!</v>
      </c>
      <c r="D668" s="114" t="e">
        <f>Simulações!#REF!</f>
        <v>#REF!</v>
      </c>
      <c r="E668" s="114" t="e">
        <f>Simulações!#REF!</f>
        <v>#REF!</v>
      </c>
      <c r="F668" s="114" t="e">
        <f>Simulações!#REF!</f>
        <v>#REF!</v>
      </c>
      <c r="G668" s="114" t="e">
        <f>Simulações!#REF!</f>
        <v>#REF!</v>
      </c>
      <c r="H668" s="114" t="e">
        <f>Simulações!#REF!</f>
        <v>#REF!</v>
      </c>
      <c r="I668" s="114" t="e">
        <f>IF(Simulações!#REF!="","",Simulações!#REF!)</f>
        <v>#REF!</v>
      </c>
      <c r="J668" s="114" t="e">
        <f>IF(Simulações!#REF!="","",Simulações!#REF!)</f>
        <v>#REF!</v>
      </c>
      <c r="K668" s="117" t="e">
        <f>Simulações!#REF!</f>
        <v>#REF!</v>
      </c>
      <c r="L668" s="117" t="e">
        <f>Simulações!#REF!</f>
        <v>#REF!</v>
      </c>
      <c r="M668" s="114" t="e">
        <f>IF(Simulações!#REF!="","",Simulações!#REF!)</f>
        <v>#REF!</v>
      </c>
      <c r="N668" s="114" t="e">
        <f>IF(Simulações!#REF!="","",Simulações!#REF!)</f>
        <v>#REF!</v>
      </c>
      <c r="O668" s="114">
        <v>1</v>
      </c>
    </row>
    <row r="669" spans="1:15" ht="15.75" hidden="1" customHeight="1" x14ac:dyDescent="0.3">
      <c r="A669" s="124" t="e">
        <f>Simulações!#REF!</f>
        <v>#REF!</v>
      </c>
      <c r="B669" s="114" t="e">
        <f>Simulações!#REF!</f>
        <v>#REF!</v>
      </c>
      <c r="C669" s="125" t="e">
        <f>Simulações!#REF!</f>
        <v>#REF!</v>
      </c>
      <c r="D669" s="114" t="e">
        <f>Simulações!#REF!</f>
        <v>#REF!</v>
      </c>
      <c r="E669" s="114" t="e">
        <f>Simulações!#REF!</f>
        <v>#REF!</v>
      </c>
      <c r="F669" s="114" t="e">
        <f>Simulações!#REF!</f>
        <v>#REF!</v>
      </c>
      <c r="G669" s="114" t="e">
        <f>Simulações!#REF!</f>
        <v>#REF!</v>
      </c>
      <c r="H669" s="114" t="e">
        <f>Simulações!#REF!</f>
        <v>#REF!</v>
      </c>
      <c r="I669" s="114" t="e">
        <f>IF(Simulações!#REF!="","",Simulações!#REF!)</f>
        <v>#REF!</v>
      </c>
      <c r="J669" s="114" t="e">
        <f>IF(Simulações!#REF!="","",Simulações!#REF!)</f>
        <v>#REF!</v>
      </c>
      <c r="K669" s="117" t="e">
        <f>Simulações!#REF!</f>
        <v>#REF!</v>
      </c>
      <c r="L669" s="117" t="e">
        <f>Simulações!#REF!</f>
        <v>#REF!</v>
      </c>
      <c r="M669" s="114" t="e">
        <f>IF(Simulações!#REF!="","",Simulações!#REF!)</f>
        <v>#REF!</v>
      </c>
      <c r="N669" s="114" t="e">
        <f>IF(Simulações!#REF!="","",Simulações!#REF!)</f>
        <v>#REF!</v>
      </c>
      <c r="O669" s="114">
        <v>1</v>
      </c>
    </row>
    <row r="670" spans="1:15" ht="15.75" hidden="1" customHeight="1" x14ac:dyDescent="0.3">
      <c r="A670" s="124" t="e">
        <f>Simulações!#REF!</f>
        <v>#REF!</v>
      </c>
      <c r="B670" s="114" t="e">
        <f>Simulações!#REF!</f>
        <v>#REF!</v>
      </c>
      <c r="C670" s="125" t="e">
        <f>Simulações!#REF!</f>
        <v>#REF!</v>
      </c>
      <c r="D670" s="114" t="e">
        <f>Simulações!#REF!</f>
        <v>#REF!</v>
      </c>
      <c r="E670" s="114" t="e">
        <f>Simulações!#REF!</f>
        <v>#REF!</v>
      </c>
      <c r="F670" s="114" t="e">
        <f>Simulações!#REF!</f>
        <v>#REF!</v>
      </c>
      <c r="G670" s="114" t="e">
        <f>Simulações!#REF!</f>
        <v>#REF!</v>
      </c>
      <c r="H670" s="114" t="e">
        <f>Simulações!#REF!</f>
        <v>#REF!</v>
      </c>
      <c r="I670" s="114" t="e">
        <f>IF(Simulações!#REF!="","",Simulações!#REF!)</f>
        <v>#REF!</v>
      </c>
      <c r="J670" s="114" t="e">
        <f>IF(Simulações!#REF!="","",Simulações!#REF!)</f>
        <v>#REF!</v>
      </c>
      <c r="K670" s="117" t="e">
        <f>Simulações!#REF!</f>
        <v>#REF!</v>
      </c>
      <c r="L670" s="117" t="e">
        <f>Simulações!#REF!</f>
        <v>#REF!</v>
      </c>
      <c r="M670" s="114" t="e">
        <f>IF(Simulações!#REF!="","",Simulações!#REF!)</f>
        <v>#REF!</v>
      </c>
      <c r="N670" s="114" t="e">
        <f>IF(Simulações!#REF!="","",Simulações!#REF!)</f>
        <v>#REF!</v>
      </c>
      <c r="O670" s="114">
        <v>1</v>
      </c>
    </row>
    <row r="671" spans="1:15" ht="15.75" hidden="1" customHeight="1" x14ac:dyDescent="0.3">
      <c r="A671" s="124" t="e">
        <f>Simulações!#REF!</f>
        <v>#REF!</v>
      </c>
      <c r="B671" s="114" t="e">
        <f>Simulações!#REF!</f>
        <v>#REF!</v>
      </c>
      <c r="C671" s="125" t="e">
        <f>Simulações!#REF!</f>
        <v>#REF!</v>
      </c>
      <c r="D671" s="114" t="e">
        <f>Simulações!#REF!</f>
        <v>#REF!</v>
      </c>
      <c r="E671" s="114" t="e">
        <f>Simulações!#REF!</f>
        <v>#REF!</v>
      </c>
      <c r="F671" s="114" t="e">
        <f>Simulações!#REF!</f>
        <v>#REF!</v>
      </c>
      <c r="G671" s="114" t="e">
        <f>Simulações!#REF!</f>
        <v>#REF!</v>
      </c>
      <c r="H671" s="114" t="e">
        <f>Simulações!#REF!</f>
        <v>#REF!</v>
      </c>
      <c r="I671" s="114" t="e">
        <f>IF(Simulações!#REF!="","",Simulações!#REF!)</f>
        <v>#REF!</v>
      </c>
      <c r="J671" s="114" t="e">
        <f>IF(Simulações!#REF!="","",Simulações!#REF!)</f>
        <v>#REF!</v>
      </c>
      <c r="K671" s="117" t="e">
        <f>Simulações!#REF!</f>
        <v>#REF!</v>
      </c>
      <c r="L671" s="117" t="e">
        <f>Simulações!#REF!</f>
        <v>#REF!</v>
      </c>
      <c r="M671" s="114" t="e">
        <f>IF(Simulações!#REF!="","",Simulações!#REF!)</f>
        <v>#REF!</v>
      </c>
      <c r="N671" s="114" t="e">
        <f>IF(Simulações!#REF!="","",Simulações!#REF!)</f>
        <v>#REF!</v>
      </c>
      <c r="O671" s="114">
        <v>1</v>
      </c>
    </row>
    <row r="672" spans="1:15" ht="15.75" hidden="1" customHeight="1" x14ac:dyDescent="0.3">
      <c r="A672" s="124" t="e">
        <f>Simulações!#REF!</f>
        <v>#REF!</v>
      </c>
      <c r="B672" s="114" t="e">
        <f>Simulações!#REF!</f>
        <v>#REF!</v>
      </c>
      <c r="C672" s="125" t="e">
        <f>Simulações!#REF!</f>
        <v>#REF!</v>
      </c>
      <c r="D672" s="114" t="e">
        <f>Simulações!#REF!</f>
        <v>#REF!</v>
      </c>
      <c r="E672" s="114" t="e">
        <f>Simulações!#REF!</f>
        <v>#REF!</v>
      </c>
      <c r="F672" s="114" t="e">
        <f>Simulações!#REF!</f>
        <v>#REF!</v>
      </c>
      <c r="G672" s="114" t="e">
        <f>Simulações!#REF!</f>
        <v>#REF!</v>
      </c>
      <c r="H672" s="114" t="e">
        <f>Simulações!#REF!</f>
        <v>#REF!</v>
      </c>
      <c r="I672" s="114" t="e">
        <f>IF(Simulações!#REF!="","",Simulações!#REF!)</f>
        <v>#REF!</v>
      </c>
      <c r="J672" s="114" t="e">
        <f>IF(Simulações!#REF!="","",Simulações!#REF!)</f>
        <v>#REF!</v>
      </c>
      <c r="K672" s="117" t="e">
        <f>Simulações!#REF!</f>
        <v>#REF!</v>
      </c>
      <c r="L672" s="117" t="e">
        <f>Simulações!#REF!</f>
        <v>#REF!</v>
      </c>
      <c r="M672" s="114" t="e">
        <f>IF(Simulações!#REF!="","",Simulações!#REF!)</f>
        <v>#REF!</v>
      </c>
      <c r="N672" s="114" t="e">
        <f>IF(Simulações!#REF!="","",Simulações!#REF!)</f>
        <v>#REF!</v>
      </c>
      <c r="O672" s="114">
        <v>1</v>
      </c>
    </row>
    <row r="673" spans="1:15" ht="15.75" hidden="1" customHeight="1" x14ac:dyDescent="0.3">
      <c r="A673" s="124" t="e">
        <f>Simulações!#REF!</f>
        <v>#REF!</v>
      </c>
      <c r="B673" s="114" t="e">
        <f>Simulações!#REF!</f>
        <v>#REF!</v>
      </c>
      <c r="C673" s="125" t="e">
        <f>Simulações!#REF!</f>
        <v>#REF!</v>
      </c>
      <c r="D673" s="114" t="e">
        <f>Simulações!#REF!</f>
        <v>#REF!</v>
      </c>
      <c r="E673" s="114" t="e">
        <f>Simulações!#REF!</f>
        <v>#REF!</v>
      </c>
      <c r="F673" s="114" t="e">
        <f>Simulações!#REF!</f>
        <v>#REF!</v>
      </c>
      <c r="G673" s="114" t="e">
        <f>Simulações!#REF!</f>
        <v>#REF!</v>
      </c>
      <c r="H673" s="114" t="e">
        <f>Simulações!#REF!</f>
        <v>#REF!</v>
      </c>
      <c r="I673" s="114" t="e">
        <f>IF(Simulações!#REF!="","",Simulações!#REF!)</f>
        <v>#REF!</v>
      </c>
      <c r="J673" s="114" t="e">
        <f>IF(Simulações!#REF!="","",Simulações!#REF!)</f>
        <v>#REF!</v>
      </c>
      <c r="K673" s="117" t="e">
        <f>Simulações!#REF!</f>
        <v>#REF!</v>
      </c>
      <c r="L673" s="117" t="e">
        <f>Simulações!#REF!</f>
        <v>#REF!</v>
      </c>
      <c r="M673" s="114" t="e">
        <f>IF(Simulações!#REF!="","",Simulações!#REF!)</f>
        <v>#REF!</v>
      </c>
      <c r="N673" s="114" t="e">
        <f>IF(Simulações!#REF!="","",Simulações!#REF!)</f>
        <v>#REF!</v>
      </c>
      <c r="O673" s="114">
        <v>1</v>
      </c>
    </row>
    <row r="674" spans="1:15" ht="15.75" hidden="1" customHeight="1" x14ac:dyDescent="0.3">
      <c r="A674" s="124" t="e">
        <f>Simulações!#REF!</f>
        <v>#REF!</v>
      </c>
      <c r="B674" s="114" t="e">
        <f>Simulações!#REF!</f>
        <v>#REF!</v>
      </c>
      <c r="C674" s="125" t="e">
        <f>Simulações!#REF!</f>
        <v>#REF!</v>
      </c>
      <c r="D674" s="114" t="e">
        <f>Simulações!#REF!</f>
        <v>#REF!</v>
      </c>
      <c r="E674" s="114" t="e">
        <f>Simulações!#REF!</f>
        <v>#REF!</v>
      </c>
      <c r="F674" s="114" t="e">
        <f>Simulações!#REF!</f>
        <v>#REF!</v>
      </c>
      <c r="G674" s="114" t="e">
        <f>Simulações!#REF!</f>
        <v>#REF!</v>
      </c>
      <c r="H674" s="114" t="e">
        <f>Simulações!#REF!</f>
        <v>#REF!</v>
      </c>
      <c r="I674" s="114" t="e">
        <f>IF(Simulações!#REF!="","",Simulações!#REF!)</f>
        <v>#REF!</v>
      </c>
      <c r="J674" s="114" t="e">
        <f>IF(Simulações!#REF!="","",Simulações!#REF!)</f>
        <v>#REF!</v>
      </c>
      <c r="K674" s="117" t="e">
        <f>Simulações!#REF!</f>
        <v>#REF!</v>
      </c>
      <c r="L674" s="117" t="e">
        <f>Simulações!#REF!</f>
        <v>#REF!</v>
      </c>
      <c r="M674" s="114" t="e">
        <f>IF(Simulações!#REF!="","",Simulações!#REF!)</f>
        <v>#REF!</v>
      </c>
      <c r="N674" s="114" t="e">
        <f>IF(Simulações!#REF!="","",Simulações!#REF!)</f>
        <v>#REF!</v>
      </c>
      <c r="O674" s="114">
        <v>1</v>
      </c>
    </row>
    <row r="675" spans="1:15" ht="15.75" hidden="1" customHeight="1" x14ac:dyDescent="0.3">
      <c r="A675" s="124" t="e">
        <f>Simulações!#REF!</f>
        <v>#REF!</v>
      </c>
      <c r="B675" s="114" t="e">
        <f>Simulações!#REF!</f>
        <v>#REF!</v>
      </c>
      <c r="C675" s="125" t="e">
        <f>Simulações!#REF!</f>
        <v>#REF!</v>
      </c>
      <c r="D675" s="114" t="e">
        <f>Simulações!#REF!</f>
        <v>#REF!</v>
      </c>
      <c r="E675" s="114" t="e">
        <f>Simulações!#REF!</f>
        <v>#REF!</v>
      </c>
      <c r="F675" s="114" t="e">
        <f>Simulações!#REF!</f>
        <v>#REF!</v>
      </c>
      <c r="G675" s="114" t="e">
        <f>Simulações!#REF!</f>
        <v>#REF!</v>
      </c>
      <c r="H675" s="114" t="e">
        <f>Simulações!#REF!</f>
        <v>#REF!</v>
      </c>
      <c r="I675" s="114" t="e">
        <f>IF(Simulações!#REF!="","",Simulações!#REF!)</f>
        <v>#REF!</v>
      </c>
      <c r="J675" s="114" t="e">
        <f>IF(Simulações!#REF!="","",Simulações!#REF!)</f>
        <v>#REF!</v>
      </c>
      <c r="K675" s="117" t="e">
        <f>Simulações!#REF!</f>
        <v>#REF!</v>
      </c>
      <c r="L675" s="117" t="e">
        <f>Simulações!#REF!</f>
        <v>#REF!</v>
      </c>
      <c r="M675" s="114" t="e">
        <f>IF(Simulações!#REF!="","",Simulações!#REF!)</f>
        <v>#REF!</v>
      </c>
      <c r="N675" s="114" t="e">
        <f>IF(Simulações!#REF!="","",Simulações!#REF!)</f>
        <v>#REF!</v>
      </c>
      <c r="O675" s="114">
        <v>1</v>
      </c>
    </row>
    <row r="676" spans="1:15" ht="15.75" hidden="1" customHeight="1" x14ac:dyDescent="0.3">
      <c r="A676" s="124" t="e">
        <f>Simulações!#REF!</f>
        <v>#REF!</v>
      </c>
      <c r="B676" s="114" t="e">
        <f>Simulações!#REF!</f>
        <v>#REF!</v>
      </c>
      <c r="C676" s="125" t="e">
        <f>Simulações!#REF!</f>
        <v>#REF!</v>
      </c>
      <c r="D676" s="114" t="e">
        <f>Simulações!#REF!</f>
        <v>#REF!</v>
      </c>
      <c r="E676" s="114" t="e">
        <f>Simulações!#REF!</f>
        <v>#REF!</v>
      </c>
      <c r="F676" s="114" t="e">
        <f>Simulações!#REF!</f>
        <v>#REF!</v>
      </c>
      <c r="G676" s="114" t="e">
        <f>Simulações!#REF!</f>
        <v>#REF!</v>
      </c>
      <c r="H676" s="114" t="e">
        <f>Simulações!#REF!</f>
        <v>#REF!</v>
      </c>
      <c r="I676" s="114" t="e">
        <f>IF(Simulações!#REF!="","",Simulações!#REF!)</f>
        <v>#REF!</v>
      </c>
      <c r="J676" s="114" t="e">
        <f>IF(Simulações!#REF!="","",Simulações!#REF!)</f>
        <v>#REF!</v>
      </c>
      <c r="K676" s="117" t="e">
        <f>Simulações!#REF!</f>
        <v>#REF!</v>
      </c>
      <c r="L676" s="117" t="e">
        <f>Simulações!#REF!</f>
        <v>#REF!</v>
      </c>
      <c r="M676" s="114" t="e">
        <f>IF(Simulações!#REF!="","",Simulações!#REF!)</f>
        <v>#REF!</v>
      </c>
      <c r="N676" s="114" t="e">
        <f>IF(Simulações!#REF!="","",Simulações!#REF!)</f>
        <v>#REF!</v>
      </c>
      <c r="O676" s="114">
        <v>1</v>
      </c>
    </row>
    <row r="677" spans="1:15" ht="15.75" hidden="1" customHeight="1" x14ac:dyDescent="0.3">
      <c r="A677" s="124" t="e">
        <f>Simulações!#REF!</f>
        <v>#REF!</v>
      </c>
      <c r="B677" s="114" t="e">
        <f>Simulações!#REF!</f>
        <v>#REF!</v>
      </c>
      <c r="C677" s="125" t="e">
        <f>Simulações!#REF!</f>
        <v>#REF!</v>
      </c>
      <c r="D677" s="114" t="e">
        <f>Simulações!#REF!</f>
        <v>#REF!</v>
      </c>
      <c r="E677" s="114" t="e">
        <f>Simulações!#REF!</f>
        <v>#REF!</v>
      </c>
      <c r="F677" s="114" t="e">
        <f>Simulações!#REF!</f>
        <v>#REF!</v>
      </c>
      <c r="G677" s="114" t="e">
        <f>Simulações!#REF!</f>
        <v>#REF!</v>
      </c>
      <c r="H677" s="114" t="e">
        <f>Simulações!#REF!</f>
        <v>#REF!</v>
      </c>
      <c r="I677" s="114" t="e">
        <f>IF(Simulações!#REF!="","",Simulações!#REF!)</f>
        <v>#REF!</v>
      </c>
      <c r="J677" s="114" t="e">
        <f>IF(Simulações!#REF!="","",Simulações!#REF!)</f>
        <v>#REF!</v>
      </c>
      <c r="K677" s="117" t="e">
        <f>Simulações!#REF!</f>
        <v>#REF!</v>
      </c>
      <c r="L677" s="117" t="e">
        <f>Simulações!#REF!</f>
        <v>#REF!</v>
      </c>
      <c r="M677" s="114" t="e">
        <f>IF(Simulações!#REF!="","",Simulações!#REF!)</f>
        <v>#REF!</v>
      </c>
      <c r="N677" s="114" t="e">
        <f>IF(Simulações!#REF!="","",Simulações!#REF!)</f>
        <v>#REF!</v>
      </c>
      <c r="O677" s="114">
        <v>1</v>
      </c>
    </row>
    <row r="678" spans="1:15" ht="15.75" hidden="1" customHeight="1" x14ac:dyDescent="0.3">
      <c r="A678" s="124" t="e">
        <f>Simulações!#REF!</f>
        <v>#REF!</v>
      </c>
      <c r="B678" s="114" t="e">
        <f>Simulações!#REF!</f>
        <v>#REF!</v>
      </c>
      <c r="C678" s="125" t="e">
        <f>Simulações!#REF!</f>
        <v>#REF!</v>
      </c>
      <c r="D678" s="114" t="e">
        <f>Simulações!#REF!</f>
        <v>#REF!</v>
      </c>
      <c r="E678" s="114" t="e">
        <f>Simulações!#REF!</f>
        <v>#REF!</v>
      </c>
      <c r="F678" s="114" t="e">
        <f>Simulações!#REF!</f>
        <v>#REF!</v>
      </c>
      <c r="G678" s="114" t="e">
        <f>Simulações!#REF!</f>
        <v>#REF!</v>
      </c>
      <c r="H678" s="114" t="e">
        <f>Simulações!#REF!</f>
        <v>#REF!</v>
      </c>
      <c r="I678" s="114" t="e">
        <f>IF(Simulações!#REF!="","",Simulações!#REF!)</f>
        <v>#REF!</v>
      </c>
      <c r="J678" s="114" t="e">
        <f>IF(Simulações!#REF!="","",Simulações!#REF!)</f>
        <v>#REF!</v>
      </c>
      <c r="K678" s="117" t="e">
        <f>Simulações!#REF!</f>
        <v>#REF!</v>
      </c>
      <c r="L678" s="117" t="e">
        <f>Simulações!#REF!</f>
        <v>#REF!</v>
      </c>
      <c r="M678" s="114" t="e">
        <f>IF(Simulações!#REF!="","",Simulações!#REF!)</f>
        <v>#REF!</v>
      </c>
      <c r="N678" s="114" t="e">
        <f>IF(Simulações!#REF!="","",Simulações!#REF!)</f>
        <v>#REF!</v>
      </c>
      <c r="O678" s="114">
        <v>1</v>
      </c>
    </row>
    <row r="679" spans="1:15" ht="15.75" hidden="1" customHeight="1" x14ac:dyDescent="0.3">
      <c r="A679" s="124" t="e">
        <f>Simulações!#REF!</f>
        <v>#REF!</v>
      </c>
      <c r="B679" s="114" t="e">
        <f>Simulações!#REF!</f>
        <v>#REF!</v>
      </c>
      <c r="C679" s="125" t="e">
        <f>Simulações!#REF!</f>
        <v>#REF!</v>
      </c>
      <c r="D679" s="114" t="e">
        <f>Simulações!#REF!</f>
        <v>#REF!</v>
      </c>
      <c r="E679" s="114" t="e">
        <f>Simulações!#REF!</f>
        <v>#REF!</v>
      </c>
      <c r="F679" s="114" t="e">
        <f>Simulações!#REF!</f>
        <v>#REF!</v>
      </c>
      <c r="G679" s="114" t="e">
        <f>Simulações!#REF!</f>
        <v>#REF!</v>
      </c>
      <c r="H679" s="114" t="e">
        <f>Simulações!#REF!</f>
        <v>#REF!</v>
      </c>
      <c r="I679" s="114" t="e">
        <f>IF(Simulações!#REF!="","",Simulações!#REF!)</f>
        <v>#REF!</v>
      </c>
      <c r="J679" s="114" t="e">
        <f>IF(Simulações!#REF!="","",Simulações!#REF!)</f>
        <v>#REF!</v>
      </c>
      <c r="K679" s="117" t="e">
        <f>Simulações!#REF!</f>
        <v>#REF!</v>
      </c>
      <c r="L679" s="117" t="e">
        <f>Simulações!#REF!</f>
        <v>#REF!</v>
      </c>
      <c r="M679" s="114" t="e">
        <f>IF(Simulações!#REF!="","",Simulações!#REF!)</f>
        <v>#REF!</v>
      </c>
      <c r="N679" s="114" t="e">
        <f>IF(Simulações!#REF!="","",Simulações!#REF!)</f>
        <v>#REF!</v>
      </c>
      <c r="O679" s="114">
        <v>1</v>
      </c>
    </row>
    <row r="680" spans="1:15" ht="15.75" hidden="1" customHeight="1" x14ac:dyDescent="0.3">
      <c r="A680" s="124" t="e">
        <f>Simulações!#REF!</f>
        <v>#REF!</v>
      </c>
      <c r="B680" s="114" t="e">
        <f>Simulações!#REF!</f>
        <v>#REF!</v>
      </c>
      <c r="C680" s="125" t="e">
        <f>Simulações!#REF!</f>
        <v>#REF!</v>
      </c>
      <c r="D680" s="114" t="e">
        <f>Simulações!#REF!</f>
        <v>#REF!</v>
      </c>
      <c r="E680" s="114" t="e">
        <f>Simulações!#REF!</f>
        <v>#REF!</v>
      </c>
      <c r="F680" s="114" t="e">
        <f>Simulações!#REF!</f>
        <v>#REF!</v>
      </c>
      <c r="G680" s="114" t="e">
        <f>Simulações!#REF!</f>
        <v>#REF!</v>
      </c>
      <c r="H680" s="114" t="e">
        <f>Simulações!#REF!</f>
        <v>#REF!</v>
      </c>
      <c r="I680" s="114" t="e">
        <f>IF(Simulações!#REF!="","",Simulações!#REF!)</f>
        <v>#REF!</v>
      </c>
      <c r="J680" s="114" t="e">
        <f>IF(Simulações!#REF!="","",Simulações!#REF!)</f>
        <v>#REF!</v>
      </c>
      <c r="K680" s="117" t="e">
        <f>Simulações!#REF!</f>
        <v>#REF!</v>
      </c>
      <c r="L680" s="117" t="e">
        <f>Simulações!#REF!</f>
        <v>#REF!</v>
      </c>
      <c r="M680" s="114" t="e">
        <f>IF(Simulações!#REF!="","",Simulações!#REF!)</f>
        <v>#REF!</v>
      </c>
      <c r="N680" s="114" t="e">
        <f>IF(Simulações!#REF!="","",Simulações!#REF!)</f>
        <v>#REF!</v>
      </c>
      <c r="O680" s="114">
        <v>1</v>
      </c>
    </row>
    <row r="681" spans="1:15" ht="15.75" hidden="1" customHeight="1" x14ac:dyDescent="0.3">
      <c r="A681" s="124" t="e">
        <f>Simulações!#REF!</f>
        <v>#REF!</v>
      </c>
      <c r="B681" s="114" t="e">
        <f>Simulações!#REF!</f>
        <v>#REF!</v>
      </c>
      <c r="C681" s="125" t="e">
        <f>Simulações!#REF!</f>
        <v>#REF!</v>
      </c>
      <c r="D681" s="114" t="e">
        <f>Simulações!#REF!</f>
        <v>#REF!</v>
      </c>
      <c r="E681" s="114" t="e">
        <f>Simulações!#REF!</f>
        <v>#REF!</v>
      </c>
      <c r="F681" s="114" t="e">
        <f>Simulações!#REF!</f>
        <v>#REF!</v>
      </c>
      <c r="G681" s="114" t="e">
        <f>Simulações!#REF!</f>
        <v>#REF!</v>
      </c>
      <c r="H681" s="114" t="e">
        <f>Simulações!#REF!</f>
        <v>#REF!</v>
      </c>
      <c r="I681" s="114" t="e">
        <f>IF(Simulações!#REF!="","",Simulações!#REF!)</f>
        <v>#REF!</v>
      </c>
      <c r="J681" s="114" t="e">
        <f>IF(Simulações!#REF!="","",Simulações!#REF!)</f>
        <v>#REF!</v>
      </c>
      <c r="K681" s="117" t="e">
        <f>Simulações!#REF!</f>
        <v>#REF!</v>
      </c>
      <c r="L681" s="117" t="e">
        <f>Simulações!#REF!</f>
        <v>#REF!</v>
      </c>
      <c r="M681" s="114" t="e">
        <f>IF(Simulações!#REF!="","",Simulações!#REF!)</f>
        <v>#REF!</v>
      </c>
      <c r="N681" s="114" t="e">
        <f>IF(Simulações!#REF!="","",Simulações!#REF!)</f>
        <v>#REF!</v>
      </c>
      <c r="O681" s="114">
        <v>1</v>
      </c>
    </row>
    <row r="682" spans="1:15" ht="15.75" hidden="1" customHeight="1" x14ac:dyDescent="0.3">
      <c r="A682" s="124" t="e">
        <f>Simulações!#REF!</f>
        <v>#REF!</v>
      </c>
      <c r="B682" s="114" t="e">
        <f>Simulações!#REF!</f>
        <v>#REF!</v>
      </c>
      <c r="C682" s="125" t="e">
        <f>Simulações!#REF!</f>
        <v>#REF!</v>
      </c>
      <c r="D682" s="114" t="e">
        <f>Simulações!#REF!</f>
        <v>#REF!</v>
      </c>
      <c r="E682" s="114" t="e">
        <f>Simulações!#REF!</f>
        <v>#REF!</v>
      </c>
      <c r="F682" s="114" t="e">
        <f>Simulações!#REF!</f>
        <v>#REF!</v>
      </c>
      <c r="G682" s="114" t="e">
        <f>Simulações!#REF!</f>
        <v>#REF!</v>
      </c>
      <c r="H682" s="114" t="e">
        <f>Simulações!#REF!</f>
        <v>#REF!</v>
      </c>
      <c r="I682" s="114" t="e">
        <f>IF(Simulações!#REF!="","",Simulações!#REF!)</f>
        <v>#REF!</v>
      </c>
      <c r="J682" s="114" t="e">
        <f>IF(Simulações!#REF!="","",Simulações!#REF!)</f>
        <v>#REF!</v>
      </c>
      <c r="K682" s="117" t="e">
        <f>Simulações!#REF!</f>
        <v>#REF!</v>
      </c>
      <c r="L682" s="117" t="e">
        <f>Simulações!#REF!</f>
        <v>#REF!</v>
      </c>
      <c r="M682" s="114" t="e">
        <f>IF(Simulações!#REF!="","",Simulações!#REF!)</f>
        <v>#REF!</v>
      </c>
      <c r="N682" s="114" t="e">
        <f>IF(Simulações!#REF!="","",Simulações!#REF!)</f>
        <v>#REF!</v>
      </c>
      <c r="O682" s="114">
        <v>1</v>
      </c>
    </row>
    <row r="683" spans="1:15" ht="15.75" hidden="1" customHeight="1" x14ac:dyDescent="0.3">
      <c r="A683" s="124" t="e">
        <f>Simulações!#REF!</f>
        <v>#REF!</v>
      </c>
      <c r="B683" s="114" t="e">
        <f>Simulações!#REF!</f>
        <v>#REF!</v>
      </c>
      <c r="C683" s="125" t="e">
        <f>Simulações!#REF!</f>
        <v>#REF!</v>
      </c>
      <c r="D683" s="114" t="e">
        <f>Simulações!#REF!</f>
        <v>#REF!</v>
      </c>
      <c r="E683" s="114" t="e">
        <f>Simulações!#REF!</f>
        <v>#REF!</v>
      </c>
      <c r="F683" s="114" t="e">
        <f>Simulações!#REF!</f>
        <v>#REF!</v>
      </c>
      <c r="G683" s="114" t="e">
        <f>Simulações!#REF!</f>
        <v>#REF!</v>
      </c>
      <c r="H683" s="114" t="e">
        <f>Simulações!#REF!</f>
        <v>#REF!</v>
      </c>
      <c r="I683" s="114" t="e">
        <f>IF(Simulações!#REF!="","",Simulações!#REF!)</f>
        <v>#REF!</v>
      </c>
      <c r="J683" s="114" t="e">
        <f>IF(Simulações!#REF!="","",Simulações!#REF!)</f>
        <v>#REF!</v>
      </c>
      <c r="K683" s="117" t="e">
        <f>Simulações!#REF!</f>
        <v>#REF!</v>
      </c>
      <c r="L683" s="117" t="e">
        <f>Simulações!#REF!</f>
        <v>#REF!</v>
      </c>
      <c r="M683" s="114" t="e">
        <f>IF(Simulações!#REF!="","",Simulações!#REF!)</f>
        <v>#REF!</v>
      </c>
      <c r="N683" s="114" t="e">
        <f>IF(Simulações!#REF!="","",Simulações!#REF!)</f>
        <v>#REF!</v>
      </c>
      <c r="O683" s="114">
        <v>1</v>
      </c>
    </row>
    <row r="684" spans="1:15" ht="15.75" hidden="1" customHeight="1" x14ac:dyDescent="0.3">
      <c r="A684" s="124" t="e">
        <f>Simulações!#REF!</f>
        <v>#REF!</v>
      </c>
      <c r="B684" s="114" t="e">
        <f>Simulações!#REF!</f>
        <v>#REF!</v>
      </c>
      <c r="C684" s="125" t="e">
        <f>Simulações!#REF!</f>
        <v>#REF!</v>
      </c>
      <c r="D684" s="114" t="e">
        <f>Simulações!#REF!</f>
        <v>#REF!</v>
      </c>
      <c r="E684" s="114" t="e">
        <f>Simulações!#REF!</f>
        <v>#REF!</v>
      </c>
      <c r="F684" s="114" t="e">
        <f>Simulações!#REF!</f>
        <v>#REF!</v>
      </c>
      <c r="G684" s="114" t="e">
        <f>Simulações!#REF!</f>
        <v>#REF!</v>
      </c>
      <c r="H684" s="114" t="e">
        <f>Simulações!#REF!</f>
        <v>#REF!</v>
      </c>
      <c r="I684" s="114" t="e">
        <f>IF(Simulações!#REF!="","",Simulações!#REF!)</f>
        <v>#REF!</v>
      </c>
      <c r="J684" s="114" t="e">
        <f>IF(Simulações!#REF!="","",Simulações!#REF!)</f>
        <v>#REF!</v>
      </c>
      <c r="K684" s="117" t="e">
        <f>Simulações!#REF!</f>
        <v>#REF!</v>
      </c>
      <c r="L684" s="117" t="e">
        <f>Simulações!#REF!</f>
        <v>#REF!</v>
      </c>
      <c r="M684" s="114" t="e">
        <f>IF(Simulações!#REF!="","",Simulações!#REF!)</f>
        <v>#REF!</v>
      </c>
      <c r="N684" s="114" t="e">
        <f>IF(Simulações!#REF!="","",Simulações!#REF!)</f>
        <v>#REF!</v>
      </c>
      <c r="O684" s="114">
        <v>1</v>
      </c>
    </row>
    <row r="685" spans="1:15" ht="15.75" hidden="1" customHeight="1" x14ac:dyDescent="0.3">
      <c r="A685" s="124" t="e">
        <f>Simulações!#REF!</f>
        <v>#REF!</v>
      </c>
      <c r="B685" s="114" t="e">
        <f>Simulações!#REF!</f>
        <v>#REF!</v>
      </c>
      <c r="C685" s="125" t="e">
        <f>Simulações!#REF!</f>
        <v>#REF!</v>
      </c>
      <c r="D685" s="114" t="e">
        <f>Simulações!#REF!</f>
        <v>#REF!</v>
      </c>
      <c r="E685" s="114" t="e">
        <f>Simulações!#REF!</f>
        <v>#REF!</v>
      </c>
      <c r="F685" s="114" t="e">
        <f>Simulações!#REF!</f>
        <v>#REF!</v>
      </c>
      <c r="G685" s="114" t="e">
        <f>Simulações!#REF!</f>
        <v>#REF!</v>
      </c>
      <c r="H685" s="114" t="e">
        <f>Simulações!#REF!</f>
        <v>#REF!</v>
      </c>
      <c r="I685" s="114" t="e">
        <f>IF(Simulações!#REF!="","",Simulações!#REF!)</f>
        <v>#REF!</v>
      </c>
      <c r="J685" s="114" t="e">
        <f>IF(Simulações!#REF!="","",Simulações!#REF!)</f>
        <v>#REF!</v>
      </c>
      <c r="K685" s="117" t="e">
        <f>Simulações!#REF!</f>
        <v>#REF!</v>
      </c>
      <c r="L685" s="117" t="e">
        <f>Simulações!#REF!</f>
        <v>#REF!</v>
      </c>
      <c r="M685" s="114" t="e">
        <f>IF(Simulações!#REF!="","",Simulações!#REF!)</f>
        <v>#REF!</v>
      </c>
      <c r="N685" s="114" t="e">
        <f>IF(Simulações!#REF!="","",Simulações!#REF!)</f>
        <v>#REF!</v>
      </c>
      <c r="O685" s="114">
        <v>1</v>
      </c>
    </row>
    <row r="686" spans="1:15" ht="15.75" hidden="1" customHeight="1" x14ac:dyDescent="0.3">
      <c r="A686" s="124" t="e">
        <f>Simulações!#REF!</f>
        <v>#REF!</v>
      </c>
      <c r="B686" s="114" t="e">
        <f>Simulações!#REF!</f>
        <v>#REF!</v>
      </c>
      <c r="C686" s="125" t="e">
        <f>Simulações!#REF!</f>
        <v>#REF!</v>
      </c>
      <c r="D686" s="114" t="e">
        <f>Simulações!#REF!</f>
        <v>#REF!</v>
      </c>
      <c r="E686" s="114" t="e">
        <f>Simulações!#REF!</f>
        <v>#REF!</v>
      </c>
      <c r="F686" s="114" t="e">
        <f>Simulações!#REF!</f>
        <v>#REF!</v>
      </c>
      <c r="G686" s="114" t="e">
        <f>Simulações!#REF!</f>
        <v>#REF!</v>
      </c>
      <c r="H686" s="114" t="e">
        <f>Simulações!#REF!</f>
        <v>#REF!</v>
      </c>
      <c r="I686" s="114" t="e">
        <f>IF(Simulações!#REF!="","",Simulações!#REF!)</f>
        <v>#REF!</v>
      </c>
      <c r="J686" s="114" t="e">
        <f>IF(Simulações!#REF!="","",Simulações!#REF!)</f>
        <v>#REF!</v>
      </c>
      <c r="K686" s="117" t="e">
        <f>Simulações!#REF!</f>
        <v>#REF!</v>
      </c>
      <c r="L686" s="117" t="e">
        <f>Simulações!#REF!</f>
        <v>#REF!</v>
      </c>
      <c r="M686" s="114" t="e">
        <f>IF(Simulações!#REF!="","",Simulações!#REF!)</f>
        <v>#REF!</v>
      </c>
      <c r="N686" s="114" t="e">
        <f>IF(Simulações!#REF!="","",Simulações!#REF!)</f>
        <v>#REF!</v>
      </c>
      <c r="O686" s="114">
        <v>1</v>
      </c>
    </row>
    <row r="687" spans="1:15" ht="15.75" hidden="1" customHeight="1" x14ac:dyDescent="0.3">
      <c r="A687" s="124" t="e">
        <f>Simulações!#REF!</f>
        <v>#REF!</v>
      </c>
      <c r="B687" s="114" t="e">
        <f>Simulações!#REF!</f>
        <v>#REF!</v>
      </c>
      <c r="C687" s="125" t="e">
        <f>Simulações!#REF!</f>
        <v>#REF!</v>
      </c>
      <c r="D687" s="114" t="e">
        <f>Simulações!#REF!</f>
        <v>#REF!</v>
      </c>
      <c r="E687" s="114" t="e">
        <f>Simulações!#REF!</f>
        <v>#REF!</v>
      </c>
      <c r="F687" s="114" t="e">
        <f>Simulações!#REF!</f>
        <v>#REF!</v>
      </c>
      <c r="G687" s="114" t="e">
        <f>Simulações!#REF!</f>
        <v>#REF!</v>
      </c>
      <c r="H687" s="114" t="e">
        <f>Simulações!#REF!</f>
        <v>#REF!</v>
      </c>
      <c r="I687" s="114" t="e">
        <f>IF(Simulações!#REF!="","",Simulações!#REF!)</f>
        <v>#REF!</v>
      </c>
      <c r="J687" s="114" t="e">
        <f>IF(Simulações!#REF!="","",Simulações!#REF!)</f>
        <v>#REF!</v>
      </c>
      <c r="K687" s="117" t="e">
        <f>Simulações!#REF!</f>
        <v>#REF!</v>
      </c>
      <c r="L687" s="117" t="e">
        <f>Simulações!#REF!</f>
        <v>#REF!</v>
      </c>
      <c r="M687" s="114" t="e">
        <f>IF(Simulações!#REF!="","",Simulações!#REF!)</f>
        <v>#REF!</v>
      </c>
      <c r="N687" s="114" t="e">
        <f>IF(Simulações!#REF!="","",Simulações!#REF!)</f>
        <v>#REF!</v>
      </c>
      <c r="O687" s="114">
        <v>1</v>
      </c>
    </row>
    <row r="688" spans="1:15" ht="15.75" hidden="1" customHeight="1" x14ac:dyDescent="0.3">
      <c r="A688" s="124" t="e">
        <f>Simulações!#REF!</f>
        <v>#REF!</v>
      </c>
      <c r="B688" s="114" t="e">
        <f>Simulações!#REF!</f>
        <v>#REF!</v>
      </c>
      <c r="C688" s="125" t="e">
        <f>Simulações!#REF!</f>
        <v>#REF!</v>
      </c>
      <c r="D688" s="114" t="e">
        <f>Simulações!#REF!</f>
        <v>#REF!</v>
      </c>
      <c r="E688" s="114" t="e">
        <f>Simulações!#REF!</f>
        <v>#REF!</v>
      </c>
      <c r="F688" s="114" t="e">
        <f>Simulações!#REF!</f>
        <v>#REF!</v>
      </c>
      <c r="G688" s="114" t="e">
        <f>Simulações!#REF!</f>
        <v>#REF!</v>
      </c>
      <c r="H688" s="114" t="e">
        <f>Simulações!#REF!</f>
        <v>#REF!</v>
      </c>
      <c r="I688" s="114" t="e">
        <f>IF(Simulações!#REF!="","",Simulações!#REF!)</f>
        <v>#REF!</v>
      </c>
      <c r="J688" s="114" t="e">
        <f>IF(Simulações!#REF!="","",Simulações!#REF!)</f>
        <v>#REF!</v>
      </c>
      <c r="K688" s="117" t="e">
        <f>Simulações!#REF!</f>
        <v>#REF!</v>
      </c>
      <c r="L688" s="117" t="e">
        <f>Simulações!#REF!</f>
        <v>#REF!</v>
      </c>
      <c r="M688" s="114" t="e">
        <f>IF(Simulações!#REF!="","",Simulações!#REF!)</f>
        <v>#REF!</v>
      </c>
      <c r="N688" s="114" t="e">
        <f>IF(Simulações!#REF!="","",Simulações!#REF!)</f>
        <v>#REF!</v>
      </c>
      <c r="O688" s="114">
        <v>1</v>
      </c>
    </row>
    <row r="689" spans="1:15" ht="15.75" hidden="1" customHeight="1" x14ac:dyDescent="0.3">
      <c r="A689" s="124" t="e">
        <f>Simulações!#REF!</f>
        <v>#REF!</v>
      </c>
      <c r="B689" s="114" t="e">
        <f>Simulações!#REF!</f>
        <v>#REF!</v>
      </c>
      <c r="C689" s="125" t="e">
        <f>Simulações!#REF!</f>
        <v>#REF!</v>
      </c>
      <c r="D689" s="114" t="e">
        <f>Simulações!#REF!</f>
        <v>#REF!</v>
      </c>
      <c r="E689" s="114" t="e">
        <f>Simulações!#REF!</f>
        <v>#REF!</v>
      </c>
      <c r="F689" s="114" t="e">
        <f>Simulações!#REF!</f>
        <v>#REF!</v>
      </c>
      <c r="G689" s="114" t="e">
        <f>Simulações!#REF!</f>
        <v>#REF!</v>
      </c>
      <c r="H689" s="114" t="e">
        <f>Simulações!#REF!</f>
        <v>#REF!</v>
      </c>
      <c r="I689" s="114" t="e">
        <f>IF(Simulações!#REF!="","",Simulações!#REF!)</f>
        <v>#REF!</v>
      </c>
      <c r="J689" s="114" t="e">
        <f>IF(Simulações!#REF!="","",Simulações!#REF!)</f>
        <v>#REF!</v>
      </c>
      <c r="K689" s="117" t="e">
        <f>Simulações!#REF!</f>
        <v>#REF!</v>
      </c>
      <c r="L689" s="117" t="e">
        <f>Simulações!#REF!</f>
        <v>#REF!</v>
      </c>
      <c r="M689" s="114" t="e">
        <f>IF(Simulações!#REF!="","",Simulações!#REF!)</f>
        <v>#REF!</v>
      </c>
      <c r="N689" s="114" t="e">
        <f>IF(Simulações!#REF!="","",Simulações!#REF!)</f>
        <v>#REF!</v>
      </c>
      <c r="O689" s="114">
        <v>1</v>
      </c>
    </row>
    <row r="690" spans="1:15" ht="15.75" hidden="1" customHeight="1" x14ac:dyDescent="0.3">
      <c r="A690" s="124" t="e">
        <f>Simulações!#REF!</f>
        <v>#REF!</v>
      </c>
      <c r="B690" s="114" t="e">
        <f>Simulações!#REF!</f>
        <v>#REF!</v>
      </c>
      <c r="C690" s="125" t="e">
        <f>Simulações!#REF!</f>
        <v>#REF!</v>
      </c>
      <c r="D690" s="114" t="e">
        <f>Simulações!#REF!</f>
        <v>#REF!</v>
      </c>
      <c r="E690" s="114" t="e">
        <f>Simulações!#REF!</f>
        <v>#REF!</v>
      </c>
      <c r="F690" s="114" t="e">
        <f>Simulações!#REF!</f>
        <v>#REF!</v>
      </c>
      <c r="G690" s="114" t="e">
        <f>Simulações!#REF!</f>
        <v>#REF!</v>
      </c>
      <c r="H690" s="114" t="e">
        <f>Simulações!#REF!</f>
        <v>#REF!</v>
      </c>
      <c r="I690" s="114" t="e">
        <f>IF(Simulações!#REF!="","",Simulações!#REF!)</f>
        <v>#REF!</v>
      </c>
      <c r="J690" s="114" t="e">
        <f>IF(Simulações!#REF!="","",Simulações!#REF!)</f>
        <v>#REF!</v>
      </c>
      <c r="K690" s="117" t="e">
        <f>Simulações!#REF!</f>
        <v>#REF!</v>
      </c>
      <c r="L690" s="117" t="e">
        <f>Simulações!#REF!</f>
        <v>#REF!</v>
      </c>
      <c r="M690" s="114" t="e">
        <f>IF(Simulações!#REF!="","",Simulações!#REF!)</f>
        <v>#REF!</v>
      </c>
      <c r="N690" s="114" t="e">
        <f>IF(Simulações!#REF!="","",Simulações!#REF!)</f>
        <v>#REF!</v>
      </c>
      <c r="O690" s="114">
        <v>1</v>
      </c>
    </row>
    <row r="691" spans="1:15" ht="15.75" hidden="1" customHeight="1" x14ac:dyDescent="0.3">
      <c r="A691" s="124" t="e">
        <f>Simulações!#REF!</f>
        <v>#REF!</v>
      </c>
      <c r="B691" s="114" t="e">
        <f>Simulações!#REF!</f>
        <v>#REF!</v>
      </c>
      <c r="C691" s="125" t="e">
        <f>Simulações!#REF!</f>
        <v>#REF!</v>
      </c>
      <c r="D691" s="114" t="e">
        <f>Simulações!#REF!</f>
        <v>#REF!</v>
      </c>
      <c r="E691" s="114" t="e">
        <f>Simulações!#REF!</f>
        <v>#REF!</v>
      </c>
      <c r="F691" s="114" t="e">
        <f>Simulações!#REF!</f>
        <v>#REF!</v>
      </c>
      <c r="G691" s="114" t="e">
        <f>Simulações!#REF!</f>
        <v>#REF!</v>
      </c>
      <c r="H691" s="114" t="e">
        <f>Simulações!#REF!</f>
        <v>#REF!</v>
      </c>
      <c r="I691" s="114" t="e">
        <f>IF(Simulações!#REF!="","",Simulações!#REF!)</f>
        <v>#REF!</v>
      </c>
      <c r="J691" s="114" t="e">
        <f>IF(Simulações!#REF!="","",Simulações!#REF!)</f>
        <v>#REF!</v>
      </c>
      <c r="K691" s="117" t="e">
        <f>Simulações!#REF!</f>
        <v>#REF!</v>
      </c>
      <c r="L691" s="117" t="e">
        <f>Simulações!#REF!</f>
        <v>#REF!</v>
      </c>
      <c r="M691" s="114" t="e">
        <f>IF(Simulações!#REF!="","",Simulações!#REF!)</f>
        <v>#REF!</v>
      </c>
      <c r="N691" s="114" t="e">
        <f>IF(Simulações!#REF!="","",Simulações!#REF!)</f>
        <v>#REF!</v>
      </c>
      <c r="O691" s="114">
        <v>1</v>
      </c>
    </row>
    <row r="692" spans="1:15" ht="15.75" hidden="1" customHeight="1" x14ac:dyDescent="0.3">
      <c r="A692" s="124" t="e">
        <f>Simulações!#REF!</f>
        <v>#REF!</v>
      </c>
      <c r="B692" s="114" t="e">
        <f>Simulações!#REF!</f>
        <v>#REF!</v>
      </c>
      <c r="C692" s="125" t="e">
        <f>Simulações!#REF!</f>
        <v>#REF!</v>
      </c>
      <c r="D692" s="114" t="e">
        <f>Simulações!#REF!</f>
        <v>#REF!</v>
      </c>
      <c r="E692" s="114" t="e">
        <f>Simulações!#REF!</f>
        <v>#REF!</v>
      </c>
      <c r="F692" s="114" t="e">
        <f>Simulações!#REF!</f>
        <v>#REF!</v>
      </c>
      <c r="G692" s="114" t="e">
        <f>Simulações!#REF!</f>
        <v>#REF!</v>
      </c>
      <c r="H692" s="114" t="e">
        <f>Simulações!#REF!</f>
        <v>#REF!</v>
      </c>
      <c r="I692" s="114" t="e">
        <f>IF(Simulações!#REF!="","",Simulações!#REF!)</f>
        <v>#REF!</v>
      </c>
      <c r="J692" s="114" t="e">
        <f>IF(Simulações!#REF!="","",Simulações!#REF!)</f>
        <v>#REF!</v>
      </c>
      <c r="K692" s="117" t="e">
        <f>Simulações!#REF!</f>
        <v>#REF!</v>
      </c>
      <c r="L692" s="117" t="e">
        <f>Simulações!#REF!</f>
        <v>#REF!</v>
      </c>
      <c r="M692" s="114" t="e">
        <f>IF(Simulações!#REF!="","",Simulações!#REF!)</f>
        <v>#REF!</v>
      </c>
      <c r="N692" s="114" t="e">
        <f>IF(Simulações!#REF!="","",Simulações!#REF!)</f>
        <v>#REF!</v>
      </c>
      <c r="O692" s="114">
        <v>1</v>
      </c>
    </row>
    <row r="693" spans="1:15" ht="15.75" hidden="1" customHeight="1" x14ac:dyDescent="0.3">
      <c r="A693" s="124" t="e">
        <f>Simulações!#REF!</f>
        <v>#REF!</v>
      </c>
      <c r="B693" s="114" t="e">
        <f>Simulações!#REF!</f>
        <v>#REF!</v>
      </c>
      <c r="C693" s="125" t="e">
        <f>Simulações!#REF!</f>
        <v>#REF!</v>
      </c>
      <c r="D693" s="114" t="e">
        <f>Simulações!#REF!</f>
        <v>#REF!</v>
      </c>
      <c r="E693" s="114" t="e">
        <f>Simulações!#REF!</f>
        <v>#REF!</v>
      </c>
      <c r="F693" s="114" t="e">
        <f>Simulações!#REF!</f>
        <v>#REF!</v>
      </c>
      <c r="G693" s="114" t="e">
        <f>Simulações!#REF!</f>
        <v>#REF!</v>
      </c>
      <c r="H693" s="114" t="e">
        <f>Simulações!#REF!</f>
        <v>#REF!</v>
      </c>
      <c r="I693" s="114" t="e">
        <f>IF(Simulações!#REF!="","",Simulações!#REF!)</f>
        <v>#REF!</v>
      </c>
      <c r="J693" s="114" t="e">
        <f>IF(Simulações!#REF!="","",Simulações!#REF!)</f>
        <v>#REF!</v>
      </c>
      <c r="K693" s="117" t="e">
        <f>Simulações!#REF!</f>
        <v>#REF!</v>
      </c>
      <c r="L693" s="117" t="e">
        <f>Simulações!#REF!</f>
        <v>#REF!</v>
      </c>
      <c r="M693" s="114" t="e">
        <f>IF(Simulações!#REF!="","",Simulações!#REF!)</f>
        <v>#REF!</v>
      </c>
      <c r="N693" s="114" t="e">
        <f>IF(Simulações!#REF!="","",Simulações!#REF!)</f>
        <v>#REF!</v>
      </c>
      <c r="O693" s="114">
        <v>1</v>
      </c>
    </row>
    <row r="694" spans="1:15" ht="15.75" hidden="1" customHeight="1" x14ac:dyDescent="0.3">
      <c r="A694" s="124" t="e">
        <f>Simulações!#REF!</f>
        <v>#REF!</v>
      </c>
      <c r="B694" s="114" t="e">
        <f>Simulações!#REF!</f>
        <v>#REF!</v>
      </c>
      <c r="C694" s="125" t="e">
        <f>Simulações!#REF!</f>
        <v>#REF!</v>
      </c>
      <c r="D694" s="114" t="e">
        <f>Simulações!#REF!</f>
        <v>#REF!</v>
      </c>
      <c r="E694" s="114" t="e">
        <f>Simulações!#REF!</f>
        <v>#REF!</v>
      </c>
      <c r="F694" s="114" t="e">
        <f>Simulações!#REF!</f>
        <v>#REF!</v>
      </c>
      <c r="G694" s="114" t="e">
        <f>Simulações!#REF!</f>
        <v>#REF!</v>
      </c>
      <c r="H694" s="114" t="e">
        <f>Simulações!#REF!</f>
        <v>#REF!</v>
      </c>
      <c r="I694" s="114" t="e">
        <f>IF(Simulações!#REF!="","",Simulações!#REF!)</f>
        <v>#REF!</v>
      </c>
      <c r="J694" s="114" t="e">
        <f>IF(Simulações!#REF!="","",Simulações!#REF!)</f>
        <v>#REF!</v>
      </c>
      <c r="K694" s="117" t="e">
        <f>Simulações!#REF!</f>
        <v>#REF!</v>
      </c>
      <c r="L694" s="117" t="e">
        <f>Simulações!#REF!</f>
        <v>#REF!</v>
      </c>
      <c r="M694" s="114" t="e">
        <f>IF(Simulações!#REF!="","",Simulações!#REF!)</f>
        <v>#REF!</v>
      </c>
      <c r="N694" s="114" t="e">
        <f>IF(Simulações!#REF!="","",Simulações!#REF!)</f>
        <v>#REF!</v>
      </c>
      <c r="O694" s="114">
        <v>1</v>
      </c>
    </row>
    <row r="695" spans="1:15" ht="15.75" hidden="1" customHeight="1" x14ac:dyDescent="0.3">
      <c r="A695" s="124" t="e">
        <f>Simulações!#REF!</f>
        <v>#REF!</v>
      </c>
      <c r="B695" s="114" t="e">
        <f>Simulações!#REF!</f>
        <v>#REF!</v>
      </c>
      <c r="C695" s="125" t="e">
        <f>Simulações!#REF!</f>
        <v>#REF!</v>
      </c>
      <c r="D695" s="114" t="e">
        <f>Simulações!#REF!</f>
        <v>#REF!</v>
      </c>
      <c r="E695" s="114" t="e">
        <f>Simulações!#REF!</f>
        <v>#REF!</v>
      </c>
      <c r="F695" s="114" t="e">
        <f>Simulações!#REF!</f>
        <v>#REF!</v>
      </c>
      <c r="G695" s="114" t="e">
        <f>Simulações!#REF!</f>
        <v>#REF!</v>
      </c>
      <c r="H695" s="114" t="e">
        <f>Simulações!#REF!</f>
        <v>#REF!</v>
      </c>
      <c r="I695" s="114" t="e">
        <f>IF(Simulações!#REF!="","",Simulações!#REF!)</f>
        <v>#REF!</v>
      </c>
      <c r="J695" s="114" t="e">
        <f>IF(Simulações!#REF!="","",Simulações!#REF!)</f>
        <v>#REF!</v>
      </c>
      <c r="K695" s="117" t="e">
        <f>Simulações!#REF!</f>
        <v>#REF!</v>
      </c>
      <c r="L695" s="117" t="e">
        <f>Simulações!#REF!</f>
        <v>#REF!</v>
      </c>
      <c r="M695" s="114" t="e">
        <f>IF(Simulações!#REF!="","",Simulações!#REF!)</f>
        <v>#REF!</v>
      </c>
      <c r="N695" s="114" t="e">
        <f>IF(Simulações!#REF!="","",Simulações!#REF!)</f>
        <v>#REF!</v>
      </c>
      <c r="O695" s="114">
        <v>1</v>
      </c>
    </row>
    <row r="696" spans="1:15" ht="15.75" hidden="1" customHeight="1" x14ac:dyDescent="0.3">
      <c r="A696" s="124" t="e">
        <f>Simulações!#REF!</f>
        <v>#REF!</v>
      </c>
      <c r="B696" s="114" t="e">
        <f>Simulações!#REF!</f>
        <v>#REF!</v>
      </c>
      <c r="C696" s="125" t="e">
        <f>Simulações!#REF!</f>
        <v>#REF!</v>
      </c>
      <c r="D696" s="114" t="e">
        <f>Simulações!#REF!</f>
        <v>#REF!</v>
      </c>
      <c r="E696" s="114" t="e">
        <f>Simulações!#REF!</f>
        <v>#REF!</v>
      </c>
      <c r="F696" s="114" t="e">
        <f>Simulações!#REF!</f>
        <v>#REF!</v>
      </c>
      <c r="G696" s="114" t="e">
        <f>Simulações!#REF!</f>
        <v>#REF!</v>
      </c>
      <c r="H696" s="114" t="e">
        <f>Simulações!#REF!</f>
        <v>#REF!</v>
      </c>
      <c r="I696" s="114" t="e">
        <f>IF(Simulações!#REF!="","",Simulações!#REF!)</f>
        <v>#REF!</v>
      </c>
      <c r="J696" s="114" t="e">
        <f>IF(Simulações!#REF!="","",Simulações!#REF!)</f>
        <v>#REF!</v>
      </c>
      <c r="K696" s="117" t="e">
        <f>Simulações!#REF!</f>
        <v>#REF!</v>
      </c>
      <c r="L696" s="117" t="e">
        <f>Simulações!#REF!</f>
        <v>#REF!</v>
      </c>
      <c r="M696" s="114" t="e">
        <f>IF(Simulações!#REF!="","",Simulações!#REF!)</f>
        <v>#REF!</v>
      </c>
      <c r="N696" s="114" t="e">
        <f>IF(Simulações!#REF!="","",Simulações!#REF!)</f>
        <v>#REF!</v>
      </c>
      <c r="O696" s="114">
        <v>1</v>
      </c>
    </row>
    <row r="697" spans="1:15" ht="15.75" hidden="1" customHeight="1" x14ac:dyDescent="0.3">
      <c r="A697" s="124" t="e">
        <f>Simulações!#REF!</f>
        <v>#REF!</v>
      </c>
      <c r="B697" s="114" t="e">
        <f>Simulações!#REF!</f>
        <v>#REF!</v>
      </c>
      <c r="C697" s="125" t="e">
        <f>Simulações!#REF!</f>
        <v>#REF!</v>
      </c>
      <c r="D697" s="114" t="e">
        <f>Simulações!#REF!</f>
        <v>#REF!</v>
      </c>
      <c r="E697" s="114" t="e">
        <f>Simulações!#REF!</f>
        <v>#REF!</v>
      </c>
      <c r="F697" s="114" t="e">
        <f>Simulações!#REF!</f>
        <v>#REF!</v>
      </c>
      <c r="G697" s="114" t="e">
        <f>Simulações!#REF!</f>
        <v>#REF!</v>
      </c>
      <c r="H697" s="114" t="e">
        <f>Simulações!#REF!</f>
        <v>#REF!</v>
      </c>
      <c r="I697" s="114" t="e">
        <f>IF(Simulações!#REF!="","",Simulações!#REF!)</f>
        <v>#REF!</v>
      </c>
      <c r="J697" s="114" t="e">
        <f>IF(Simulações!#REF!="","",Simulações!#REF!)</f>
        <v>#REF!</v>
      </c>
      <c r="K697" s="117" t="e">
        <f>Simulações!#REF!</f>
        <v>#REF!</v>
      </c>
      <c r="L697" s="117" t="e">
        <f>Simulações!#REF!</f>
        <v>#REF!</v>
      </c>
      <c r="M697" s="114" t="e">
        <f>IF(Simulações!#REF!="","",Simulações!#REF!)</f>
        <v>#REF!</v>
      </c>
      <c r="N697" s="114" t="e">
        <f>IF(Simulações!#REF!="","",Simulações!#REF!)</f>
        <v>#REF!</v>
      </c>
      <c r="O697" s="114">
        <v>1</v>
      </c>
    </row>
    <row r="698" spans="1:15" ht="15.75" hidden="1" customHeight="1" x14ac:dyDescent="0.3">
      <c r="A698" s="124" t="e">
        <f>Simulações!#REF!</f>
        <v>#REF!</v>
      </c>
      <c r="B698" s="114" t="e">
        <f>Simulações!#REF!</f>
        <v>#REF!</v>
      </c>
      <c r="C698" s="125" t="e">
        <f>Simulações!#REF!</f>
        <v>#REF!</v>
      </c>
      <c r="D698" s="114" t="e">
        <f>Simulações!#REF!</f>
        <v>#REF!</v>
      </c>
      <c r="E698" s="114" t="e">
        <f>Simulações!#REF!</f>
        <v>#REF!</v>
      </c>
      <c r="F698" s="114" t="e">
        <f>Simulações!#REF!</f>
        <v>#REF!</v>
      </c>
      <c r="G698" s="114" t="e">
        <f>Simulações!#REF!</f>
        <v>#REF!</v>
      </c>
      <c r="H698" s="114" t="e">
        <f>Simulações!#REF!</f>
        <v>#REF!</v>
      </c>
      <c r="I698" s="114" t="e">
        <f>IF(Simulações!#REF!="","",Simulações!#REF!)</f>
        <v>#REF!</v>
      </c>
      <c r="J698" s="114" t="e">
        <f>IF(Simulações!#REF!="","",Simulações!#REF!)</f>
        <v>#REF!</v>
      </c>
      <c r="K698" s="117" t="e">
        <f>Simulações!#REF!</f>
        <v>#REF!</v>
      </c>
      <c r="L698" s="117" t="e">
        <f>Simulações!#REF!</f>
        <v>#REF!</v>
      </c>
      <c r="M698" s="114" t="e">
        <f>IF(Simulações!#REF!="","",Simulações!#REF!)</f>
        <v>#REF!</v>
      </c>
      <c r="N698" s="114" t="e">
        <f>IF(Simulações!#REF!="","",Simulações!#REF!)</f>
        <v>#REF!</v>
      </c>
      <c r="O698" s="114">
        <v>1</v>
      </c>
    </row>
    <row r="699" spans="1:15" ht="15.75" hidden="1" customHeight="1" x14ac:dyDescent="0.3">
      <c r="A699" s="124" t="e">
        <f>Simulações!#REF!</f>
        <v>#REF!</v>
      </c>
      <c r="B699" s="114" t="e">
        <f>Simulações!#REF!</f>
        <v>#REF!</v>
      </c>
      <c r="C699" s="125" t="e">
        <f>Simulações!#REF!</f>
        <v>#REF!</v>
      </c>
      <c r="D699" s="114" t="e">
        <f>Simulações!#REF!</f>
        <v>#REF!</v>
      </c>
      <c r="E699" s="114" t="e">
        <f>Simulações!#REF!</f>
        <v>#REF!</v>
      </c>
      <c r="F699" s="114" t="e">
        <f>Simulações!#REF!</f>
        <v>#REF!</v>
      </c>
      <c r="G699" s="114" t="e">
        <f>Simulações!#REF!</f>
        <v>#REF!</v>
      </c>
      <c r="H699" s="114" t="e">
        <f>Simulações!#REF!</f>
        <v>#REF!</v>
      </c>
      <c r="I699" s="114" t="e">
        <f>IF(Simulações!#REF!="","",Simulações!#REF!)</f>
        <v>#REF!</v>
      </c>
      <c r="J699" s="114" t="e">
        <f>IF(Simulações!#REF!="","",Simulações!#REF!)</f>
        <v>#REF!</v>
      </c>
      <c r="K699" s="117" t="e">
        <f>Simulações!#REF!</f>
        <v>#REF!</v>
      </c>
      <c r="L699" s="117" t="e">
        <f>Simulações!#REF!</f>
        <v>#REF!</v>
      </c>
      <c r="M699" s="114" t="e">
        <f>IF(Simulações!#REF!="","",Simulações!#REF!)</f>
        <v>#REF!</v>
      </c>
      <c r="N699" s="114" t="e">
        <f>IF(Simulações!#REF!="","",Simulações!#REF!)</f>
        <v>#REF!</v>
      </c>
      <c r="O699" s="114">
        <v>1</v>
      </c>
    </row>
    <row r="700" spans="1:15" ht="15.75" hidden="1" customHeight="1" x14ac:dyDescent="0.3">
      <c r="A700" s="124" t="e">
        <f>Simulações!#REF!</f>
        <v>#REF!</v>
      </c>
      <c r="B700" s="114" t="e">
        <f>Simulações!#REF!</f>
        <v>#REF!</v>
      </c>
      <c r="C700" s="125" t="e">
        <f>Simulações!#REF!</f>
        <v>#REF!</v>
      </c>
      <c r="D700" s="114" t="e">
        <f>Simulações!#REF!</f>
        <v>#REF!</v>
      </c>
      <c r="E700" s="114" t="e">
        <f>Simulações!#REF!</f>
        <v>#REF!</v>
      </c>
      <c r="F700" s="114" t="e">
        <f>Simulações!#REF!</f>
        <v>#REF!</v>
      </c>
      <c r="G700" s="114" t="e">
        <f>Simulações!#REF!</f>
        <v>#REF!</v>
      </c>
      <c r="H700" s="114" t="e">
        <f>Simulações!#REF!</f>
        <v>#REF!</v>
      </c>
      <c r="I700" s="114" t="e">
        <f>IF(Simulações!#REF!="","",Simulações!#REF!)</f>
        <v>#REF!</v>
      </c>
      <c r="J700" s="114" t="e">
        <f>IF(Simulações!#REF!="","",Simulações!#REF!)</f>
        <v>#REF!</v>
      </c>
      <c r="K700" s="117" t="e">
        <f>Simulações!#REF!</f>
        <v>#REF!</v>
      </c>
      <c r="L700" s="117" t="e">
        <f>Simulações!#REF!</f>
        <v>#REF!</v>
      </c>
      <c r="M700" s="114" t="e">
        <f>IF(Simulações!#REF!="","",Simulações!#REF!)</f>
        <v>#REF!</v>
      </c>
      <c r="N700" s="114" t="e">
        <f>IF(Simulações!#REF!="","",Simulações!#REF!)</f>
        <v>#REF!</v>
      </c>
      <c r="O700" s="114">
        <v>1</v>
      </c>
    </row>
    <row r="701" spans="1:15" ht="15.75" hidden="1" customHeight="1" x14ac:dyDescent="0.3">
      <c r="A701" s="124" t="e">
        <f>Simulações!#REF!</f>
        <v>#REF!</v>
      </c>
      <c r="B701" s="114" t="e">
        <f>Simulações!#REF!</f>
        <v>#REF!</v>
      </c>
      <c r="C701" s="125" t="e">
        <f>Simulações!#REF!</f>
        <v>#REF!</v>
      </c>
      <c r="D701" s="114" t="e">
        <f>Simulações!#REF!</f>
        <v>#REF!</v>
      </c>
      <c r="E701" s="114" t="e">
        <f>Simulações!#REF!</f>
        <v>#REF!</v>
      </c>
      <c r="F701" s="114" t="e">
        <f>Simulações!#REF!</f>
        <v>#REF!</v>
      </c>
      <c r="G701" s="114" t="e">
        <f>Simulações!#REF!</f>
        <v>#REF!</v>
      </c>
      <c r="H701" s="114" t="e">
        <f>Simulações!#REF!</f>
        <v>#REF!</v>
      </c>
      <c r="I701" s="114" t="e">
        <f>IF(Simulações!#REF!="","",Simulações!#REF!)</f>
        <v>#REF!</v>
      </c>
      <c r="J701" s="114" t="e">
        <f>IF(Simulações!#REF!="","",Simulações!#REF!)</f>
        <v>#REF!</v>
      </c>
      <c r="K701" s="117" t="e">
        <f>Simulações!#REF!</f>
        <v>#REF!</v>
      </c>
      <c r="L701" s="117" t="e">
        <f>Simulações!#REF!</f>
        <v>#REF!</v>
      </c>
      <c r="M701" s="114" t="e">
        <f>IF(Simulações!#REF!="","",Simulações!#REF!)</f>
        <v>#REF!</v>
      </c>
      <c r="N701" s="114" t="e">
        <f>IF(Simulações!#REF!="","",Simulações!#REF!)</f>
        <v>#REF!</v>
      </c>
      <c r="O701" s="114">
        <v>1</v>
      </c>
    </row>
    <row r="702" spans="1:15" ht="15.75" hidden="1" customHeight="1" x14ac:dyDescent="0.3">
      <c r="A702" s="124" t="e">
        <f>Simulações!#REF!</f>
        <v>#REF!</v>
      </c>
      <c r="B702" s="114" t="e">
        <f>Simulações!#REF!</f>
        <v>#REF!</v>
      </c>
      <c r="C702" s="125" t="e">
        <f>Simulações!#REF!</f>
        <v>#REF!</v>
      </c>
      <c r="D702" s="114" t="e">
        <f>Simulações!#REF!</f>
        <v>#REF!</v>
      </c>
      <c r="E702" s="114" t="e">
        <f>Simulações!#REF!</f>
        <v>#REF!</v>
      </c>
      <c r="F702" s="114" t="e">
        <f>Simulações!#REF!</f>
        <v>#REF!</v>
      </c>
      <c r="G702" s="114" t="e">
        <f>Simulações!#REF!</f>
        <v>#REF!</v>
      </c>
      <c r="H702" s="114" t="e">
        <f>Simulações!#REF!</f>
        <v>#REF!</v>
      </c>
      <c r="I702" s="114" t="e">
        <f>IF(Simulações!#REF!="","",Simulações!#REF!)</f>
        <v>#REF!</v>
      </c>
      <c r="J702" s="114" t="e">
        <f>IF(Simulações!#REF!="","",Simulações!#REF!)</f>
        <v>#REF!</v>
      </c>
      <c r="K702" s="117" t="e">
        <f>Simulações!#REF!</f>
        <v>#REF!</v>
      </c>
      <c r="L702" s="117" t="e">
        <f>Simulações!#REF!</f>
        <v>#REF!</v>
      </c>
      <c r="M702" s="114" t="e">
        <f>IF(Simulações!#REF!="","",Simulações!#REF!)</f>
        <v>#REF!</v>
      </c>
      <c r="N702" s="114" t="e">
        <f>IF(Simulações!#REF!="","",Simulações!#REF!)</f>
        <v>#REF!</v>
      </c>
      <c r="O702" s="114">
        <v>1</v>
      </c>
    </row>
    <row r="703" spans="1:15" ht="15.75" hidden="1" customHeight="1" x14ac:dyDescent="0.3">
      <c r="A703" s="124" t="e">
        <f>Simulações!#REF!</f>
        <v>#REF!</v>
      </c>
      <c r="B703" s="114" t="e">
        <f>Simulações!#REF!</f>
        <v>#REF!</v>
      </c>
      <c r="C703" s="125" t="e">
        <f>Simulações!#REF!</f>
        <v>#REF!</v>
      </c>
      <c r="D703" s="114" t="e">
        <f>Simulações!#REF!</f>
        <v>#REF!</v>
      </c>
      <c r="E703" s="114" t="e">
        <f>Simulações!#REF!</f>
        <v>#REF!</v>
      </c>
      <c r="F703" s="114" t="e">
        <f>Simulações!#REF!</f>
        <v>#REF!</v>
      </c>
      <c r="G703" s="114" t="e">
        <f>Simulações!#REF!</f>
        <v>#REF!</v>
      </c>
      <c r="H703" s="114" t="e">
        <f>Simulações!#REF!</f>
        <v>#REF!</v>
      </c>
      <c r="I703" s="114" t="e">
        <f>IF(Simulações!#REF!="","",Simulações!#REF!)</f>
        <v>#REF!</v>
      </c>
      <c r="J703" s="114" t="e">
        <f>IF(Simulações!#REF!="","",Simulações!#REF!)</f>
        <v>#REF!</v>
      </c>
      <c r="K703" s="117" t="e">
        <f>Simulações!#REF!</f>
        <v>#REF!</v>
      </c>
      <c r="L703" s="117" t="e">
        <f>Simulações!#REF!</f>
        <v>#REF!</v>
      </c>
      <c r="M703" s="114" t="e">
        <f>IF(Simulações!#REF!="","",Simulações!#REF!)</f>
        <v>#REF!</v>
      </c>
      <c r="N703" s="114" t="e">
        <f>IF(Simulações!#REF!="","",Simulações!#REF!)</f>
        <v>#REF!</v>
      </c>
      <c r="O703" s="114">
        <v>1</v>
      </c>
    </row>
    <row r="704" spans="1:15" ht="15.75" hidden="1" customHeight="1" x14ac:dyDescent="0.3">
      <c r="A704" s="124" t="e">
        <f>Simulações!#REF!</f>
        <v>#REF!</v>
      </c>
      <c r="B704" s="114" t="e">
        <f>Simulações!#REF!</f>
        <v>#REF!</v>
      </c>
      <c r="C704" s="125" t="e">
        <f>Simulações!#REF!</f>
        <v>#REF!</v>
      </c>
      <c r="D704" s="114" t="e">
        <f>Simulações!#REF!</f>
        <v>#REF!</v>
      </c>
      <c r="E704" s="114" t="e">
        <f>Simulações!#REF!</f>
        <v>#REF!</v>
      </c>
      <c r="F704" s="114" t="e">
        <f>Simulações!#REF!</f>
        <v>#REF!</v>
      </c>
      <c r="G704" s="114" t="e">
        <f>Simulações!#REF!</f>
        <v>#REF!</v>
      </c>
      <c r="H704" s="114" t="e">
        <f>Simulações!#REF!</f>
        <v>#REF!</v>
      </c>
      <c r="I704" s="114" t="e">
        <f>IF(Simulações!#REF!="","",Simulações!#REF!)</f>
        <v>#REF!</v>
      </c>
      <c r="J704" s="114" t="e">
        <f>IF(Simulações!#REF!="","",Simulações!#REF!)</f>
        <v>#REF!</v>
      </c>
      <c r="K704" s="117" t="e">
        <f>Simulações!#REF!</f>
        <v>#REF!</v>
      </c>
      <c r="L704" s="117" t="e">
        <f>Simulações!#REF!</f>
        <v>#REF!</v>
      </c>
      <c r="M704" s="114" t="e">
        <f>IF(Simulações!#REF!="","",Simulações!#REF!)</f>
        <v>#REF!</v>
      </c>
      <c r="N704" s="114" t="e">
        <f>IF(Simulações!#REF!="","",Simulações!#REF!)</f>
        <v>#REF!</v>
      </c>
      <c r="O704" s="114">
        <v>1</v>
      </c>
    </row>
    <row r="705" spans="1:15" ht="15.75" hidden="1" customHeight="1" x14ac:dyDescent="0.3">
      <c r="A705" s="124" t="e">
        <f>Simulações!#REF!</f>
        <v>#REF!</v>
      </c>
      <c r="B705" s="114" t="e">
        <f>Simulações!#REF!</f>
        <v>#REF!</v>
      </c>
      <c r="C705" s="125" t="e">
        <f>Simulações!#REF!</f>
        <v>#REF!</v>
      </c>
      <c r="D705" s="114" t="e">
        <f>Simulações!#REF!</f>
        <v>#REF!</v>
      </c>
      <c r="E705" s="114" t="e">
        <f>Simulações!#REF!</f>
        <v>#REF!</v>
      </c>
      <c r="F705" s="114" t="e">
        <f>Simulações!#REF!</f>
        <v>#REF!</v>
      </c>
      <c r="G705" s="114" t="e">
        <f>Simulações!#REF!</f>
        <v>#REF!</v>
      </c>
      <c r="H705" s="114" t="e">
        <f>Simulações!#REF!</f>
        <v>#REF!</v>
      </c>
      <c r="I705" s="114" t="e">
        <f>IF(Simulações!#REF!="","",Simulações!#REF!)</f>
        <v>#REF!</v>
      </c>
      <c r="J705" s="114" t="e">
        <f>IF(Simulações!#REF!="","",Simulações!#REF!)</f>
        <v>#REF!</v>
      </c>
      <c r="K705" s="117" t="e">
        <f>Simulações!#REF!</f>
        <v>#REF!</v>
      </c>
      <c r="L705" s="117" t="e">
        <f>Simulações!#REF!</f>
        <v>#REF!</v>
      </c>
      <c r="M705" s="114" t="e">
        <f>IF(Simulações!#REF!="","",Simulações!#REF!)</f>
        <v>#REF!</v>
      </c>
      <c r="N705" s="114" t="e">
        <f>IF(Simulações!#REF!="","",Simulações!#REF!)</f>
        <v>#REF!</v>
      </c>
      <c r="O705" s="114">
        <v>1</v>
      </c>
    </row>
    <row r="706" spans="1:15" ht="15.75" hidden="1" customHeight="1" x14ac:dyDescent="0.3">
      <c r="A706" s="124" t="e">
        <f>Simulações!#REF!</f>
        <v>#REF!</v>
      </c>
      <c r="B706" s="114" t="e">
        <f>Simulações!#REF!</f>
        <v>#REF!</v>
      </c>
      <c r="C706" s="125" t="e">
        <f>Simulações!#REF!</f>
        <v>#REF!</v>
      </c>
      <c r="D706" s="114" t="e">
        <f>Simulações!#REF!</f>
        <v>#REF!</v>
      </c>
      <c r="E706" s="114" t="e">
        <f>Simulações!#REF!</f>
        <v>#REF!</v>
      </c>
      <c r="F706" s="114" t="e">
        <f>Simulações!#REF!</f>
        <v>#REF!</v>
      </c>
      <c r="G706" s="114" t="e">
        <f>Simulações!#REF!</f>
        <v>#REF!</v>
      </c>
      <c r="H706" s="114" t="e">
        <f>Simulações!#REF!</f>
        <v>#REF!</v>
      </c>
      <c r="I706" s="114" t="e">
        <f>IF(Simulações!#REF!="","",Simulações!#REF!)</f>
        <v>#REF!</v>
      </c>
      <c r="J706" s="114" t="e">
        <f>IF(Simulações!#REF!="","",Simulações!#REF!)</f>
        <v>#REF!</v>
      </c>
      <c r="K706" s="117" t="e">
        <f>Simulações!#REF!</f>
        <v>#REF!</v>
      </c>
      <c r="L706" s="117" t="e">
        <f>Simulações!#REF!</f>
        <v>#REF!</v>
      </c>
      <c r="M706" s="114" t="e">
        <f>IF(Simulações!#REF!="","",Simulações!#REF!)</f>
        <v>#REF!</v>
      </c>
      <c r="N706" s="114" t="e">
        <f>IF(Simulações!#REF!="","",Simulações!#REF!)</f>
        <v>#REF!</v>
      </c>
      <c r="O706" s="114">
        <v>1</v>
      </c>
    </row>
    <row r="707" spans="1:15" ht="15.75" hidden="1" customHeight="1" x14ac:dyDescent="0.3">
      <c r="A707" s="124" t="e">
        <f>Simulações!#REF!</f>
        <v>#REF!</v>
      </c>
      <c r="B707" s="114" t="e">
        <f>Simulações!#REF!</f>
        <v>#REF!</v>
      </c>
      <c r="C707" s="125" t="e">
        <f>Simulações!#REF!</f>
        <v>#REF!</v>
      </c>
      <c r="D707" s="114" t="e">
        <f>Simulações!#REF!</f>
        <v>#REF!</v>
      </c>
      <c r="E707" s="114" t="e">
        <f>Simulações!#REF!</f>
        <v>#REF!</v>
      </c>
      <c r="F707" s="114" t="e">
        <f>Simulações!#REF!</f>
        <v>#REF!</v>
      </c>
      <c r="G707" s="114" t="e">
        <f>Simulações!#REF!</f>
        <v>#REF!</v>
      </c>
      <c r="H707" s="114" t="e">
        <f>Simulações!#REF!</f>
        <v>#REF!</v>
      </c>
      <c r="I707" s="114" t="e">
        <f>IF(Simulações!#REF!="","",Simulações!#REF!)</f>
        <v>#REF!</v>
      </c>
      <c r="J707" s="114" t="e">
        <f>IF(Simulações!#REF!="","",Simulações!#REF!)</f>
        <v>#REF!</v>
      </c>
      <c r="K707" s="117" t="e">
        <f>Simulações!#REF!</f>
        <v>#REF!</v>
      </c>
      <c r="L707" s="117" t="e">
        <f>Simulações!#REF!</f>
        <v>#REF!</v>
      </c>
      <c r="M707" s="114" t="e">
        <f>IF(Simulações!#REF!="","",Simulações!#REF!)</f>
        <v>#REF!</v>
      </c>
      <c r="N707" s="114" t="e">
        <f>IF(Simulações!#REF!="","",Simulações!#REF!)</f>
        <v>#REF!</v>
      </c>
      <c r="O707" s="114">
        <v>1</v>
      </c>
    </row>
    <row r="708" spans="1:15" ht="15.75" hidden="1" customHeight="1" x14ac:dyDescent="0.3">
      <c r="A708" s="124" t="e">
        <f>Simulações!#REF!</f>
        <v>#REF!</v>
      </c>
      <c r="B708" s="114" t="e">
        <f>Simulações!#REF!</f>
        <v>#REF!</v>
      </c>
      <c r="C708" s="125" t="e">
        <f>Simulações!#REF!</f>
        <v>#REF!</v>
      </c>
      <c r="D708" s="114" t="e">
        <f>Simulações!#REF!</f>
        <v>#REF!</v>
      </c>
      <c r="E708" s="114" t="e">
        <f>Simulações!#REF!</f>
        <v>#REF!</v>
      </c>
      <c r="F708" s="114" t="e">
        <f>Simulações!#REF!</f>
        <v>#REF!</v>
      </c>
      <c r="G708" s="114" t="e">
        <f>Simulações!#REF!</f>
        <v>#REF!</v>
      </c>
      <c r="H708" s="114" t="e">
        <f>Simulações!#REF!</f>
        <v>#REF!</v>
      </c>
      <c r="I708" s="114" t="e">
        <f>IF(Simulações!#REF!="","",Simulações!#REF!)</f>
        <v>#REF!</v>
      </c>
      <c r="J708" s="114" t="e">
        <f>IF(Simulações!#REF!="","",Simulações!#REF!)</f>
        <v>#REF!</v>
      </c>
      <c r="K708" s="117" t="e">
        <f>Simulações!#REF!</f>
        <v>#REF!</v>
      </c>
      <c r="L708" s="117" t="e">
        <f>Simulações!#REF!</f>
        <v>#REF!</v>
      </c>
      <c r="M708" s="114" t="e">
        <f>IF(Simulações!#REF!="","",Simulações!#REF!)</f>
        <v>#REF!</v>
      </c>
      <c r="N708" s="114" t="e">
        <f>IF(Simulações!#REF!="","",Simulações!#REF!)</f>
        <v>#REF!</v>
      </c>
      <c r="O708" s="114">
        <v>1</v>
      </c>
    </row>
    <row r="709" spans="1:15" ht="15.75" hidden="1" customHeight="1" x14ac:dyDescent="0.3">
      <c r="A709" s="124" t="e">
        <f>Simulações!#REF!</f>
        <v>#REF!</v>
      </c>
      <c r="B709" s="114" t="e">
        <f>Simulações!#REF!</f>
        <v>#REF!</v>
      </c>
      <c r="C709" s="125" t="e">
        <f>Simulações!#REF!</f>
        <v>#REF!</v>
      </c>
      <c r="D709" s="114" t="e">
        <f>Simulações!#REF!</f>
        <v>#REF!</v>
      </c>
      <c r="E709" s="114" t="e">
        <f>Simulações!#REF!</f>
        <v>#REF!</v>
      </c>
      <c r="F709" s="114" t="e">
        <f>Simulações!#REF!</f>
        <v>#REF!</v>
      </c>
      <c r="G709" s="114" t="e">
        <f>Simulações!#REF!</f>
        <v>#REF!</v>
      </c>
      <c r="H709" s="114" t="e">
        <f>Simulações!#REF!</f>
        <v>#REF!</v>
      </c>
      <c r="I709" s="114" t="e">
        <f>IF(Simulações!#REF!="","",Simulações!#REF!)</f>
        <v>#REF!</v>
      </c>
      <c r="J709" s="114" t="e">
        <f>IF(Simulações!#REF!="","",Simulações!#REF!)</f>
        <v>#REF!</v>
      </c>
      <c r="K709" s="117" t="e">
        <f>Simulações!#REF!</f>
        <v>#REF!</v>
      </c>
      <c r="L709" s="117" t="e">
        <f>Simulações!#REF!</f>
        <v>#REF!</v>
      </c>
      <c r="M709" s="114" t="e">
        <f>IF(Simulações!#REF!="","",Simulações!#REF!)</f>
        <v>#REF!</v>
      </c>
      <c r="N709" s="114" t="e">
        <f>IF(Simulações!#REF!="","",Simulações!#REF!)</f>
        <v>#REF!</v>
      </c>
      <c r="O709" s="114">
        <v>1</v>
      </c>
    </row>
    <row r="710" spans="1:15" ht="15.75" hidden="1" customHeight="1" x14ac:dyDescent="0.3">
      <c r="A710" s="124" t="e">
        <f>Simulações!#REF!</f>
        <v>#REF!</v>
      </c>
      <c r="B710" s="114" t="e">
        <f>Simulações!#REF!</f>
        <v>#REF!</v>
      </c>
      <c r="C710" s="125" t="e">
        <f>Simulações!#REF!</f>
        <v>#REF!</v>
      </c>
      <c r="D710" s="114" t="e">
        <f>Simulações!#REF!</f>
        <v>#REF!</v>
      </c>
      <c r="E710" s="114" t="e">
        <f>Simulações!#REF!</f>
        <v>#REF!</v>
      </c>
      <c r="F710" s="114" t="e">
        <f>Simulações!#REF!</f>
        <v>#REF!</v>
      </c>
      <c r="G710" s="114" t="e">
        <f>Simulações!#REF!</f>
        <v>#REF!</v>
      </c>
      <c r="H710" s="114" t="e">
        <f>Simulações!#REF!</f>
        <v>#REF!</v>
      </c>
      <c r="I710" s="114" t="e">
        <f>IF(Simulações!#REF!="","",Simulações!#REF!)</f>
        <v>#REF!</v>
      </c>
      <c r="J710" s="114" t="e">
        <f>IF(Simulações!#REF!="","",Simulações!#REF!)</f>
        <v>#REF!</v>
      </c>
      <c r="K710" s="117" t="e">
        <f>Simulações!#REF!</f>
        <v>#REF!</v>
      </c>
      <c r="L710" s="117" t="e">
        <f>Simulações!#REF!</f>
        <v>#REF!</v>
      </c>
      <c r="M710" s="114" t="e">
        <f>IF(Simulações!#REF!="","",Simulações!#REF!)</f>
        <v>#REF!</v>
      </c>
      <c r="N710" s="114" t="e">
        <f>IF(Simulações!#REF!="","",Simulações!#REF!)</f>
        <v>#REF!</v>
      </c>
      <c r="O710" s="114">
        <v>1</v>
      </c>
    </row>
    <row r="711" spans="1:15" ht="15.75" hidden="1" customHeight="1" x14ac:dyDescent="0.3">
      <c r="A711" s="124" t="e">
        <f>Simulações!#REF!</f>
        <v>#REF!</v>
      </c>
      <c r="B711" s="114" t="e">
        <f>Simulações!#REF!</f>
        <v>#REF!</v>
      </c>
      <c r="C711" s="125" t="e">
        <f>Simulações!#REF!</f>
        <v>#REF!</v>
      </c>
      <c r="D711" s="114" t="e">
        <f>Simulações!#REF!</f>
        <v>#REF!</v>
      </c>
      <c r="E711" s="114" t="e">
        <f>Simulações!#REF!</f>
        <v>#REF!</v>
      </c>
      <c r="F711" s="114" t="e">
        <f>Simulações!#REF!</f>
        <v>#REF!</v>
      </c>
      <c r="G711" s="114" t="e">
        <f>Simulações!#REF!</f>
        <v>#REF!</v>
      </c>
      <c r="H711" s="114" t="e">
        <f>Simulações!#REF!</f>
        <v>#REF!</v>
      </c>
      <c r="I711" s="114" t="e">
        <f>IF(Simulações!#REF!="","",Simulações!#REF!)</f>
        <v>#REF!</v>
      </c>
      <c r="J711" s="114" t="e">
        <f>IF(Simulações!#REF!="","",Simulações!#REF!)</f>
        <v>#REF!</v>
      </c>
      <c r="K711" s="117" t="e">
        <f>Simulações!#REF!</f>
        <v>#REF!</v>
      </c>
      <c r="L711" s="117" t="e">
        <f>Simulações!#REF!</f>
        <v>#REF!</v>
      </c>
      <c r="M711" s="114" t="e">
        <f>IF(Simulações!#REF!="","",Simulações!#REF!)</f>
        <v>#REF!</v>
      </c>
      <c r="N711" s="114" t="e">
        <f>IF(Simulações!#REF!="","",Simulações!#REF!)</f>
        <v>#REF!</v>
      </c>
      <c r="O711" s="114">
        <v>1</v>
      </c>
    </row>
    <row r="712" spans="1:15" ht="15.75" hidden="1" customHeight="1" x14ac:dyDescent="0.3">
      <c r="A712" s="124" t="e">
        <f>Simulações!#REF!</f>
        <v>#REF!</v>
      </c>
      <c r="B712" s="114" t="e">
        <f>Simulações!#REF!</f>
        <v>#REF!</v>
      </c>
      <c r="C712" s="125" t="e">
        <f>Simulações!#REF!</f>
        <v>#REF!</v>
      </c>
      <c r="D712" s="114" t="e">
        <f>Simulações!#REF!</f>
        <v>#REF!</v>
      </c>
      <c r="E712" s="114" t="e">
        <f>Simulações!#REF!</f>
        <v>#REF!</v>
      </c>
      <c r="F712" s="114" t="e">
        <f>Simulações!#REF!</f>
        <v>#REF!</v>
      </c>
      <c r="G712" s="114" t="e">
        <f>Simulações!#REF!</f>
        <v>#REF!</v>
      </c>
      <c r="H712" s="114" t="e">
        <f>Simulações!#REF!</f>
        <v>#REF!</v>
      </c>
      <c r="I712" s="114" t="e">
        <f>IF(Simulações!#REF!="","",Simulações!#REF!)</f>
        <v>#REF!</v>
      </c>
      <c r="J712" s="114" t="e">
        <f>IF(Simulações!#REF!="","",Simulações!#REF!)</f>
        <v>#REF!</v>
      </c>
      <c r="K712" s="117" t="e">
        <f>Simulações!#REF!</f>
        <v>#REF!</v>
      </c>
      <c r="L712" s="117" t="e">
        <f>Simulações!#REF!</f>
        <v>#REF!</v>
      </c>
      <c r="M712" s="114" t="e">
        <f>IF(Simulações!#REF!="","",Simulações!#REF!)</f>
        <v>#REF!</v>
      </c>
      <c r="N712" s="114" t="e">
        <f>IF(Simulações!#REF!="","",Simulações!#REF!)</f>
        <v>#REF!</v>
      </c>
      <c r="O712" s="114">
        <v>1</v>
      </c>
    </row>
    <row r="713" spans="1:15" ht="15.75" hidden="1" customHeight="1" x14ac:dyDescent="0.3">
      <c r="A713" s="124" t="e">
        <f>Simulações!#REF!</f>
        <v>#REF!</v>
      </c>
      <c r="B713" s="114" t="e">
        <f>Simulações!#REF!</f>
        <v>#REF!</v>
      </c>
      <c r="C713" s="125" t="e">
        <f>Simulações!#REF!</f>
        <v>#REF!</v>
      </c>
      <c r="D713" s="114" t="e">
        <f>Simulações!#REF!</f>
        <v>#REF!</v>
      </c>
      <c r="E713" s="114" t="e">
        <f>Simulações!#REF!</f>
        <v>#REF!</v>
      </c>
      <c r="F713" s="114" t="e">
        <f>Simulações!#REF!</f>
        <v>#REF!</v>
      </c>
      <c r="G713" s="114" t="e">
        <f>Simulações!#REF!</f>
        <v>#REF!</v>
      </c>
      <c r="H713" s="114" t="e">
        <f>Simulações!#REF!</f>
        <v>#REF!</v>
      </c>
      <c r="I713" s="114" t="e">
        <f>IF(Simulações!#REF!="","",Simulações!#REF!)</f>
        <v>#REF!</v>
      </c>
      <c r="J713" s="114" t="e">
        <f>IF(Simulações!#REF!="","",Simulações!#REF!)</f>
        <v>#REF!</v>
      </c>
      <c r="K713" s="117" t="e">
        <f>Simulações!#REF!</f>
        <v>#REF!</v>
      </c>
      <c r="L713" s="117" t="e">
        <f>Simulações!#REF!</f>
        <v>#REF!</v>
      </c>
      <c r="M713" s="114" t="e">
        <f>IF(Simulações!#REF!="","",Simulações!#REF!)</f>
        <v>#REF!</v>
      </c>
      <c r="N713" s="114" t="e">
        <f>IF(Simulações!#REF!="","",Simulações!#REF!)</f>
        <v>#REF!</v>
      </c>
      <c r="O713" s="114">
        <v>1</v>
      </c>
    </row>
    <row r="714" spans="1:15" ht="15.75" hidden="1" customHeight="1" x14ac:dyDescent="0.3">
      <c r="A714" s="124" t="e">
        <f>Simulações!#REF!</f>
        <v>#REF!</v>
      </c>
      <c r="B714" s="114" t="e">
        <f>Simulações!#REF!</f>
        <v>#REF!</v>
      </c>
      <c r="C714" s="125" t="e">
        <f>Simulações!#REF!</f>
        <v>#REF!</v>
      </c>
      <c r="D714" s="114" t="e">
        <f>Simulações!#REF!</f>
        <v>#REF!</v>
      </c>
      <c r="E714" s="114" t="e">
        <f>Simulações!#REF!</f>
        <v>#REF!</v>
      </c>
      <c r="F714" s="114" t="e">
        <f>Simulações!#REF!</f>
        <v>#REF!</v>
      </c>
      <c r="G714" s="114" t="e">
        <f>Simulações!#REF!</f>
        <v>#REF!</v>
      </c>
      <c r="H714" s="114" t="e">
        <f>Simulações!#REF!</f>
        <v>#REF!</v>
      </c>
      <c r="I714" s="114" t="e">
        <f>IF(Simulações!#REF!="","",Simulações!#REF!)</f>
        <v>#REF!</v>
      </c>
      <c r="J714" s="114" t="e">
        <f>IF(Simulações!#REF!="","",Simulações!#REF!)</f>
        <v>#REF!</v>
      </c>
      <c r="K714" s="117" t="e">
        <f>Simulações!#REF!</f>
        <v>#REF!</v>
      </c>
      <c r="L714" s="117" t="e">
        <f>Simulações!#REF!</f>
        <v>#REF!</v>
      </c>
      <c r="M714" s="114" t="e">
        <f>IF(Simulações!#REF!="","",Simulações!#REF!)</f>
        <v>#REF!</v>
      </c>
      <c r="N714" s="114" t="e">
        <f>IF(Simulações!#REF!="","",Simulações!#REF!)</f>
        <v>#REF!</v>
      </c>
      <c r="O714" s="114">
        <v>1</v>
      </c>
    </row>
    <row r="715" spans="1:15" ht="15.75" hidden="1" customHeight="1" x14ac:dyDescent="0.3">
      <c r="A715" s="124" t="e">
        <f>Simulações!#REF!</f>
        <v>#REF!</v>
      </c>
      <c r="B715" s="114" t="e">
        <f>Simulações!#REF!</f>
        <v>#REF!</v>
      </c>
      <c r="C715" s="125" t="e">
        <f>Simulações!#REF!</f>
        <v>#REF!</v>
      </c>
      <c r="D715" s="114" t="e">
        <f>Simulações!#REF!</f>
        <v>#REF!</v>
      </c>
      <c r="E715" s="114" t="e">
        <f>Simulações!#REF!</f>
        <v>#REF!</v>
      </c>
      <c r="F715" s="114" t="e">
        <f>Simulações!#REF!</f>
        <v>#REF!</v>
      </c>
      <c r="G715" s="114" t="e">
        <f>Simulações!#REF!</f>
        <v>#REF!</v>
      </c>
      <c r="H715" s="114" t="e">
        <f>Simulações!#REF!</f>
        <v>#REF!</v>
      </c>
      <c r="I715" s="114" t="e">
        <f>IF(Simulações!#REF!="","",Simulações!#REF!)</f>
        <v>#REF!</v>
      </c>
      <c r="J715" s="114" t="e">
        <f>IF(Simulações!#REF!="","",Simulações!#REF!)</f>
        <v>#REF!</v>
      </c>
      <c r="K715" s="117" t="e">
        <f>Simulações!#REF!</f>
        <v>#REF!</v>
      </c>
      <c r="L715" s="117" t="e">
        <f>Simulações!#REF!</f>
        <v>#REF!</v>
      </c>
      <c r="M715" s="114" t="e">
        <f>IF(Simulações!#REF!="","",Simulações!#REF!)</f>
        <v>#REF!</v>
      </c>
      <c r="N715" s="114" t="e">
        <f>IF(Simulações!#REF!="","",Simulações!#REF!)</f>
        <v>#REF!</v>
      </c>
      <c r="O715" s="114">
        <v>1</v>
      </c>
    </row>
    <row r="716" spans="1:15" ht="15.75" hidden="1" customHeight="1" x14ac:dyDescent="0.3">
      <c r="A716" s="124" t="e">
        <f>Simulações!#REF!</f>
        <v>#REF!</v>
      </c>
      <c r="B716" s="114" t="e">
        <f>Simulações!#REF!</f>
        <v>#REF!</v>
      </c>
      <c r="C716" s="125" t="e">
        <f>Simulações!#REF!</f>
        <v>#REF!</v>
      </c>
      <c r="D716" s="114" t="e">
        <f>Simulações!#REF!</f>
        <v>#REF!</v>
      </c>
      <c r="E716" s="114" t="e">
        <f>Simulações!#REF!</f>
        <v>#REF!</v>
      </c>
      <c r="F716" s="114" t="e">
        <f>Simulações!#REF!</f>
        <v>#REF!</v>
      </c>
      <c r="G716" s="114" t="e">
        <f>Simulações!#REF!</f>
        <v>#REF!</v>
      </c>
      <c r="H716" s="114" t="e">
        <f>Simulações!#REF!</f>
        <v>#REF!</v>
      </c>
      <c r="I716" s="114" t="e">
        <f>IF(Simulações!#REF!="","",Simulações!#REF!)</f>
        <v>#REF!</v>
      </c>
      <c r="J716" s="114" t="e">
        <f>IF(Simulações!#REF!="","",Simulações!#REF!)</f>
        <v>#REF!</v>
      </c>
      <c r="K716" s="117" t="e">
        <f>Simulações!#REF!</f>
        <v>#REF!</v>
      </c>
      <c r="L716" s="117" t="e">
        <f>Simulações!#REF!</f>
        <v>#REF!</v>
      </c>
      <c r="M716" s="114" t="e">
        <f>IF(Simulações!#REF!="","",Simulações!#REF!)</f>
        <v>#REF!</v>
      </c>
      <c r="N716" s="114" t="e">
        <f>IF(Simulações!#REF!="","",Simulações!#REF!)</f>
        <v>#REF!</v>
      </c>
      <c r="O716" s="114">
        <v>1</v>
      </c>
    </row>
    <row r="717" spans="1:15" ht="15.75" hidden="1" customHeight="1" x14ac:dyDescent="0.3">
      <c r="A717" s="124" t="e">
        <f>Simulações!#REF!</f>
        <v>#REF!</v>
      </c>
      <c r="B717" s="114" t="e">
        <f>Simulações!#REF!</f>
        <v>#REF!</v>
      </c>
      <c r="C717" s="125" t="e">
        <f>Simulações!#REF!</f>
        <v>#REF!</v>
      </c>
      <c r="D717" s="114" t="e">
        <f>Simulações!#REF!</f>
        <v>#REF!</v>
      </c>
      <c r="E717" s="114" t="e">
        <f>Simulações!#REF!</f>
        <v>#REF!</v>
      </c>
      <c r="F717" s="114" t="e">
        <f>Simulações!#REF!</f>
        <v>#REF!</v>
      </c>
      <c r="G717" s="114" t="e">
        <f>Simulações!#REF!</f>
        <v>#REF!</v>
      </c>
      <c r="H717" s="114" t="e">
        <f>Simulações!#REF!</f>
        <v>#REF!</v>
      </c>
      <c r="I717" s="114" t="e">
        <f>IF(Simulações!#REF!="","",Simulações!#REF!)</f>
        <v>#REF!</v>
      </c>
      <c r="J717" s="114" t="e">
        <f>IF(Simulações!#REF!="","",Simulações!#REF!)</f>
        <v>#REF!</v>
      </c>
      <c r="K717" s="117" t="e">
        <f>Simulações!#REF!</f>
        <v>#REF!</v>
      </c>
      <c r="L717" s="117" t="e">
        <f>Simulações!#REF!</f>
        <v>#REF!</v>
      </c>
      <c r="M717" s="114" t="e">
        <f>IF(Simulações!#REF!="","",Simulações!#REF!)</f>
        <v>#REF!</v>
      </c>
      <c r="N717" s="114" t="e">
        <f>IF(Simulações!#REF!="","",Simulações!#REF!)</f>
        <v>#REF!</v>
      </c>
      <c r="O717" s="114">
        <v>1</v>
      </c>
    </row>
    <row r="718" spans="1:15" ht="15.75" hidden="1" customHeight="1" x14ac:dyDescent="0.3">
      <c r="A718" s="124" t="e">
        <f>Simulações!#REF!</f>
        <v>#REF!</v>
      </c>
      <c r="B718" s="114" t="e">
        <f>Simulações!#REF!</f>
        <v>#REF!</v>
      </c>
      <c r="C718" s="125" t="e">
        <f>Simulações!#REF!</f>
        <v>#REF!</v>
      </c>
      <c r="D718" s="114" t="e">
        <f>Simulações!#REF!</f>
        <v>#REF!</v>
      </c>
      <c r="E718" s="114" t="e">
        <f>Simulações!#REF!</f>
        <v>#REF!</v>
      </c>
      <c r="F718" s="114" t="e">
        <f>Simulações!#REF!</f>
        <v>#REF!</v>
      </c>
      <c r="G718" s="114" t="e">
        <f>Simulações!#REF!</f>
        <v>#REF!</v>
      </c>
      <c r="H718" s="114" t="e">
        <f>Simulações!#REF!</f>
        <v>#REF!</v>
      </c>
      <c r="I718" s="114" t="e">
        <f>IF(Simulações!#REF!="","",Simulações!#REF!)</f>
        <v>#REF!</v>
      </c>
      <c r="J718" s="114" t="e">
        <f>IF(Simulações!#REF!="","",Simulações!#REF!)</f>
        <v>#REF!</v>
      </c>
      <c r="K718" s="117" t="e">
        <f>Simulações!#REF!</f>
        <v>#REF!</v>
      </c>
      <c r="L718" s="117" t="e">
        <f>Simulações!#REF!</f>
        <v>#REF!</v>
      </c>
      <c r="M718" s="114" t="e">
        <f>IF(Simulações!#REF!="","",Simulações!#REF!)</f>
        <v>#REF!</v>
      </c>
      <c r="N718" s="114" t="e">
        <f>IF(Simulações!#REF!="","",Simulações!#REF!)</f>
        <v>#REF!</v>
      </c>
      <c r="O718" s="114">
        <v>1</v>
      </c>
    </row>
    <row r="719" spans="1:15" ht="15.75" hidden="1" customHeight="1" x14ac:dyDescent="0.3">
      <c r="A719" s="124" t="e">
        <f>Simulações!#REF!</f>
        <v>#REF!</v>
      </c>
      <c r="B719" s="114" t="e">
        <f>Simulações!#REF!</f>
        <v>#REF!</v>
      </c>
      <c r="C719" s="125" t="e">
        <f>Simulações!#REF!</f>
        <v>#REF!</v>
      </c>
      <c r="D719" s="114" t="e">
        <f>Simulações!#REF!</f>
        <v>#REF!</v>
      </c>
      <c r="E719" s="114" t="e">
        <f>Simulações!#REF!</f>
        <v>#REF!</v>
      </c>
      <c r="F719" s="114" t="e">
        <f>Simulações!#REF!</f>
        <v>#REF!</v>
      </c>
      <c r="G719" s="114" t="e">
        <f>Simulações!#REF!</f>
        <v>#REF!</v>
      </c>
      <c r="H719" s="114" t="e">
        <f>Simulações!#REF!</f>
        <v>#REF!</v>
      </c>
      <c r="I719" s="114" t="e">
        <f>IF(Simulações!#REF!="","",Simulações!#REF!)</f>
        <v>#REF!</v>
      </c>
      <c r="J719" s="114" t="e">
        <f>IF(Simulações!#REF!="","",Simulações!#REF!)</f>
        <v>#REF!</v>
      </c>
      <c r="K719" s="117" t="e">
        <f>Simulações!#REF!</f>
        <v>#REF!</v>
      </c>
      <c r="L719" s="117" t="e">
        <f>Simulações!#REF!</f>
        <v>#REF!</v>
      </c>
      <c r="M719" s="114" t="e">
        <f>IF(Simulações!#REF!="","",Simulações!#REF!)</f>
        <v>#REF!</v>
      </c>
      <c r="N719" s="114" t="e">
        <f>IF(Simulações!#REF!="","",Simulações!#REF!)</f>
        <v>#REF!</v>
      </c>
      <c r="O719" s="114">
        <v>1</v>
      </c>
    </row>
    <row r="720" spans="1:15" ht="15.75" hidden="1" customHeight="1" x14ac:dyDescent="0.3">
      <c r="A720" s="124" t="e">
        <f>Simulações!#REF!</f>
        <v>#REF!</v>
      </c>
      <c r="B720" s="114" t="e">
        <f>Simulações!#REF!</f>
        <v>#REF!</v>
      </c>
      <c r="C720" s="125" t="e">
        <f>Simulações!#REF!</f>
        <v>#REF!</v>
      </c>
      <c r="D720" s="114" t="e">
        <f>Simulações!#REF!</f>
        <v>#REF!</v>
      </c>
      <c r="E720" s="114" t="e">
        <f>Simulações!#REF!</f>
        <v>#REF!</v>
      </c>
      <c r="F720" s="114" t="e">
        <f>Simulações!#REF!</f>
        <v>#REF!</v>
      </c>
      <c r="G720" s="114" t="e">
        <f>Simulações!#REF!</f>
        <v>#REF!</v>
      </c>
      <c r="H720" s="114" t="e">
        <f>Simulações!#REF!</f>
        <v>#REF!</v>
      </c>
      <c r="I720" s="114" t="e">
        <f>IF(Simulações!#REF!="","",Simulações!#REF!)</f>
        <v>#REF!</v>
      </c>
      <c r="J720" s="114" t="e">
        <f>IF(Simulações!#REF!="","",Simulações!#REF!)</f>
        <v>#REF!</v>
      </c>
      <c r="K720" s="117" t="e">
        <f>Simulações!#REF!</f>
        <v>#REF!</v>
      </c>
      <c r="L720" s="117" t="e">
        <f>Simulações!#REF!</f>
        <v>#REF!</v>
      </c>
      <c r="M720" s="114" t="e">
        <f>IF(Simulações!#REF!="","",Simulações!#REF!)</f>
        <v>#REF!</v>
      </c>
      <c r="N720" s="114" t="e">
        <f>IF(Simulações!#REF!="","",Simulações!#REF!)</f>
        <v>#REF!</v>
      </c>
      <c r="O720" s="114">
        <v>1</v>
      </c>
    </row>
    <row r="721" spans="1:15" ht="15.75" hidden="1" customHeight="1" x14ac:dyDescent="0.3">
      <c r="A721" s="124" t="e">
        <f>Simulações!#REF!</f>
        <v>#REF!</v>
      </c>
      <c r="B721" s="114" t="e">
        <f>Simulações!#REF!</f>
        <v>#REF!</v>
      </c>
      <c r="C721" s="125" t="e">
        <f>Simulações!#REF!</f>
        <v>#REF!</v>
      </c>
      <c r="D721" s="114" t="e">
        <f>Simulações!#REF!</f>
        <v>#REF!</v>
      </c>
      <c r="E721" s="114" t="e">
        <f>Simulações!#REF!</f>
        <v>#REF!</v>
      </c>
      <c r="F721" s="114" t="e">
        <f>Simulações!#REF!</f>
        <v>#REF!</v>
      </c>
      <c r="G721" s="114" t="e">
        <f>Simulações!#REF!</f>
        <v>#REF!</v>
      </c>
      <c r="H721" s="114" t="e">
        <f>Simulações!#REF!</f>
        <v>#REF!</v>
      </c>
      <c r="I721" s="114" t="e">
        <f>IF(Simulações!#REF!="","",Simulações!#REF!)</f>
        <v>#REF!</v>
      </c>
      <c r="J721" s="114" t="e">
        <f>IF(Simulações!#REF!="","",Simulações!#REF!)</f>
        <v>#REF!</v>
      </c>
      <c r="K721" s="117" t="e">
        <f>Simulações!#REF!</f>
        <v>#REF!</v>
      </c>
      <c r="L721" s="117" t="e">
        <f>Simulações!#REF!</f>
        <v>#REF!</v>
      </c>
      <c r="M721" s="114" t="e">
        <f>IF(Simulações!#REF!="","",Simulações!#REF!)</f>
        <v>#REF!</v>
      </c>
      <c r="N721" s="114" t="e">
        <f>IF(Simulações!#REF!="","",Simulações!#REF!)</f>
        <v>#REF!</v>
      </c>
      <c r="O721" s="114">
        <v>1</v>
      </c>
    </row>
    <row r="722" spans="1:15" ht="15.75" hidden="1" customHeight="1" x14ac:dyDescent="0.3">
      <c r="A722" s="124" t="e">
        <f>Simulações!#REF!</f>
        <v>#REF!</v>
      </c>
      <c r="B722" s="114" t="e">
        <f>Simulações!#REF!</f>
        <v>#REF!</v>
      </c>
      <c r="C722" s="125" t="e">
        <f>Simulações!#REF!</f>
        <v>#REF!</v>
      </c>
      <c r="D722" s="114" t="e">
        <f>Simulações!#REF!</f>
        <v>#REF!</v>
      </c>
      <c r="E722" s="114" t="e">
        <f>Simulações!#REF!</f>
        <v>#REF!</v>
      </c>
      <c r="F722" s="114" t="e">
        <f>Simulações!#REF!</f>
        <v>#REF!</v>
      </c>
      <c r="G722" s="114" t="e">
        <f>Simulações!#REF!</f>
        <v>#REF!</v>
      </c>
      <c r="H722" s="114" t="e">
        <f>Simulações!#REF!</f>
        <v>#REF!</v>
      </c>
      <c r="I722" s="114" t="e">
        <f>IF(Simulações!#REF!="","",Simulações!#REF!)</f>
        <v>#REF!</v>
      </c>
      <c r="J722" s="114" t="e">
        <f>IF(Simulações!#REF!="","",Simulações!#REF!)</f>
        <v>#REF!</v>
      </c>
      <c r="K722" s="117" t="e">
        <f>Simulações!#REF!</f>
        <v>#REF!</v>
      </c>
      <c r="L722" s="117" t="e">
        <f>Simulações!#REF!</f>
        <v>#REF!</v>
      </c>
      <c r="M722" s="114" t="e">
        <f>IF(Simulações!#REF!="","",Simulações!#REF!)</f>
        <v>#REF!</v>
      </c>
      <c r="N722" s="114" t="e">
        <f>IF(Simulações!#REF!="","",Simulações!#REF!)</f>
        <v>#REF!</v>
      </c>
      <c r="O722" s="114">
        <v>1</v>
      </c>
    </row>
    <row r="723" spans="1:15" ht="15.75" hidden="1" customHeight="1" x14ac:dyDescent="0.3">
      <c r="A723" s="124" t="e">
        <f>Simulações!#REF!</f>
        <v>#REF!</v>
      </c>
      <c r="B723" s="114" t="e">
        <f>Simulações!#REF!</f>
        <v>#REF!</v>
      </c>
      <c r="C723" s="125" t="e">
        <f>Simulações!#REF!</f>
        <v>#REF!</v>
      </c>
      <c r="D723" s="114" t="e">
        <f>Simulações!#REF!</f>
        <v>#REF!</v>
      </c>
      <c r="E723" s="114" t="e">
        <f>Simulações!#REF!</f>
        <v>#REF!</v>
      </c>
      <c r="F723" s="114" t="e">
        <f>Simulações!#REF!</f>
        <v>#REF!</v>
      </c>
      <c r="G723" s="114" t="e">
        <f>Simulações!#REF!</f>
        <v>#REF!</v>
      </c>
      <c r="H723" s="114" t="e">
        <f>Simulações!#REF!</f>
        <v>#REF!</v>
      </c>
      <c r="I723" s="114" t="e">
        <f>IF(Simulações!#REF!="","",Simulações!#REF!)</f>
        <v>#REF!</v>
      </c>
      <c r="J723" s="114" t="e">
        <f>IF(Simulações!#REF!="","",Simulações!#REF!)</f>
        <v>#REF!</v>
      </c>
      <c r="K723" s="117" t="e">
        <f>Simulações!#REF!</f>
        <v>#REF!</v>
      </c>
      <c r="L723" s="117" t="e">
        <f>Simulações!#REF!</f>
        <v>#REF!</v>
      </c>
      <c r="M723" s="114" t="e">
        <f>IF(Simulações!#REF!="","",Simulações!#REF!)</f>
        <v>#REF!</v>
      </c>
      <c r="N723" s="114" t="e">
        <f>IF(Simulações!#REF!="","",Simulações!#REF!)</f>
        <v>#REF!</v>
      </c>
      <c r="O723" s="114">
        <v>1</v>
      </c>
    </row>
    <row r="724" spans="1:15" ht="15.75" hidden="1" customHeight="1" x14ac:dyDescent="0.3">
      <c r="A724" s="124" t="e">
        <f>Simulações!#REF!</f>
        <v>#REF!</v>
      </c>
      <c r="B724" s="114" t="e">
        <f>Simulações!#REF!</f>
        <v>#REF!</v>
      </c>
      <c r="C724" s="125" t="e">
        <f>Simulações!#REF!</f>
        <v>#REF!</v>
      </c>
      <c r="D724" s="114" t="e">
        <f>Simulações!#REF!</f>
        <v>#REF!</v>
      </c>
      <c r="E724" s="114" t="e">
        <f>Simulações!#REF!</f>
        <v>#REF!</v>
      </c>
      <c r="F724" s="114" t="e">
        <f>Simulações!#REF!</f>
        <v>#REF!</v>
      </c>
      <c r="G724" s="114" t="e">
        <f>Simulações!#REF!</f>
        <v>#REF!</v>
      </c>
      <c r="H724" s="114" t="e">
        <f>Simulações!#REF!</f>
        <v>#REF!</v>
      </c>
      <c r="I724" s="114" t="e">
        <f>IF(Simulações!#REF!="","",Simulações!#REF!)</f>
        <v>#REF!</v>
      </c>
      <c r="J724" s="114" t="e">
        <f>IF(Simulações!#REF!="","",Simulações!#REF!)</f>
        <v>#REF!</v>
      </c>
      <c r="K724" s="117" t="e">
        <f>Simulações!#REF!</f>
        <v>#REF!</v>
      </c>
      <c r="L724" s="117" t="e">
        <f>Simulações!#REF!</f>
        <v>#REF!</v>
      </c>
      <c r="M724" s="114" t="e">
        <f>IF(Simulações!#REF!="","",Simulações!#REF!)</f>
        <v>#REF!</v>
      </c>
      <c r="N724" s="114" t="e">
        <f>IF(Simulações!#REF!="","",Simulações!#REF!)</f>
        <v>#REF!</v>
      </c>
      <c r="O724" s="114">
        <v>1</v>
      </c>
    </row>
    <row r="725" spans="1:15" ht="15.75" hidden="1" customHeight="1" x14ac:dyDescent="0.3">
      <c r="A725" s="124" t="e">
        <f>Simulações!#REF!</f>
        <v>#REF!</v>
      </c>
      <c r="B725" s="114" t="e">
        <f>Simulações!#REF!</f>
        <v>#REF!</v>
      </c>
      <c r="C725" s="125" t="e">
        <f>Simulações!#REF!</f>
        <v>#REF!</v>
      </c>
      <c r="D725" s="114" t="e">
        <f>Simulações!#REF!</f>
        <v>#REF!</v>
      </c>
      <c r="E725" s="114" t="e">
        <f>Simulações!#REF!</f>
        <v>#REF!</v>
      </c>
      <c r="F725" s="114" t="e">
        <f>Simulações!#REF!</f>
        <v>#REF!</v>
      </c>
      <c r="G725" s="114" t="e">
        <f>Simulações!#REF!</f>
        <v>#REF!</v>
      </c>
      <c r="H725" s="114" t="e">
        <f>Simulações!#REF!</f>
        <v>#REF!</v>
      </c>
      <c r="I725" s="114" t="e">
        <f>IF(Simulações!#REF!="","",Simulações!#REF!)</f>
        <v>#REF!</v>
      </c>
      <c r="J725" s="114" t="e">
        <f>IF(Simulações!#REF!="","",Simulações!#REF!)</f>
        <v>#REF!</v>
      </c>
      <c r="K725" s="117" t="e">
        <f>Simulações!#REF!</f>
        <v>#REF!</v>
      </c>
      <c r="L725" s="117" t="e">
        <f>Simulações!#REF!</f>
        <v>#REF!</v>
      </c>
      <c r="M725" s="114" t="e">
        <f>IF(Simulações!#REF!="","",Simulações!#REF!)</f>
        <v>#REF!</v>
      </c>
      <c r="N725" s="114" t="e">
        <f>IF(Simulações!#REF!="","",Simulações!#REF!)</f>
        <v>#REF!</v>
      </c>
      <c r="O725" s="114">
        <v>1</v>
      </c>
    </row>
    <row r="726" spans="1:15" ht="15.75" hidden="1" customHeight="1" x14ac:dyDescent="0.3">
      <c r="A726" s="124" t="e">
        <f>Simulações!#REF!</f>
        <v>#REF!</v>
      </c>
      <c r="B726" s="114" t="e">
        <f>Simulações!#REF!</f>
        <v>#REF!</v>
      </c>
      <c r="C726" s="125" t="e">
        <f>Simulações!#REF!</f>
        <v>#REF!</v>
      </c>
      <c r="D726" s="114" t="e">
        <f>Simulações!#REF!</f>
        <v>#REF!</v>
      </c>
      <c r="E726" s="114" t="e">
        <f>Simulações!#REF!</f>
        <v>#REF!</v>
      </c>
      <c r="F726" s="114" t="e">
        <f>Simulações!#REF!</f>
        <v>#REF!</v>
      </c>
      <c r="G726" s="114" t="e">
        <f>Simulações!#REF!</f>
        <v>#REF!</v>
      </c>
      <c r="H726" s="114" t="e">
        <f>Simulações!#REF!</f>
        <v>#REF!</v>
      </c>
      <c r="I726" s="114" t="e">
        <f>IF(Simulações!#REF!="","",Simulações!#REF!)</f>
        <v>#REF!</v>
      </c>
      <c r="J726" s="114" t="e">
        <f>IF(Simulações!#REF!="","",Simulações!#REF!)</f>
        <v>#REF!</v>
      </c>
      <c r="K726" s="117" t="e">
        <f>Simulações!#REF!</f>
        <v>#REF!</v>
      </c>
      <c r="L726" s="117" t="e">
        <f>Simulações!#REF!</f>
        <v>#REF!</v>
      </c>
      <c r="M726" s="114" t="e">
        <f>IF(Simulações!#REF!="","",Simulações!#REF!)</f>
        <v>#REF!</v>
      </c>
      <c r="N726" s="114" t="e">
        <f>IF(Simulações!#REF!="","",Simulações!#REF!)</f>
        <v>#REF!</v>
      </c>
      <c r="O726" s="114">
        <v>1</v>
      </c>
    </row>
    <row r="727" spans="1:15" ht="15.75" hidden="1" customHeight="1" x14ac:dyDescent="0.3">
      <c r="A727" s="124" t="e">
        <f>Simulações!#REF!</f>
        <v>#REF!</v>
      </c>
      <c r="B727" s="114" t="e">
        <f>Simulações!#REF!</f>
        <v>#REF!</v>
      </c>
      <c r="C727" s="125" t="e">
        <f>Simulações!#REF!</f>
        <v>#REF!</v>
      </c>
      <c r="D727" s="114" t="e">
        <f>Simulações!#REF!</f>
        <v>#REF!</v>
      </c>
      <c r="E727" s="114" t="e">
        <f>Simulações!#REF!</f>
        <v>#REF!</v>
      </c>
      <c r="F727" s="114" t="e">
        <f>Simulações!#REF!</f>
        <v>#REF!</v>
      </c>
      <c r="G727" s="114" t="e">
        <f>Simulações!#REF!</f>
        <v>#REF!</v>
      </c>
      <c r="H727" s="114" t="e">
        <f>Simulações!#REF!</f>
        <v>#REF!</v>
      </c>
      <c r="I727" s="114" t="e">
        <f>IF(Simulações!#REF!="","",Simulações!#REF!)</f>
        <v>#REF!</v>
      </c>
      <c r="J727" s="114" t="e">
        <f>IF(Simulações!#REF!="","",Simulações!#REF!)</f>
        <v>#REF!</v>
      </c>
      <c r="K727" s="117" t="e">
        <f>Simulações!#REF!</f>
        <v>#REF!</v>
      </c>
      <c r="L727" s="117" t="e">
        <f>Simulações!#REF!</f>
        <v>#REF!</v>
      </c>
      <c r="M727" s="114" t="e">
        <f>IF(Simulações!#REF!="","",Simulações!#REF!)</f>
        <v>#REF!</v>
      </c>
      <c r="N727" s="114" t="e">
        <f>IF(Simulações!#REF!="","",Simulações!#REF!)</f>
        <v>#REF!</v>
      </c>
      <c r="O727" s="114">
        <v>1</v>
      </c>
    </row>
    <row r="728" spans="1:15" ht="15.75" hidden="1" customHeight="1" x14ac:dyDescent="0.3">
      <c r="A728" s="124" t="e">
        <f>Simulações!#REF!</f>
        <v>#REF!</v>
      </c>
      <c r="B728" s="114" t="e">
        <f>Simulações!#REF!</f>
        <v>#REF!</v>
      </c>
      <c r="C728" s="125" t="e">
        <f>Simulações!#REF!</f>
        <v>#REF!</v>
      </c>
      <c r="D728" s="114" t="e">
        <f>Simulações!#REF!</f>
        <v>#REF!</v>
      </c>
      <c r="E728" s="114" t="e">
        <f>Simulações!#REF!</f>
        <v>#REF!</v>
      </c>
      <c r="F728" s="114" t="e">
        <f>Simulações!#REF!</f>
        <v>#REF!</v>
      </c>
      <c r="G728" s="114" t="e">
        <f>Simulações!#REF!</f>
        <v>#REF!</v>
      </c>
      <c r="H728" s="114" t="e">
        <f>Simulações!#REF!</f>
        <v>#REF!</v>
      </c>
      <c r="I728" s="114" t="e">
        <f>IF(Simulações!#REF!="","",Simulações!#REF!)</f>
        <v>#REF!</v>
      </c>
      <c r="J728" s="114" t="e">
        <f>IF(Simulações!#REF!="","",Simulações!#REF!)</f>
        <v>#REF!</v>
      </c>
      <c r="K728" s="117" t="e">
        <f>Simulações!#REF!</f>
        <v>#REF!</v>
      </c>
      <c r="L728" s="117" t="e">
        <f>Simulações!#REF!</f>
        <v>#REF!</v>
      </c>
      <c r="M728" s="114" t="e">
        <f>IF(Simulações!#REF!="","",Simulações!#REF!)</f>
        <v>#REF!</v>
      </c>
      <c r="N728" s="114" t="e">
        <f>IF(Simulações!#REF!="","",Simulações!#REF!)</f>
        <v>#REF!</v>
      </c>
      <c r="O728" s="114">
        <v>1</v>
      </c>
    </row>
    <row r="729" spans="1:15" ht="15.75" hidden="1" customHeight="1" x14ac:dyDescent="0.3">
      <c r="A729" s="124" t="e">
        <f>Simulações!#REF!</f>
        <v>#REF!</v>
      </c>
      <c r="B729" s="114" t="e">
        <f>Simulações!#REF!</f>
        <v>#REF!</v>
      </c>
      <c r="C729" s="125" t="e">
        <f>Simulações!#REF!</f>
        <v>#REF!</v>
      </c>
      <c r="D729" s="114" t="e">
        <f>Simulações!#REF!</f>
        <v>#REF!</v>
      </c>
      <c r="E729" s="114" t="e">
        <f>Simulações!#REF!</f>
        <v>#REF!</v>
      </c>
      <c r="F729" s="114" t="e">
        <f>Simulações!#REF!</f>
        <v>#REF!</v>
      </c>
      <c r="G729" s="114" t="e">
        <f>Simulações!#REF!</f>
        <v>#REF!</v>
      </c>
      <c r="H729" s="114" t="e">
        <f>Simulações!#REF!</f>
        <v>#REF!</v>
      </c>
      <c r="I729" s="114" t="e">
        <f>IF(Simulações!#REF!="","",Simulações!#REF!)</f>
        <v>#REF!</v>
      </c>
      <c r="J729" s="114" t="e">
        <f>IF(Simulações!#REF!="","",Simulações!#REF!)</f>
        <v>#REF!</v>
      </c>
      <c r="K729" s="117" t="e">
        <f>Simulações!#REF!</f>
        <v>#REF!</v>
      </c>
      <c r="L729" s="117" t="e">
        <f>Simulações!#REF!</f>
        <v>#REF!</v>
      </c>
      <c r="M729" s="114" t="e">
        <f>IF(Simulações!#REF!="","",Simulações!#REF!)</f>
        <v>#REF!</v>
      </c>
      <c r="N729" s="114" t="e">
        <f>IF(Simulações!#REF!="","",Simulações!#REF!)</f>
        <v>#REF!</v>
      </c>
      <c r="O729" s="114">
        <v>1</v>
      </c>
    </row>
    <row r="730" spans="1:15" ht="15.75" hidden="1" customHeight="1" x14ac:dyDescent="0.3">
      <c r="A730" s="124" t="e">
        <f>Simulações!#REF!</f>
        <v>#REF!</v>
      </c>
      <c r="B730" s="114" t="e">
        <f>Simulações!#REF!</f>
        <v>#REF!</v>
      </c>
      <c r="C730" s="125" t="e">
        <f>Simulações!#REF!</f>
        <v>#REF!</v>
      </c>
      <c r="D730" s="114" t="e">
        <f>Simulações!#REF!</f>
        <v>#REF!</v>
      </c>
      <c r="E730" s="114" t="e">
        <f>Simulações!#REF!</f>
        <v>#REF!</v>
      </c>
      <c r="F730" s="114" t="e">
        <f>Simulações!#REF!</f>
        <v>#REF!</v>
      </c>
      <c r="G730" s="114" t="e">
        <f>Simulações!#REF!</f>
        <v>#REF!</v>
      </c>
      <c r="H730" s="114" t="e">
        <f>Simulações!#REF!</f>
        <v>#REF!</v>
      </c>
      <c r="I730" s="114" t="e">
        <f>IF(Simulações!#REF!="","",Simulações!#REF!)</f>
        <v>#REF!</v>
      </c>
      <c r="J730" s="114" t="e">
        <f>IF(Simulações!#REF!="","",Simulações!#REF!)</f>
        <v>#REF!</v>
      </c>
      <c r="K730" s="117" t="e">
        <f>Simulações!#REF!</f>
        <v>#REF!</v>
      </c>
      <c r="L730" s="117" t="e">
        <f>Simulações!#REF!</f>
        <v>#REF!</v>
      </c>
      <c r="M730" s="114" t="e">
        <f>IF(Simulações!#REF!="","",Simulações!#REF!)</f>
        <v>#REF!</v>
      </c>
      <c r="N730" s="114" t="e">
        <f>IF(Simulações!#REF!="","",Simulações!#REF!)</f>
        <v>#REF!</v>
      </c>
      <c r="O730" s="114">
        <v>1</v>
      </c>
    </row>
    <row r="731" spans="1:15" ht="15.75" hidden="1" customHeight="1" x14ac:dyDescent="0.3">
      <c r="A731" s="124" t="e">
        <f>Simulações!#REF!</f>
        <v>#REF!</v>
      </c>
      <c r="B731" s="114" t="e">
        <f>Simulações!#REF!</f>
        <v>#REF!</v>
      </c>
      <c r="C731" s="125" t="e">
        <f>Simulações!#REF!</f>
        <v>#REF!</v>
      </c>
      <c r="D731" s="114" t="e">
        <f>Simulações!#REF!</f>
        <v>#REF!</v>
      </c>
      <c r="E731" s="114" t="e">
        <f>Simulações!#REF!</f>
        <v>#REF!</v>
      </c>
      <c r="F731" s="114" t="e">
        <f>Simulações!#REF!</f>
        <v>#REF!</v>
      </c>
      <c r="G731" s="114" t="e">
        <f>Simulações!#REF!</f>
        <v>#REF!</v>
      </c>
      <c r="H731" s="114" t="e">
        <f>Simulações!#REF!</f>
        <v>#REF!</v>
      </c>
      <c r="I731" s="114" t="e">
        <f>IF(Simulações!#REF!="","",Simulações!#REF!)</f>
        <v>#REF!</v>
      </c>
      <c r="J731" s="114" t="e">
        <f>IF(Simulações!#REF!="","",Simulações!#REF!)</f>
        <v>#REF!</v>
      </c>
      <c r="K731" s="117" t="e">
        <f>Simulações!#REF!</f>
        <v>#REF!</v>
      </c>
      <c r="L731" s="117" t="e">
        <f>Simulações!#REF!</f>
        <v>#REF!</v>
      </c>
      <c r="M731" s="114" t="e">
        <f>IF(Simulações!#REF!="","",Simulações!#REF!)</f>
        <v>#REF!</v>
      </c>
      <c r="N731" s="114" t="e">
        <f>IF(Simulações!#REF!="","",Simulações!#REF!)</f>
        <v>#REF!</v>
      </c>
      <c r="O731" s="114">
        <v>1</v>
      </c>
    </row>
    <row r="732" spans="1:15" ht="15.75" hidden="1" customHeight="1" x14ac:dyDescent="0.3">
      <c r="A732" s="124" t="e">
        <f>Simulações!#REF!</f>
        <v>#REF!</v>
      </c>
      <c r="B732" s="114" t="e">
        <f>Simulações!#REF!</f>
        <v>#REF!</v>
      </c>
      <c r="C732" s="125" t="e">
        <f>Simulações!#REF!</f>
        <v>#REF!</v>
      </c>
      <c r="D732" s="114" t="e">
        <f>Simulações!#REF!</f>
        <v>#REF!</v>
      </c>
      <c r="E732" s="114" t="e">
        <f>Simulações!#REF!</f>
        <v>#REF!</v>
      </c>
      <c r="F732" s="114" t="e">
        <f>Simulações!#REF!</f>
        <v>#REF!</v>
      </c>
      <c r="G732" s="114" t="e">
        <f>Simulações!#REF!</f>
        <v>#REF!</v>
      </c>
      <c r="H732" s="114" t="e">
        <f>Simulações!#REF!</f>
        <v>#REF!</v>
      </c>
      <c r="I732" s="114" t="e">
        <f>IF(Simulações!#REF!="","",Simulações!#REF!)</f>
        <v>#REF!</v>
      </c>
      <c r="J732" s="114" t="e">
        <f>IF(Simulações!#REF!="","",Simulações!#REF!)</f>
        <v>#REF!</v>
      </c>
      <c r="K732" s="117" t="e">
        <f>Simulações!#REF!</f>
        <v>#REF!</v>
      </c>
      <c r="L732" s="117" t="e">
        <f>Simulações!#REF!</f>
        <v>#REF!</v>
      </c>
      <c r="M732" s="114" t="e">
        <f>IF(Simulações!#REF!="","",Simulações!#REF!)</f>
        <v>#REF!</v>
      </c>
      <c r="N732" s="114" t="e">
        <f>IF(Simulações!#REF!="","",Simulações!#REF!)</f>
        <v>#REF!</v>
      </c>
      <c r="O732" s="114">
        <v>1</v>
      </c>
    </row>
    <row r="733" spans="1:15" ht="15.75" hidden="1" customHeight="1" x14ac:dyDescent="0.3">
      <c r="A733" s="124" t="e">
        <f>Simulações!#REF!</f>
        <v>#REF!</v>
      </c>
      <c r="B733" s="114" t="e">
        <f>Simulações!#REF!</f>
        <v>#REF!</v>
      </c>
      <c r="C733" s="125" t="e">
        <f>Simulações!#REF!</f>
        <v>#REF!</v>
      </c>
      <c r="D733" s="114" t="e">
        <f>Simulações!#REF!</f>
        <v>#REF!</v>
      </c>
      <c r="E733" s="114" t="e">
        <f>Simulações!#REF!</f>
        <v>#REF!</v>
      </c>
      <c r="F733" s="114" t="e">
        <f>Simulações!#REF!</f>
        <v>#REF!</v>
      </c>
      <c r="G733" s="114" t="e">
        <f>Simulações!#REF!</f>
        <v>#REF!</v>
      </c>
      <c r="H733" s="114" t="e">
        <f>Simulações!#REF!</f>
        <v>#REF!</v>
      </c>
      <c r="I733" s="114" t="e">
        <f>IF(Simulações!#REF!="","",Simulações!#REF!)</f>
        <v>#REF!</v>
      </c>
      <c r="J733" s="114" t="e">
        <f>IF(Simulações!#REF!="","",Simulações!#REF!)</f>
        <v>#REF!</v>
      </c>
      <c r="K733" s="117" t="e">
        <f>Simulações!#REF!</f>
        <v>#REF!</v>
      </c>
      <c r="L733" s="117" t="e">
        <f>Simulações!#REF!</f>
        <v>#REF!</v>
      </c>
      <c r="M733" s="114" t="e">
        <f>IF(Simulações!#REF!="","",Simulações!#REF!)</f>
        <v>#REF!</v>
      </c>
      <c r="N733" s="114" t="e">
        <f>IF(Simulações!#REF!="","",Simulações!#REF!)</f>
        <v>#REF!</v>
      </c>
      <c r="O733" s="114">
        <v>1</v>
      </c>
    </row>
    <row r="734" spans="1:15" ht="15.75" hidden="1" customHeight="1" x14ac:dyDescent="0.3">
      <c r="A734" s="124" t="e">
        <f>Simulações!#REF!</f>
        <v>#REF!</v>
      </c>
      <c r="B734" s="114" t="e">
        <f>Simulações!#REF!</f>
        <v>#REF!</v>
      </c>
      <c r="C734" s="125" t="e">
        <f>Simulações!#REF!</f>
        <v>#REF!</v>
      </c>
      <c r="D734" s="114" t="e">
        <f>Simulações!#REF!</f>
        <v>#REF!</v>
      </c>
      <c r="E734" s="114" t="e">
        <f>Simulações!#REF!</f>
        <v>#REF!</v>
      </c>
      <c r="F734" s="114" t="e">
        <f>Simulações!#REF!</f>
        <v>#REF!</v>
      </c>
      <c r="G734" s="114" t="e">
        <f>Simulações!#REF!</f>
        <v>#REF!</v>
      </c>
      <c r="H734" s="114" t="e">
        <f>Simulações!#REF!</f>
        <v>#REF!</v>
      </c>
      <c r="I734" s="114" t="e">
        <f>IF(Simulações!#REF!="","",Simulações!#REF!)</f>
        <v>#REF!</v>
      </c>
      <c r="J734" s="114" t="e">
        <f>IF(Simulações!#REF!="","",Simulações!#REF!)</f>
        <v>#REF!</v>
      </c>
      <c r="K734" s="117" t="e">
        <f>Simulações!#REF!</f>
        <v>#REF!</v>
      </c>
      <c r="L734" s="117" t="e">
        <f>Simulações!#REF!</f>
        <v>#REF!</v>
      </c>
      <c r="M734" s="114" t="e">
        <f>IF(Simulações!#REF!="","",Simulações!#REF!)</f>
        <v>#REF!</v>
      </c>
      <c r="N734" s="114" t="e">
        <f>IF(Simulações!#REF!="","",Simulações!#REF!)</f>
        <v>#REF!</v>
      </c>
      <c r="O734" s="114">
        <v>1</v>
      </c>
    </row>
    <row r="735" spans="1:15" ht="15.75" hidden="1" customHeight="1" x14ac:dyDescent="0.3">
      <c r="A735" s="124" t="e">
        <f>Simulações!#REF!</f>
        <v>#REF!</v>
      </c>
      <c r="B735" s="114" t="e">
        <f>Simulações!#REF!</f>
        <v>#REF!</v>
      </c>
      <c r="C735" s="125" t="e">
        <f>Simulações!#REF!</f>
        <v>#REF!</v>
      </c>
      <c r="D735" s="114" t="e">
        <f>Simulações!#REF!</f>
        <v>#REF!</v>
      </c>
      <c r="E735" s="114" t="e">
        <f>Simulações!#REF!</f>
        <v>#REF!</v>
      </c>
      <c r="F735" s="114" t="e">
        <f>Simulações!#REF!</f>
        <v>#REF!</v>
      </c>
      <c r="G735" s="114" t="e">
        <f>Simulações!#REF!</f>
        <v>#REF!</v>
      </c>
      <c r="H735" s="114" t="e">
        <f>Simulações!#REF!</f>
        <v>#REF!</v>
      </c>
      <c r="I735" s="114" t="e">
        <f>IF(Simulações!#REF!="","",Simulações!#REF!)</f>
        <v>#REF!</v>
      </c>
      <c r="J735" s="114" t="e">
        <f>IF(Simulações!#REF!="","",Simulações!#REF!)</f>
        <v>#REF!</v>
      </c>
      <c r="K735" s="117" t="e">
        <f>Simulações!#REF!</f>
        <v>#REF!</v>
      </c>
      <c r="L735" s="117" t="e">
        <f>Simulações!#REF!</f>
        <v>#REF!</v>
      </c>
      <c r="M735" s="114" t="e">
        <f>IF(Simulações!#REF!="","",Simulações!#REF!)</f>
        <v>#REF!</v>
      </c>
      <c r="N735" s="114" t="e">
        <f>IF(Simulações!#REF!="","",Simulações!#REF!)</f>
        <v>#REF!</v>
      </c>
      <c r="O735" s="114">
        <v>1</v>
      </c>
    </row>
    <row r="736" spans="1:15" ht="15.75" hidden="1" customHeight="1" x14ac:dyDescent="0.3">
      <c r="A736" s="124" t="e">
        <f>Simulações!#REF!</f>
        <v>#REF!</v>
      </c>
      <c r="B736" s="114" t="e">
        <f>Simulações!#REF!</f>
        <v>#REF!</v>
      </c>
      <c r="C736" s="125" t="e">
        <f>Simulações!#REF!</f>
        <v>#REF!</v>
      </c>
      <c r="D736" s="114" t="e">
        <f>Simulações!#REF!</f>
        <v>#REF!</v>
      </c>
      <c r="E736" s="114" t="e">
        <f>Simulações!#REF!</f>
        <v>#REF!</v>
      </c>
      <c r="F736" s="114" t="e">
        <f>Simulações!#REF!</f>
        <v>#REF!</v>
      </c>
      <c r="G736" s="114" t="e">
        <f>Simulações!#REF!</f>
        <v>#REF!</v>
      </c>
      <c r="H736" s="114" t="e">
        <f>Simulações!#REF!</f>
        <v>#REF!</v>
      </c>
      <c r="I736" s="114" t="e">
        <f>IF(Simulações!#REF!="","",Simulações!#REF!)</f>
        <v>#REF!</v>
      </c>
      <c r="J736" s="114" t="e">
        <f>IF(Simulações!#REF!="","",Simulações!#REF!)</f>
        <v>#REF!</v>
      </c>
      <c r="K736" s="117" t="e">
        <f>Simulações!#REF!</f>
        <v>#REF!</v>
      </c>
      <c r="L736" s="117" t="e">
        <f>Simulações!#REF!</f>
        <v>#REF!</v>
      </c>
      <c r="M736" s="114" t="e">
        <f>IF(Simulações!#REF!="","",Simulações!#REF!)</f>
        <v>#REF!</v>
      </c>
      <c r="N736" s="114" t="e">
        <f>IF(Simulações!#REF!="","",Simulações!#REF!)</f>
        <v>#REF!</v>
      </c>
      <c r="O736" s="114">
        <v>1</v>
      </c>
    </row>
    <row r="737" spans="1:15" ht="15.75" hidden="1" customHeight="1" x14ac:dyDescent="0.3">
      <c r="A737" s="124" t="e">
        <f>Simulações!#REF!</f>
        <v>#REF!</v>
      </c>
      <c r="B737" s="114" t="e">
        <f>Simulações!#REF!</f>
        <v>#REF!</v>
      </c>
      <c r="C737" s="125" t="e">
        <f>Simulações!#REF!</f>
        <v>#REF!</v>
      </c>
      <c r="D737" s="114" t="e">
        <f>Simulações!#REF!</f>
        <v>#REF!</v>
      </c>
      <c r="E737" s="114" t="e">
        <f>Simulações!#REF!</f>
        <v>#REF!</v>
      </c>
      <c r="F737" s="114" t="e">
        <f>Simulações!#REF!</f>
        <v>#REF!</v>
      </c>
      <c r="G737" s="114" t="e">
        <f>Simulações!#REF!</f>
        <v>#REF!</v>
      </c>
      <c r="H737" s="114" t="e">
        <f>Simulações!#REF!</f>
        <v>#REF!</v>
      </c>
      <c r="I737" s="114" t="e">
        <f>IF(Simulações!#REF!="","",Simulações!#REF!)</f>
        <v>#REF!</v>
      </c>
      <c r="J737" s="114" t="e">
        <f>IF(Simulações!#REF!="","",Simulações!#REF!)</f>
        <v>#REF!</v>
      </c>
      <c r="K737" s="117" t="e">
        <f>Simulações!#REF!</f>
        <v>#REF!</v>
      </c>
      <c r="L737" s="117" t="e">
        <f>Simulações!#REF!</f>
        <v>#REF!</v>
      </c>
      <c r="M737" s="114" t="e">
        <f>IF(Simulações!#REF!="","",Simulações!#REF!)</f>
        <v>#REF!</v>
      </c>
      <c r="N737" s="114" t="e">
        <f>IF(Simulações!#REF!="","",Simulações!#REF!)</f>
        <v>#REF!</v>
      </c>
      <c r="O737" s="114">
        <v>1</v>
      </c>
    </row>
    <row r="738" spans="1:15" ht="15.75" hidden="1" customHeight="1" x14ac:dyDescent="0.3">
      <c r="A738" s="124" t="e">
        <f>Simulações!#REF!</f>
        <v>#REF!</v>
      </c>
      <c r="B738" s="114" t="e">
        <f>Simulações!#REF!</f>
        <v>#REF!</v>
      </c>
      <c r="C738" s="125" t="e">
        <f>Simulações!#REF!</f>
        <v>#REF!</v>
      </c>
      <c r="D738" s="114" t="e">
        <f>Simulações!#REF!</f>
        <v>#REF!</v>
      </c>
      <c r="E738" s="114" t="e">
        <f>Simulações!#REF!</f>
        <v>#REF!</v>
      </c>
      <c r="F738" s="114" t="e">
        <f>Simulações!#REF!</f>
        <v>#REF!</v>
      </c>
      <c r="G738" s="114" t="e">
        <f>Simulações!#REF!</f>
        <v>#REF!</v>
      </c>
      <c r="H738" s="114" t="e">
        <f>Simulações!#REF!</f>
        <v>#REF!</v>
      </c>
      <c r="I738" s="114" t="e">
        <f>IF(Simulações!#REF!="","",Simulações!#REF!)</f>
        <v>#REF!</v>
      </c>
      <c r="J738" s="114" t="e">
        <f>IF(Simulações!#REF!="","",Simulações!#REF!)</f>
        <v>#REF!</v>
      </c>
      <c r="K738" s="117" t="e">
        <f>Simulações!#REF!</f>
        <v>#REF!</v>
      </c>
      <c r="L738" s="117" t="e">
        <f>Simulações!#REF!</f>
        <v>#REF!</v>
      </c>
      <c r="M738" s="114" t="e">
        <f>IF(Simulações!#REF!="","",Simulações!#REF!)</f>
        <v>#REF!</v>
      </c>
      <c r="N738" s="114" t="e">
        <f>IF(Simulações!#REF!="","",Simulações!#REF!)</f>
        <v>#REF!</v>
      </c>
      <c r="O738" s="114">
        <v>1</v>
      </c>
    </row>
    <row r="739" spans="1:15" ht="15.75" hidden="1" customHeight="1" x14ac:dyDescent="0.3">
      <c r="A739" s="124" t="e">
        <f>Simulações!#REF!</f>
        <v>#REF!</v>
      </c>
      <c r="B739" s="114" t="e">
        <f>Simulações!#REF!</f>
        <v>#REF!</v>
      </c>
      <c r="C739" s="125" t="e">
        <f>Simulações!#REF!</f>
        <v>#REF!</v>
      </c>
      <c r="D739" s="114" t="e">
        <f>Simulações!#REF!</f>
        <v>#REF!</v>
      </c>
      <c r="E739" s="114" t="e">
        <f>Simulações!#REF!</f>
        <v>#REF!</v>
      </c>
      <c r="F739" s="114" t="e">
        <f>Simulações!#REF!</f>
        <v>#REF!</v>
      </c>
      <c r="G739" s="114" t="e">
        <f>Simulações!#REF!</f>
        <v>#REF!</v>
      </c>
      <c r="H739" s="114" t="e">
        <f>Simulações!#REF!</f>
        <v>#REF!</v>
      </c>
      <c r="I739" s="114" t="e">
        <f>IF(Simulações!#REF!="","",Simulações!#REF!)</f>
        <v>#REF!</v>
      </c>
      <c r="J739" s="114" t="e">
        <f>IF(Simulações!#REF!="","",Simulações!#REF!)</f>
        <v>#REF!</v>
      </c>
      <c r="K739" s="117" t="e">
        <f>Simulações!#REF!</f>
        <v>#REF!</v>
      </c>
      <c r="L739" s="117" t="e">
        <f>Simulações!#REF!</f>
        <v>#REF!</v>
      </c>
      <c r="M739" s="114" t="e">
        <f>IF(Simulações!#REF!="","",Simulações!#REF!)</f>
        <v>#REF!</v>
      </c>
      <c r="N739" s="114" t="e">
        <f>IF(Simulações!#REF!="","",Simulações!#REF!)</f>
        <v>#REF!</v>
      </c>
      <c r="O739" s="114">
        <v>1</v>
      </c>
    </row>
    <row r="740" spans="1:15" ht="15.75" hidden="1" customHeight="1" x14ac:dyDescent="0.3">
      <c r="A740" s="124" t="e">
        <f>Simulações!#REF!</f>
        <v>#REF!</v>
      </c>
      <c r="B740" s="114" t="e">
        <f>Simulações!#REF!</f>
        <v>#REF!</v>
      </c>
      <c r="C740" s="125" t="e">
        <f>Simulações!#REF!</f>
        <v>#REF!</v>
      </c>
      <c r="D740" s="114" t="e">
        <f>Simulações!#REF!</f>
        <v>#REF!</v>
      </c>
      <c r="E740" s="114" t="e">
        <f>Simulações!#REF!</f>
        <v>#REF!</v>
      </c>
      <c r="F740" s="114" t="e">
        <f>Simulações!#REF!</f>
        <v>#REF!</v>
      </c>
      <c r="G740" s="114" t="e">
        <f>Simulações!#REF!</f>
        <v>#REF!</v>
      </c>
      <c r="H740" s="114" t="e">
        <f>Simulações!#REF!</f>
        <v>#REF!</v>
      </c>
      <c r="I740" s="114" t="e">
        <f>IF(Simulações!#REF!="","",Simulações!#REF!)</f>
        <v>#REF!</v>
      </c>
      <c r="J740" s="114" t="e">
        <f>IF(Simulações!#REF!="","",Simulações!#REF!)</f>
        <v>#REF!</v>
      </c>
      <c r="K740" s="117" t="e">
        <f>Simulações!#REF!</f>
        <v>#REF!</v>
      </c>
      <c r="L740" s="117" t="e">
        <f>Simulações!#REF!</f>
        <v>#REF!</v>
      </c>
      <c r="M740" s="114" t="e">
        <f>IF(Simulações!#REF!="","",Simulações!#REF!)</f>
        <v>#REF!</v>
      </c>
      <c r="N740" s="114" t="e">
        <f>IF(Simulações!#REF!="","",Simulações!#REF!)</f>
        <v>#REF!</v>
      </c>
      <c r="O740" s="114">
        <v>1</v>
      </c>
    </row>
    <row r="741" spans="1:15" ht="15.75" hidden="1" customHeight="1" x14ac:dyDescent="0.3">
      <c r="A741" s="124" t="e">
        <f>Simulações!#REF!</f>
        <v>#REF!</v>
      </c>
      <c r="B741" s="114" t="e">
        <f>Simulações!#REF!</f>
        <v>#REF!</v>
      </c>
      <c r="C741" s="125" t="e">
        <f>Simulações!#REF!</f>
        <v>#REF!</v>
      </c>
      <c r="D741" s="114" t="e">
        <f>Simulações!#REF!</f>
        <v>#REF!</v>
      </c>
      <c r="E741" s="114" t="e">
        <f>Simulações!#REF!</f>
        <v>#REF!</v>
      </c>
      <c r="F741" s="114" t="e">
        <f>Simulações!#REF!</f>
        <v>#REF!</v>
      </c>
      <c r="G741" s="114" t="e">
        <f>Simulações!#REF!</f>
        <v>#REF!</v>
      </c>
      <c r="H741" s="114" t="e">
        <f>Simulações!#REF!</f>
        <v>#REF!</v>
      </c>
      <c r="I741" s="114" t="e">
        <f>IF(Simulações!#REF!="","",Simulações!#REF!)</f>
        <v>#REF!</v>
      </c>
      <c r="J741" s="114" t="e">
        <f>IF(Simulações!#REF!="","",Simulações!#REF!)</f>
        <v>#REF!</v>
      </c>
      <c r="K741" s="117" t="e">
        <f>Simulações!#REF!</f>
        <v>#REF!</v>
      </c>
      <c r="L741" s="117" t="e">
        <f>Simulações!#REF!</f>
        <v>#REF!</v>
      </c>
      <c r="M741" s="114" t="e">
        <f>IF(Simulações!#REF!="","",Simulações!#REF!)</f>
        <v>#REF!</v>
      </c>
      <c r="N741" s="114" t="e">
        <f>IF(Simulações!#REF!="","",Simulações!#REF!)</f>
        <v>#REF!</v>
      </c>
      <c r="O741" s="114">
        <v>1</v>
      </c>
    </row>
    <row r="742" spans="1:15" ht="15.75" hidden="1" customHeight="1" x14ac:dyDescent="0.3">
      <c r="A742" s="124" t="e">
        <f>Simulações!#REF!</f>
        <v>#REF!</v>
      </c>
      <c r="B742" s="114" t="e">
        <f>Simulações!#REF!</f>
        <v>#REF!</v>
      </c>
      <c r="C742" s="125" t="e">
        <f>Simulações!#REF!</f>
        <v>#REF!</v>
      </c>
      <c r="D742" s="114" t="e">
        <f>Simulações!#REF!</f>
        <v>#REF!</v>
      </c>
      <c r="E742" s="114" t="e">
        <f>Simulações!#REF!</f>
        <v>#REF!</v>
      </c>
      <c r="F742" s="114" t="e">
        <f>Simulações!#REF!</f>
        <v>#REF!</v>
      </c>
      <c r="G742" s="114" t="e">
        <f>Simulações!#REF!</f>
        <v>#REF!</v>
      </c>
      <c r="H742" s="114" t="e">
        <f>Simulações!#REF!</f>
        <v>#REF!</v>
      </c>
      <c r="I742" s="114" t="e">
        <f>IF(Simulações!#REF!="","",Simulações!#REF!)</f>
        <v>#REF!</v>
      </c>
      <c r="J742" s="114" t="e">
        <f>IF(Simulações!#REF!="","",Simulações!#REF!)</f>
        <v>#REF!</v>
      </c>
      <c r="K742" s="117" t="e">
        <f>Simulações!#REF!</f>
        <v>#REF!</v>
      </c>
      <c r="L742" s="117" t="e">
        <f>Simulações!#REF!</f>
        <v>#REF!</v>
      </c>
      <c r="M742" s="114" t="e">
        <f>IF(Simulações!#REF!="","",Simulações!#REF!)</f>
        <v>#REF!</v>
      </c>
      <c r="N742" s="114" t="e">
        <f>IF(Simulações!#REF!="","",Simulações!#REF!)</f>
        <v>#REF!</v>
      </c>
      <c r="O742" s="114">
        <v>1</v>
      </c>
    </row>
    <row r="743" spans="1:15" ht="15.75" hidden="1" customHeight="1" x14ac:dyDescent="0.3">
      <c r="A743" s="124" t="e">
        <f>Simulações!#REF!</f>
        <v>#REF!</v>
      </c>
      <c r="B743" s="114" t="e">
        <f>Simulações!#REF!</f>
        <v>#REF!</v>
      </c>
      <c r="C743" s="125" t="e">
        <f>Simulações!#REF!</f>
        <v>#REF!</v>
      </c>
      <c r="D743" s="114" t="e">
        <f>Simulações!#REF!</f>
        <v>#REF!</v>
      </c>
      <c r="E743" s="114" t="e">
        <f>Simulações!#REF!</f>
        <v>#REF!</v>
      </c>
      <c r="F743" s="114" t="e">
        <f>Simulações!#REF!</f>
        <v>#REF!</v>
      </c>
      <c r="G743" s="114" t="e">
        <f>Simulações!#REF!</f>
        <v>#REF!</v>
      </c>
      <c r="H743" s="114" t="e">
        <f>Simulações!#REF!</f>
        <v>#REF!</v>
      </c>
      <c r="I743" s="114" t="e">
        <f>IF(Simulações!#REF!="","",Simulações!#REF!)</f>
        <v>#REF!</v>
      </c>
      <c r="J743" s="114" t="e">
        <f>IF(Simulações!#REF!="","",Simulações!#REF!)</f>
        <v>#REF!</v>
      </c>
      <c r="K743" s="117" t="e">
        <f>Simulações!#REF!</f>
        <v>#REF!</v>
      </c>
      <c r="L743" s="117" t="e">
        <f>Simulações!#REF!</f>
        <v>#REF!</v>
      </c>
      <c r="M743" s="114" t="e">
        <f>IF(Simulações!#REF!="","",Simulações!#REF!)</f>
        <v>#REF!</v>
      </c>
      <c r="N743" s="114" t="e">
        <f>IF(Simulações!#REF!="","",Simulações!#REF!)</f>
        <v>#REF!</v>
      </c>
      <c r="O743" s="114">
        <v>1</v>
      </c>
    </row>
    <row r="744" spans="1:15" ht="15.75" hidden="1" customHeight="1" x14ac:dyDescent="0.3">
      <c r="A744" s="124" t="e">
        <f>Simulações!#REF!</f>
        <v>#REF!</v>
      </c>
      <c r="B744" s="114" t="e">
        <f>Simulações!#REF!</f>
        <v>#REF!</v>
      </c>
      <c r="C744" s="125" t="e">
        <f>Simulações!#REF!</f>
        <v>#REF!</v>
      </c>
      <c r="D744" s="114" t="e">
        <f>Simulações!#REF!</f>
        <v>#REF!</v>
      </c>
      <c r="E744" s="114" t="e">
        <f>Simulações!#REF!</f>
        <v>#REF!</v>
      </c>
      <c r="F744" s="114" t="e">
        <f>Simulações!#REF!</f>
        <v>#REF!</v>
      </c>
      <c r="G744" s="114" t="e">
        <f>Simulações!#REF!</f>
        <v>#REF!</v>
      </c>
      <c r="H744" s="114" t="e">
        <f>Simulações!#REF!</f>
        <v>#REF!</v>
      </c>
      <c r="I744" s="114" t="e">
        <f>IF(Simulações!#REF!="","",Simulações!#REF!)</f>
        <v>#REF!</v>
      </c>
      <c r="J744" s="114" t="e">
        <f>IF(Simulações!#REF!="","",Simulações!#REF!)</f>
        <v>#REF!</v>
      </c>
      <c r="K744" s="117" t="e">
        <f>Simulações!#REF!</f>
        <v>#REF!</v>
      </c>
      <c r="L744" s="117" t="e">
        <f>Simulações!#REF!</f>
        <v>#REF!</v>
      </c>
      <c r="M744" s="114" t="e">
        <f>IF(Simulações!#REF!="","",Simulações!#REF!)</f>
        <v>#REF!</v>
      </c>
      <c r="N744" s="114" t="e">
        <f>IF(Simulações!#REF!="","",Simulações!#REF!)</f>
        <v>#REF!</v>
      </c>
      <c r="O744" s="114">
        <v>1</v>
      </c>
    </row>
    <row r="745" spans="1:15" ht="15.75" hidden="1" customHeight="1" x14ac:dyDescent="0.3">
      <c r="A745" s="124" t="e">
        <f>Simulações!#REF!</f>
        <v>#REF!</v>
      </c>
      <c r="B745" s="114" t="e">
        <f>Simulações!#REF!</f>
        <v>#REF!</v>
      </c>
      <c r="C745" s="125" t="e">
        <f>Simulações!#REF!</f>
        <v>#REF!</v>
      </c>
      <c r="D745" s="114" t="e">
        <f>Simulações!#REF!</f>
        <v>#REF!</v>
      </c>
      <c r="E745" s="114" t="e">
        <f>Simulações!#REF!</f>
        <v>#REF!</v>
      </c>
      <c r="F745" s="114" t="e">
        <f>Simulações!#REF!</f>
        <v>#REF!</v>
      </c>
      <c r="G745" s="114" t="e">
        <f>Simulações!#REF!</f>
        <v>#REF!</v>
      </c>
      <c r="H745" s="114" t="e">
        <f>Simulações!#REF!</f>
        <v>#REF!</v>
      </c>
      <c r="I745" s="114" t="e">
        <f>IF(Simulações!#REF!="","",Simulações!#REF!)</f>
        <v>#REF!</v>
      </c>
      <c r="J745" s="114" t="e">
        <f>IF(Simulações!#REF!="","",Simulações!#REF!)</f>
        <v>#REF!</v>
      </c>
      <c r="K745" s="117" t="e">
        <f>Simulações!#REF!</f>
        <v>#REF!</v>
      </c>
      <c r="L745" s="117" t="e">
        <f>Simulações!#REF!</f>
        <v>#REF!</v>
      </c>
      <c r="M745" s="114" t="e">
        <f>IF(Simulações!#REF!="","",Simulações!#REF!)</f>
        <v>#REF!</v>
      </c>
      <c r="N745" s="114" t="e">
        <f>IF(Simulações!#REF!="","",Simulações!#REF!)</f>
        <v>#REF!</v>
      </c>
      <c r="O745" s="114">
        <v>1</v>
      </c>
    </row>
    <row r="746" spans="1:15" ht="15.75" hidden="1" customHeight="1" x14ac:dyDescent="0.3">
      <c r="A746" s="124" t="e">
        <f>Simulações!#REF!</f>
        <v>#REF!</v>
      </c>
      <c r="B746" s="114" t="e">
        <f>Simulações!#REF!</f>
        <v>#REF!</v>
      </c>
      <c r="C746" s="125" t="e">
        <f>Simulações!#REF!</f>
        <v>#REF!</v>
      </c>
      <c r="D746" s="114" t="e">
        <f>Simulações!#REF!</f>
        <v>#REF!</v>
      </c>
      <c r="E746" s="114" t="e">
        <f>Simulações!#REF!</f>
        <v>#REF!</v>
      </c>
      <c r="F746" s="114" t="e">
        <f>Simulações!#REF!</f>
        <v>#REF!</v>
      </c>
      <c r="G746" s="114" t="e">
        <f>Simulações!#REF!</f>
        <v>#REF!</v>
      </c>
      <c r="H746" s="114" t="e">
        <f>Simulações!#REF!</f>
        <v>#REF!</v>
      </c>
      <c r="I746" s="114" t="e">
        <f>IF(Simulações!#REF!="","",Simulações!#REF!)</f>
        <v>#REF!</v>
      </c>
      <c r="J746" s="114" t="e">
        <f>IF(Simulações!#REF!="","",Simulações!#REF!)</f>
        <v>#REF!</v>
      </c>
      <c r="K746" s="117" t="e">
        <f>Simulações!#REF!</f>
        <v>#REF!</v>
      </c>
      <c r="L746" s="117" t="e">
        <f>Simulações!#REF!</f>
        <v>#REF!</v>
      </c>
      <c r="M746" s="114" t="e">
        <f>IF(Simulações!#REF!="","",Simulações!#REF!)</f>
        <v>#REF!</v>
      </c>
      <c r="N746" s="114" t="e">
        <f>IF(Simulações!#REF!="","",Simulações!#REF!)</f>
        <v>#REF!</v>
      </c>
      <c r="O746" s="114">
        <v>1</v>
      </c>
    </row>
    <row r="747" spans="1:15" ht="15.75" hidden="1" customHeight="1" x14ac:dyDescent="0.3">
      <c r="A747" s="124" t="e">
        <f>Simulações!#REF!</f>
        <v>#REF!</v>
      </c>
      <c r="B747" s="114" t="e">
        <f>Simulações!#REF!</f>
        <v>#REF!</v>
      </c>
      <c r="C747" s="125" t="e">
        <f>Simulações!#REF!</f>
        <v>#REF!</v>
      </c>
      <c r="D747" s="114" t="e">
        <f>Simulações!#REF!</f>
        <v>#REF!</v>
      </c>
      <c r="E747" s="114" t="e">
        <f>Simulações!#REF!</f>
        <v>#REF!</v>
      </c>
      <c r="F747" s="114" t="e">
        <f>Simulações!#REF!</f>
        <v>#REF!</v>
      </c>
      <c r="G747" s="114" t="e">
        <f>Simulações!#REF!</f>
        <v>#REF!</v>
      </c>
      <c r="H747" s="114" t="e">
        <f>Simulações!#REF!</f>
        <v>#REF!</v>
      </c>
      <c r="I747" s="114" t="e">
        <f>IF(Simulações!#REF!="","",Simulações!#REF!)</f>
        <v>#REF!</v>
      </c>
      <c r="J747" s="114" t="e">
        <f>IF(Simulações!#REF!="","",Simulações!#REF!)</f>
        <v>#REF!</v>
      </c>
      <c r="K747" s="117" t="e">
        <f>Simulações!#REF!</f>
        <v>#REF!</v>
      </c>
      <c r="L747" s="117" t="e">
        <f>Simulações!#REF!</f>
        <v>#REF!</v>
      </c>
      <c r="M747" s="114" t="e">
        <f>IF(Simulações!#REF!="","",Simulações!#REF!)</f>
        <v>#REF!</v>
      </c>
      <c r="N747" s="114" t="e">
        <f>IF(Simulações!#REF!="","",Simulações!#REF!)</f>
        <v>#REF!</v>
      </c>
      <c r="O747" s="114">
        <v>1</v>
      </c>
    </row>
    <row r="748" spans="1:15" ht="15.75" hidden="1" customHeight="1" x14ac:dyDescent="0.3">
      <c r="A748" s="124" t="e">
        <f>Simulações!#REF!</f>
        <v>#REF!</v>
      </c>
      <c r="B748" s="114" t="e">
        <f>Simulações!#REF!</f>
        <v>#REF!</v>
      </c>
      <c r="C748" s="125" t="e">
        <f>Simulações!#REF!</f>
        <v>#REF!</v>
      </c>
      <c r="D748" s="114" t="e">
        <f>Simulações!#REF!</f>
        <v>#REF!</v>
      </c>
      <c r="E748" s="114" t="e">
        <f>Simulações!#REF!</f>
        <v>#REF!</v>
      </c>
      <c r="F748" s="114" t="e">
        <f>Simulações!#REF!</f>
        <v>#REF!</v>
      </c>
      <c r="G748" s="114" t="e">
        <f>Simulações!#REF!</f>
        <v>#REF!</v>
      </c>
      <c r="H748" s="114" t="e">
        <f>Simulações!#REF!</f>
        <v>#REF!</v>
      </c>
      <c r="I748" s="114" t="e">
        <f>IF(Simulações!#REF!="","",Simulações!#REF!)</f>
        <v>#REF!</v>
      </c>
      <c r="J748" s="114" t="e">
        <f>IF(Simulações!#REF!="","",Simulações!#REF!)</f>
        <v>#REF!</v>
      </c>
      <c r="K748" s="117" t="e">
        <f>Simulações!#REF!</f>
        <v>#REF!</v>
      </c>
      <c r="L748" s="117" t="e">
        <f>Simulações!#REF!</f>
        <v>#REF!</v>
      </c>
      <c r="M748" s="114" t="e">
        <f>IF(Simulações!#REF!="","",Simulações!#REF!)</f>
        <v>#REF!</v>
      </c>
      <c r="N748" s="114" t="e">
        <f>IF(Simulações!#REF!="","",Simulações!#REF!)</f>
        <v>#REF!</v>
      </c>
      <c r="O748" s="114">
        <v>1</v>
      </c>
    </row>
    <row r="749" spans="1:15" ht="15.75" hidden="1" customHeight="1" x14ac:dyDescent="0.3">
      <c r="A749" s="124" t="e">
        <f>Simulações!#REF!</f>
        <v>#REF!</v>
      </c>
      <c r="B749" s="114" t="e">
        <f>Simulações!#REF!</f>
        <v>#REF!</v>
      </c>
      <c r="C749" s="125" t="e">
        <f>Simulações!#REF!</f>
        <v>#REF!</v>
      </c>
      <c r="D749" s="114" t="e">
        <f>Simulações!#REF!</f>
        <v>#REF!</v>
      </c>
      <c r="E749" s="114" t="e">
        <f>Simulações!#REF!</f>
        <v>#REF!</v>
      </c>
      <c r="F749" s="114" t="e">
        <f>Simulações!#REF!</f>
        <v>#REF!</v>
      </c>
      <c r="G749" s="114" t="e">
        <f>Simulações!#REF!</f>
        <v>#REF!</v>
      </c>
      <c r="H749" s="114" t="e">
        <f>Simulações!#REF!</f>
        <v>#REF!</v>
      </c>
      <c r="I749" s="114" t="e">
        <f>IF(Simulações!#REF!="","",Simulações!#REF!)</f>
        <v>#REF!</v>
      </c>
      <c r="J749" s="114" t="e">
        <f>IF(Simulações!#REF!="","",Simulações!#REF!)</f>
        <v>#REF!</v>
      </c>
      <c r="K749" s="117" t="e">
        <f>Simulações!#REF!</f>
        <v>#REF!</v>
      </c>
      <c r="L749" s="117" t="e">
        <f>Simulações!#REF!</f>
        <v>#REF!</v>
      </c>
      <c r="M749" s="114" t="e">
        <f>IF(Simulações!#REF!="","",Simulações!#REF!)</f>
        <v>#REF!</v>
      </c>
      <c r="N749" s="114" t="e">
        <f>IF(Simulações!#REF!="","",Simulações!#REF!)</f>
        <v>#REF!</v>
      </c>
      <c r="O749" s="114">
        <v>1</v>
      </c>
    </row>
    <row r="750" spans="1:15" ht="15.75" hidden="1" customHeight="1" x14ac:dyDescent="0.3">
      <c r="A750" s="124" t="e">
        <f>Simulações!#REF!</f>
        <v>#REF!</v>
      </c>
      <c r="B750" s="114" t="e">
        <f>Simulações!#REF!</f>
        <v>#REF!</v>
      </c>
      <c r="C750" s="125" t="e">
        <f>Simulações!#REF!</f>
        <v>#REF!</v>
      </c>
      <c r="D750" s="114" t="e">
        <f>Simulações!#REF!</f>
        <v>#REF!</v>
      </c>
      <c r="E750" s="114" t="e">
        <f>Simulações!#REF!</f>
        <v>#REF!</v>
      </c>
      <c r="F750" s="114" t="e">
        <f>Simulações!#REF!</f>
        <v>#REF!</v>
      </c>
      <c r="G750" s="114" t="e">
        <f>Simulações!#REF!</f>
        <v>#REF!</v>
      </c>
      <c r="H750" s="114" t="e">
        <f>Simulações!#REF!</f>
        <v>#REF!</v>
      </c>
      <c r="I750" s="114" t="e">
        <f>IF(Simulações!#REF!="","",Simulações!#REF!)</f>
        <v>#REF!</v>
      </c>
      <c r="J750" s="114" t="e">
        <f>IF(Simulações!#REF!="","",Simulações!#REF!)</f>
        <v>#REF!</v>
      </c>
      <c r="K750" s="117" t="e">
        <f>Simulações!#REF!</f>
        <v>#REF!</v>
      </c>
      <c r="L750" s="117" t="e">
        <f>Simulações!#REF!</f>
        <v>#REF!</v>
      </c>
      <c r="M750" s="114" t="e">
        <f>IF(Simulações!#REF!="","",Simulações!#REF!)</f>
        <v>#REF!</v>
      </c>
      <c r="N750" s="114" t="e">
        <f>IF(Simulações!#REF!="","",Simulações!#REF!)</f>
        <v>#REF!</v>
      </c>
      <c r="O750" s="114">
        <v>1</v>
      </c>
    </row>
    <row r="751" spans="1:15" ht="15.75" hidden="1" customHeight="1" x14ac:dyDescent="0.3">
      <c r="A751" s="124" t="e">
        <f>Simulações!#REF!</f>
        <v>#REF!</v>
      </c>
      <c r="B751" s="114" t="e">
        <f>Simulações!#REF!</f>
        <v>#REF!</v>
      </c>
      <c r="C751" s="125" t="e">
        <f>Simulações!#REF!</f>
        <v>#REF!</v>
      </c>
      <c r="D751" s="114" t="e">
        <f>Simulações!#REF!</f>
        <v>#REF!</v>
      </c>
      <c r="E751" s="114" t="e">
        <f>Simulações!#REF!</f>
        <v>#REF!</v>
      </c>
      <c r="F751" s="114" t="e">
        <f>Simulações!#REF!</f>
        <v>#REF!</v>
      </c>
      <c r="G751" s="114" t="e">
        <f>Simulações!#REF!</f>
        <v>#REF!</v>
      </c>
      <c r="H751" s="114" t="e">
        <f>Simulações!#REF!</f>
        <v>#REF!</v>
      </c>
      <c r="I751" s="114" t="e">
        <f>IF(Simulações!#REF!="","",Simulações!#REF!)</f>
        <v>#REF!</v>
      </c>
      <c r="J751" s="114" t="e">
        <f>IF(Simulações!#REF!="","",Simulações!#REF!)</f>
        <v>#REF!</v>
      </c>
      <c r="K751" s="117" t="e">
        <f>Simulações!#REF!</f>
        <v>#REF!</v>
      </c>
      <c r="L751" s="117" t="e">
        <f>Simulações!#REF!</f>
        <v>#REF!</v>
      </c>
      <c r="M751" s="114" t="e">
        <f>IF(Simulações!#REF!="","",Simulações!#REF!)</f>
        <v>#REF!</v>
      </c>
      <c r="N751" s="114" t="e">
        <f>IF(Simulações!#REF!="","",Simulações!#REF!)</f>
        <v>#REF!</v>
      </c>
      <c r="O751" s="114">
        <v>1</v>
      </c>
    </row>
    <row r="752" spans="1:15" ht="15.75" hidden="1" customHeight="1" x14ac:dyDescent="0.3">
      <c r="A752" s="124" t="e">
        <f>Simulações!#REF!</f>
        <v>#REF!</v>
      </c>
      <c r="B752" s="114" t="e">
        <f>Simulações!#REF!</f>
        <v>#REF!</v>
      </c>
      <c r="C752" s="125" t="e">
        <f>Simulações!#REF!</f>
        <v>#REF!</v>
      </c>
      <c r="D752" s="114" t="e">
        <f>Simulações!#REF!</f>
        <v>#REF!</v>
      </c>
      <c r="E752" s="114" t="e">
        <f>Simulações!#REF!</f>
        <v>#REF!</v>
      </c>
      <c r="F752" s="114" t="e">
        <f>Simulações!#REF!</f>
        <v>#REF!</v>
      </c>
      <c r="G752" s="114" t="e">
        <f>Simulações!#REF!</f>
        <v>#REF!</v>
      </c>
      <c r="H752" s="114" t="e">
        <f>Simulações!#REF!</f>
        <v>#REF!</v>
      </c>
      <c r="I752" s="114" t="e">
        <f>IF(Simulações!#REF!="","",Simulações!#REF!)</f>
        <v>#REF!</v>
      </c>
      <c r="J752" s="114" t="e">
        <f>IF(Simulações!#REF!="","",Simulações!#REF!)</f>
        <v>#REF!</v>
      </c>
      <c r="K752" s="117" t="e">
        <f>Simulações!#REF!</f>
        <v>#REF!</v>
      </c>
      <c r="L752" s="117" t="e">
        <f>Simulações!#REF!</f>
        <v>#REF!</v>
      </c>
      <c r="M752" s="114" t="e">
        <f>IF(Simulações!#REF!="","",Simulações!#REF!)</f>
        <v>#REF!</v>
      </c>
      <c r="N752" s="114" t="e">
        <f>IF(Simulações!#REF!="","",Simulações!#REF!)</f>
        <v>#REF!</v>
      </c>
      <c r="O752" s="114">
        <v>1</v>
      </c>
    </row>
    <row r="753" spans="1:15" ht="15.75" hidden="1" customHeight="1" x14ac:dyDescent="0.3">
      <c r="A753" s="124" t="e">
        <f>Simulações!#REF!</f>
        <v>#REF!</v>
      </c>
      <c r="B753" s="114" t="e">
        <f>Simulações!#REF!</f>
        <v>#REF!</v>
      </c>
      <c r="C753" s="125" t="e">
        <f>Simulações!#REF!</f>
        <v>#REF!</v>
      </c>
      <c r="D753" s="114" t="e">
        <f>Simulações!#REF!</f>
        <v>#REF!</v>
      </c>
      <c r="E753" s="114" t="e">
        <f>Simulações!#REF!</f>
        <v>#REF!</v>
      </c>
      <c r="F753" s="114" t="e">
        <f>Simulações!#REF!</f>
        <v>#REF!</v>
      </c>
      <c r="G753" s="114" t="e">
        <f>Simulações!#REF!</f>
        <v>#REF!</v>
      </c>
      <c r="H753" s="114" t="e">
        <f>Simulações!#REF!</f>
        <v>#REF!</v>
      </c>
      <c r="I753" s="114" t="e">
        <f>IF(Simulações!#REF!="","",Simulações!#REF!)</f>
        <v>#REF!</v>
      </c>
      <c r="J753" s="114" t="e">
        <f>IF(Simulações!#REF!="","",Simulações!#REF!)</f>
        <v>#REF!</v>
      </c>
      <c r="K753" s="117" t="e">
        <f>Simulações!#REF!</f>
        <v>#REF!</v>
      </c>
      <c r="L753" s="117" t="e">
        <f>Simulações!#REF!</f>
        <v>#REF!</v>
      </c>
      <c r="M753" s="114" t="e">
        <f>IF(Simulações!#REF!="","",Simulações!#REF!)</f>
        <v>#REF!</v>
      </c>
      <c r="N753" s="114" t="e">
        <f>IF(Simulações!#REF!="","",Simulações!#REF!)</f>
        <v>#REF!</v>
      </c>
      <c r="O753" s="114">
        <v>1</v>
      </c>
    </row>
    <row r="754" spans="1:15" ht="15.75" hidden="1" customHeight="1" x14ac:dyDescent="0.3">
      <c r="A754" s="124" t="e">
        <f>Simulações!#REF!</f>
        <v>#REF!</v>
      </c>
      <c r="B754" s="114" t="e">
        <f>Simulações!#REF!</f>
        <v>#REF!</v>
      </c>
      <c r="C754" s="125" t="e">
        <f>Simulações!#REF!</f>
        <v>#REF!</v>
      </c>
      <c r="D754" s="114" t="e">
        <f>Simulações!#REF!</f>
        <v>#REF!</v>
      </c>
      <c r="E754" s="114" t="e">
        <f>Simulações!#REF!</f>
        <v>#REF!</v>
      </c>
      <c r="F754" s="114" t="e">
        <f>Simulações!#REF!</f>
        <v>#REF!</v>
      </c>
      <c r="G754" s="114" t="e">
        <f>Simulações!#REF!</f>
        <v>#REF!</v>
      </c>
      <c r="H754" s="114" t="e">
        <f>Simulações!#REF!</f>
        <v>#REF!</v>
      </c>
      <c r="I754" s="114" t="e">
        <f>IF(Simulações!#REF!="","",Simulações!#REF!)</f>
        <v>#REF!</v>
      </c>
      <c r="J754" s="114" t="e">
        <f>IF(Simulações!#REF!="","",Simulações!#REF!)</f>
        <v>#REF!</v>
      </c>
      <c r="K754" s="117" t="e">
        <f>Simulações!#REF!</f>
        <v>#REF!</v>
      </c>
      <c r="L754" s="117" t="e">
        <f>Simulações!#REF!</f>
        <v>#REF!</v>
      </c>
      <c r="M754" s="114" t="e">
        <f>IF(Simulações!#REF!="","",Simulações!#REF!)</f>
        <v>#REF!</v>
      </c>
      <c r="N754" s="114" t="e">
        <f>IF(Simulações!#REF!="","",Simulações!#REF!)</f>
        <v>#REF!</v>
      </c>
      <c r="O754" s="114">
        <v>1</v>
      </c>
    </row>
    <row r="755" spans="1:15" ht="15.75" hidden="1" customHeight="1" x14ac:dyDescent="0.3">
      <c r="A755" s="124" t="e">
        <f>Simulações!#REF!</f>
        <v>#REF!</v>
      </c>
      <c r="B755" s="114" t="e">
        <f>Simulações!#REF!</f>
        <v>#REF!</v>
      </c>
      <c r="C755" s="125" t="e">
        <f>Simulações!#REF!</f>
        <v>#REF!</v>
      </c>
      <c r="D755" s="114" t="e">
        <f>Simulações!#REF!</f>
        <v>#REF!</v>
      </c>
      <c r="E755" s="114" t="e">
        <f>Simulações!#REF!</f>
        <v>#REF!</v>
      </c>
      <c r="F755" s="114" t="e">
        <f>Simulações!#REF!</f>
        <v>#REF!</v>
      </c>
      <c r="G755" s="114" t="e">
        <f>Simulações!#REF!</f>
        <v>#REF!</v>
      </c>
      <c r="H755" s="114" t="e">
        <f>Simulações!#REF!</f>
        <v>#REF!</v>
      </c>
      <c r="I755" s="114" t="e">
        <f>IF(Simulações!#REF!="","",Simulações!#REF!)</f>
        <v>#REF!</v>
      </c>
      <c r="J755" s="114" t="e">
        <f>IF(Simulações!#REF!="","",Simulações!#REF!)</f>
        <v>#REF!</v>
      </c>
      <c r="K755" s="117" t="e">
        <f>Simulações!#REF!</f>
        <v>#REF!</v>
      </c>
      <c r="L755" s="117" t="e">
        <f>Simulações!#REF!</f>
        <v>#REF!</v>
      </c>
      <c r="M755" s="114" t="e">
        <f>IF(Simulações!#REF!="","",Simulações!#REF!)</f>
        <v>#REF!</v>
      </c>
      <c r="N755" s="114" t="e">
        <f>IF(Simulações!#REF!="","",Simulações!#REF!)</f>
        <v>#REF!</v>
      </c>
      <c r="O755" s="114">
        <v>1</v>
      </c>
    </row>
    <row r="756" spans="1:15" ht="15.75" hidden="1" customHeight="1" x14ac:dyDescent="0.3">
      <c r="A756" s="124" t="e">
        <f>Simulações!#REF!</f>
        <v>#REF!</v>
      </c>
      <c r="B756" s="114" t="e">
        <f>Simulações!#REF!</f>
        <v>#REF!</v>
      </c>
      <c r="C756" s="125" t="e">
        <f>Simulações!#REF!</f>
        <v>#REF!</v>
      </c>
      <c r="D756" s="114" t="e">
        <f>Simulações!#REF!</f>
        <v>#REF!</v>
      </c>
      <c r="E756" s="114" t="e">
        <f>Simulações!#REF!</f>
        <v>#REF!</v>
      </c>
      <c r="F756" s="114" t="e">
        <f>Simulações!#REF!</f>
        <v>#REF!</v>
      </c>
      <c r="G756" s="114" t="e">
        <f>Simulações!#REF!</f>
        <v>#REF!</v>
      </c>
      <c r="H756" s="114" t="e">
        <f>Simulações!#REF!</f>
        <v>#REF!</v>
      </c>
      <c r="I756" s="114" t="e">
        <f>IF(Simulações!#REF!="","",Simulações!#REF!)</f>
        <v>#REF!</v>
      </c>
      <c r="J756" s="114" t="e">
        <f>IF(Simulações!#REF!="","",Simulações!#REF!)</f>
        <v>#REF!</v>
      </c>
      <c r="K756" s="117" t="e">
        <f>Simulações!#REF!</f>
        <v>#REF!</v>
      </c>
      <c r="L756" s="117" t="e">
        <f>Simulações!#REF!</f>
        <v>#REF!</v>
      </c>
      <c r="M756" s="114" t="e">
        <f>IF(Simulações!#REF!="","",Simulações!#REF!)</f>
        <v>#REF!</v>
      </c>
      <c r="N756" s="114" t="e">
        <f>IF(Simulações!#REF!="","",Simulações!#REF!)</f>
        <v>#REF!</v>
      </c>
      <c r="O756" s="114">
        <v>1</v>
      </c>
    </row>
    <row r="757" spans="1:15" ht="15.75" hidden="1" customHeight="1" x14ac:dyDescent="0.3">
      <c r="A757" s="124" t="e">
        <f>Simulações!#REF!</f>
        <v>#REF!</v>
      </c>
      <c r="B757" s="114" t="e">
        <f>Simulações!#REF!</f>
        <v>#REF!</v>
      </c>
      <c r="C757" s="125" t="e">
        <f>Simulações!#REF!</f>
        <v>#REF!</v>
      </c>
      <c r="D757" s="114" t="e">
        <f>Simulações!#REF!</f>
        <v>#REF!</v>
      </c>
      <c r="E757" s="114" t="e">
        <f>Simulações!#REF!</f>
        <v>#REF!</v>
      </c>
      <c r="F757" s="114" t="e">
        <f>Simulações!#REF!</f>
        <v>#REF!</v>
      </c>
      <c r="G757" s="114" t="e">
        <f>Simulações!#REF!</f>
        <v>#REF!</v>
      </c>
      <c r="H757" s="114" t="e">
        <f>Simulações!#REF!</f>
        <v>#REF!</v>
      </c>
      <c r="I757" s="114" t="e">
        <f>IF(Simulações!#REF!="","",Simulações!#REF!)</f>
        <v>#REF!</v>
      </c>
      <c r="J757" s="114" t="e">
        <f>IF(Simulações!#REF!="","",Simulações!#REF!)</f>
        <v>#REF!</v>
      </c>
      <c r="K757" s="117" t="e">
        <f>Simulações!#REF!</f>
        <v>#REF!</v>
      </c>
      <c r="L757" s="117" t="e">
        <f>Simulações!#REF!</f>
        <v>#REF!</v>
      </c>
      <c r="M757" s="114" t="e">
        <f>IF(Simulações!#REF!="","",Simulações!#REF!)</f>
        <v>#REF!</v>
      </c>
      <c r="N757" s="114" t="e">
        <f>IF(Simulações!#REF!="","",Simulações!#REF!)</f>
        <v>#REF!</v>
      </c>
      <c r="O757" s="114">
        <v>1</v>
      </c>
    </row>
    <row r="758" spans="1:15" ht="15.75" hidden="1" customHeight="1" x14ac:dyDescent="0.3">
      <c r="A758" s="124" t="e">
        <f>Simulações!#REF!</f>
        <v>#REF!</v>
      </c>
      <c r="B758" s="114" t="e">
        <f>Simulações!#REF!</f>
        <v>#REF!</v>
      </c>
      <c r="C758" s="125" t="e">
        <f>Simulações!#REF!</f>
        <v>#REF!</v>
      </c>
      <c r="D758" s="114" t="e">
        <f>Simulações!#REF!</f>
        <v>#REF!</v>
      </c>
      <c r="E758" s="114" t="e">
        <f>Simulações!#REF!</f>
        <v>#REF!</v>
      </c>
      <c r="F758" s="114" t="e">
        <f>Simulações!#REF!</f>
        <v>#REF!</v>
      </c>
      <c r="G758" s="114" t="e">
        <f>Simulações!#REF!</f>
        <v>#REF!</v>
      </c>
      <c r="H758" s="114" t="e">
        <f>Simulações!#REF!</f>
        <v>#REF!</v>
      </c>
      <c r="I758" s="114" t="e">
        <f>IF(Simulações!#REF!="","",Simulações!#REF!)</f>
        <v>#REF!</v>
      </c>
      <c r="J758" s="114" t="e">
        <f>IF(Simulações!#REF!="","",Simulações!#REF!)</f>
        <v>#REF!</v>
      </c>
      <c r="K758" s="117" t="e">
        <f>Simulações!#REF!</f>
        <v>#REF!</v>
      </c>
      <c r="L758" s="117" t="e">
        <f>Simulações!#REF!</f>
        <v>#REF!</v>
      </c>
      <c r="M758" s="114" t="e">
        <f>IF(Simulações!#REF!="","",Simulações!#REF!)</f>
        <v>#REF!</v>
      </c>
      <c r="N758" s="114" t="e">
        <f>IF(Simulações!#REF!="","",Simulações!#REF!)</f>
        <v>#REF!</v>
      </c>
      <c r="O758" s="114">
        <v>1</v>
      </c>
    </row>
    <row r="759" spans="1:15" ht="15.75" hidden="1" customHeight="1" x14ac:dyDescent="0.3">
      <c r="A759" s="124" t="e">
        <f>Simulações!#REF!</f>
        <v>#REF!</v>
      </c>
      <c r="B759" s="114" t="e">
        <f>Simulações!#REF!</f>
        <v>#REF!</v>
      </c>
      <c r="C759" s="125" t="e">
        <f>Simulações!#REF!</f>
        <v>#REF!</v>
      </c>
      <c r="D759" s="114" t="e">
        <f>Simulações!#REF!</f>
        <v>#REF!</v>
      </c>
      <c r="E759" s="114" t="e">
        <f>Simulações!#REF!</f>
        <v>#REF!</v>
      </c>
      <c r="F759" s="114" t="e">
        <f>Simulações!#REF!</f>
        <v>#REF!</v>
      </c>
      <c r="G759" s="114" t="e">
        <f>Simulações!#REF!</f>
        <v>#REF!</v>
      </c>
      <c r="H759" s="114" t="e">
        <f>Simulações!#REF!</f>
        <v>#REF!</v>
      </c>
      <c r="I759" s="114" t="e">
        <f>IF(Simulações!#REF!="","",Simulações!#REF!)</f>
        <v>#REF!</v>
      </c>
      <c r="J759" s="114" t="e">
        <f>IF(Simulações!#REF!="","",Simulações!#REF!)</f>
        <v>#REF!</v>
      </c>
      <c r="K759" s="117" t="e">
        <f>Simulações!#REF!</f>
        <v>#REF!</v>
      </c>
      <c r="L759" s="117" t="e">
        <f>Simulações!#REF!</f>
        <v>#REF!</v>
      </c>
      <c r="M759" s="114" t="e">
        <f>IF(Simulações!#REF!="","",Simulações!#REF!)</f>
        <v>#REF!</v>
      </c>
      <c r="N759" s="114" t="e">
        <f>IF(Simulações!#REF!="","",Simulações!#REF!)</f>
        <v>#REF!</v>
      </c>
      <c r="O759" s="114">
        <v>1</v>
      </c>
    </row>
    <row r="760" spans="1:15" ht="15.75" hidden="1" customHeight="1" x14ac:dyDescent="0.3">
      <c r="A760" s="124" t="e">
        <f>Simulações!#REF!</f>
        <v>#REF!</v>
      </c>
      <c r="B760" s="114" t="e">
        <f>Simulações!#REF!</f>
        <v>#REF!</v>
      </c>
      <c r="C760" s="125" t="e">
        <f>Simulações!#REF!</f>
        <v>#REF!</v>
      </c>
      <c r="D760" s="114" t="e">
        <f>Simulações!#REF!</f>
        <v>#REF!</v>
      </c>
      <c r="E760" s="114" t="e">
        <f>Simulações!#REF!</f>
        <v>#REF!</v>
      </c>
      <c r="F760" s="114" t="e">
        <f>Simulações!#REF!</f>
        <v>#REF!</v>
      </c>
      <c r="G760" s="114" t="e">
        <f>Simulações!#REF!</f>
        <v>#REF!</v>
      </c>
      <c r="H760" s="114" t="e">
        <f>Simulações!#REF!</f>
        <v>#REF!</v>
      </c>
      <c r="I760" s="114" t="e">
        <f>IF(Simulações!#REF!="","",Simulações!#REF!)</f>
        <v>#REF!</v>
      </c>
      <c r="J760" s="114" t="e">
        <f>IF(Simulações!#REF!="","",Simulações!#REF!)</f>
        <v>#REF!</v>
      </c>
      <c r="K760" s="117" t="e">
        <f>Simulações!#REF!</f>
        <v>#REF!</v>
      </c>
      <c r="L760" s="117" t="e">
        <f>Simulações!#REF!</f>
        <v>#REF!</v>
      </c>
      <c r="M760" s="114" t="e">
        <f>IF(Simulações!#REF!="","",Simulações!#REF!)</f>
        <v>#REF!</v>
      </c>
      <c r="N760" s="114" t="e">
        <f>IF(Simulações!#REF!="","",Simulações!#REF!)</f>
        <v>#REF!</v>
      </c>
      <c r="O760" s="114">
        <v>1</v>
      </c>
    </row>
    <row r="761" spans="1:15" ht="15.75" hidden="1" customHeight="1" x14ac:dyDescent="0.3">
      <c r="A761" s="124" t="e">
        <f>Simulações!#REF!</f>
        <v>#REF!</v>
      </c>
      <c r="B761" s="114" t="e">
        <f>Simulações!#REF!</f>
        <v>#REF!</v>
      </c>
      <c r="C761" s="125" t="e">
        <f>Simulações!#REF!</f>
        <v>#REF!</v>
      </c>
      <c r="D761" s="114" t="e">
        <f>Simulações!#REF!</f>
        <v>#REF!</v>
      </c>
      <c r="E761" s="114" t="e">
        <f>Simulações!#REF!</f>
        <v>#REF!</v>
      </c>
      <c r="F761" s="114" t="e">
        <f>Simulações!#REF!</f>
        <v>#REF!</v>
      </c>
      <c r="G761" s="114" t="e">
        <f>Simulações!#REF!</f>
        <v>#REF!</v>
      </c>
      <c r="H761" s="114" t="e">
        <f>Simulações!#REF!</f>
        <v>#REF!</v>
      </c>
      <c r="I761" s="114" t="e">
        <f>IF(Simulações!#REF!="","",Simulações!#REF!)</f>
        <v>#REF!</v>
      </c>
      <c r="J761" s="114" t="e">
        <f>IF(Simulações!#REF!="","",Simulações!#REF!)</f>
        <v>#REF!</v>
      </c>
      <c r="K761" s="117" t="e">
        <f>Simulações!#REF!</f>
        <v>#REF!</v>
      </c>
      <c r="L761" s="117" t="e">
        <f>Simulações!#REF!</f>
        <v>#REF!</v>
      </c>
      <c r="M761" s="114" t="e">
        <f>IF(Simulações!#REF!="","",Simulações!#REF!)</f>
        <v>#REF!</v>
      </c>
      <c r="N761" s="114" t="e">
        <f>IF(Simulações!#REF!="","",Simulações!#REF!)</f>
        <v>#REF!</v>
      </c>
      <c r="O761" s="114">
        <v>1</v>
      </c>
    </row>
    <row r="762" spans="1:15" ht="15.75" hidden="1" customHeight="1" x14ac:dyDescent="0.3">
      <c r="A762" s="124" t="e">
        <f>Simulações!#REF!</f>
        <v>#REF!</v>
      </c>
      <c r="B762" s="114" t="e">
        <f>Simulações!#REF!</f>
        <v>#REF!</v>
      </c>
      <c r="C762" s="125" t="e">
        <f>Simulações!#REF!</f>
        <v>#REF!</v>
      </c>
      <c r="D762" s="114" t="e">
        <f>Simulações!#REF!</f>
        <v>#REF!</v>
      </c>
      <c r="E762" s="114" t="e">
        <f>Simulações!#REF!</f>
        <v>#REF!</v>
      </c>
      <c r="F762" s="114" t="e">
        <f>Simulações!#REF!</f>
        <v>#REF!</v>
      </c>
      <c r="G762" s="114" t="e">
        <f>Simulações!#REF!</f>
        <v>#REF!</v>
      </c>
      <c r="H762" s="114" t="e">
        <f>Simulações!#REF!</f>
        <v>#REF!</v>
      </c>
      <c r="I762" s="114" t="e">
        <f>IF(Simulações!#REF!="","",Simulações!#REF!)</f>
        <v>#REF!</v>
      </c>
      <c r="J762" s="114" t="e">
        <f>IF(Simulações!#REF!="","",Simulações!#REF!)</f>
        <v>#REF!</v>
      </c>
      <c r="K762" s="117" t="e">
        <f>Simulações!#REF!</f>
        <v>#REF!</v>
      </c>
      <c r="L762" s="117" t="e">
        <f>Simulações!#REF!</f>
        <v>#REF!</v>
      </c>
      <c r="M762" s="114" t="e">
        <f>IF(Simulações!#REF!="","",Simulações!#REF!)</f>
        <v>#REF!</v>
      </c>
      <c r="N762" s="114" t="e">
        <f>IF(Simulações!#REF!="","",Simulações!#REF!)</f>
        <v>#REF!</v>
      </c>
      <c r="O762" s="114">
        <v>1</v>
      </c>
    </row>
    <row r="763" spans="1:15" ht="15.75" hidden="1" customHeight="1" x14ac:dyDescent="0.3">
      <c r="A763" s="124" t="e">
        <f>Simulações!#REF!</f>
        <v>#REF!</v>
      </c>
      <c r="B763" s="114" t="e">
        <f>Simulações!#REF!</f>
        <v>#REF!</v>
      </c>
      <c r="C763" s="125" t="e">
        <f>Simulações!#REF!</f>
        <v>#REF!</v>
      </c>
      <c r="D763" s="114" t="e">
        <f>Simulações!#REF!</f>
        <v>#REF!</v>
      </c>
      <c r="E763" s="114" t="e">
        <f>Simulações!#REF!</f>
        <v>#REF!</v>
      </c>
      <c r="F763" s="114" t="e">
        <f>Simulações!#REF!</f>
        <v>#REF!</v>
      </c>
      <c r="G763" s="114" t="e">
        <f>Simulações!#REF!</f>
        <v>#REF!</v>
      </c>
      <c r="H763" s="114" t="e">
        <f>Simulações!#REF!</f>
        <v>#REF!</v>
      </c>
      <c r="I763" s="114" t="e">
        <f>IF(Simulações!#REF!="","",Simulações!#REF!)</f>
        <v>#REF!</v>
      </c>
      <c r="J763" s="114" t="e">
        <f>IF(Simulações!#REF!="","",Simulações!#REF!)</f>
        <v>#REF!</v>
      </c>
      <c r="K763" s="117" t="e">
        <f>Simulações!#REF!</f>
        <v>#REF!</v>
      </c>
      <c r="L763" s="117" t="e">
        <f>Simulações!#REF!</f>
        <v>#REF!</v>
      </c>
      <c r="M763" s="114" t="e">
        <f>IF(Simulações!#REF!="","",Simulações!#REF!)</f>
        <v>#REF!</v>
      </c>
      <c r="N763" s="114" t="e">
        <f>IF(Simulações!#REF!="","",Simulações!#REF!)</f>
        <v>#REF!</v>
      </c>
      <c r="O763" s="114">
        <v>1</v>
      </c>
    </row>
    <row r="764" spans="1:15" ht="15.75" hidden="1" customHeight="1" x14ac:dyDescent="0.3">
      <c r="A764" s="124" t="e">
        <f>Simulações!#REF!</f>
        <v>#REF!</v>
      </c>
      <c r="B764" s="114" t="e">
        <f>Simulações!#REF!</f>
        <v>#REF!</v>
      </c>
      <c r="C764" s="125" t="e">
        <f>Simulações!#REF!</f>
        <v>#REF!</v>
      </c>
      <c r="D764" s="114" t="e">
        <f>Simulações!#REF!</f>
        <v>#REF!</v>
      </c>
      <c r="E764" s="114" t="e">
        <f>Simulações!#REF!</f>
        <v>#REF!</v>
      </c>
      <c r="F764" s="114" t="e">
        <f>Simulações!#REF!</f>
        <v>#REF!</v>
      </c>
      <c r="G764" s="114" t="e">
        <f>Simulações!#REF!</f>
        <v>#REF!</v>
      </c>
      <c r="H764" s="114" t="e">
        <f>Simulações!#REF!</f>
        <v>#REF!</v>
      </c>
      <c r="I764" s="114" t="e">
        <f>IF(Simulações!#REF!="","",Simulações!#REF!)</f>
        <v>#REF!</v>
      </c>
      <c r="J764" s="114" t="e">
        <f>IF(Simulações!#REF!="","",Simulações!#REF!)</f>
        <v>#REF!</v>
      </c>
      <c r="K764" s="117" t="e">
        <f>Simulações!#REF!</f>
        <v>#REF!</v>
      </c>
      <c r="L764" s="117" t="e">
        <f>Simulações!#REF!</f>
        <v>#REF!</v>
      </c>
      <c r="M764" s="114" t="e">
        <f>IF(Simulações!#REF!="","",Simulações!#REF!)</f>
        <v>#REF!</v>
      </c>
      <c r="N764" s="114" t="e">
        <f>IF(Simulações!#REF!="","",Simulações!#REF!)</f>
        <v>#REF!</v>
      </c>
      <c r="O764" s="114">
        <v>1</v>
      </c>
    </row>
    <row r="765" spans="1:15" ht="15.75" hidden="1" customHeight="1" x14ac:dyDescent="0.3">
      <c r="A765" s="124" t="e">
        <f>Simulações!#REF!</f>
        <v>#REF!</v>
      </c>
      <c r="B765" s="114" t="e">
        <f>Simulações!#REF!</f>
        <v>#REF!</v>
      </c>
      <c r="C765" s="125" t="e">
        <f>Simulações!#REF!</f>
        <v>#REF!</v>
      </c>
      <c r="D765" s="114" t="e">
        <f>Simulações!#REF!</f>
        <v>#REF!</v>
      </c>
      <c r="E765" s="114" t="e">
        <f>Simulações!#REF!</f>
        <v>#REF!</v>
      </c>
      <c r="F765" s="114" t="e">
        <f>Simulações!#REF!</f>
        <v>#REF!</v>
      </c>
      <c r="G765" s="114" t="e">
        <f>Simulações!#REF!</f>
        <v>#REF!</v>
      </c>
      <c r="H765" s="114" t="e">
        <f>Simulações!#REF!</f>
        <v>#REF!</v>
      </c>
      <c r="I765" s="114" t="e">
        <f>IF(Simulações!#REF!="","",Simulações!#REF!)</f>
        <v>#REF!</v>
      </c>
      <c r="J765" s="114" t="e">
        <f>IF(Simulações!#REF!="","",Simulações!#REF!)</f>
        <v>#REF!</v>
      </c>
      <c r="K765" s="117" t="e">
        <f>Simulações!#REF!</f>
        <v>#REF!</v>
      </c>
      <c r="L765" s="117" t="e">
        <f>Simulações!#REF!</f>
        <v>#REF!</v>
      </c>
      <c r="M765" s="114" t="e">
        <f>IF(Simulações!#REF!="","",Simulações!#REF!)</f>
        <v>#REF!</v>
      </c>
      <c r="N765" s="114" t="e">
        <f>IF(Simulações!#REF!="","",Simulações!#REF!)</f>
        <v>#REF!</v>
      </c>
      <c r="O765" s="114">
        <v>1</v>
      </c>
    </row>
    <row r="766" spans="1:15" ht="15.75" hidden="1" customHeight="1" x14ac:dyDescent="0.3">
      <c r="A766" s="124" t="e">
        <f>Simulações!#REF!</f>
        <v>#REF!</v>
      </c>
      <c r="B766" s="114" t="e">
        <f>Simulações!#REF!</f>
        <v>#REF!</v>
      </c>
      <c r="C766" s="125" t="e">
        <f>Simulações!#REF!</f>
        <v>#REF!</v>
      </c>
      <c r="D766" s="114" t="e">
        <f>Simulações!#REF!</f>
        <v>#REF!</v>
      </c>
      <c r="E766" s="114" t="e">
        <f>Simulações!#REF!</f>
        <v>#REF!</v>
      </c>
      <c r="F766" s="114" t="e">
        <f>Simulações!#REF!</f>
        <v>#REF!</v>
      </c>
      <c r="G766" s="114" t="e">
        <f>Simulações!#REF!</f>
        <v>#REF!</v>
      </c>
      <c r="H766" s="114" t="e">
        <f>Simulações!#REF!</f>
        <v>#REF!</v>
      </c>
      <c r="I766" s="114" t="e">
        <f>IF(Simulações!#REF!="","",Simulações!#REF!)</f>
        <v>#REF!</v>
      </c>
      <c r="J766" s="114" t="e">
        <f>IF(Simulações!#REF!="","",Simulações!#REF!)</f>
        <v>#REF!</v>
      </c>
      <c r="K766" s="117" t="e">
        <f>Simulações!#REF!</f>
        <v>#REF!</v>
      </c>
      <c r="L766" s="117" t="e">
        <f>Simulações!#REF!</f>
        <v>#REF!</v>
      </c>
      <c r="M766" s="114" t="e">
        <f>IF(Simulações!#REF!="","",Simulações!#REF!)</f>
        <v>#REF!</v>
      </c>
      <c r="N766" s="114" t="e">
        <f>IF(Simulações!#REF!="","",Simulações!#REF!)</f>
        <v>#REF!</v>
      </c>
      <c r="O766" s="114">
        <v>1</v>
      </c>
    </row>
    <row r="767" spans="1:15" ht="15.75" hidden="1" customHeight="1" x14ac:dyDescent="0.3">
      <c r="A767" s="124" t="e">
        <f>Simulações!#REF!</f>
        <v>#REF!</v>
      </c>
      <c r="B767" s="114" t="e">
        <f>Simulações!#REF!</f>
        <v>#REF!</v>
      </c>
      <c r="C767" s="125" t="e">
        <f>Simulações!#REF!</f>
        <v>#REF!</v>
      </c>
      <c r="D767" s="114" t="e">
        <f>Simulações!#REF!</f>
        <v>#REF!</v>
      </c>
      <c r="E767" s="114" t="e">
        <f>Simulações!#REF!</f>
        <v>#REF!</v>
      </c>
      <c r="F767" s="114" t="e">
        <f>Simulações!#REF!</f>
        <v>#REF!</v>
      </c>
      <c r="G767" s="114" t="e">
        <f>Simulações!#REF!</f>
        <v>#REF!</v>
      </c>
      <c r="H767" s="114" t="e">
        <f>Simulações!#REF!</f>
        <v>#REF!</v>
      </c>
      <c r="I767" s="114" t="e">
        <f>IF(Simulações!#REF!="","",Simulações!#REF!)</f>
        <v>#REF!</v>
      </c>
      <c r="J767" s="114" t="e">
        <f>IF(Simulações!#REF!="","",Simulações!#REF!)</f>
        <v>#REF!</v>
      </c>
      <c r="K767" s="117" t="e">
        <f>Simulações!#REF!</f>
        <v>#REF!</v>
      </c>
      <c r="L767" s="117" t="e">
        <f>Simulações!#REF!</f>
        <v>#REF!</v>
      </c>
      <c r="M767" s="114" t="e">
        <f>IF(Simulações!#REF!="","",Simulações!#REF!)</f>
        <v>#REF!</v>
      </c>
      <c r="N767" s="114" t="e">
        <f>IF(Simulações!#REF!="","",Simulações!#REF!)</f>
        <v>#REF!</v>
      </c>
      <c r="O767" s="114">
        <v>1</v>
      </c>
    </row>
    <row r="768" spans="1:15" ht="15.75" hidden="1" customHeight="1" x14ac:dyDescent="0.3">
      <c r="A768" s="124" t="e">
        <f>Simulações!#REF!</f>
        <v>#REF!</v>
      </c>
      <c r="B768" s="114" t="e">
        <f>Simulações!#REF!</f>
        <v>#REF!</v>
      </c>
      <c r="C768" s="125" t="e">
        <f>Simulações!#REF!</f>
        <v>#REF!</v>
      </c>
      <c r="D768" s="114" t="e">
        <f>Simulações!#REF!</f>
        <v>#REF!</v>
      </c>
      <c r="E768" s="114" t="e">
        <f>Simulações!#REF!</f>
        <v>#REF!</v>
      </c>
      <c r="F768" s="114" t="e">
        <f>Simulações!#REF!</f>
        <v>#REF!</v>
      </c>
      <c r="G768" s="114" t="e">
        <f>Simulações!#REF!</f>
        <v>#REF!</v>
      </c>
      <c r="H768" s="114" t="e">
        <f>Simulações!#REF!</f>
        <v>#REF!</v>
      </c>
      <c r="I768" s="114" t="e">
        <f>IF(Simulações!#REF!="","",Simulações!#REF!)</f>
        <v>#REF!</v>
      </c>
      <c r="J768" s="114" t="e">
        <f>IF(Simulações!#REF!="","",Simulações!#REF!)</f>
        <v>#REF!</v>
      </c>
      <c r="K768" s="117" t="e">
        <f>Simulações!#REF!</f>
        <v>#REF!</v>
      </c>
      <c r="L768" s="117" t="e">
        <f>Simulações!#REF!</f>
        <v>#REF!</v>
      </c>
      <c r="M768" s="114" t="e">
        <f>IF(Simulações!#REF!="","",Simulações!#REF!)</f>
        <v>#REF!</v>
      </c>
      <c r="N768" s="114" t="e">
        <f>IF(Simulações!#REF!="","",Simulações!#REF!)</f>
        <v>#REF!</v>
      </c>
      <c r="O768" s="114">
        <v>1</v>
      </c>
    </row>
    <row r="769" spans="1:15" ht="15.75" hidden="1" customHeight="1" x14ac:dyDescent="0.3">
      <c r="A769" s="124" t="e">
        <f>Simulações!#REF!</f>
        <v>#REF!</v>
      </c>
      <c r="B769" s="114" t="e">
        <f>Simulações!#REF!</f>
        <v>#REF!</v>
      </c>
      <c r="C769" s="125" t="e">
        <f>Simulações!#REF!</f>
        <v>#REF!</v>
      </c>
      <c r="D769" s="114" t="e">
        <f>Simulações!#REF!</f>
        <v>#REF!</v>
      </c>
      <c r="E769" s="114" t="e">
        <f>Simulações!#REF!</f>
        <v>#REF!</v>
      </c>
      <c r="F769" s="114" t="e">
        <f>Simulações!#REF!</f>
        <v>#REF!</v>
      </c>
      <c r="G769" s="114" t="e">
        <f>Simulações!#REF!</f>
        <v>#REF!</v>
      </c>
      <c r="H769" s="114" t="e">
        <f>Simulações!#REF!</f>
        <v>#REF!</v>
      </c>
      <c r="I769" s="114" t="e">
        <f>IF(Simulações!#REF!="","",Simulações!#REF!)</f>
        <v>#REF!</v>
      </c>
      <c r="J769" s="114" t="e">
        <f>IF(Simulações!#REF!="","",Simulações!#REF!)</f>
        <v>#REF!</v>
      </c>
      <c r="K769" s="117" t="e">
        <f>Simulações!#REF!</f>
        <v>#REF!</v>
      </c>
      <c r="L769" s="117" t="e">
        <f>Simulações!#REF!</f>
        <v>#REF!</v>
      </c>
      <c r="M769" s="114" t="e">
        <f>IF(Simulações!#REF!="","",Simulações!#REF!)</f>
        <v>#REF!</v>
      </c>
      <c r="N769" s="114" t="e">
        <f>IF(Simulações!#REF!="","",Simulações!#REF!)</f>
        <v>#REF!</v>
      </c>
      <c r="O769" s="114">
        <v>1</v>
      </c>
    </row>
    <row r="770" spans="1:15" ht="15.75" hidden="1" customHeight="1" x14ac:dyDescent="0.3">
      <c r="A770" s="124" t="e">
        <f>Simulações!#REF!</f>
        <v>#REF!</v>
      </c>
      <c r="B770" s="114" t="e">
        <f>Simulações!#REF!</f>
        <v>#REF!</v>
      </c>
      <c r="C770" s="125" t="e">
        <f>Simulações!#REF!</f>
        <v>#REF!</v>
      </c>
      <c r="D770" s="114" t="e">
        <f>Simulações!#REF!</f>
        <v>#REF!</v>
      </c>
      <c r="E770" s="114" t="e">
        <f>Simulações!#REF!</f>
        <v>#REF!</v>
      </c>
      <c r="F770" s="114" t="e">
        <f>Simulações!#REF!</f>
        <v>#REF!</v>
      </c>
      <c r="G770" s="114" t="e">
        <f>Simulações!#REF!</f>
        <v>#REF!</v>
      </c>
      <c r="H770" s="114" t="e">
        <f>Simulações!#REF!</f>
        <v>#REF!</v>
      </c>
      <c r="I770" s="114" t="e">
        <f>IF(Simulações!#REF!="","",Simulações!#REF!)</f>
        <v>#REF!</v>
      </c>
      <c r="J770" s="114" t="e">
        <f>IF(Simulações!#REF!="","",Simulações!#REF!)</f>
        <v>#REF!</v>
      </c>
      <c r="K770" s="117" t="e">
        <f>Simulações!#REF!</f>
        <v>#REF!</v>
      </c>
      <c r="L770" s="117" t="e">
        <f>Simulações!#REF!</f>
        <v>#REF!</v>
      </c>
      <c r="M770" s="114" t="e">
        <f>IF(Simulações!#REF!="","",Simulações!#REF!)</f>
        <v>#REF!</v>
      </c>
      <c r="N770" s="114" t="e">
        <f>IF(Simulações!#REF!="","",Simulações!#REF!)</f>
        <v>#REF!</v>
      </c>
      <c r="O770" s="114">
        <v>1</v>
      </c>
    </row>
    <row r="771" spans="1:15" ht="15.75" hidden="1" customHeight="1" x14ac:dyDescent="0.3">
      <c r="A771" s="124" t="e">
        <f>Simulações!#REF!</f>
        <v>#REF!</v>
      </c>
      <c r="B771" s="114" t="e">
        <f>Simulações!#REF!</f>
        <v>#REF!</v>
      </c>
      <c r="C771" s="125" t="e">
        <f>Simulações!#REF!</f>
        <v>#REF!</v>
      </c>
      <c r="D771" s="114" t="e">
        <f>Simulações!#REF!</f>
        <v>#REF!</v>
      </c>
      <c r="E771" s="114" t="e">
        <f>Simulações!#REF!</f>
        <v>#REF!</v>
      </c>
      <c r="F771" s="114" t="e">
        <f>Simulações!#REF!</f>
        <v>#REF!</v>
      </c>
      <c r="G771" s="114" t="e">
        <f>Simulações!#REF!</f>
        <v>#REF!</v>
      </c>
      <c r="H771" s="114" t="e">
        <f>Simulações!#REF!</f>
        <v>#REF!</v>
      </c>
      <c r="I771" s="114" t="e">
        <f>IF(Simulações!#REF!="","",Simulações!#REF!)</f>
        <v>#REF!</v>
      </c>
      <c r="J771" s="114" t="e">
        <f>IF(Simulações!#REF!="","",Simulações!#REF!)</f>
        <v>#REF!</v>
      </c>
      <c r="K771" s="117" t="e">
        <f>Simulações!#REF!</f>
        <v>#REF!</v>
      </c>
      <c r="L771" s="117" t="e">
        <f>Simulações!#REF!</f>
        <v>#REF!</v>
      </c>
      <c r="M771" s="114" t="e">
        <f>IF(Simulações!#REF!="","",Simulações!#REF!)</f>
        <v>#REF!</v>
      </c>
      <c r="N771" s="114" t="e">
        <f>IF(Simulações!#REF!="","",Simulações!#REF!)</f>
        <v>#REF!</v>
      </c>
      <c r="O771" s="114">
        <v>1</v>
      </c>
    </row>
    <row r="772" spans="1:15" ht="15.75" hidden="1" customHeight="1" x14ac:dyDescent="0.3">
      <c r="A772" s="124" t="e">
        <f>Simulações!#REF!</f>
        <v>#REF!</v>
      </c>
      <c r="B772" s="114" t="e">
        <f>Simulações!#REF!</f>
        <v>#REF!</v>
      </c>
      <c r="C772" s="125" t="e">
        <f>Simulações!#REF!</f>
        <v>#REF!</v>
      </c>
      <c r="D772" s="114" t="e">
        <f>Simulações!#REF!</f>
        <v>#REF!</v>
      </c>
      <c r="E772" s="114" t="e">
        <f>Simulações!#REF!</f>
        <v>#REF!</v>
      </c>
      <c r="F772" s="114" t="e">
        <f>Simulações!#REF!</f>
        <v>#REF!</v>
      </c>
      <c r="G772" s="114" t="e">
        <f>Simulações!#REF!</f>
        <v>#REF!</v>
      </c>
      <c r="H772" s="114" t="e">
        <f>Simulações!#REF!</f>
        <v>#REF!</v>
      </c>
      <c r="I772" s="114" t="e">
        <f>IF(Simulações!#REF!="","",Simulações!#REF!)</f>
        <v>#REF!</v>
      </c>
      <c r="J772" s="114" t="e">
        <f>IF(Simulações!#REF!="","",Simulações!#REF!)</f>
        <v>#REF!</v>
      </c>
      <c r="K772" s="117" t="e">
        <f>Simulações!#REF!</f>
        <v>#REF!</v>
      </c>
      <c r="L772" s="117" t="e">
        <f>Simulações!#REF!</f>
        <v>#REF!</v>
      </c>
      <c r="M772" s="114" t="e">
        <f>IF(Simulações!#REF!="","",Simulações!#REF!)</f>
        <v>#REF!</v>
      </c>
      <c r="N772" s="114" t="e">
        <f>IF(Simulações!#REF!="","",Simulações!#REF!)</f>
        <v>#REF!</v>
      </c>
      <c r="O772" s="114">
        <v>1</v>
      </c>
    </row>
    <row r="773" spans="1:15" ht="15.75" hidden="1" customHeight="1" x14ac:dyDescent="0.3">
      <c r="A773" s="124" t="e">
        <f>Simulações!#REF!</f>
        <v>#REF!</v>
      </c>
      <c r="B773" s="114" t="e">
        <f>Simulações!#REF!</f>
        <v>#REF!</v>
      </c>
      <c r="C773" s="125" t="e">
        <f>Simulações!#REF!</f>
        <v>#REF!</v>
      </c>
      <c r="D773" s="114" t="e">
        <f>Simulações!#REF!</f>
        <v>#REF!</v>
      </c>
      <c r="E773" s="114" t="e">
        <f>Simulações!#REF!</f>
        <v>#REF!</v>
      </c>
      <c r="F773" s="114" t="e">
        <f>Simulações!#REF!</f>
        <v>#REF!</v>
      </c>
      <c r="G773" s="114" t="e">
        <f>Simulações!#REF!</f>
        <v>#REF!</v>
      </c>
      <c r="H773" s="114" t="e">
        <f>Simulações!#REF!</f>
        <v>#REF!</v>
      </c>
      <c r="I773" s="114" t="e">
        <f>IF(Simulações!#REF!="","",Simulações!#REF!)</f>
        <v>#REF!</v>
      </c>
      <c r="J773" s="114" t="e">
        <f>IF(Simulações!#REF!="","",Simulações!#REF!)</f>
        <v>#REF!</v>
      </c>
      <c r="K773" s="117" t="e">
        <f>Simulações!#REF!</f>
        <v>#REF!</v>
      </c>
      <c r="L773" s="117" t="e">
        <f>Simulações!#REF!</f>
        <v>#REF!</v>
      </c>
      <c r="M773" s="114" t="e">
        <f>IF(Simulações!#REF!="","",Simulações!#REF!)</f>
        <v>#REF!</v>
      </c>
      <c r="N773" s="114" t="e">
        <f>IF(Simulações!#REF!="","",Simulações!#REF!)</f>
        <v>#REF!</v>
      </c>
      <c r="O773" s="114">
        <v>1</v>
      </c>
    </row>
    <row r="774" spans="1:15" ht="15.75" hidden="1" customHeight="1" x14ac:dyDescent="0.3">
      <c r="A774" s="124" t="e">
        <f>Simulações!#REF!</f>
        <v>#REF!</v>
      </c>
      <c r="B774" s="114" t="e">
        <f>Simulações!#REF!</f>
        <v>#REF!</v>
      </c>
      <c r="C774" s="125" t="e">
        <f>Simulações!#REF!</f>
        <v>#REF!</v>
      </c>
      <c r="D774" s="114" t="e">
        <f>Simulações!#REF!</f>
        <v>#REF!</v>
      </c>
      <c r="E774" s="114" t="e">
        <f>Simulações!#REF!</f>
        <v>#REF!</v>
      </c>
      <c r="F774" s="114" t="e">
        <f>Simulações!#REF!</f>
        <v>#REF!</v>
      </c>
      <c r="G774" s="114" t="e">
        <f>Simulações!#REF!</f>
        <v>#REF!</v>
      </c>
      <c r="H774" s="114" t="e">
        <f>Simulações!#REF!</f>
        <v>#REF!</v>
      </c>
      <c r="I774" s="114" t="e">
        <f>IF(Simulações!#REF!="","",Simulações!#REF!)</f>
        <v>#REF!</v>
      </c>
      <c r="J774" s="114" t="e">
        <f>IF(Simulações!#REF!="","",Simulações!#REF!)</f>
        <v>#REF!</v>
      </c>
      <c r="K774" s="117" t="e">
        <f>Simulações!#REF!</f>
        <v>#REF!</v>
      </c>
      <c r="L774" s="117" t="e">
        <f>Simulações!#REF!</f>
        <v>#REF!</v>
      </c>
      <c r="M774" s="114" t="e">
        <f>IF(Simulações!#REF!="","",Simulações!#REF!)</f>
        <v>#REF!</v>
      </c>
      <c r="N774" s="114" t="e">
        <f>IF(Simulações!#REF!="","",Simulações!#REF!)</f>
        <v>#REF!</v>
      </c>
      <c r="O774" s="114">
        <v>1</v>
      </c>
    </row>
    <row r="775" spans="1:15" ht="15.75" hidden="1" customHeight="1" x14ac:dyDescent="0.3">
      <c r="A775" s="124" t="e">
        <f>Simulações!#REF!</f>
        <v>#REF!</v>
      </c>
      <c r="B775" s="114" t="e">
        <f>Simulações!#REF!</f>
        <v>#REF!</v>
      </c>
      <c r="C775" s="125" t="e">
        <f>Simulações!#REF!</f>
        <v>#REF!</v>
      </c>
      <c r="D775" s="114" t="e">
        <f>Simulações!#REF!</f>
        <v>#REF!</v>
      </c>
      <c r="E775" s="114" t="e">
        <f>Simulações!#REF!</f>
        <v>#REF!</v>
      </c>
      <c r="F775" s="114" t="e">
        <f>Simulações!#REF!</f>
        <v>#REF!</v>
      </c>
      <c r="G775" s="114" t="e">
        <f>Simulações!#REF!</f>
        <v>#REF!</v>
      </c>
      <c r="H775" s="114" t="e">
        <f>Simulações!#REF!</f>
        <v>#REF!</v>
      </c>
      <c r="I775" s="114" t="e">
        <f>IF(Simulações!#REF!="","",Simulações!#REF!)</f>
        <v>#REF!</v>
      </c>
      <c r="J775" s="114" t="e">
        <f>IF(Simulações!#REF!="","",Simulações!#REF!)</f>
        <v>#REF!</v>
      </c>
      <c r="K775" s="117" t="e">
        <f>Simulações!#REF!</f>
        <v>#REF!</v>
      </c>
      <c r="L775" s="117" t="e">
        <f>Simulações!#REF!</f>
        <v>#REF!</v>
      </c>
      <c r="M775" s="114" t="e">
        <f>IF(Simulações!#REF!="","",Simulações!#REF!)</f>
        <v>#REF!</v>
      </c>
      <c r="N775" s="114" t="e">
        <f>IF(Simulações!#REF!="","",Simulações!#REF!)</f>
        <v>#REF!</v>
      </c>
      <c r="O775" s="114">
        <v>1</v>
      </c>
    </row>
    <row r="776" spans="1:15" ht="15.75" hidden="1" customHeight="1" x14ac:dyDescent="0.3">
      <c r="A776" s="124" t="e">
        <f>Simulações!#REF!</f>
        <v>#REF!</v>
      </c>
      <c r="B776" s="114" t="e">
        <f>Simulações!#REF!</f>
        <v>#REF!</v>
      </c>
      <c r="C776" s="125" t="e">
        <f>Simulações!#REF!</f>
        <v>#REF!</v>
      </c>
      <c r="D776" s="114" t="e">
        <f>Simulações!#REF!</f>
        <v>#REF!</v>
      </c>
      <c r="E776" s="114" t="e">
        <f>Simulações!#REF!</f>
        <v>#REF!</v>
      </c>
      <c r="F776" s="114" t="e">
        <f>Simulações!#REF!</f>
        <v>#REF!</v>
      </c>
      <c r="G776" s="114" t="e">
        <f>Simulações!#REF!</f>
        <v>#REF!</v>
      </c>
      <c r="H776" s="114" t="e">
        <f>Simulações!#REF!</f>
        <v>#REF!</v>
      </c>
      <c r="I776" s="114" t="e">
        <f>IF(Simulações!#REF!="","",Simulações!#REF!)</f>
        <v>#REF!</v>
      </c>
      <c r="J776" s="114" t="e">
        <f>IF(Simulações!#REF!="","",Simulações!#REF!)</f>
        <v>#REF!</v>
      </c>
      <c r="K776" s="117" t="e">
        <f>Simulações!#REF!</f>
        <v>#REF!</v>
      </c>
      <c r="L776" s="117" t="e">
        <f>Simulações!#REF!</f>
        <v>#REF!</v>
      </c>
      <c r="M776" s="114" t="e">
        <f>IF(Simulações!#REF!="","",Simulações!#REF!)</f>
        <v>#REF!</v>
      </c>
      <c r="N776" s="114" t="e">
        <f>IF(Simulações!#REF!="","",Simulações!#REF!)</f>
        <v>#REF!</v>
      </c>
      <c r="O776" s="114">
        <v>1</v>
      </c>
    </row>
    <row r="777" spans="1:15" ht="15.75" hidden="1" customHeight="1" x14ac:dyDescent="0.3">
      <c r="A777" s="124" t="e">
        <f>Simulações!#REF!</f>
        <v>#REF!</v>
      </c>
      <c r="B777" s="114" t="e">
        <f>Simulações!#REF!</f>
        <v>#REF!</v>
      </c>
      <c r="C777" s="125" t="e">
        <f>Simulações!#REF!</f>
        <v>#REF!</v>
      </c>
      <c r="D777" s="114" t="e">
        <f>Simulações!#REF!</f>
        <v>#REF!</v>
      </c>
      <c r="E777" s="114" t="e">
        <f>Simulações!#REF!</f>
        <v>#REF!</v>
      </c>
      <c r="F777" s="114" t="e">
        <f>Simulações!#REF!</f>
        <v>#REF!</v>
      </c>
      <c r="G777" s="114" t="e">
        <f>Simulações!#REF!</f>
        <v>#REF!</v>
      </c>
      <c r="H777" s="114" t="e">
        <f>Simulações!#REF!</f>
        <v>#REF!</v>
      </c>
      <c r="I777" s="114" t="e">
        <f>IF(Simulações!#REF!="","",Simulações!#REF!)</f>
        <v>#REF!</v>
      </c>
      <c r="J777" s="114" t="e">
        <f>IF(Simulações!#REF!="","",Simulações!#REF!)</f>
        <v>#REF!</v>
      </c>
      <c r="K777" s="117" t="e">
        <f>Simulações!#REF!</f>
        <v>#REF!</v>
      </c>
      <c r="L777" s="117" t="e">
        <f>Simulações!#REF!</f>
        <v>#REF!</v>
      </c>
      <c r="M777" s="114" t="e">
        <f>IF(Simulações!#REF!="","",Simulações!#REF!)</f>
        <v>#REF!</v>
      </c>
      <c r="N777" s="114" t="e">
        <f>IF(Simulações!#REF!="","",Simulações!#REF!)</f>
        <v>#REF!</v>
      </c>
      <c r="O777" s="114">
        <v>1</v>
      </c>
    </row>
    <row r="778" spans="1:15" ht="15.75" hidden="1" customHeight="1" x14ac:dyDescent="0.3">
      <c r="A778" s="124" t="e">
        <f>Simulações!#REF!</f>
        <v>#REF!</v>
      </c>
      <c r="B778" s="114" t="e">
        <f>Simulações!#REF!</f>
        <v>#REF!</v>
      </c>
      <c r="C778" s="125" t="e">
        <f>Simulações!#REF!</f>
        <v>#REF!</v>
      </c>
      <c r="D778" s="114" t="e">
        <f>Simulações!#REF!</f>
        <v>#REF!</v>
      </c>
      <c r="E778" s="114" t="e">
        <f>Simulações!#REF!</f>
        <v>#REF!</v>
      </c>
      <c r="F778" s="114" t="e">
        <f>Simulações!#REF!</f>
        <v>#REF!</v>
      </c>
      <c r="G778" s="114" t="e">
        <f>Simulações!#REF!</f>
        <v>#REF!</v>
      </c>
      <c r="H778" s="114" t="e">
        <f>Simulações!#REF!</f>
        <v>#REF!</v>
      </c>
      <c r="I778" s="114" t="e">
        <f>IF(Simulações!#REF!="","",Simulações!#REF!)</f>
        <v>#REF!</v>
      </c>
      <c r="J778" s="114" t="e">
        <f>IF(Simulações!#REF!="","",Simulações!#REF!)</f>
        <v>#REF!</v>
      </c>
      <c r="K778" s="117" t="e">
        <f>Simulações!#REF!</f>
        <v>#REF!</v>
      </c>
      <c r="L778" s="117" t="e">
        <f>Simulações!#REF!</f>
        <v>#REF!</v>
      </c>
      <c r="M778" s="114" t="e">
        <f>IF(Simulações!#REF!="","",Simulações!#REF!)</f>
        <v>#REF!</v>
      </c>
      <c r="N778" s="114" t="e">
        <f>IF(Simulações!#REF!="","",Simulações!#REF!)</f>
        <v>#REF!</v>
      </c>
      <c r="O778" s="114">
        <v>1</v>
      </c>
    </row>
    <row r="779" spans="1:15" ht="15.75" hidden="1" customHeight="1" x14ac:dyDescent="0.3">
      <c r="A779" s="124" t="e">
        <f>Simulações!#REF!</f>
        <v>#REF!</v>
      </c>
      <c r="B779" s="114" t="e">
        <f>Simulações!#REF!</f>
        <v>#REF!</v>
      </c>
      <c r="C779" s="125" t="e">
        <f>Simulações!#REF!</f>
        <v>#REF!</v>
      </c>
      <c r="D779" s="114" t="e">
        <f>Simulações!#REF!</f>
        <v>#REF!</v>
      </c>
      <c r="E779" s="114" t="e">
        <f>Simulações!#REF!</f>
        <v>#REF!</v>
      </c>
      <c r="F779" s="114" t="e">
        <f>Simulações!#REF!</f>
        <v>#REF!</v>
      </c>
      <c r="G779" s="114" t="e">
        <f>Simulações!#REF!</f>
        <v>#REF!</v>
      </c>
      <c r="H779" s="114" t="e">
        <f>Simulações!#REF!</f>
        <v>#REF!</v>
      </c>
      <c r="I779" s="114" t="e">
        <f>IF(Simulações!#REF!="","",Simulações!#REF!)</f>
        <v>#REF!</v>
      </c>
      <c r="J779" s="114" t="e">
        <f>IF(Simulações!#REF!="","",Simulações!#REF!)</f>
        <v>#REF!</v>
      </c>
      <c r="K779" s="117" t="e">
        <f>Simulações!#REF!</f>
        <v>#REF!</v>
      </c>
      <c r="L779" s="117" t="e">
        <f>Simulações!#REF!</f>
        <v>#REF!</v>
      </c>
      <c r="M779" s="114" t="e">
        <f>IF(Simulações!#REF!="","",Simulações!#REF!)</f>
        <v>#REF!</v>
      </c>
      <c r="N779" s="114" t="e">
        <f>IF(Simulações!#REF!="","",Simulações!#REF!)</f>
        <v>#REF!</v>
      </c>
      <c r="O779" s="114">
        <v>1</v>
      </c>
    </row>
    <row r="780" spans="1:15" ht="15.75" hidden="1" customHeight="1" x14ac:dyDescent="0.3">
      <c r="A780" s="124" t="e">
        <f>Simulações!#REF!</f>
        <v>#REF!</v>
      </c>
      <c r="B780" s="114" t="e">
        <f>Simulações!#REF!</f>
        <v>#REF!</v>
      </c>
      <c r="C780" s="125" t="e">
        <f>Simulações!#REF!</f>
        <v>#REF!</v>
      </c>
      <c r="D780" s="114" t="e">
        <f>Simulações!#REF!</f>
        <v>#REF!</v>
      </c>
      <c r="E780" s="114" t="e">
        <f>Simulações!#REF!</f>
        <v>#REF!</v>
      </c>
      <c r="F780" s="114" t="e">
        <f>Simulações!#REF!</f>
        <v>#REF!</v>
      </c>
      <c r="G780" s="114" t="e">
        <f>Simulações!#REF!</f>
        <v>#REF!</v>
      </c>
      <c r="H780" s="114" t="e">
        <f>Simulações!#REF!</f>
        <v>#REF!</v>
      </c>
      <c r="I780" s="114" t="e">
        <f>IF(Simulações!#REF!="","",Simulações!#REF!)</f>
        <v>#REF!</v>
      </c>
      <c r="J780" s="114" t="e">
        <f>IF(Simulações!#REF!="","",Simulações!#REF!)</f>
        <v>#REF!</v>
      </c>
      <c r="K780" s="117" t="e">
        <f>Simulações!#REF!</f>
        <v>#REF!</v>
      </c>
      <c r="L780" s="117" t="e">
        <f>Simulações!#REF!</f>
        <v>#REF!</v>
      </c>
      <c r="M780" s="114" t="e">
        <f>IF(Simulações!#REF!="","",Simulações!#REF!)</f>
        <v>#REF!</v>
      </c>
      <c r="N780" s="114" t="e">
        <f>IF(Simulações!#REF!="","",Simulações!#REF!)</f>
        <v>#REF!</v>
      </c>
      <c r="O780" s="114">
        <v>1</v>
      </c>
    </row>
    <row r="781" spans="1:15" ht="15.75" hidden="1" customHeight="1" x14ac:dyDescent="0.3">
      <c r="A781" s="124" t="e">
        <f>Simulações!#REF!</f>
        <v>#REF!</v>
      </c>
      <c r="B781" s="114" t="e">
        <f>Simulações!#REF!</f>
        <v>#REF!</v>
      </c>
      <c r="C781" s="125" t="e">
        <f>Simulações!#REF!</f>
        <v>#REF!</v>
      </c>
      <c r="D781" s="114" t="e">
        <f>Simulações!#REF!</f>
        <v>#REF!</v>
      </c>
      <c r="E781" s="114" t="e">
        <f>Simulações!#REF!</f>
        <v>#REF!</v>
      </c>
      <c r="F781" s="114" t="e">
        <f>Simulações!#REF!</f>
        <v>#REF!</v>
      </c>
      <c r="G781" s="114" t="e">
        <f>Simulações!#REF!</f>
        <v>#REF!</v>
      </c>
      <c r="H781" s="114" t="e">
        <f>Simulações!#REF!</f>
        <v>#REF!</v>
      </c>
      <c r="I781" s="114" t="e">
        <f>IF(Simulações!#REF!="","",Simulações!#REF!)</f>
        <v>#REF!</v>
      </c>
      <c r="J781" s="114" t="e">
        <f>IF(Simulações!#REF!="","",Simulações!#REF!)</f>
        <v>#REF!</v>
      </c>
      <c r="K781" s="117" t="e">
        <f>Simulações!#REF!</f>
        <v>#REF!</v>
      </c>
      <c r="L781" s="117" t="e">
        <f>Simulações!#REF!</f>
        <v>#REF!</v>
      </c>
      <c r="M781" s="114" t="e">
        <f>IF(Simulações!#REF!="","",Simulações!#REF!)</f>
        <v>#REF!</v>
      </c>
      <c r="N781" s="114" t="e">
        <f>IF(Simulações!#REF!="","",Simulações!#REF!)</f>
        <v>#REF!</v>
      </c>
      <c r="O781" s="114">
        <v>1</v>
      </c>
    </row>
    <row r="782" spans="1:15" ht="15.75" hidden="1" customHeight="1" x14ac:dyDescent="0.3">
      <c r="A782" s="124" t="e">
        <f>Simulações!#REF!</f>
        <v>#REF!</v>
      </c>
      <c r="B782" s="114" t="e">
        <f>Simulações!#REF!</f>
        <v>#REF!</v>
      </c>
      <c r="C782" s="125" t="e">
        <f>Simulações!#REF!</f>
        <v>#REF!</v>
      </c>
      <c r="D782" s="114" t="e">
        <f>Simulações!#REF!</f>
        <v>#REF!</v>
      </c>
      <c r="E782" s="114" t="e">
        <f>Simulações!#REF!</f>
        <v>#REF!</v>
      </c>
      <c r="F782" s="114" t="e">
        <f>Simulações!#REF!</f>
        <v>#REF!</v>
      </c>
      <c r="G782" s="114" t="e">
        <f>Simulações!#REF!</f>
        <v>#REF!</v>
      </c>
      <c r="H782" s="114" t="e">
        <f>Simulações!#REF!</f>
        <v>#REF!</v>
      </c>
      <c r="I782" s="114" t="e">
        <f>IF(Simulações!#REF!="","",Simulações!#REF!)</f>
        <v>#REF!</v>
      </c>
      <c r="J782" s="114" t="e">
        <f>IF(Simulações!#REF!="","",Simulações!#REF!)</f>
        <v>#REF!</v>
      </c>
      <c r="K782" s="117" t="e">
        <f>Simulações!#REF!</f>
        <v>#REF!</v>
      </c>
      <c r="L782" s="117" t="e">
        <f>Simulações!#REF!</f>
        <v>#REF!</v>
      </c>
      <c r="M782" s="114" t="e">
        <f>IF(Simulações!#REF!="","",Simulações!#REF!)</f>
        <v>#REF!</v>
      </c>
      <c r="N782" s="114" t="e">
        <f>IF(Simulações!#REF!="","",Simulações!#REF!)</f>
        <v>#REF!</v>
      </c>
      <c r="O782" s="114">
        <v>1</v>
      </c>
    </row>
    <row r="783" spans="1:15" ht="15.75" hidden="1" customHeight="1" x14ac:dyDescent="0.3">
      <c r="A783" s="124" t="e">
        <f>Simulações!#REF!</f>
        <v>#REF!</v>
      </c>
      <c r="B783" s="114" t="e">
        <f>Simulações!#REF!</f>
        <v>#REF!</v>
      </c>
      <c r="C783" s="125" t="e">
        <f>Simulações!#REF!</f>
        <v>#REF!</v>
      </c>
      <c r="D783" s="114" t="e">
        <f>Simulações!#REF!</f>
        <v>#REF!</v>
      </c>
      <c r="E783" s="114" t="e">
        <f>Simulações!#REF!</f>
        <v>#REF!</v>
      </c>
      <c r="F783" s="114" t="e">
        <f>Simulações!#REF!</f>
        <v>#REF!</v>
      </c>
      <c r="G783" s="114" t="e">
        <f>Simulações!#REF!</f>
        <v>#REF!</v>
      </c>
      <c r="H783" s="114" t="e">
        <f>Simulações!#REF!</f>
        <v>#REF!</v>
      </c>
      <c r="I783" s="114" t="e">
        <f>IF(Simulações!#REF!="","",Simulações!#REF!)</f>
        <v>#REF!</v>
      </c>
      <c r="J783" s="114" t="e">
        <f>IF(Simulações!#REF!="","",Simulações!#REF!)</f>
        <v>#REF!</v>
      </c>
      <c r="K783" s="117" t="e">
        <f>Simulações!#REF!</f>
        <v>#REF!</v>
      </c>
      <c r="L783" s="117" t="e">
        <f>Simulações!#REF!</f>
        <v>#REF!</v>
      </c>
      <c r="M783" s="114" t="e">
        <f>IF(Simulações!#REF!="","",Simulações!#REF!)</f>
        <v>#REF!</v>
      </c>
      <c r="N783" s="114" t="e">
        <f>IF(Simulações!#REF!="","",Simulações!#REF!)</f>
        <v>#REF!</v>
      </c>
      <c r="O783" s="114">
        <v>1</v>
      </c>
    </row>
    <row r="784" spans="1:15" ht="15.75" hidden="1" customHeight="1" x14ac:dyDescent="0.3">
      <c r="A784" s="124" t="e">
        <f>Simulações!#REF!</f>
        <v>#REF!</v>
      </c>
      <c r="B784" s="114" t="e">
        <f>Simulações!#REF!</f>
        <v>#REF!</v>
      </c>
      <c r="C784" s="125" t="e">
        <f>Simulações!#REF!</f>
        <v>#REF!</v>
      </c>
      <c r="D784" s="114" t="e">
        <f>Simulações!#REF!</f>
        <v>#REF!</v>
      </c>
      <c r="E784" s="114" t="e">
        <f>Simulações!#REF!</f>
        <v>#REF!</v>
      </c>
      <c r="F784" s="114" t="e">
        <f>Simulações!#REF!</f>
        <v>#REF!</v>
      </c>
      <c r="G784" s="114" t="e">
        <f>Simulações!#REF!</f>
        <v>#REF!</v>
      </c>
      <c r="H784" s="114" t="e">
        <f>Simulações!#REF!</f>
        <v>#REF!</v>
      </c>
      <c r="I784" s="114" t="e">
        <f>IF(Simulações!#REF!="","",Simulações!#REF!)</f>
        <v>#REF!</v>
      </c>
      <c r="J784" s="114" t="e">
        <f>IF(Simulações!#REF!="","",Simulações!#REF!)</f>
        <v>#REF!</v>
      </c>
      <c r="K784" s="117" t="e">
        <f>Simulações!#REF!</f>
        <v>#REF!</v>
      </c>
      <c r="L784" s="117" t="e">
        <f>Simulações!#REF!</f>
        <v>#REF!</v>
      </c>
      <c r="M784" s="114" t="e">
        <f>IF(Simulações!#REF!="","",Simulações!#REF!)</f>
        <v>#REF!</v>
      </c>
      <c r="N784" s="114" t="e">
        <f>IF(Simulações!#REF!="","",Simulações!#REF!)</f>
        <v>#REF!</v>
      </c>
      <c r="O784" s="114">
        <v>1</v>
      </c>
    </row>
    <row r="785" spans="1:15" ht="15.75" hidden="1" customHeight="1" x14ac:dyDescent="0.3">
      <c r="A785" s="124" t="e">
        <f>Simulações!#REF!</f>
        <v>#REF!</v>
      </c>
      <c r="B785" s="114" t="e">
        <f>Simulações!#REF!</f>
        <v>#REF!</v>
      </c>
      <c r="C785" s="125" t="e">
        <f>Simulações!#REF!</f>
        <v>#REF!</v>
      </c>
      <c r="D785" s="114" t="e">
        <f>Simulações!#REF!</f>
        <v>#REF!</v>
      </c>
      <c r="E785" s="114" t="e">
        <f>Simulações!#REF!</f>
        <v>#REF!</v>
      </c>
      <c r="F785" s="114" t="e">
        <f>Simulações!#REF!</f>
        <v>#REF!</v>
      </c>
      <c r="G785" s="114" t="e">
        <f>Simulações!#REF!</f>
        <v>#REF!</v>
      </c>
      <c r="H785" s="114" t="e">
        <f>Simulações!#REF!</f>
        <v>#REF!</v>
      </c>
      <c r="I785" s="114" t="e">
        <f>IF(Simulações!#REF!="","",Simulações!#REF!)</f>
        <v>#REF!</v>
      </c>
      <c r="J785" s="114" t="e">
        <f>IF(Simulações!#REF!="","",Simulações!#REF!)</f>
        <v>#REF!</v>
      </c>
      <c r="K785" s="117" t="e">
        <f>Simulações!#REF!</f>
        <v>#REF!</v>
      </c>
      <c r="L785" s="117" t="e">
        <f>Simulações!#REF!</f>
        <v>#REF!</v>
      </c>
      <c r="M785" s="114" t="e">
        <f>IF(Simulações!#REF!="","",Simulações!#REF!)</f>
        <v>#REF!</v>
      </c>
      <c r="N785" s="114" t="e">
        <f>IF(Simulações!#REF!="","",Simulações!#REF!)</f>
        <v>#REF!</v>
      </c>
      <c r="O785" s="114">
        <v>1</v>
      </c>
    </row>
    <row r="786" spans="1:15" ht="15.75" hidden="1" customHeight="1" x14ac:dyDescent="0.3">
      <c r="A786" s="124" t="e">
        <f>Simulações!#REF!</f>
        <v>#REF!</v>
      </c>
      <c r="B786" s="114" t="e">
        <f>Simulações!#REF!</f>
        <v>#REF!</v>
      </c>
      <c r="C786" s="125" t="e">
        <f>Simulações!#REF!</f>
        <v>#REF!</v>
      </c>
      <c r="D786" s="114" t="e">
        <f>Simulações!#REF!</f>
        <v>#REF!</v>
      </c>
      <c r="E786" s="114" t="e">
        <f>Simulações!#REF!</f>
        <v>#REF!</v>
      </c>
      <c r="F786" s="114" t="e">
        <f>Simulações!#REF!</f>
        <v>#REF!</v>
      </c>
      <c r="G786" s="114" t="e">
        <f>Simulações!#REF!</f>
        <v>#REF!</v>
      </c>
      <c r="H786" s="114" t="e">
        <f>Simulações!#REF!</f>
        <v>#REF!</v>
      </c>
      <c r="I786" s="114" t="e">
        <f>IF(Simulações!#REF!="","",Simulações!#REF!)</f>
        <v>#REF!</v>
      </c>
      <c r="J786" s="114" t="e">
        <f>IF(Simulações!#REF!="","",Simulações!#REF!)</f>
        <v>#REF!</v>
      </c>
      <c r="K786" s="117" t="e">
        <f>Simulações!#REF!</f>
        <v>#REF!</v>
      </c>
      <c r="L786" s="117" t="e">
        <f>Simulações!#REF!</f>
        <v>#REF!</v>
      </c>
      <c r="M786" s="114" t="e">
        <f>IF(Simulações!#REF!="","",Simulações!#REF!)</f>
        <v>#REF!</v>
      </c>
      <c r="N786" s="114" t="e">
        <f>IF(Simulações!#REF!="","",Simulações!#REF!)</f>
        <v>#REF!</v>
      </c>
      <c r="O786" s="114">
        <v>1</v>
      </c>
    </row>
    <row r="787" spans="1:15" ht="15.75" hidden="1" customHeight="1" x14ac:dyDescent="0.3">
      <c r="A787" s="124" t="e">
        <f>Simulações!#REF!</f>
        <v>#REF!</v>
      </c>
      <c r="B787" s="114" t="e">
        <f>Simulações!#REF!</f>
        <v>#REF!</v>
      </c>
      <c r="C787" s="125" t="e">
        <f>Simulações!#REF!</f>
        <v>#REF!</v>
      </c>
      <c r="D787" s="114" t="e">
        <f>Simulações!#REF!</f>
        <v>#REF!</v>
      </c>
      <c r="E787" s="114" t="e">
        <f>Simulações!#REF!</f>
        <v>#REF!</v>
      </c>
      <c r="F787" s="114" t="e">
        <f>Simulações!#REF!</f>
        <v>#REF!</v>
      </c>
      <c r="G787" s="114" t="e">
        <f>Simulações!#REF!</f>
        <v>#REF!</v>
      </c>
      <c r="H787" s="114" t="e">
        <f>Simulações!#REF!</f>
        <v>#REF!</v>
      </c>
      <c r="I787" s="114" t="e">
        <f>IF(Simulações!#REF!="","",Simulações!#REF!)</f>
        <v>#REF!</v>
      </c>
      <c r="J787" s="114" t="e">
        <f>IF(Simulações!#REF!="","",Simulações!#REF!)</f>
        <v>#REF!</v>
      </c>
      <c r="K787" s="117" t="e">
        <f>Simulações!#REF!</f>
        <v>#REF!</v>
      </c>
      <c r="L787" s="117" t="e">
        <f>Simulações!#REF!</f>
        <v>#REF!</v>
      </c>
      <c r="M787" s="114" t="e">
        <f>IF(Simulações!#REF!="","",Simulações!#REF!)</f>
        <v>#REF!</v>
      </c>
      <c r="N787" s="114" t="e">
        <f>IF(Simulações!#REF!="","",Simulações!#REF!)</f>
        <v>#REF!</v>
      </c>
      <c r="O787" s="114">
        <v>1</v>
      </c>
    </row>
    <row r="788" spans="1:15" ht="15.75" hidden="1" customHeight="1" x14ac:dyDescent="0.3">
      <c r="A788" s="124" t="e">
        <f>Simulações!#REF!</f>
        <v>#REF!</v>
      </c>
      <c r="B788" s="114" t="e">
        <f>Simulações!#REF!</f>
        <v>#REF!</v>
      </c>
      <c r="C788" s="125" t="e">
        <f>Simulações!#REF!</f>
        <v>#REF!</v>
      </c>
      <c r="D788" s="114" t="e">
        <f>Simulações!#REF!</f>
        <v>#REF!</v>
      </c>
      <c r="E788" s="114" t="e">
        <f>Simulações!#REF!</f>
        <v>#REF!</v>
      </c>
      <c r="F788" s="114" t="e">
        <f>Simulações!#REF!</f>
        <v>#REF!</v>
      </c>
      <c r="G788" s="114" t="e">
        <f>Simulações!#REF!</f>
        <v>#REF!</v>
      </c>
      <c r="H788" s="114" t="e">
        <f>Simulações!#REF!</f>
        <v>#REF!</v>
      </c>
      <c r="I788" s="114" t="e">
        <f>IF(Simulações!#REF!="","",Simulações!#REF!)</f>
        <v>#REF!</v>
      </c>
      <c r="J788" s="114" t="e">
        <f>IF(Simulações!#REF!="","",Simulações!#REF!)</f>
        <v>#REF!</v>
      </c>
      <c r="K788" s="117" t="e">
        <f>Simulações!#REF!</f>
        <v>#REF!</v>
      </c>
      <c r="L788" s="117" t="e">
        <f>Simulações!#REF!</f>
        <v>#REF!</v>
      </c>
      <c r="M788" s="114" t="e">
        <f>IF(Simulações!#REF!="","",Simulações!#REF!)</f>
        <v>#REF!</v>
      </c>
      <c r="N788" s="114" t="e">
        <f>IF(Simulações!#REF!="","",Simulações!#REF!)</f>
        <v>#REF!</v>
      </c>
      <c r="O788" s="114">
        <v>1</v>
      </c>
    </row>
    <row r="789" spans="1:15" ht="15.75" hidden="1" customHeight="1" x14ac:dyDescent="0.3">
      <c r="A789" s="124" t="e">
        <f>Simulações!#REF!</f>
        <v>#REF!</v>
      </c>
      <c r="B789" s="114" t="e">
        <f>Simulações!#REF!</f>
        <v>#REF!</v>
      </c>
      <c r="C789" s="125" t="e">
        <f>Simulações!#REF!</f>
        <v>#REF!</v>
      </c>
      <c r="D789" s="114" t="e">
        <f>Simulações!#REF!</f>
        <v>#REF!</v>
      </c>
      <c r="E789" s="114" t="e">
        <f>Simulações!#REF!</f>
        <v>#REF!</v>
      </c>
      <c r="F789" s="114" t="e">
        <f>Simulações!#REF!</f>
        <v>#REF!</v>
      </c>
      <c r="G789" s="114" t="e">
        <f>Simulações!#REF!</f>
        <v>#REF!</v>
      </c>
      <c r="H789" s="114" t="e">
        <f>Simulações!#REF!</f>
        <v>#REF!</v>
      </c>
      <c r="I789" s="114" t="e">
        <f>IF(Simulações!#REF!="","",Simulações!#REF!)</f>
        <v>#REF!</v>
      </c>
      <c r="J789" s="114" t="e">
        <f>IF(Simulações!#REF!="","",Simulações!#REF!)</f>
        <v>#REF!</v>
      </c>
      <c r="K789" s="117" t="e">
        <f>Simulações!#REF!</f>
        <v>#REF!</v>
      </c>
      <c r="L789" s="117" t="e">
        <f>Simulações!#REF!</f>
        <v>#REF!</v>
      </c>
      <c r="M789" s="114" t="e">
        <f>IF(Simulações!#REF!="","",Simulações!#REF!)</f>
        <v>#REF!</v>
      </c>
      <c r="N789" s="114" t="e">
        <f>IF(Simulações!#REF!="","",Simulações!#REF!)</f>
        <v>#REF!</v>
      </c>
      <c r="O789" s="114">
        <v>1</v>
      </c>
    </row>
    <row r="790" spans="1:15" ht="15.75" hidden="1" customHeight="1" x14ac:dyDescent="0.3">
      <c r="A790" s="124" t="e">
        <f>Simulações!#REF!</f>
        <v>#REF!</v>
      </c>
      <c r="B790" s="114" t="e">
        <f>Simulações!#REF!</f>
        <v>#REF!</v>
      </c>
      <c r="C790" s="125" t="e">
        <f>Simulações!#REF!</f>
        <v>#REF!</v>
      </c>
      <c r="D790" s="114" t="e">
        <f>Simulações!#REF!</f>
        <v>#REF!</v>
      </c>
      <c r="E790" s="114" t="e">
        <f>Simulações!#REF!</f>
        <v>#REF!</v>
      </c>
      <c r="F790" s="114" t="e">
        <f>Simulações!#REF!</f>
        <v>#REF!</v>
      </c>
      <c r="G790" s="114" t="e">
        <f>Simulações!#REF!</f>
        <v>#REF!</v>
      </c>
      <c r="H790" s="114" t="e">
        <f>Simulações!#REF!</f>
        <v>#REF!</v>
      </c>
      <c r="I790" s="114" t="e">
        <f>IF(Simulações!#REF!="","",Simulações!#REF!)</f>
        <v>#REF!</v>
      </c>
      <c r="J790" s="114" t="e">
        <f>IF(Simulações!#REF!="","",Simulações!#REF!)</f>
        <v>#REF!</v>
      </c>
      <c r="K790" s="117" t="e">
        <f>Simulações!#REF!</f>
        <v>#REF!</v>
      </c>
      <c r="L790" s="117" t="e">
        <f>Simulações!#REF!</f>
        <v>#REF!</v>
      </c>
      <c r="M790" s="114" t="e">
        <f>IF(Simulações!#REF!="","",Simulações!#REF!)</f>
        <v>#REF!</v>
      </c>
      <c r="N790" s="114" t="e">
        <f>IF(Simulações!#REF!="","",Simulações!#REF!)</f>
        <v>#REF!</v>
      </c>
      <c r="O790" s="114">
        <v>1</v>
      </c>
    </row>
    <row r="791" spans="1:15" ht="15.75" hidden="1" customHeight="1" x14ac:dyDescent="0.3">
      <c r="A791" s="124" t="e">
        <f>Simulações!#REF!</f>
        <v>#REF!</v>
      </c>
      <c r="B791" s="114" t="e">
        <f>Simulações!#REF!</f>
        <v>#REF!</v>
      </c>
      <c r="C791" s="125" t="e">
        <f>Simulações!#REF!</f>
        <v>#REF!</v>
      </c>
      <c r="D791" s="114" t="e">
        <f>Simulações!#REF!</f>
        <v>#REF!</v>
      </c>
      <c r="E791" s="114" t="e">
        <f>Simulações!#REF!</f>
        <v>#REF!</v>
      </c>
      <c r="F791" s="114" t="e">
        <f>Simulações!#REF!</f>
        <v>#REF!</v>
      </c>
      <c r="G791" s="114" t="e">
        <f>Simulações!#REF!</f>
        <v>#REF!</v>
      </c>
      <c r="H791" s="114" t="e">
        <f>Simulações!#REF!</f>
        <v>#REF!</v>
      </c>
      <c r="I791" s="114" t="e">
        <f>IF(Simulações!#REF!="","",Simulações!#REF!)</f>
        <v>#REF!</v>
      </c>
      <c r="J791" s="114" t="e">
        <f>IF(Simulações!#REF!="","",Simulações!#REF!)</f>
        <v>#REF!</v>
      </c>
      <c r="K791" s="117" t="e">
        <f>Simulações!#REF!</f>
        <v>#REF!</v>
      </c>
      <c r="L791" s="117" t="e">
        <f>Simulações!#REF!</f>
        <v>#REF!</v>
      </c>
      <c r="M791" s="114" t="e">
        <f>IF(Simulações!#REF!="","",Simulações!#REF!)</f>
        <v>#REF!</v>
      </c>
      <c r="N791" s="114" t="e">
        <f>IF(Simulações!#REF!="","",Simulações!#REF!)</f>
        <v>#REF!</v>
      </c>
      <c r="O791" s="114">
        <v>1</v>
      </c>
    </row>
    <row r="792" spans="1:15" ht="15.75" hidden="1" customHeight="1" x14ac:dyDescent="0.3">
      <c r="A792" s="124" t="e">
        <f>Simulações!#REF!</f>
        <v>#REF!</v>
      </c>
      <c r="B792" s="114" t="e">
        <f>Simulações!#REF!</f>
        <v>#REF!</v>
      </c>
      <c r="C792" s="125" t="e">
        <f>Simulações!#REF!</f>
        <v>#REF!</v>
      </c>
      <c r="D792" s="114" t="e">
        <f>Simulações!#REF!</f>
        <v>#REF!</v>
      </c>
      <c r="E792" s="114" t="e">
        <f>Simulações!#REF!</f>
        <v>#REF!</v>
      </c>
      <c r="F792" s="114" t="e">
        <f>Simulações!#REF!</f>
        <v>#REF!</v>
      </c>
      <c r="G792" s="114" t="e">
        <f>Simulações!#REF!</f>
        <v>#REF!</v>
      </c>
      <c r="H792" s="114" t="e">
        <f>Simulações!#REF!</f>
        <v>#REF!</v>
      </c>
      <c r="I792" s="114" t="e">
        <f>IF(Simulações!#REF!="","",Simulações!#REF!)</f>
        <v>#REF!</v>
      </c>
      <c r="J792" s="114" t="e">
        <f>IF(Simulações!#REF!="","",Simulações!#REF!)</f>
        <v>#REF!</v>
      </c>
      <c r="K792" s="117" t="e">
        <f>Simulações!#REF!</f>
        <v>#REF!</v>
      </c>
      <c r="L792" s="117" t="e">
        <f>Simulações!#REF!</f>
        <v>#REF!</v>
      </c>
      <c r="M792" s="114" t="e">
        <f>IF(Simulações!#REF!="","",Simulações!#REF!)</f>
        <v>#REF!</v>
      </c>
      <c r="N792" s="114" t="e">
        <f>IF(Simulações!#REF!="","",Simulações!#REF!)</f>
        <v>#REF!</v>
      </c>
      <c r="O792" s="114">
        <v>1</v>
      </c>
    </row>
    <row r="793" spans="1:15" ht="15.75" hidden="1" customHeight="1" x14ac:dyDescent="0.3">
      <c r="A793" s="124" t="e">
        <f>Simulações!#REF!</f>
        <v>#REF!</v>
      </c>
      <c r="B793" s="114" t="e">
        <f>Simulações!#REF!</f>
        <v>#REF!</v>
      </c>
      <c r="C793" s="125" t="e">
        <f>Simulações!#REF!</f>
        <v>#REF!</v>
      </c>
      <c r="D793" s="114" t="e">
        <f>Simulações!#REF!</f>
        <v>#REF!</v>
      </c>
      <c r="E793" s="114" t="e">
        <f>Simulações!#REF!</f>
        <v>#REF!</v>
      </c>
      <c r="F793" s="114" t="e">
        <f>Simulações!#REF!</f>
        <v>#REF!</v>
      </c>
      <c r="G793" s="114" t="e">
        <f>Simulações!#REF!</f>
        <v>#REF!</v>
      </c>
      <c r="H793" s="114" t="e">
        <f>Simulações!#REF!</f>
        <v>#REF!</v>
      </c>
      <c r="I793" s="114" t="e">
        <f>IF(Simulações!#REF!="","",Simulações!#REF!)</f>
        <v>#REF!</v>
      </c>
      <c r="J793" s="114" t="e">
        <f>IF(Simulações!#REF!="","",Simulações!#REF!)</f>
        <v>#REF!</v>
      </c>
      <c r="K793" s="117" t="e">
        <f>Simulações!#REF!</f>
        <v>#REF!</v>
      </c>
      <c r="L793" s="117" t="e">
        <f>Simulações!#REF!</f>
        <v>#REF!</v>
      </c>
      <c r="M793" s="114" t="e">
        <f>IF(Simulações!#REF!="","",Simulações!#REF!)</f>
        <v>#REF!</v>
      </c>
      <c r="N793" s="114" t="e">
        <f>IF(Simulações!#REF!="","",Simulações!#REF!)</f>
        <v>#REF!</v>
      </c>
      <c r="O793" s="114">
        <v>1</v>
      </c>
    </row>
    <row r="794" spans="1:15" ht="15.75" hidden="1" customHeight="1" x14ac:dyDescent="0.3">
      <c r="A794" s="124" t="e">
        <f>Simulações!#REF!</f>
        <v>#REF!</v>
      </c>
      <c r="B794" s="114" t="e">
        <f>Simulações!#REF!</f>
        <v>#REF!</v>
      </c>
      <c r="C794" s="125" t="e">
        <f>Simulações!#REF!</f>
        <v>#REF!</v>
      </c>
      <c r="D794" s="114" t="e">
        <f>Simulações!#REF!</f>
        <v>#REF!</v>
      </c>
      <c r="E794" s="114" t="e">
        <f>Simulações!#REF!</f>
        <v>#REF!</v>
      </c>
      <c r="F794" s="114" t="e">
        <f>Simulações!#REF!</f>
        <v>#REF!</v>
      </c>
      <c r="G794" s="114" t="e">
        <f>Simulações!#REF!</f>
        <v>#REF!</v>
      </c>
      <c r="H794" s="114" t="e">
        <f>Simulações!#REF!</f>
        <v>#REF!</v>
      </c>
      <c r="I794" s="114" t="e">
        <f>IF(Simulações!#REF!="","",Simulações!#REF!)</f>
        <v>#REF!</v>
      </c>
      <c r="J794" s="114" t="e">
        <f>IF(Simulações!#REF!="","",Simulações!#REF!)</f>
        <v>#REF!</v>
      </c>
      <c r="K794" s="117" t="e">
        <f>Simulações!#REF!</f>
        <v>#REF!</v>
      </c>
      <c r="L794" s="117" t="e">
        <f>Simulações!#REF!</f>
        <v>#REF!</v>
      </c>
      <c r="M794" s="114" t="e">
        <f>IF(Simulações!#REF!="","",Simulações!#REF!)</f>
        <v>#REF!</v>
      </c>
      <c r="N794" s="114" t="e">
        <f>IF(Simulações!#REF!="","",Simulações!#REF!)</f>
        <v>#REF!</v>
      </c>
      <c r="O794" s="114">
        <v>1</v>
      </c>
    </row>
    <row r="795" spans="1:15" ht="15.75" hidden="1" customHeight="1" x14ac:dyDescent="0.3">
      <c r="A795" s="124" t="e">
        <f>Simulações!#REF!</f>
        <v>#REF!</v>
      </c>
      <c r="B795" s="114" t="e">
        <f>Simulações!#REF!</f>
        <v>#REF!</v>
      </c>
      <c r="C795" s="125" t="e">
        <f>Simulações!#REF!</f>
        <v>#REF!</v>
      </c>
      <c r="D795" s="114" t="e">
        <f>Simulações!#REF!</f>
        <v>#REF!</v>
      </c>
      <c r="E795" s="114" t="e">
        <f>Simulações!#REF!</f>
        <v>#REF!</v>
      </c>
      <c r="F795" s="114" t="e">
        <f>Simulações!#REF!</f>
        <v>#REF!</v>
      </c>
      <c r="G795" s="114" t="e">
        <f>Simulações!#REF!</f>
        <v>#REF!</v>
      </c>
      <c r="H795" s="114" t="e">
        <f>Simulações!#REF!</f>
        <v>#REF!</v>
      </c>
      <c r="I795" s="114" t="e">
        <f>IF(Simulações!#REF!="","",Simulações!#REF!)</f>
        <v>#REF!</v>
      </c>
      <c r="J795" s="114" t="e">
        <f>IF(Simulações!#REF!="","",Simulações!#REF!)</f>
        <v>#REF!</v>
      </c>
      <c r="K795" s="117" t="e">
        <f>Simulações!#REF!</f>
        <v>#REF!</v>
      </c>
      <c r="L795" s="117" t="e">
        <f>Simulações!#REF!</f>
        <v>#REF!</v>
      </c>
      <c r="M795" s="114" t="e">
        <f>IF(Simulações!#REF!="","",Simulações!#REF!)</f>
        <v>#REF!</v>
      </c>
      <c r="N795" s="114" t="e">
        <f>IF(Simulações!#REF!="","",Simulações!#REF!)</f>
        <v>#REF!</v>
      </c>
      <c r="O795" s="114">
        <v>1</v>
      </c>
    </row>
    <row r="796" spans="1:15" ht="15.75" hidden="1" customHeight="1" x14ac:dyDescent="0.3">
      <c r="A796" s="124" t="e">
        <f>Simulações!#REF!</f>
        <v>#REF!</v>
      </c>
      <c r="B796" s="114" t="e">
        <f>Simulações!#REF!</f>
        <v>#REF!</v>
      </c>
      <c r="C796" s="125" t="e">
        <f>Simulações!#REF!</f>
        <v>#REF!</v>
      </c>
      <c r="D796" s="114" t="e">
        <f>Simulações!#REF!</f>
        <v>#REF!</v>
      </c>
      <c r="E796" s="114" t="e">
        <f>Simulações!#REF!</f>
        <v>#REF!</v>
      </c>
      <c r="F796" s="114" t="e">
        <f>Simulações!#REF!</f>
        <v>#REF!</v>
      </c>
      <c r="G796" s="114" t="e">
        <f>Simulações!#REF!</f>
        <v>#REF!</v>
      </c>
      <c r="H796" s="114" t="e">
        <f>Simulações!#REF!</f>
        <v>#REF!</v>
      </c>
      <c r="I796" s="114" t="e">
        <f>IF(Simulações!#REF!="","",Simulações!#REF!)</f>
        <v>#REF!</v>
      </c>
      <c r="J796" s="114" t="e">
        <f>IF(Simulações!#REF!="","",Simulações!#REF!)</f>
        <v>#REF!</v>
      </c>
      <c r="K796" s="117" t="e">
        <f>Simulações!#REF!</f>
        <v>#REF!</v>
      </c>
      <c r="L796" s="117" t="e">
        <f>Simulações!#REF!</f>
        <v>#REF!</v>
      </c>
      <c r="M796" s="114" t="e">
        <f>IF(Simulações!#REF!="","",Simulações!#REF!)</f>
        <v>#REF!</v>
      </c>
      <c r="N796" s="114" t="e">
        <f>IF(Simulações!#REF!="","",Simulações!#REF!)</f>
        <v>#REF!</v>
      </c>
      <c r="O796" s="114">
        <v>1</v>
      </c>
    </row>
    <row r="797" spans="1:15" ht="15.75" hidden="1" customHeight="1" x14ac:dyDescent="0.3">
      <c r="A797" s="124" t="e">
        <f>Simulações!#REF!</f>
        <v>#REF!</v>
      </c>
      <c r="B797" s="114" t="e">
        <f>Simulações!#REF!</f>
        <v>#REF!</v>
      </c>
      <c r="C797" s="125" t="e">
        <f>Simulações!#REF!</f>
        <v>#REF!</v>
      </c>
      <c r="D797" s="114" t="e">
        <f>Simulações!#REF!</f>
        <v>#REF!</v>
      </c>
      <c r="E797" s="114" t="e">
        <f>Simulações!#REF!</f>
        <v>#REF!</v>
      </c>
      <c r="F797" s="114" t="e">
        <f>Simulações!#REF!</f>
        <v>#REF!</v>
      </c>
      <c r="G797" s="114" t="e">
        <f>Simulações!#REF!</f>
        <v>#REF!</v>
      </c>
      <c r="H797" s="114" t="e">
        <f>Simulações!#REF!</f>
        <v>#REF!</v>
      </c>
      <c r="I797" s="114" t="e">
        <f>IF(Simulações!#REF!="","",Simulações!#REF!)</f>
        <v>#REF!</v>
      </c>
      <c r="J797" s="114" t="e">
        <f>IF(Simulações!#REF!="","",Simulações!#REF!)</f>
        <v>#REF!</v>
      </c>
      <c r="K797" s="117" t="e">
        <f>Simulações!#REF!</f>
        <v>#REF!</v>
      </c>
      <c r="L797" s="117" t="e">
        <f>Simulações!#REF!</f>
        <v>#REF!</v>
      </c>
      <c r="M797" s="114" t="e">
        <f>IF(Simulações!#REF!="","",Simulações!#REF!)</f>
        <v>#REF!</v>
      </c>
      <c r="N797" s="114" t="e">
        <f>IF(Simulações!#REF!="","",Simulações!#REF!)</f>
        <v>#REF!</v>
      </c>
      <c r="O797" s="114">
        <v>1</v>
      </c>
    </row>
    <row r="798" spans="1:15" ht="15.75" hidden="1" customHeight="1" x14ac:dyDescent="0.3">
      <c r="A798" s="124" t="e">
        <f>Simulações!#REF!</f>
        <v>#REF!</v>
      </c>
      <c r="B798" s="114" t="e">
        <f>Simulações!#REF!</f>
        <v>#REF!</v>
      </c>
      <c r="C798" s="125" t="e">
        <f>Simulações!#REF!</f>
        <v>#REF!</v>
      </c>
      <c r="D798" s="114" t="e">
        <f>Simulações!#REF!</f>
        <v>#REF!</v>
      </c>
      <c r="E798" s="114" t="e">
        <f>Simulações!#REF!</f>
        <v>#REF!</v>
      </c>
      <c r="F798" s="114" t="e">
        <f>Simulações!#REF!</f>
        <v>#REF!</v>
      </c>
      <c r="G798" s="114" t="e">
        <f>Simulações!#REF!</f>
        <v>#REF!</v>
      </c>
      <c r="H798" s="114" t="e">
        <f>Simulações!#REF!</f>
        <v>#REF!</v>
      </c>
      <c r="I798" s="114" t="e">
        <f>IF(Simulações!#REF!="","",Simulações!#REF!)</f>
        <v>#REF!</v>
      </c>
      <c r="J798" s="114" t="e">
        <f>IF(Simulações!#REF!="","",Simulações!#REF!)</f>
        <v>#REF!</v>
      </c>
      <c r="K798" s="117" t="e">
        <f>Simulações!#REF!</f>
        <v>#REF!</v>
      </c>
      <c r="L798" s="117" t="e">
        <f>Simulações!#REF!</f>
        <v>#REF!</v>
      </c>
      <c r="M798" s="114" t="e">
        <f>IF(Simulações!#REF!="","",Simulações!#REF!)</f>
        <v>#REF!</v>
      </c>
      <c r="N798" s="114" t="e">
        <f>IF(Simulações!#REF!="","",Simulações!#REF!)</f>
        <v>#REF!</v>
      </c>
      <c r="O798" s="114">
        <v>1</v>
      </c>
    </row>
    <row r="799" spans="1:15" ht="15.75" hidden="1" customHeight="1" x14ac:dyDescent="0.3">
      <c r="A799" s="124" t="e">
        <f>Simulações!#REF!</f>
        <v>#REF!</v>
      </c>
      <c r="B799" s="114" t="e">
        <f>Simulações!#REF!</f>
        <v>#REF!</v>
      </c>
      <c r="C799" s="125" t="e">
        <f>Simulações!#REF!</f>
        <v>#REF!</v>
      </c>
      <c r="D799" s="114" t="e">
        <f>Simulações!#REF!</f>
        <v>#REF!</v>
      </c>
      <c r="E799" s="114" t="e">
        <f>Simulações!#REF!</f>
        <v>#REF!</v>
      </c>
      <c r="F799" s="114" t="e">
        <f>Simulações!#REF!</f>
        <v>#REF!</v>
      </c>
      <c r="G799" s="114" t="e">
        <f>Simulações!#REF!</f>
        <v>#REF!</v>
      </c>
      <c r="H799" s="114" t="e">
        <f>Simulações!#REF!</f>
        <v>#REF!</v>
      </c>
      <c r="I799" s="114" t="e">
        <f>IF(Simulações!#REF!="","",Simulações!#REF!)</f>
        <v>#REF!</v>
      </c>
      <c r="J799" s="114" t="e">
        <f>IF(Simulações!#REF!="","",Simulações!#REF!)</f>
        <v>#REF!</v>
      </c>
      <c r="K799" s="117" t="e">
        <f>Simulações!#REF!</f>
        <v>#REF!</v>
      </c>
      <c r="L799" s="117" t="e">
        <f>Simulações!#REF!</f>
        <v>#REF!</v>
      </c>
      <c r="M799" s="114" t="e">
        <f>IF(Simulações!#REF!="","",Simulações!#REF!)</f>
        <v>#REF!</v>
      </c>
      <c r="N799" s="114" t="e">
        <f>IF(Simulações!#REF!="","",Simulações!#REF!)</f>
        <v>#REF!</v>
      </c>
      <c r="O799" s="114">
        <v>1</v>
      </c>
    </row>
    <row r="800" spans="1:15" ht="15.75" hidden="1" customHeight="1" x14ac:dyDescent="0.3">
      <c r="A800" s="124" t="e">
        <f>Simulações!#REF!</f>
        <v>#REF!</v>
      </c>
      <c r="B800" s="114" t="e">
        <f>Simulações!#REF!</f>
        <v>#REF!</v>
      </c>
      <c r="C800" s="125" t="e">
        <f>Simulações!#REF!</f>
        <v>#REF!</v>
      </c>
      <c r="D800" s="114" t="e">
        <f>Simulações!#REF!</f>
        <v>#REF!</v>
      </c>
      <c r="E800" s="114" t="e">
        <f>Simulações!#REF!</f>
        <v>#REF!</v>
      </c>
      <c r="F800" s="114" t="e">
        <f>Simulações!#REF!</f>
        <v>#REF!</v>
      </c>
      <c r="G800" s="114" t="e">
        <f>Simulações!#REF!</f>
        <v>#REF!</v>
      </c>
      <c r="H800" s="114" t="e">
        <f>Simulações!#REF!</f>
        <v>#REF!</v>
      </c>
      <c r="I800" s="114" t="e">
        <f>IF(Simulações!#REF!="","",Simulações!#REF!)</f>
        <v>#REF!</v>
      </c>
      <c r="J800" s="114" t="e">
        <f>IF(Simulações!#REF!="","",Simulações!#REF!)</f>
        <v>#REF!</v>
      </c>
      <c r="K800" s="117" t="e">
        <f>Simulações!#REF!</f>
        <v>#REF!</v>
      </c>
      <c r="L800" s="117" t="e">
        <f>Simulações!#REF!</f>
        <v>#REF!</v>
      </c>
      <c r="M800" s="114" t="e">
        <f>IF(Simulações!#REF!="","",Simulações!#REF!)</f>
        <v>#REF!</v>
      </c>
      <c r="N800" s="114" t="e">
        <f>IF(Simulações!#REF!="","",Simulações!#REF!)</f>
        <v>#REF!</v>
      </c>
      <c r="O800" s="114">
        <v>1</v>
      </c>
    </row>
    <row r="801" spans="1:15" ht="15.75" hidden="1" customHeight="1" x14ac:dyDescent="0.3">
      <c r="A801" s="124" t="e">
        <f>Simulações!#REF!</f>
        <v>#REF!</v>
      </c>
      <c r="B801" s="114" t="e">
        <f>Simulações!#REF!</f>
        <v>#REF!</v>
      </c>
      <c r="C801" s="125" t="e">
        <f>Simulações!#REF!</f>
        <v>#REF!</v>
      </c>
      <c r="D801" s="114" t="e">
        <f>Simulações!#REF!</f>
        <v>#REF!</v>
      </c>
      <c r="E801" s="114" t="e">
        <f>Simulações!#REF!</f>
        <v>#REF!</v>
      </c>
      <c r="F801" s="114" t="e">
        <f>Simulações!#REF!</f>
        <v>#REF!</v>
      </c>
      <c r="G801" s="114" t="e">
        <f>Simulações!#REF!</f>
        <v>#REF!</v>
      </c>
      <c r="H801" s="114" t="e">
        <f>Simulações!#REF!</f>
        <v>#REF!</v>
      </c>
      <c r="I801" s="114" t="e">
        <f>IF(Simulações!#REF!="","",Simulações!#REF!)</f>
        <v>#REF!</v>
      </c>
      <c r="J801" s="114" t="e">
        <f>IF(Simulações!#REF!="","",Simulações!#REF!)</f>
        <v>#REF!</v>
      </c>
      <c r="K801" s="117" t="e">
        <f>Simulações!#REF!</f>
        <v>#REF!</v>
      </c>
      <c r="L801" s="117" t="e">
        <f>Simulações!#REF!</f>
        <v>#REF!</v>
      </c>
      <c r="M801" s="114" t="e">
        <f>IF(Simulações!#REF!="","",Simulações!#REF!)</f>
        <v>#REF!</v>
      </c>
      <c r="N801" s="114" t="e">
        <f>IF(Simulações!#REF!="","",Simulações!#REF!)</f>
        <v>#REF!</v>
      </c>
      <c r="O801" s="114">
        <v>1</v>
      </c>
    </row>
    <row r="802" spans="1:15" ht="15.75" hidden="1" customHeight="1" x14ac:dyDescent="0.3">
      <c r="A802" s="124" t="e">
        <f>Simulações!#REF!</f>
        <v>#REF!</v>
      </c>
      <c r="B802" s="114" t="e">
        <f>Simulações!#REF!</f>
        <v>#REF!</v>
      </c>
      <c r="C802" s="125" t="e">
        <f>Simulações!#REF!</f>
        <v>#REF!</v>
      </c>
      <c r="D802" s="114" t="e">
        <f>Simulações!#REF!</f>
        <v>#REF!</v>
      </c>
      <c r="E802" s="114" t="e">
        <f>Simulações!#REF!</f>
        <v>#REF!</v>
      </c>
      <c r="F802" s="114" t="e">
        <f>Simulações!#REF!</f>
        <v>#REF!</v>
      </c>
      <c r="G802" s="114" t="e">
        <f>Simulações!#REF!</f>
        <v>#REF!</v>
      </c>
      <c r="H802" s="114" t="e">
        <f>Simulações!#REF!</f>
        <v>#REF!</v>
      </c>
      <c r="I802" s="114" t="e">
        <f>IF(Simulações!#REF!="","",Simulações!#REF!)</f>
        <v>#REF!</v>
      </c>
      <c r="J802" s="114" t="e">
        <f>IF(Simulações!#REF!="","",Simulações!#REF!)</f>
        <v>#REF!</v>
      </c>
      <c r="K802" s="117" t="e">
        <f>Simulações!#REF!</f>
        <v>#REF!</v>
      </c>
      <c r="L802" s="117" t="e">
        <f>Simulações!#REF!</f>
        <v>#REF!</v>
      </c>
      <c r="M802" s="114" t="e">
        <f>IF(Simulações!#REF!="","",Simulações!#REF!)</f>
        <v>#REF!</v>
      </c>
      <c r="N802" s="114" t="e">
        <f>IF(Simulações!#REF!="","",Simulações!#REF!)</f>
        <v>#REF!</v>
      </c>
      <c r="O802" s="114">
        <v>1</v>
      </c>
    </row>
    <row r="803" spans="1:15" ht="15.75" hidden="1" customHeight="1" x14ac:dyDescent="0.3">
      <c r="A803" s="124" t="e">
        <f>Simulações!#REF!</f>
        <v>#REF!</v>
      </c>
      <c r="B803" s="114" t="e">
        <f>Simulações!#REF!</f>
        <v>#REF!</v>
      </c>
      <c r="C803" s="125" t="e">
        <f>Simulações!#REF!</f>
        <v>#REF!</v>
      </c>
      <c r="D803" s="114" t="e">
        <f>Simulações!#REF!</f>
        <v>#REF!</v>
      </c>
      <c r="E803" s="114" t="e">
        <f>Simulações!#REF!</f>
        <v>#REF!</v>
      </c>
      <c r="F803" s="114" t="e">
        <f>Simulações!#REF!</f>
        <v>#REF!</v>
      </c>
      <c r="G803" s="114" t="e">
        <f>Simulações!#REF!</f>
        <v>#REF!</v>
      </c>
      <c r="H803" s="114" t="e">
        <f>Simulações!#REF!</f>
        <v>#REF!</v>
      </c>
      <c r="I803" s="114" t="e">
        <f>IF(Simulações!#REF!="","",Simulações!#REF!)</f>
        <v>#REF!</v>
      </c>
      <c r="J803" s="114" t="e">
        <f>IF(Simulações!#REF!="","",Simulações!#REF!)</f>
        <v>#REF!</v>
      </c>
      <c r="K803" s="117" t="e">
        <f>Simulações!#REF!</f>
        <v>#REF!</v>
      </c>
      <c r="L803" s="117" t="e">
        <f>Simulações!#REF!</f>
        <v>#REF!</v>
      </c>
      <c r="M803" s="114" t="e">
        <f>IF(Simulações!#REF!="","",Simulações!#REF!)</f>
        <v>#REF!</v>
      </c>
      <c r="N803" s="114" t="e">
        <f>IF(Simulações!#REF!="","",Simulações!#REF!)</f>
        <v>#REF!</v>
      </c>
      <c r="O803" s="114">
        <v>1</v>
      </c>
    </row>
    <row r="804" spans="1:15" ht="15.75" hidden="1" customHeight="1" x14ac:dyDescent="0.3">
      <c r="A804" s="124" t="e">
        <f>Simulações!#REF!</f>
        <v>#REF!</v>
      </c>
      <c r="B804" s="114" t="e">
        <f>Simulações!#REF!</f>
        <v>#REF!</v>
      </c>
      <c r="C804" s="125" t="e">
        <f>Simulações!#REF!</f>
        <v>#REF!</v>
      </c>
      <c r="D804" s="114" t="e">
        <f>Simulações!#REF!</f>
        <v>#REF!</v>
      </c>
      <c r="E804" s="114" t="e">
        <f>Simulações!#REF!</f>
        <v>#REF!</v>
      </c>
      <c r="F804" s="114" t="e">
        <f>Simulações!#REF!</f>
        <v>#REF!</v>
      </c>
      <c r="G804" s="114" t="e">
        <f>Simulações!#REF!</f>
        <v>#REF!</v>
      </c>
      <c r="H804" s="114" t="e">
        <f>Simulações!#REF!</f>
        <v>#REF!</v>
      </c>
      <c r="I804" s="114" t="e">
        <f>IF(Simulações!#REF!="","",Simulações!#REF!)</f>
        <v>#REF!</v>
      </c>
      <c r="J804" s="114" t="e">
        <f>IF(Simulações!#REF!="","",Simulações!#REF!)</f>
        <v>#REF!</v>
      </c>
      <c r="K804" s="117" t="e">
        <f>Simulações!#REF!</f>
        <v>#REF!</v>
      </c>
      <c r="L804" s="117" t="e">
        <f>Simulações!#REF!</f>
        <v>#REF!</v>
      </c>
      <c r="M804" s="114" t="e">
        <f>IF(Simulações!#REF!="","",Simulações!#REF!)</f>
        <v>#REF!</v>
      </c>
      <c r="N804" s="114" t="e">
        <f>IF(Simulações!#REF!="","",Simulações!#REF!)</f>
        <v>#REF!</v>
      </c>
      <c r="O804" s="114">
        <v>1</v>
      </c>
    </row>
    <row r="805" spans="1:15" ht="15.75" hidden="1" customHeight="1" x14ac:dyDescent="0.3">
      <c r="A805" s="124" t="e">
        <f>Simulações!#REF!</f>
        <v>#REF!</v>
      </c>
      <c r="B805" s="114" t="e">
        <f>Simulações!#REF!</f>
        <v>#REF!</v>
      </c>
      <c r="C805" s="125" t="e">
        <f>Simulações!#REF!</f>
        <v>#REF!</v>
      </c>
      <c r="D805" s="114" t="e">
        <f>Simulações!#REF!</f>
        <v>#REF!</v>
      </c>
      <c r="E805" s="114" t="e">
        <f>Simulações!#REF!</f>
        <v>#REF!</v>
      </c>
      <c r="F805" s="114" t="e">
        <f>Simulações!#REF!</f>
        <v>#REF!</v>
      </c>
      <c r="G805" s="114" t="e">
        <f>Simulações!#REF!</f>
        <v>#REF!</v>
      </c>
      <c r="H805" s="114" t="e">
        <f>Simulações!#REF!</f>
        <v>#REF!</v>
      </c>
      <c r="I805" s="114" t="e">
        <f>IF(Simulações!#REF!="","",Simulações!#REF!)</f>
        <v>#REF!</v>
      </c>
      <c r="J805" s="114" t="e">
        <f>IF(Simulações!#REF!="","",Simulações!#REF!)</f>
        <v>#REF!</v>
      </c>
      <c r="K805" s="117" t="e">
        <f>Simulações!#REF!</f>
        <v>#REF!</v>
      </c>
      <c r="L805" s="117" t="e">
        <f>Simulações!#REF!</f>
        <v>#REF!</v>
      </c>
      <c r="M805" s="114" t="e">
        <f>IF(Simulações!#REF!="","",Simulações!#REF!)</f>
        <v>#REF!</v>
      </c>
      <c r="N805" s="114" t="e">
        <f>IF(Simulações!#REF!="","",Simulações!#REF!)</f>
        <v>#REF!</v>
      </c>
      <c r="O805" s="114">
        <v>1</v>
      </c>
    </row>
    <row r="806" spans="1:15" ht="15.75" hidden="1" customHeight="1" x14ac:dyDescent="0.3">
      <c r="A806" s="124" t="e">
        <f>Simulações!#REF!</f>
        <v>#REF!</v>
      </c>
      <c r="B806" s="114" t="e">
        <f>Simulações!#REF!</f>
        <v>#REF!</v>
      </c>
      <c r="C806" s="125" t="e">
        <f>Simulações!#REF!</f>
        <v>#REF!</v>
      </c>
      <c r="D806" s="114" t="e">
        <f>Simulações!#REF!</f>
        <v>#REF!</v>
      </c>
      <c r="E806" s="114" t="e">
        <f>Simulações!#REF!</f>
        <v>#REF!</v>
      </c>
      <c r="F806" s="114" t="e">
        <f>Simulações!#REF!</f>
        <v>#REF!</v>
      </c>
      <c r="G806" s="114" t="e">
        <f>Simulações!#REF!</f>
        <v>#REF!</v>
      </c>
      <c r="H806" s="114" t="e">
        <f>Simulações!#REF!</f>
        <v>#REF!</v>
      </c>
      <c r="I806" s="114" t="e">
        <f>IF(Simulações!#REF!="","",Simulações!#REF!)</f>
        <v>#REF!</v>
      </c>
      <c r="J806" s="114" t="e">
        <f>IF(Simulações!#REF!="","",Simulações!#REF!)</f>
        <v>#REF!</v>
      </c>
      <c r="K806" s="117" t="e">
        <f>Simulações!#REF!</f>
        <v>#REF!</v>
      </c>
      <c r="L806" s="117" t="e">
        <f>Simulações!#REF!</f>
        <v>#REF!</v>
      </c>
      <c r="M806" s="114" t="e">
        <f>IF(Simulações!#REF!="","",Simulações!#REF!)</f>
        <v>#REF!</v>
      </c>
      <c r="N806" s="114" t="e">
        <f>IF(Simulações!#REF!="","",Simulações!#REF!)</f>
        <v>#REF!</v>
      </c>
      <c r="O806" s="114">
        <v>1</v>
      </c>
    </row>
    <row r="807" spans="1:15" ht="15.75" hidden="1" customHeight="1" x14ac:dyDescent="0.3">
      <c r="A807" s="124" t="e">
        <f>Simulações!#REF!</f>
        <v>#REF!</v>
      </c>
      <c r="B807" s="114" t="e">
        <f>Simulações!#REF!</f>
        <v>#REF!</v>
      </c>
      <c r="C807" s="125" t="e">
        <f>Simulações!#REF!</f>
        <v>#REF!</v>
      </c>
      <c r="D807" s="114" t="e">
        <f>Simulações!#REF!</f>
        <v>#REF!</v>
      </c>
      <c r="E807" s="114" t="e">
        <f>Simulações!#REF!</f>
        <v>#REF!</v>
      </c>
      <c r="F807" s="114" t="e">
        <f>Simulações!#REF!</f>
        <v>#REF!</v>
      </c>
      <c r="G807" s="114" t="e">
        <f>Simulações!#REF!</f>
        <v>#REF!</v>
      </c>
      <c r="H807" s="114" t="e">
        <f>Simulações!#REF!</f>
        <v>#REF!</v>
      </c>
      <c r="I807" s="114" t="e">
        <f>IF(Simulações!#REF!="","",Simulações!#REF!)</f>
        <v>#REF!</v>
      </c>
      <c r="J807" s="114" t="e">
        <f>IF(Simulações!#REF!="","",Simulações!#REF!)</f>
        <v>#REF!</v>
      </c>
      <c r="K807" s="117" t="e">
        <f>Simulações!#REF!</f>
        <v>#REF!</v>
      </c>
      <c r="L807" s="117" t="e">
        <f>Simulações!#REF!</f>
        <v>#REF!</v>
      </c>
      <c r="M807" s="114" t="e">
        <f>IF(Simulações!#REF!="","",Simulações!#REF!)</f>
        <v>#REF!</v>
      </c>
      <c r="N807" s="114" t="e">
        <f>IF(Simulações!#REF!="","",Simulações!#REF!)</f>
        <v>#REF!</v>
      </c>
      <c r="O807" s="114">
        <v>1</v>
      </c>
    </row>
    <row r="808" spans="1:15" ht="15.75" hidden="1" customHeight="1" x14ac:dyDescent="0.3">
      <c r="A808" s="124" t="e">
        <f>Simulações!#REF!</f>
        <v>#REF!</v>
      </c>
      <c r="B808" s="114" t="e">
        <f>Simulações!#REF!</f>
        <v>#REF!</v>
      </c>
      <c r="C808" s="125" t="e">
        <f>Simulações!#REF!</f>
        <v>#REF!</v>
      </c>
      <c r="D808" s="114" t="e">
        <f>Simulações!#REF!</f>
        <v>#REF!</v>
      </c>
      <c r="E808" s="114" t="e">
        <f>Simulações!#REF!</f>
        <v>#REF!</v>
      </c>
      <c r="F808" s="114" t="e">
        <f>Simulações!#REF!</f>
        <v>#REF!</v>
      </c>
      <c r="G808" s="114" t="e">
        <f>Simulações!#REF!</f>
        <v>#REF!</v>
      </c>
      <c r="H808" s="114" t="e">
        <f>Simulações!#REF!</f>
        <v>#REF!</v>
      </c>
      <c r="I808" s="114" t="e">
        <f>IF(Simulações!#REF!="","",Simulações!#REF!)</f>
        <v>#REF!</v>
      </c>
      <c r="J808" s="114" t="e">
        <f>IF(Simulações!#REF!="","",Simulações!#REF!)</f>
        <v>#REF!</v>
      </c>
      <c r="K808" s="117" t="e">
        <f>Simulações!#REF!</f>
        <v>#REF!</v>
      </c>
      <c r="L808" s="117" t="e">
        <f>Simulações!#REF!</f>
        <v>#REF!</v>
      </c>
      <c r="M808" s="114" t="e">
        <f>IF(Simulações!#REF!="","",Simulações!#REF!)</f>
        <v>#REF!</v>
      </c>
      <c r="N808" s="114" t="e">
        <f>IF(Simulações!#REF!="","",Simulações!#REF!)</f>
        <v>#REF!</v>
      </c>
      <c r="O808" s="114">
        <v>1</v>
      </c>
    </row>
    <row r="809" spans="1:15" ht="15.75" hidden="1" customHeight="1" x14ac:dyDescent="0.3">
      <c r="A809" s="124" t="e">
        <f>Simulações!#REF!</f>
        <v>#REF!</v>
      </c>
      <c r="B809" s="114" t="e">
        <f>Simulações!#REF!</f>
        <v>#REF!</v>
      </c>
      <c r="C809" s="125" t="e">
        <f>Simulações!#REF!</f>
        <v>#REF!</v>
      </c>
      <c r="D809" s="114" t="e">
        <f>Simulações!#REF!</f>
        <v>#REF!</v>
      </c>
      <c r="E809" s="114" t="e">
        <f>Simulações!#REF!</f>
        <v>#REF!</v>
      </c>
      <c r="F809" s="114" t="e">
        <f>Simulações!#REF!</f>
        <v>#REF!</v>
      </c>
      <c r="G809" s="114" t="e">
        <f>Simulações!#REF!</f>
        <v>#REF!</v>
      </c>
      <c r="H809" s="114" t="e">
        <f>Simulações!#REF!</f>
        <v>#REF!</v>
      </c>
      <c r="I809" s="114" t="e">
        <f>IF(Simulações!#REF!="","",Simulações!#REF!)</f>
        <v>#REF!</v>
      </c>
      <c r="J809" s="114" t="e">
        <f>IF(Simulações!#REF!="","",Simulações!#REF!)</f>
        <v>#REF!</v>
      </c>
      <c r="K809" s="117" t="e">
        <f>Simulações!#REF!</f>
        <v>#REF!</v>
      </c>
      <c r="L809" s="117" t="e">
        <f>Simulações!#REF!</f>
        <v>#REF!</v>
      </c>
      <c r="M809" s="114" t="e">
        <f>IF(Simulações!#REF!="","",Simulações!#REF!)</f>
        <v>#REF!</v>
      </c>
      <c r="N809" s="114" t="e">
        <f>IF(Simulações!#REF!="","",Simulações!#REF!)</f>
        <v>#REF!</v>
      </c>
      <c r="O809" s="114">
        <v>1</v>
      </c>
    </row>
    <row r="810" spans="1:15" ht="15.75" hidden="1" customHeight="1" x14ac:dyDescent="0.3">
      <c r="A810" s="124" t="e">
        <f>Simulações!#REF!</f>
        <v>#REF!</v>
      </c>
      <c r="B810" s="114" t="e">
        <f>Simulações!#REF!</f>
        <v>#REF!</v>
      </c>
      <c r="C810" s="125" t="e">
        <f>Simulações!#REF!</f>
        <v>#REF!</v>
      </c>
      <c r="D810" s="114" t="e">
        <f>Simulações!#REF!</f>
        <v>#REF!</v>
      </c>
      <c r="E810" s="114" t="e">
        <f>Simulações!#REF!</f>
        <v>#REF!</v>
      </c>
      <c r="F810" s="114" t="e">
        <f>Simulações!#REF!</f>
        <v>#REF!</v>
      </c>
      <c r="G810" s="114" t="e">
        <f>Simulações!#REF!</f>
        <v>#REF!</v>
      </c>
      <c r="H810" s="114" t="e">
        <f>Simulações!#REF!</f>
        <v>#REF!</v>
      </c>
      <c r="I810" s="114" t="e">
        <f>IF(Simulações!#REF!="","",Simulações!#REF!)</f>
        <v>#REF!</v>
      </c>
      <c r="J810" s="114" t="e">
        <f>IF(Simulações!#REF!="","",Simulações!#REF!)</f>
        <v>#REF!</v>
      </c>
      <c r="K810" s="117" t="e">
        <f>Simulações!#REF!</f>
        <v>#REF!</v>
      </c>
      <c r="L810" s="117" t="e">
        <f>Simulações!#REF!</f>
        <v>#REF!</v>
      </c>
      <c r="M810" s="114" t="e">
        <f>IF(Simulações!#REF!="","",Simulações!#REF!)</f>
        <v>#REF!</v>
      </c>
      <c r="N810" s="114" t="e">
        <f>IF(Simulações!#REF!="","",Simulações!#REF!)</f>
        <v>#REF!</v>
      </c>
      <c r="O810" s="114">
        <v>1</v>
      </c>
    </row>
    <row r="811" spans="1:15" ht="15.75" hidden="1" customHeight="1" x14ac:dyDescent="0.3">
      <c r="A811" s="124" t="e">
        <f>Simulações!#REF!</f>
        <v>#REF!</v>
      </c>
      <c r="B811" s="114" t="e">
        <f>Simulações!#REF!</f>
        <v>#REF!</v>
      </c>
      <c r="C811" s="125" t="e">
        <f>Simulações!#REF!</f>
        <v>#REF!</v>
      </c>
      <c r="D811" s="114" t="e">
        <f>Simulações!#REF!</f>
        <v>#REF!</v>
      </c>
      <c r="E811" s="114" t="e">
        <f>Simulações!#REF!</f>
        <v>#REF!</v>
      </c>
      <c r="F811" s="114" t="e">
        <f>Simulações!#REF!</f>
        <v>#REF!</v>
      </c>
      <c r="G811" s="114" t="e">
        <f>Simulações!#REF!</f>
        <v>#REF!</v>
      </c>
      <c r="H811" s="114" t="e">
        <f>Simulações!#REF!</f>
        <v>#REF!</v>
      </c>
      <c r="I811" s="114" t="e">
        <f>IF(Simulações!#REF!="","",Simulações!#REF!)</f>
        <v>#REF!</v>
      </c>
      <c r="J811" s="114" t="e">
        <f>IF(Simulações!#REF!="","",Simulações!#REF!)</f>
        <v>#REF!</v>
      </c>
      <c r="K811" s="117" t="e">
        <f>Simulações!#REF!</f>
        <v>#REF!</v>
      </c>
      <c r="L811" s="117" t="e">
        <f>Simulações!#REF!</f>
        <v>#REF!</v>
      </c>
      <c r="M811" s="114" t="e">
        <f>IF(Simulações!#REF!="","",Simulações!#REF!)</f>
        <v>#REF!</v>
      </c>
      <c r="N811" s="114" t="e">
        <f>IF(Simulações!#REF!="","",Simulações!#REF!)</f>
        <v>#REF!</v>
      </c>
      <c r="O811" s="114">
        <v>1</v>
      </c>
    </row>
    <row r="812" spans="1:15" ht="15.75" hidden="1" customHeight="1" x14ac:dyDescent="0.3">
      <c r="A812" s="124" t="e">
        <f>Simulações!#REF!</f>
        <v>#REF!</v>
      </c>
      <c r="B812" s="114" t="e">
        <f>Simulações!#REF!</f>
        <v>#REF!</v>
      </c>
      <c r="C812" s="125" t="e">
        <f>Simulações!#REF!</f>
        <v>#REF!</v>
      </c>
      <c r="D812" s="114" t="e">
        <f>Simulações!#REF!</f>
        <v>#REF!</v>
      </c>
      <c r="E812" s="114" t="e">
        <f>Simulações!#REF!</f>
        <v>#REF!</v>
      </c>
      <c r="F812" s="114" t="e">
        <f>Simulações!#REF!</f>
        <v>#REF!</v>
      </c>
      <c r="G812" s="114" t="e">
        <f>Simulações!#REF!</f>
        <v>#REF!</v>
      </c>
      <c r="H812" s="114" t="e">
        <f>Simulações!#REF!</f>
        <v>#REF!</v>
      </c>
      <c r="I812" s="114" t="e">
        <f>IF(Simulações!#REF!="","",Simulações!#REF!)</f>
        <v>#REF!</v>
      </c>
      <c r="J812" s="114" t="e">
        <f>IF(Simulações!#REF!="","",Simulações!#REF!)</f>
        <v>#REF!</v>
      </c>
      <c r="K812" s="117" t="e">
        <f>Simulações!#REF!</f>
        <v>#REF!</v>
      </c>
      <c r="L812" s="117" t="e">
        <f>Simulações!#REF!</f>
        <v>#REF!</v>
      </c>
      <c r="M812" s="114" t="e">
        <f>IF(Simulações!#REF!="","",Simulações!#REF!)</f>
        <v>#REF!</v>
      </c>
      <c r="N812" s="114" t="e">
        <f>IF(Simulações!#REF!="","",Simulações!#REF!)</f>
        <v>#REF!</v>
      </c>
      <c r="O812" s="114">
        <v>1</v>
      </c>
    </row>
    <row r="813" spans="1:15" ht="15.75" hidden="1" customHeight="1" x14ac:dyDescent="0.3">
      <c r="A813" s="124" t="e">
        <f>Simulações!#REF!</f>
        <v>#REF!</v>
      </c>
      <c r="B813" s="114" t="e">
        <f>Simulações!#REF!</f>
        <v>#REF!</v>
      </c>
      <c r="C813" s="125" t="e">
        <f>Simulações!#REF!</f>
        <v>#REF!</v>
      </c>
      <c r="D813" s="114" t="e">
        <f>Simulações!#REF!</f>
        <v>#REF!</v>
      </c>
      <c r="E813" s="114" t="e">
        <f>Simulações!#REF!</f>
        <v>#REF!</v>
      </c>
      <c r="F813" s="114" t="e">
        <f>Simulações!#REF!</f>
        <v>#REF!</v>
      </c>
      <c r="G813" s="114" t="e">
        <f>Simulações!#REF!</f>
        <v>#REF!</v>
      </c>
      <c r="H813" s="114" t="e">
        <f>Simulações!#REF!</f>
        <v>#REF!</v>
      </c>
      <c r="I813" s="114" t="e">
        <f>IF(Simulações!#REF!="","",Simulações!#REF!)</f>
        <v>#REF!</v>
      </c>
      <c r="J813" s="114" t="e">
        <f>IF(Simulações!#REF!="","",Simulações!#REF!)</f>
        <v>#REF!</v>
      </c>
      <c r="K813" s="117" t="e">
        <f>Simulações!#REF!</f>
        <v>#REF!</v>
      </c>
      <c r="L813" s="117" t="e">
        <f>Simulações!#REF!</f>
        <v>#REF!</v>
      </c>
      <c r="M813" s="114" t="e">
        <f>IF(Simulações!#REF!="","",Simulações!#REF!)</f>
        <v>#REF!</v>
      </c>
      <c r="N813" s="114" t="e">
        <f>IF(Simulações!#REF!="","",Simulações!#REF!)</f>
        <v>#REF!</v>
      </c>
      <c r="O813" s="114">
        <v>1</v>
      </c>
    </row>
    <row r="814" spans="1:15" ht="15.75" hidden="1" customHeight="1" x14ac:dyDescent="0.3">
      <c r="A814" s="124" t="e">
        <f>Simulações!#REF!</f>
        <v>#REF!</v>
      </c>
      <c r="B814" s="114" t="e">
        <f>Simulações!#REF!</f>
        <v>#REF!</v>
      </c>
      <c r="C814" s="125" t="e">
        <f>Simulações!#REF!</f>
        <v>#REF!</v>
      </c>
      <c r="D814" s="114" t="e">
        <f>Simulações!#REF!</f>
        <v>#REF!</v>
      </c>
      <c r="E814" s="114" t="e">
        <f>Simulações!#REF!</f>
        <v>#REF!</v>
      </c>
      <c r="F814" s="114" t="e">
        <f>Simulações!#REF!</f>
        <v>#REF!</v>
      </c>
      <c r="G814" s="114" t="e">
        <f>Simulações!#REF!</f>
        <v>#REF!</v>
      </c>
      <c r="H814" s="114" t="e">
        <f>Simulações!#REF!</f>
        <v>#REF!</v>
      </c>
      <c r="I814" s="114" t="e">
        <f>IF(Simulações!#REF!="","",Simulações!#REF!)</f>
        <v>#REF!</v>
      </c>
      <c r="J814" s="114" t="e">
        <f>IF(Simulações!#REF!="","",Simulações!#REF!)</f>
        <v>#REF!</v>
      </c>
      <c r="K814" s="117" t="e">
        <f>Simulações!#REF!</f>
        <v>#REF!</v>
      </c>
      <c r="L814" s="117" t="e">
        <f>Simulações!#REF!</f>
        <v>#REF!</v>
      </c>
      <c r="M814" s="114" t="e">
        <f>IF(Simulações!#REF!="","",Simulações!#REF!)</f>
        <v>#REF!</v>
      </c>
      <c r="N814" s="114" t="e">
        <f>IF(Simulações!#REF!="","",Simulações!#REF!)</f>
        <v>#REF!</v>
      </c>
      <c r="O814" s="114">
        <v>1</v>
      </c>
    </row>
    <row r="815" spans="1:15" ht="15.75" hidden="1" customHeight="1" x14ac:dyDescent="0.3">
      <c r="A815" s="124" t="e">
        <f>Simulações!#REF!</f>
        <v>#REF!</v>
      </c>
      <c r="B815" s="114" t="e">
        <f>Simulações!#REF!</f>
        <v>#REF!</v>
      </c>
      <c r="C815" s="125" t="e">
        <f>Simulações!#REF!</f>
        <v>#REF!</v>
      </c>
      <c r="D815" s="114" t="e">
        <f>Simulações!#REF!</f>
        <v>#REF!</v>
      </c>
      <c r="E815" s="114" t="e">
        <f>Simulações!#REF!</f>
        <v>#REF!</v>
      </c>
      <c r="F815" s="114" t="e">
        <f>Simulações!#REF!</f>
        <v>#REF!</v>
      </c>
      <c r="G815" s="114" t="e">
        <f>Simulações!#REF!</f>
        <v>#REF!</v>
      </c>
      <c r="H815" s="114" t="e">
        <f>Simulações!#REF!</f>
        <v>#REF!</v>
      </c>
      <c r="I815" s="114" t="e">
        <f>IF(Simulações!#REF!="","",Simulações!#REF!)</f>
        <v>#REF!</v>
      </c>
      <c r="J815" s="114" t="e">
        <f>IF(Simulações!#REF!="","",Simulações!#REF!)</f>
        <v>#REF!</v>
      </c>
      <c r="K815" s="117" t="e">
        <f>Simulações!#REF!</f>
        <v>#REF!</v>
      </c>
      <c r="L815" s="117" t="e">
        <f>Simulações!#REF!</f>
        <v>#REF!</v>
      </c>
      <c r="M815" s="114" t="e">
        <f>IF(Simulações!#REF!="","",Simulações!#REF!)</f>
        <v>#REF!</v>
      </c>
      <c r="N815" s="114" t="e">
        <f>IF(Simulações!#REF!="","",Simulações!#REF!)</f>
        <v>#REF!</v>
      </c>
      <c r="O815" s="114">
        <v>1</v>
      </c>
    </row>
    <row r="816" spans="1:15" ht="15.75" hidden="1" customHeight="1" x14ac:dyDescent="0.3">
      <c r="A816" s="124" t="e">
        <f>Simulações!#REF!</f>
        <v>#REF!</v>
      </c>
      <c r="B816" s="114" t="e">
        <f>Simulações!#REF!</f>
        <v>#REF!</v>
      </c>
      <c r="C816" s="125" t="e">
        <f>Simulações!#REF!</f>
        <v>#REF!</v>
      </c>
      <c r="D816" s="114" t="e">
        <f>Simulações!#REF!</f>
        <v>#REF!</v>
      </c>
      <c r="E816" s="114" t="e">
        <f>Simulações!#REF!</f>
        <v>#REF!</v>
      </c>
      <c r="F816" s="114" t="e">
        <f>Simulações!#REF!</f>
        <v>#REF!</v>
      </c>
      <c r="G816" s="114" t="e">
        <f>Simulações!#REF!</f>
        <v>#REF!</v>
      </c>
      <c r="H816" s="114" t="e">
        <f>Simulações!#REF!</f>
        <v>#REF!</v>
      </c>
      <c r="I816" s="114" t="e">
        <f>IF(Simulações!#REF!="","",Simulações!#REF!)</f>
        <v>#REF!</v>
      </c>
      <c r="J816" s="114" t="e">
        <f>IF(Simulações!#REF!="","",Simulações!#REF!)</f>
        <v>#REF!</v>
      </c>
      <c r="K816" s="117" t="e">
        <f>Simulações!#REF!</f>
        <v>#REF!</v>
      </c>
      <c r="L816" s="117" t="e">
        <f>Simulações!#REF!</f>
        <v>#REF!</v>
      </c>
      <c r="M816" s="114" t="e">
        <f>IF(Simulações!#REF!="","",Simulações!#REF!)</f>
        <v>#REF!</v>
      </c>
      <c r="N816" s="114" t="e">
        <f>IF(Simulações!#REF!="","",Simulações!#REF!)</f>
        <v>#REF!</v>
      </c>
      <c r="O816" s="114">
        <v>1</v>
      </c>
    </row>
    <row r="817" spans="1:15" ht="15.75" hidden="1" customHeight="1" x14ac:dyDescent="0.3">
      <c r="A817" s="124" t="e">
        <f>Simulações!#REF!</f>
        <v>#REF!</v>
      </c>
      <c r="B817" s="114" t="e">
        <f>Simulações!#REF!</f>
        <v>#REF!</v>
      </c>
      <c r="C817" s="125" t="e">
        <f>Simulações!#REF!</f>
        <v>#REF!</v>
      </c>
      <c r="D817" s="114" t="e">
        <f>Simulações!#REF!</f>
        <v>#REF!</v>
      </c>
      <c r="E817" s="114" t="e">
        <f>Simulações!#REF!</f>
        <v>#REF!</v>
      </c>
      <c r="F817" s="114" t="e">
        <f>Simulações!#REF!</f>
        <v>#REF!</v>
      </c>
      <c r="G817" s="114" t="e">
        <f>Simulações!#REF!</f>
        <v>#REF!</v>
      </c>
      <c r="H817" s="114" t="e">
        <f>Simulações!#REF!</f>
        <v>#REF!</v>
      </c>
      <c r="I817" s="114" t="e">
        <f>IF(Simulações!#REF!="","",Simulações!#REF!)</f>
        <v>#REF!</v>
      </c>
      <c r="J817" s="114" t="e">
        <f>IF(Simulações!#REF!="","",Simulações!#REF!)</f>
        <v>#REF!</v>
      </c>
      <c r="K817" s="117" t="e">
        <f>Simulações!#REF!</f>
        <v>#REF!</v>
      </c>
      <c r="L817" s="117" t="e">
        <f>Simulações!#REF!</f>
        <v>#REF!</v>
      </c>
      <c r="M817" s="114" t="e">
        <f>IF(Simulações!#REF!="","",Simulações!#REF!)</f>
        <v>#REF!</v>
      </c>
      <c r="N817" s="114" t="e">
        <f>IF(Simulações!#REF!="","",Simulações!#REF!)</f>
        <v>#REF!</v>
      </c>
      <c r="O817" s="114">
        <v>1</v>
      </c>
    </row>
    <row r="818" spans="1:15" ht="15.75" hidden="1" customHeight="1" x14ac:dyDescent="0.3">
      <c r="A818" s="124" t="e">
        <f>Simulações!#REF!</f>
        <v>#REF!</v>
      </c>
      <c r="B818" s="114" t="e">
        <f>Simulações!#REF!</f>
        <v>#REF!</v>
      </c>
      <c r="C818" s="125" t="e">
        <f>Simulações!#REF!</f>
        <v>#REF!</v>
      </c>
      <c r="D818" s="114" t="e">
        <f>Simulações!#REF!</f>
        <v>#REF!</v>
      </c>
      <c r="E818" s="114" t="e">
        <f>Simulações!#REF!</f>
        <v>#REF!</v>
      </c>
      <c r="F818" s="114" t="e">
        <f>Simulações!#REF!</f>
        <v>#REF!</v>
      </c>
      <c r="G818" s="114" t="e">
        <f>Simulações!#REF!</f>
        <v>#REF!</v>
      </c>
      <c r="H818" s="114" t="e">
        <f>Simulações!#REF!</f>
        <v>#REF!</v>
      </c>
      <c r="I818" s="114" t="e">
        <f>IF(Simulações!#REF!="","",Simulações!#REF!)</f>
        <v>#REF!</v>
      </c>
      <c r="J818" s="114" t="e">
        <f>IF(Simulações!#REF!="","",Simulações!#REF!)</f>
        <v>#REF!</v>
      </c>
      <c r="K818" s="117" t="e">
        <f>Simulações!#REF!</f>
        <v>#REF!</v>
      </c>
      <c r="L818" s="117" t="e">
        <f>Simulações!#REF!</f>
        <v>#REF!</v>
      </c>
      <c r="M818" s="114" t="e">
        <f>IF(Simulações!#REF!="","",Simulações!#REF!)</f>
        <v>#REF!</v>
      </c>
      <c r="N818" s="114" t="e">
        <f>IF(Simulações!#REF!="","",Simulações!#REF!)</f>
        <v>#REF!</v>
      </c>
      <c r="O818" s="114">
        <v>1</v>
      </c>
    </row>
    <row r="819" spans="1:15" ht="15.75" hidden="1" customHeight="1" x14ac:dyDescent="0.3">
      <c r="A819" s="124" t="e">
        <f>Simulações!#REF!</f>
        <v>#REF!</v>
      </c>
      <c r="B819" s="114" t="e">
        <f>Simulações!#REF!</f>
        <v>#REF!</v>
      </c>
      <c r="C819" s="125" t="e">
        <f>Simulações!#REF!</f>
        <v>#REF!</v>
      </c>
      <c r="D819" s="114" t="e">
        <f>Simulações!#REF!</f>
        <v>#REF!</v>
      </c>
      <c r="E819" s="114" t="e">
        <f>Simulações!#REF!</f>
        <v>#REF!</v>
      </c>
      <c r="F819" s="114" t="e">
        <f>Simulações!#REF!</f>
        <v>#REF!</v>
      </c>
      <c r="G819" s="114" t="e">
        <f>Simulações!#REF!</f>
        <v>#REF!</v>
      </c>
      <c r="H819" s="114" t="e">
        <f>Simulações!#REF!</f>
        <v>#REF!</v>
      </c>
      <c r="I819" s="114" t="e">
        <f>IF(Simulações!#REF!="","",Simulações!#REF!)</f>
        <v>#REF!</v>
      </c>
      <c r="J819" s="114" t="e">
        <f>IF(Simulações!#REF!="","",Simulações!#REF!)</f>
        <v>#REF!</v>
      </c>
      <c r="K819" s="117" t="e">
        <f>Simulações!#REF!</f>
        <v>#REF!</v>
      </c>
      <c r="L819" s="117" t="e">
        <f>Simulações!#REF!</f>
        <v>#REF!</v>
      </c>
      <c r="M819" s="114" t="e">
        <f>IF(Simulações!#REF!="","",Simulações!#REF!)</f>
        <v>#REF!</v>
      </c>
      <c r="N819" s="114" t="e">
        <f>IF(Simulações!#REF!="","",Simulações!#REF!)</f>
        <v>#REF!</v>
      </c>
      <c r="O819" s="114">
        <v>1</v>
      </c>
    </row>
    <row r="820" spans="1:15" ht="15.75" hidden="1" customHeight="1" x14ac:dyDescent="0.3">
      <c r="A820" s="124" t="e">
        <f>Simulações!#REF!</f>
        <v>#REF!</v>
      </c>
      <c r="B820" s="114" t="e">
        <f>Simulações!#REF!</f>
        <v>#REF!</v>
      </c>
      <c r="C820" s="125" t="e">
        <f>Simulações!#REF!</f>
        <v>#REF!</v>
      </c>
      <c r="D820" s="114" t="e">
        <f>Simulações!#REF!</f>
        <v>#REF!</v>
      </c>
      <c r="E820" s="114" t="e">
        <f>Simulações!#REF!</f>
        <v>#REF!</v>
      </c>
      <c r="F820" s="114" t="e">
        <f>Simulações!#REF!</f>
        <v>#REF!</v>
      </c>
      <c r="G820" s="114" t="e">
        <f>Simulações!#REF!</f>
        <v>#REF!</v>
      </c>
      <c r="H820" s="114" t="e">
        <f>Simulações!#REF!</f>
        <v>#REF!</v>
      </c>
      <c r="I820" s="114" t="e">
        <f>IF(Simulações!#REF!="","",Simulações!#REF!)</f>
        <v>#REF!</v>
      </c>
      <c r="J820" s="114" t="e">
        <f>IF(Simulações!#REF!="","",Simulações!#REF!)</f>
        <v>#REF!</v>
      </c>
      <c r="K820" s="117" t="e">
        <f>Simulações!#REF!</f>
        <v>#REF!</v>
      </c>
      <c r="L820" s="117" t="e">
        <f>Simulações!#REF!</f>
        <v>#REF!</v>
      </c>
      <c r="M820" s="114" t="e">
        <f>IF(Simulações!#REF!="","",Simulações!#REF!)</f>
        <v>#REF!</v>
      </c>
      <c r="N820" s="114" t="e">
        <f>IF(Simulações!#REF!="","",Simulações!#REF!)</f>
        <v>#REF!</v>
      </c>
      <c r="O820" s="114">
        <v>1</v>
      </c>
    </row>
    <row r="821" spans="1:15" ht="15.75" hidden="1" customHeight="1" x14ac:dyDescent="0.3">
      <c r="A821" s="124" t="e">
        <f>Simulações!#REF!</f>
        <v>#REF!</v>
      </c>
      <c r="B821" s="114" t="e">
        <f>Simulações!#REF!</f>
        <v>#REF!</v>
      </c>
      <c r="C821" s="125" t="e">
        <f>Simulações!#REF!</f>
        <v>#REF!</v>
      </c>
      <c r="D821" s="114" t="e">
        <f>Simulações!#REF!</f>
        <v>#REF!</v>
      </c>
      <c r="E821" s="114" t="e">
        <f>Simulações!#REF!</f>
        <v>#REF!</v>
      </c>
      <c r="F821" s="114" t="e">
        <f>Simulações!#REF!</f>
        <v>#REF!</v>
      </c>
      <c r="G821" s="114" t="e">
        <f>Simulações!#REF!</f>
        <v>#REF!</v>
      </c>
      <c r="H821" s="114" t="e">
        <f>Simulações!#REF!</f>
        <v>#REF!</v>
      </c>
      <c r="I821" s="114" t="e">
        <f>IF(Simulações!#REF!="","",Simulações!#REF!)</f>
        <v>#REF!</v>
      </c>
      <c r="J821" s="114" t="e">
        <f>IF(Simulações!#REF!="","",Simulações!#REF!)</f>
        <v>#REF!</v>
      </c>
      <c r="K821" s="117" t="e">
        <f>Simulações!#REF!</f>
        <v>#REF!</v>
      </c>
      <c r="L821" s="117" t="e">
        <f>Simulações!#REF!</f>
        <v>#REF!</v>
      </c>
      <c r="M821" s="114" t="e">
        <f>IF(Simulações!#REF!="","",Simulações!#REF!)</f>
        <v>#REF!</v>
      </c>
      <c r="N821" s="114" t="e">
        <f>IF(Simulações!#REF!="","",Simulações!#REF!)</f>
        <v>#REF!</v>
      </c>
      <c r="O821" s="114">
        <v>1</v>
      </c>
    </row>
    <row r="822" spans="1:15" ht="15.75" hidden="1" customHeight="1" x14ac:dyDescent="0.3">
      <c r="A822" s="124" t="e">
        <f>Simulações!#REF!</f>
        <v>#REF!</v>
      </c>
      <c r="B822" s="114" t="e">
        <f>Simulações!#REF!</f>
        <v>#REF!</v>
      </c>
      <c r="C822" s="125" t="e">
        <f>Simulações!#REF!</f>
        <v>#REF!</v>
      </c>
      <c r="D822" s="114" t="e">
        <f>Simulações!#REF!</f>
        <v>#REF!</v>
      </c>
      <c r="E822" s="114" t="e">
        <f>Simulações!#REF!</f>
        <v>#REF!</v>
      </c>
      <c r="F822" s="114" t="e">
        <f>Simulações!#REF!</f>
        <v>#REF!</v>
      </c>
      <c r="G822" s="114" t="e">
        <f>Simulações!#REF!</f>
        <v>#REF!</v>
      </c>
      <c r="H822" s="114" t="e">
        <f>Simulações!#REF!</f>
        <v>#REF!</v>
      </c>
      <c r="I822" s="114" t="e">
        <f>IF(Simulações!#REF!="","",Simulações!#REF!)</f>
        <v>#REF!</v>
      </c>
      <c r="J822" s="114" t="e">
        <f>IF(Simulações!#REF!="","",Simulações!#REF!)</f>
        <v>#REF!</v>
      </c>
      <c r="K822" s="117" t="e">
        <f>Simulações!#REF!</f>
        <v>#REF!</v>
      </c>
      <c r="L822" s="117" t="e">
        <f>Simulações!#REF!</f>
        <v>#REF!</v>
      </c>
      <c r="M822" s="114" t="e">
        <f>IF(Simulações!#REF!="","",Simulações!#REF!)</f>
        <v>#REF!</v>
      </c>
      <c r="N822" s="114" t="e">
        <f>IF(Simulações!#REF!="","",Simulações!#REF!)</f>
        <v>#REF!</v>
      </c>
      <c r="O822" s="114">
        <v>1</v>
      </c>
    </row>
    <row r="823" spans="1:15" ht="15.75" hidden="1" customHeight="1" x14ac:dyDescent="0.3">
      <c r="A823" s="124" t="e">
        <f>Simulações!#REF!</f>
        <v>#REF!</v>
      </c>
      <c r="B823" s="114" t="e">
        <f>Simulações!#REF!</f>
        <v>#REF!</v>
      </c>
      <c r="C823" s="125" t="e">
        <f>Simulações!#REF!</f>
        <v>#REF!</v>
      </c>
      <c r="D823" s="114" t="e">
        <f>Simulações!#REF!</f>
        <v>#REF!</v>
      </c>
      <c r="E823" s="114" t="e">
        <f>Simulações!#REF!</f>
        <v>#REF!</v>
      </c>
      <c r="F823" s="114" t="e">
        <f>Simulações!#REF!</f>
        <v>#REF!</v>
      </c>
      <c r="G823" s="114" t="e">
        <f>Simulações!#REF!</f>
        <v>#REF!</v>
      </c>
      <c r="H823" s="114" t="e">
        <f>Simulações!#REF!</f>
        <v>#REF!</v>
      </c>
      <c r="I823" s="114" t="e">
        <f>IF(Simulações!#REF!="","",Simulações!#REF!)</f>
        <v>#REF!</v>
      </c>
      <c r="J823" s="114" t="e">
        <f>IF(Simulações!#REF!="","",Simulações!#REF!)</f>
        <v>#REF!</v>
      </c>
      <c r="K823" s="117" t="e">
        <f>Simulações!#REF!</f>
        <v>#REF!</v>
      </c>
      <c r="L823" s="117" t="e">
        <f>Simulações!#REF!</f>
        <v>#REF!</v>
      </c>
      <c r="M823" s="114" t="e">
        <f>IF(Simulações!#REF!="","",Simulações!#REF!)</f>
        <v>#REF!</v>
      </c>
      <c r="N823" s="114" t="e">
        <f>IF(Simulações!#REF!="","",Simulações!#REF!)</f>
        <v>#REF!</v>
      </c>
      <c r="O823" s="114">
        <v>1</v>
      </c>
    </row>
    <row r="824" spans="1:15" ht="15.75" hidden="1" customHeight="1" x14ac:dyDescent="0.3">
      <c r="A824" s="124" t="e">
        <f>Simulações!#REF!</f>
        <v>#REF!</v>
      </c>
      <c r="B824" s="114" t="e">
        <f>Simulações!#REF!</f>
        <v>#REF!</v>
      </c>
      <c r="C824" s="125" t="e">
        <f>Simulações!#REF!</f>
        <v>#REF!</v>
      </c>
      <c r="D824" s="114" t="e">
        <f>Simulações!#REF!</f>
        <v>#REF!</v>
      </c>
      <c r="E824" s="114" t="e">
        <f>Simulações!#REF!</f>
        <v>#REF!</v>
      </c>
      <c r="F824" s="114" t="e">
        <f>Simulações!#REF!</f>
        <v>#REF!</v>
      </c>
      <c r="G824" s="114" t="e">
        <f>Simulações!#REF!</f>
        <v>#REF!</v>
      </c>
      <c r="H824" s="114" t="e">
        <f>Simulações!#REF!</f>
        <v>#REF!</v>
      </c>
      <c r="I824" s="114" t="e">
        <f>IF(Simulações!#REF!="","",Simulações!#REF!)</f>
        <v>#REF!</v>
      </c>
      <c r="J824" s="114" t="e">
        <f>IF(Simulações!#REF!="","",Simulações!#REF!)</f>
        <v>#REF!</v>
      </c>
      <c r="K824" s="117" t="e">
        <f>Simulações!#REF!</f>
        <v>#REF!</v>
      </c>
      <c r="L824" s="117" t="e">
        <f>Simulações!#REF!</f>
        <v>#REF!</v>
      </c>
      <c r="M824" s="114" t="e">
        <f>IF(Simulações!#REF!="","",Simulações!#REF!)</f>
        <v>#REF!</v>
      </c>
      <c r="N824" s="114" t="e">
        <f>IF(Simulações!#REF!="","",Simulações!#REF!)</f>
        <v>#REF!</v>
      </c>
      <c r="O824" s="114">
        <v>1</v>
      </c>
    </row>
    <row r="825" spans="1:15" ht="15.75" hidden="1" customHeight="1" x14ac:dyDescent="0.3">
      <c r="A825" s="124" t="e">
        <f>Simulações!#REF!</f>
        <v>#REF!</v>
      </c>
      <c r="B825" s="114" t="e">
        <f>Simulações!#REF!</f>
        <v>#REF!</v>
      </c>
      <c r="C825" s="125" t="e">
        <f>Simulações!#REF!</f>
        <v>#REF!</v>
      </c>
      <c r="D825" s="114" t="e">
        <f>Simulações!#REF!</f>
        <v>#REF!</v>
      </c>
      <c r="E825" s="114" t="e">
        <f>Simulações!#REF!</f>
        <v>#REF!</v>
      </c>
      <c r="F825" s="114" t="e">
        <f>Simulações!#REF!</f>
        <v>#REF!</v>
      </c>
      <c r="G825" s="114" t="e">
        <f>Simulações!#REF!</f>
        <v>#REF!</v>
      </c>
      <c r="H825" s="114" t="e">
        <f>Simulações!#REF!</f>
        <v>#REF!</v>
      </c>
      <c r="I825" s="114" t="e">
        <f>IF(Simulações!#REF!="","",Simulações!#REF!)</f>
        <v>#REF!</v>
      </c>
      <c r="J825" s="114" t="e">
        <f>IF(Simulações!#REF!="","",Simulações!#REF!)</f>
        <v>#REF!</v>
      </c>
      <c r="K825" s="117" t="e">
        <f>Simulações!#REF!</f>
        <v>#REF!</v>
      </c>
      <c r="L825" s="117" t="e">
        <f>Simulações!#REF!</f>
        <v>#REF!</v>
      </c>
      <c r="M825" s="114" t="e">
        <f>IF(Simulações!#REF!="","",Simulações!#REF!)</f>
        <v>#REF!</v>
      </c>
      <c r="N825" s="114" t="e">
        <f>IF(Simulações!#REF!="","",Simulações!#REF!)</f>
        <v>#REF!</v>
      </c>
      <c r="O825" s="114">
        <v>1</v>
      </c>
    </row>
    <row r="826" spans="1:15" ht="15.75" hidden="1" customHeight="1" x14ac:dyDescent="0.3">
      <c r="A826" s="124" t="e">
        <f>Simulações!#REF!</f>
        <v>#REF!</v>
      </c>
      <c r="B826" s="114" t="e">
        <f>Simulações!#REF!</f>
        <v>#REF!</v>
      </c>
      <c r="C826" s="125" t="e">
        <f>Simulações!#REF!</f>
        <v>#REF!</v>
      </c>
      <c r="D826" s="114" t="e">
        <f>Simulações!#REF!</f>
        <v>#REF!</v>
      </c>
      <c r="E826" s="114" t="e">
        <f>Simulações!#REF!</f>
        <v>#REF!</v>
      </c>
      <c r="F826" s="114" t="e">
        <f>Simulações!#REF!</f>
        <v>#REF!</v>
      </c>
      <c r="G826" s="114" t="e">
        <f>Simulações!#REF!</f>
        <v>#REF!</v>
      </c>
      <c r="H826" s="114" t="e">
        <f>Simulações!#REF!</f>
        <v>#REF!</v>
      </c>
      <c r="I826" s="114" t="e">
        <f>IF(Simulações!#REF!="","",Simulações!#REF!)</f>
        <v>#REF!</v>
      </c>
      <c r="J826" s="114" t="e">
        <f>IF(Simulações!#REF!="","",Simulações!#REF!)</f>
        <v>#REF!</v>
      </c>
      <c r="K826" s="117" t="e">
        <f>Simulações!#REF!</f>
        <v>#REF!</v>
      </c>
      <c r="L826" s="117" t="e">
        <f>Simulações!#REF!</f>
        <v>#REF!</v>
      </c>
      <c r="M826" s="114" t="e">
        <f>IF(Simulações!#REF!="","",Simulações!#REF!)</f>
        <v>#REF!</v>
      </c>
      <c r="N826" s="114" t="e">
        <f>IF(Simulações!#REF!="","",Simulações!#REF!)</f>
        <v>#REF!</v>
      </c>
      <c r="O826" s="114">
        <v>1</v>
      </c>
    </row>
    <row r="827" spans="1:15" ht="15.75" hidden="1" customHeight="1" x14ac:dyDescent="0.3">
      <c r="A827" s="124" t="e">
        <f>Simulações!#REF!</f>
        <v>#REF!</v>
      </c>
      <c r="B827" s="114" t="e">
        <f>Simulações!#REF!</f>
        <v>#REF!</v>
      </c>
      <c r="C827" s="125" t="e">
        <f>Simulações!#REF!</f>
        <v>#REF!</v>
      </c>
      <c r="D827" s="114" t="e">
        <f>Simulações!#REF!</f>
        <v>#REF!</v>
      </c>
      <c r="E827" s="114" t="e">
        <f>Simulações!#REF!</f>
        <v>#REF!</v>
      </c>
      <c r="F827" s="114" t="e">
        <f>Simulações!#REF!</f>
        <v>#REF!</v>
      </c>
      <c r="G827" s="114" t="e">
        <f>Simulações!#REF!</f>
        <v>#REF!</v>
      </c>
      <c r="H827" s="114" t="e">
        <f>Simulações!#REF!</f>
        <v>#REF!</v>
      </c>
      <c r="I827" s="114" t="e">
        <f>IF(Simulações!#REF!="","",Simulações!#REF!)</f>
        <v>#REF!</v>
      </c>
      <c r="J827" s="114" t="e">
        <f>IF(Simulações!#REF!="","",Simulações!#REF!)</f>
        <v>#REF!</v>
      </c>
      <c r="K827" s="117" t="e">
        <f>Simulações!#REF!</f>
        <v>#REF!</v>
      </c>
      <c r="L827" s="117" t="e">
        <f>Simulações!#REF!</f>
        <v>#REF!</v>
      </c>
      <c r="M827" s="114" t="e">
        <f>IF(Simulações!#REF!="","",Simulações!#REF!)</f>
        <v>#REF!</v>
      </c>
      <c r="N827" s="114" t="e">
        <f>IF(Simulações!#REF!="","",Simulações!#REF!)</f>
        <v>#REF!</v>
      </c>
      <c r="O827" s="114">
        <v>1</v>
      </c>
    </row>
    <row r="828" spans="1:15" ht="15.75" hidden="1" customHeight="1" x14ac:dyDescent="0.3">
      <c r="A828" s="124" t="e">
        <f>Simulações!#REF!</f>
        <v>#REF!</v>
      </c>
      <c r="B828" s="114" t="e">
        <f>Simulações!#REF!</f>
        <v>#REF!</v>
      </c>
      <c r="C828" s="125" t="e">
        <f>Simulações!#REF!</f>
        <v>#REF!</v>
      </c>
      <c r="D828" s="114" t="e">
        <f>Simulações!#REF!</f>
        <v>#REF!</v>
      </c>
      <c r="E828" s="114" t="e">
        <f>Simulações!#REF!</f>
        <v>#REF!</v>
      </c>
      <c r="F828" s="114" t="e">
        <f>Simulações!#REF!</f>
        <v>#REF!</v>
      </c>
      <c r="G828" s="114" t="e">
        <f>Simulações!#REF!</f>
        <v>#REF!</v>
      </c>
      <c r="H828" s="114" t="e">
        <f>Simulações!#REF!</f>
        <v>#REF!</v>
      </c>
      <c r="I828" s="114" t="e">
        <f>IF(Simulações!#REF!="","",Simulações!#REF!)</f>
        <v>#REF!</v>
      </c>
      <c r="J828" s="114" t="e">
        <f>IF(Simulações!#REF!="","",Simulações!#REF!)</f>
        <v>#REF!</v>
      </c>
      <c r="K828" s="117" t="e">
        <f>Simulações!#REF!</f>
        <v>#REF!</v>
      </c>
      <c r="L828" s="117" t="e">
        <f>Simulações!#REF!</f>
        <v>#REF!</v>
      </c>
      <c r="M828" s="114" t="e">
        <f>IF(Simulações!#REF!="","",Simulações!#REF!)</f>
        <v>#REF!</v>
      </c>
      <c r="N828" s="114" t="e">
        <f>IF(Simulações!#REF!="","",Simulações!#REF!)</f>
        <v>#REF!</v>
      </c>
      <c r="O828" s="114">
        <v>1</v>
      </c>
    </row>
    <row r="829" spans="1:15" ht="15.75" hidden="1" customHeight="1" x14ac:dyDescent="0.3">
      <c r="A829" s="124" t="e">
        <f>Simulações!#REF!</f>
        <v>#REF!</v>
      </c>
      <c r="B829" s="114" t="e">
        <f>Simulações!#REF!</f>
        <v>#REF!</v>
      </c>
      <c r="C829" s="125" t="e">
        <f>Simulações!#REF!</f>
        <v>#REF!</v>
      </c>
      <c r="D829" s="114" t="e">
        <f>Simulações!#REF!</f>
        <v>#REF!</v>
      </c>
      <c r="E829" s="114" t="e">
        <f>Simulações!#REF!</f>
        <v>#REF!</v>
      </c>
      <c r="F829" s="114" t="e">
        <f>Simulações!#REF!</f>
        <v>#REF!</v>
      </c>
      <c r="G829" s="114" t="e">
        <f>Simulações!#REF!</f>
        <v>#REF!</v>
      </c>
      <c r="H829" s="114" t="e">
        <f>Simulações!#REF!</f>
        <v>#REF!</v>
      </c>
      <c r="I829" s="114" t="e">
        <f>IF(Simulações!#REF!="","",Simulações!#REF!)</f>
        <v>#REF!</v>
      </c>
      <c r="J829" s="114" t="e">
        <f>IF(Simulações!#REF!="","",Simulações!#REF!)</f>
        <v>#REF!</v>
      </c>
      <c r="K829" s="117" t="e">
        <f>Simulações!#REF!</f>
        <v>#REF!</v>
      </c>
      <c r="L829" s="117" t="e">
        <f>Simulações!#REF!</f>
        <v>#REF!</v>
      </c>
      <c r="M829" s="114" t="e">
        <f>IF(Simulações!#REF!="","",Simulações!#REF!)</f>
        <v>#REF!</v>
      </c>
      <c r="N829" s="114" t="e">
        <f>IF(Simulações!#REF!="","",Simulações!#REF!)</f>
        <v>#REF!</v>
      </c>
      <c r="O829" s="114">
        <v>1</v>
      </c>
    </row>
    <row r="830" spans="1:15" ht="15.75" hidden="1" customHeight="1" x14ac:dyDescent="0.3">
      <c r="A830" s="124" t="e">
        <f>Simulações!#REF!</f>
        <v>#REF!</v>
      </c>
      <c r="B830" s="114" t="e">
        <f>Simulações!#REF!</f>
        <v>#REF!</v>
      </c>
      <c r="C830" s="125" t="e">
        <f>Simulações!#REF!</f>
        <v>#REF!</v>
      </c>
      <c r="D830" s="114" t="e">
        <f>Simulações!#REF!</f>
        <v>#REF!</v>
      </c>
      <c r="E830" s="114" t="e">
        <f>Simulações!#REF!</f>
        <v>#REF!</v>
      </c>
      <c r="F830" s="114" t="e">
        <f>Simulações!#REF!</f>
        <v>#REF!</v>
      </c>
      <c r="G830" s="114" t="e">
        <f>Simulações!#REF!</f>
        <v>#REF!</v>
      </c>
      <c r="H830" s="114" t="e">
        <f>Simulações!#REF!</f>
        <v>#REF!</v>
      </c>
      <c r="I830" s="114" t="e">
        <f>IF(Simulações!#REF!="","",Simulações!#REF!)</f>
        <v>#REF!</v>
      </c>
      <c r="J830" s="114" t="e">
        <f>IF(Simulações!#REF!="","",Simulações!#REF!)</f>
        <v>#REF!</v>
      </c>
      <c r="K830" s="117" t="e">
        <f>Simulações!#REF!</f>
        <v>#REF!</v>
      </c>
      <c r="L830" s="117" t="e">
        <f>Simulações!#REF!</f>
        <v>#REF!</v>
      </c>
      <c r="M830" s="114" t="e">
        <f>IF(Simulações!#REF!="","",Simulações!#REF!)</f>
        <v>#REF!</v>
      </c>
      <c r="N830" s="114" t="e">
        <f>IF(Simulações!#REF!="","",Simulações!#REF!)</f>
        <v>#REF!</v>
      </c>
      <c r="O830" s="114">
        <v>1</v>
      </c>
    </row>
    <row r="831" spans="1:15" ht="15.75" hidden="1" customHeight="1" x14ac:dyDescent="0.3">
      <c r="A831" s="124" t="e">
        <f>Simulações!#REF!</f>
        <v>#REF!</v>
      </c>
      <c r="B831" s="114" t="e">
        <f>Simulações!#REF!</f>
        <v>#REF!</v>
      </c>
      <c r="C831" s="125" t="e">
        <f>Simulações!#REF!</f>
        <v>#REF!</v>
      </c>
      <c r="D831" s="114" t="e">
        <f>Simulações!#REF!</f>
        <v>#REF!</v>
      </c>
      <c r="E831" s="114" t="e">
        <f>Simulações!#REF!</f>
        <v>#REF!</v>
      </c>
      <c r="F831" s="114" t="e">
        <f>Simulações!#REF!</f>
        <v>#REF!</v>
      </c>
      <c r="G831" s="114" t="e">
        <f>Simulações!#REF!</f>
        <v>#REF!</v>
      </c>
      <c r="H831" s="114" t="e">
        <f>Simulações!#REF!</f>
        <v>#REF!</v>
      </c>
      <c r="I831" s="114" t="e">
        <f>IF(Simulações!#REF!="","",Simulações!#REF!)</f>
        <v>#REF!</v>
      </c>
      <c r="J831" s="114" t="e">
        <f>IF(Simulações!#REF!="","",Simulações!#REF!)</f>
        <v>#REF!</v>
      </c>
      <c r="K831" s="117" t="e">
        <f>Simulações!#REF!</f>
        <v>#REF!</v>
      </c>
      <c r="L831" s="117" t="e">
        <f>Simulações!#REF!</f>
        <v>#REF!</v>
      </c>
      <c r="M831" s="114" t="e">
        <f>IF(Simulações!#REF!="","",Simulações!#REF!)</f>
        <v>#REF!</v>
      </c>
      <c r="N831" s="114" t="e">
        <f>IF(Simulações!#REF!="","",Simulações!#REF!)</f>
        <v>#REF!</v>
      </c>
      <c r="O831" s="114">
        <v>1</v>
      </c>
    </row>
    <row r="832" spans="1:15" ht="15.75" hidden="1" customHeight="1" x14ac:dyDescent="0.3">
      <c r="A832" s="124" t="e">
        <f>Simulações!#REF!</f>
        <v>#REF!</v>
      </c>
      <c r="B832" s="114" t="e">
        <f>Simulações!#REF!</f>
        <v>#REF!</v>
      </c>
      <c r="C832" s="125" t="e">
        <f>Simulações!#REF!</f>
        <v>#REF!</v>
      </c>
      <c r="D832" s="114" t="e">
        <f>Simulações!#REF!</f>
        <v>#REF!</v>
      </c>
      <c r="E832" s="114" t="e">
        <f>Simulações!#REF!</f>
        <v>#REF!</v>
      </c>
      <c r="F832" s="114" t="e">
        <f>Simulações!#REF!</f>
        <v>#REF!</v>
      </c>
      <c r="G832" s="114" t="e">
        <f>Simulações!#REF!</f>
        <v>#REF!</v>
      </c>
      <c r="H832" s="114" t="e">
        <f>Simulações!#REF!</f>
        <v>#REF!</v>
      </c>
      <c r="I832" s="114" t="e">
        <f>IF(Simulações!#REF!="","",Simulações!#REF!)</f>
        <v>#REF!</v>
      </c>
      <c r="J832" s="114" t="e">
        <f>IF(Simulações!#REF!="","",Simulações!#REF!)</f>
        <v>#REF!</v>
      </c>
      <c r="K832" s="117" t="e">
        <f>Simulações!#REF!</f>
        <v>#REF!</v>
      </c>
      <c r="L832" s="117" t="e">
        <f>Simulações!#REF!</f>
        <v>#REF!</v>
      </c>
      <c r="M832" s="114" t="e">
        <f>IF(Simulações!#REF!="","",Simulações!#REF!)</f>
        <v>#REF!</v>
      </c>
      <c r="N832" s="114" t="e">
        <f>IF(Simulações!#REF!="","",Simulações!#REF!)</f>
        <v>#REF!</v>
      </c>
      <c r="O832" s="114">
        <v>1</v>
      </c>
    </row>
    <row r="833" spans="1:15" ht="15.75" hidden="1" customHeight="1" x14ac:dyDescent="0.3">
      <c r="A833" s="124" t="e">
        <f>Simulações!#REF!</f>
        <v>#REF!</v>
      </c>
      <c r="B833" s="114" t="e">
        <f>Simulações!#REF!</f>
        <v>#REF!</v>
      </c>
      <c r="C833" s="125" t="e">
        <f>Simulações!#REF!</f>
        <v>#REF!</v>
      </c>
      <c r="D833" s="114" t="e">
        <f>Simulações!#REF!</f>
        <v>#REF!</v>
      </c>
      <c r="E833" s="114" t="e">
        <f>Simulações!#REF!</f>
        <v>#REF!</v>
      </c>
      <c r="F833" s="114" t="e">
        <f>Simulações!#REF!</f>
        <v>#REF!</v>
      </c>
      <c r="G833" s="114" t="e">
        <f>Simulações!#REF!</f>
        <v>#REF!</v>
      </c>
      <c r="H833" s="114" t="e">
        <f>Simulações!#REF!</f>
        <v>#REF!</v>
      </c>
      <c r="I833" s="114" t="e">
        <f>IF(Simulações!#REF!="","",Simulações!#REF!)</f>
        <v>#REF!</v>
      </c>
      <c r="J833" s="114" t="e">
        <f>IF(Simulações!#REF!="","",Simulações!#REF!)</f>
        <v>#REF!</v>
      </c>
      <c r="K833" s="117" t="e">
        <f>Simulações!#REF!</f>
        <v>#REF!</v>
      </c>
      <c r="L833" s="117" t="e">
        <f>Simulações!#REF!</f>
        <v>#REF!</v>
      </c>
      <c r="M833" s="114" t="e">
        <f>IF(Simulações!#REF!="","",Simulações!#REF!)</f>
        <v>#REF!</v>
      </c>
      <c r="N833" s="114" t="e">
        <f>IF(Simulações!#REF!="","",Simulações!#REF!)</f>
        <v>#REF!</v>
      </c>
      <c r="O833" s="114">
        <v>1</v>
      </c>
    </row>
    <row r="834" spans="1:15" ht="15.75" hidden="1" customHeight="1" x14ac:dyDescent="0.3">
      <c r="A834" s="124" t="e">
        <f>Simulações!#REF!</f>
        <v>#REF!</v>
      </c>
      <c r="B834" s="114" t="e">
        <f>Simulações!#REF!</f>
        <v>#REF!</v>
      </c>
      <c r="C834" s="125" t="e">
        <f>Simulações!#REF!</f>
        <v>#REF!</v>
      </c>
      <c r="D834" s="114" t="e">
        <f>Simulações!#REF!</f>
        <v>#REF!</v>
      </c>
      <c r="E834" s="114" t="e">
        <f>Simulações!#REF!</f>
        <v>#REF!</v>
      </c>
      <c r="F834" s="114" t="e">
        <f>Simulações!#REF!</f>
        <v>#REF!</v>
      </c>
      <c r="G834" s="114" t="e">
        <f>Simulações!#REF!</f>
        <v>#REF!</v>
      </c>
      <c r="H834" s="114" t="e">
        <f>Simulações!#REF!</f>
        <v>#REF!</v>
      </c>
      <c r="I834" s="114" t="e">
        <f>IF(Simulações!#REF!="","",Simulações!#REF!)</f>
        <v>#REF!</v>
      </c>
      <c r="J834" s="114" t="e">
        <f>IF(Simulações!#REF!="","",Simulações!#REF!)</f>
        <v>#REF!</v>
      </c>
      <c r="K834" s="117" t="e">
        <f>Simulações!#REF!</f>
        <v>#REF!</v>
      </c>
      <c r="L834" s="117" t="e">
        <f>Simulações!#REF!</f>
        <v>#REF!</v>
      </c>
      <c r="M834" s="114" t="e">
        <f>IF(Simulações!#REF!="","",Simulações!#REF!)</f>
        <v>#REF!</v>
      </c>
      <c r="N834" s="114" t="e">
        <f>IF(Simulações!#REF!="","",Simulações!#REF!)</f>
        <v>#REF!</v>
      </c>
      <c r="O834" s="114">
        <v>1</v>
      </c>
    </row>
    <row r="835" spans="1:15" ht="15.75" hidden="1" customHeight="1" x14ac:dyDescent="0.3">
      <c r="A835" s="124" t="e">
        <f>Simulações!#REF!</f>
        <v>#REF!</v>
      </c>
      <c r="B835" s="114" t="e">
        <f>Simulações!#REF!</f>
        <v>#REF!</v>
      </c>
      <c r="C835" s="125" t="e">
        <f>Simulações!#REF!</f>
        <v>#REF!</v>
      </c>
      <c r="D835" s="114" t="e">
        <f>Simulações!#REF!</f>
        <v>#REF!</v>
      </c>
      <c r="E835" s="114" t="e">
        <f>Simulações!#REF!</f>
        <v>#REF!</v>
      </c>
      <c r="F835" s="114" t="e">
        <f>Simulações!#REF!</f>
        <v>#REF!</v>
      </c>
      <c r="G835" s="114" t="e">
        <f>Simulações!#REF!</f>
        <v>#REF!</v>
      </c>
      <c r="H835" s="114" t="e">
        <f>Simulações!#REF!</f>
        <v>#REF!</v>
      </c>
      <c r="I835" s="114" t="e">
        <f>IF(Simulações!#REF!="","",Simulações!#REF!)</f>
        <v>#REF!</v>
      </c>
      <c r="J835" s="114" t="e">
        <f>IF(Simulações!#REF!="","",Simulações!#REF!)</f>
        <v>#REF!</v>
      </c>
      <c r="K835" s="117" t="e">
        <f>Simulações!#REF!</f>
        <v>#REF!</v>
      </c>
      <c r="L835" s="117" t="e">
        <f>Simulações!#REF!</f>
        <v>#REF!</v>
      </c>
      <c r="M835" s="114" t="e">
        <f>IF(Simulações!#REF!="","",Simulações!#REF!)</f>
        <v>#REF!</v>
      </c>
      <c r="N835" s="114" t="e">
        <f>IF(Simulações!#REF!="","",Simulações!#REF!)</f>
        <v>#REF!</v>
      </c>
      <c r="O835" s="114">
        <v>1</v>
      </c>
    </row>
    <row r="836" spans="1:15" ht="15.75" hidden="1" customHeight="1" x14ac:dyDescent="0.3">
      <c r="A836" s="124" t="e">
        <f>Simulações!#REF!</f>
        <v>#REF!</v>
      </c>
      <c r="B836" s="114" t="e">
        <f>Simulações!#REF!</f>
        <v>#REF!</v>
      </c>
      <c r="C836" s="125" t="e">
        <f>Simulações!#REF!</f>
        <v>#REF!</v>
      </c>
      <c r="D836" s="114" t="e">
        <f>Simulações!#REF!</f>
        <v>#REF!</v>
      </c>
      <c r="E836" s="114" t="e">
        <f>Simulações!#REF!</f>
        <v>#REF!</v>
      </c>
      <c r="F836" s="114" t="e">
        <f>Simulações!#REF!</f>
        <v>#REF!</v>
      </c>
      <c r="G836" s="114" t="e">
        <f>Simulações!#REF!</f>
        <v>#REF!</v>
      </c>
      <c r="H836" s="114" t="e">
        <f>Simulações!#REF!</f>
        <v>#REF!</v>
      </c>
      <c r="I836" s="114" t="e">
        <f>IF(Simulações!#REF!="","",Simulações!#REF!)</f>
        <v>#REF!</v>
      </c>
      <c r="J836" s="114" t="e">
        <f>IF(Simulações!#REF!="","",Simulações!#REF!)</f>
        <v>#REF!</v>
      </c>
      <c r="K836" s="117" t="e">
        <f>Simulações!#REF!</f>
        <v>#REF!</v>
      </c>
      <c r="L836" s="117" t="e">
        <f>Simulações!#REF!</f>
        <v>#REF!</v>
      </c>
      <c r="M836" s="114" t="e">
        <f>IF(Simulações!#REF!="","",Simulações!#REF!)</f>
        <v>#REF!</v>
      </c>
      <c r="N836" s="114" t="e">
        <f>IF(Simulações!#REF!="","",Simulações!#REF!)</f>
        <v>#REF!</v>
      </c>
      <c r="O836" s="114">
        <v>1</v>
      </c>
    </row>
    <row r="837" spans="1:15" ht="15.75" hidden="1" customHeight="1" x14ac:dyDescent="0.3">
      <c r="A837" s="124" t="e">
        <f>Simulações!#REF!</f>
        <v>#REF!</v>
      </c>
      <c r="B837" s="114" t="e">
        <f>Simulações!#REF!</f>
        <v>#REF!</v>
      </c>
      <c r="C837" s="125" t="e">
        <f>Simulações!#REF!</f>
        <v>#REF!</v>
      </c>
      <c r="D837" s="114" t="e">
        <f>Simulações!#REF!</f>
        <v>#REF!</v>
      </c>
      <c r="E837" s="114" t="e">
        <f>Simulações!#REF!</f>
        <v>#REF!</v>
      </c>
      <c r="F837" s="114" t="e">
        <f>Simulações!#REF!</f>
        <v>#REF!</v>
      </c>
      <c r="G837" s="114" t="e">
        <f>Simulações!#REF!</f>
        <v>#REF!</v>
      </c>
      <c r="H837" s="114" t="e">
        <f>Simulações!#REF!</f>
        <v>#REF!</v>
      </c>
      <c r="I837" s="114" t="e">
        <f>IF(Simulações!#REF!="","",Simulações!#REF!)</f>
        <v>#REF!</v>
      </c>
      <c r="J837" s="114" t="e">
        <f>IF(Simulações!#REF!="","",Simulações!#REF!)</f>
        <v>#REF!</v>
      </c>
      <c r="K837" s="117" t="e">
        <f>Simulações!#REF!</f>
        <v>#REF!</v>
      </c>
      <c r="L837" s="117" t="e">
        <f>Simulações!#REF!</f>
        <v>#REF!</v>
      </c>
      <c r="M837" s="114" t="e">
        <f>IF(Simulações!#REF!="","",Simulações!#REF!)</f>
        <v>#REF!</v>
      </c>
      <c r="N837" s="114" t="e">
        <f>IF(Simulações!#REF!="","",Simulações!#REF!)</f>
        <v>#REF!</v>
      </c>
      <c r="O837" s="114">
        <v>1</v>
      </c>
    </row>
    <row r="838" spans="1:15" ht="15.75" hidden="1" customHeight="1" x14ac:dyDescent="0.3">
      <c r="A838" s="124" t="e">
        <f>Simulações!#REF!</f>
        <v>#REF!</v>
      </c>
      <c r="B838" s="114" t="e">
        <f>Simulações!#REF!</f>
        <v>#REF!</v>
      </c>
      <c r="C838" s="125" t="e">
        <f>Simulações!#REF!</f>
        <v>#REF!</v>
      </c>
      <c r="D838" s="114" t="e">
        <f>Simulações!#REF!</f>
        <v>#REF!</v>
      </c>
      <c r="E838" s="114" t="e">
        <f>Simulações!#REF!</f>
        <v>#REF!</v>
      </c>
      <c r="F838" s="114" t="e">
        <f>Simulações!#REF!</f>
        <v>#REF!</v>
      </c>
      <c r="G838" s="114" t="e">
        <f>Simulações!#REF!</f>
        <v>#REF!</v>
      </c>
      <c r="H838" s="114" t="e">
        <f>Simulações!#REF!</f>
        <v>#REF!</v>
      </c>
      <c r="I838" s="114" t="e">
        <f>IF(Simulações!#REF!="","",Simulações!#REF!)</f>
        <v>#REF!</v>
      </c>
      <c r="J838" s="114" t="e">
        <f>IF(Simulações!#REF!="","",Simulações!#REF!)</f>
        <v>#REF!</v>
      </c>
      <c r="K838" s="117" t="e">
        <f>Simulações!#REF!</f>
        <v>#REF!</v>
      </c>
      <c r="L838" s="117" t="e">
        <f>Simulações!#REF!</f>
        <v>#REF!</v>
      </c>
      <c r="M838" s="114" t="e">
        <f>IF(Simulações!#REF!="","",Simulações!#REF!)</f>
        <v>#REF!</v>
      </c>
      <c r="N838" s="114" t="e">
        <f>IF(Simulações!#REF!="","",Simulações!#REF!)</f>
        <v>#REF!</v>
      </c>
      <c r="O838" s="114">
        <v>1</v>
      </c>
    </row>
    <row r="839" spans="1:15" ht="15.75" hidden="1" customHeight="1" x14ac:dyDescent="0.3">
      <c r="A839" s="124" t="e">
        <f>Simulações!#REF!</f>
        <v>#REF!</v>
      </c>
      <c r="B839" s="114" t="e">
        <f>Simulações!#REF!</f>
        <v>#REF!</v>
      </c>
      <c r="C839" s="125" t="e">
        <f>Simulações!#REF!</f>
        <v>#REF!</v>
      </c>
      <c r="D839" s="114" t="e">
        <f>Simulações!#REF!</f>
        <v>#REF!</v>
      </c>
      <c r="E839" s="114" t="e">
        <f>Simulações!#REF!</f>
        <v>#REF!</v>
      </c>
      <c r="F839" s="114" t="e">
        <f>Simulações!#REF!</f>
        <v>#REF!</v>
      </c>
      <c r="G839" s="114" t="e">
        <f>Simulações!#REF!</f>
        <v>#REF!</v>
      </c>
      <c r="H839" s="114" t="e">
        <f>Simulações!#REF!</f>
        <v>#REF!</v>
      </c>
      <c r="I839" s="114" t="e">
        <f>IF(Simulações!#REF!="","",Simulações!#REF!)</f>
        <v>#REF!</v>
      </c>
      <c r="J839" s="114" t="e">
        <f>IF(Simulações!#REF!="","",Simulações!#REF!)</f>
        <v>#REF!</v>
      </c>
      <c r="K839" s="117" t="e">
        <f>Simulações!#REF!</f>
        <v>#REF!</v>
      </c>
      <c r="L839" s="117" t="e">
        <f>Simulações!#REF!</f>
        <v>#REF!</v>
      </c>
      <c r="M839" s="114" t="e">
        <f>IF(Simulações!#REF!="","",Simulações!#REF!)</f>
        <v>#REF!</v>
      </c>
      <c r="N839" s="114" t="e">
        <f>IF(Simulações!#REF!="","",Simulações!#REF!)</f>
        <v>#REF!</v>
      </c>
      <c r="O839" s="114">
        <v>1</v>
      </c>
    </row>
    <row r="840" spans="1:15" ht="15.75" hidden="1" customHeight="1" x14ac:dyDescent="0.3">
      <c r="A840" s="124" t="e">
        <f>Simulações!#REF!</f>
        <v>#REF!</v>
      </c>
      <c r="B840" s="114" t="e">
        <f>Simulações!#REF!</f>
        <v>#REF!</v>
      </c>
      <c r="C840" s="125" t="e">
        <f>Simulações!#REF!</f>
        <v>#REF!</v>
      </c>
      <c r="D840" s="114" t="e">
        <f>Simulações!#REF!</f>
        <v>#REF!</v>
      </c>
      <c r="E840" s="114" t="e">
        <f>Simulações!#REF!</f>
        <v>#REF!</v>
      </c>
      <c r="F840" s="114" t="e">
        <f>Simulações!#REF!</f>
        <v>#REF!</v>
      </c>
      <c r="G840" s="114" t="e">
        <f>Simulações!#REF!</f>
        <v>#REF!</v>
      </c>
      <c r="H840" s="114" t="e">
        <f>Simulações!#REF!</f>
        <v>#REF!</v>
      </c>
      <c r="I840" s="114" t="e">
        <f>IF(Simulações!#REF!="","",Simulações!#REF!)</f>
        <v>#REF!</v>
      </c>
      <c r="J840" s="114" t="e">
        <f>IF(Simulações!#REF!="","",Simulações!#REF!)</f>
        <v>#REF!</v>
      </c>
      <c r="K840" s="117" t="e">
        <f>Simulações!#REF!</f>
        <v>#REF!</v>
      </c>
      <c r="L840" s="117" t="e">
        <f>Simulações!#REF!</f>
        <v>#REF!</v>
      </c>
      <c r="M840" s="114" t="e">
        <f>IF(Simulações!#REF!="","",Simulações!#REF!)</f>
        <v>#REF!</v>
      </c>
      <c r="N840" s="114" t="e">
        <f>IF(Simulações!#REF!="","",Simulações!#REF!)</f>
        <v>#REF!</v>
      </c>
      <c r="O840" s="114">
        <v>1</v>
      </c>
    </row>
    <row r="841" spans="1:15" ht="15.75" hidden="1" customHeight="1" x14ac:dyDescent="0.3">
      <c r="A841" s="124" t="e">
        <f>Simulações!#REF!</f>
        <v>#REF!</v>
      </c>
      <c r="B841" s="114" t="e">
        <f>Simulações!#REF!</f>
        <v>#REF!</v>
      </c>
      <c r="C841" s="125" t="e">
        <f>Simulações!#REF!</f>
        <v>#REF!</v>
      </c>
      <c r="D841" s="114" t="e">
        <f>Simulações!#REF!</f>
        <v>#REF!</v>
      </c>
      <c r="E841" s="114" t="e">
        <f>Simulações!#REF!</f>
        <v>#REF!</v>
      </c>
      <c r="F841" s="114" t="e">
        <f>Simulações!#REF!</f>
        <v>#REF!</v>
      </c>
      <c r="G841" s="114" t="e">
        <f>Simulações!#REF!</f>
        <v>#REF!</v>
      </c>
      <c r="H841" s="114" t="e">
        <f>Simulações!#REF!</f>
        <v>#REF!</v>
      </c>
      <c r="I841" s="114" t="e">
        <f>IF(Simulações!#REF!="","",Simulações!#REF!)</f>
        <v>#REF!</v>
      </c>
      <c r="J841" s="114" t="e">
        <f>IF(Simulações!#REF!="","",Simulações!#REF!)</f>
        <v>#REF!</v>
      </c>
      <c r="K841" s="117" t="e">
        <f>Simulações!#REF!</f>
        <v>#REF!</v>
      </c>
      <c r="L841" s="117" t="e">
        <f>Simulações!#REF!</f>
        <v>#REF!</v>
      </c>
      <c r="M841" s="114" t="e">
        <f>IF(Simulações!#REF!="","",Simulações!#REF!)</f>
        <v>#REF!</v>
      </c>
      <c r="N841" s="114" t="e">
        <f>IF(Simulações!#REF!="","",Simulações!#REF!)</f>
        <v>#REF!</v>
      </c>
      <c r="O841" s="114">
        <v>1</v>
      </c>
    </row>
    <row r="842" spans="1:15" ht="15.75" hidden="1" customHeight="1" x14ac:dyDescent="0.3">
      <c r="A842" s="124" t="e">
        <f>Simulações!#REF!</f>
        <v>#REF!</v>
      </c>
      <c r="B842" s="114" t="e">
        <f>Simulações!#REF!</f>
        <v>#REF!</v>
      </c>
      <c r="C842" s="125" t="e">
        <f>Simulações!#REF!</f>
        <v>#REF!</v>
      </c>
      <c r="D842" s="114" t="e">
        <f>Simulações!#REF!</f>
        <v>#REF!</v>
      </c>
      <c r="E842" s="114" t="e">
        <f>Simulações!#REF!</f>
        <v>#REF!</v>
      </c>
      <c r="F842" s="114" t="e">
        <f>Simulações!#REF!</f>
        <v>#REF!</v>
      </c>
      <c r="G842" s="114" t="e">
        <f>Simulações!#REF!</f>
        <v>#REF!</v>
      </c>
      <c r="H842" s="114" t="e">
        <f>Simulações!#REF!</f>
        <v>#REF!</v>
      </c>
      <c r="I842" s="114" t="e">
        <f>IF(Simulações!#REF!="","",Simulações!#REF!)</f>
        <v>#REF!</v>
      </c>
      <c r="J842" s="114" t="e">
        <f>IF(Simulações!#REF!="","",Simulações!#REF!)</f>
        <v>#REF!</v>
      </c>
      <c r="K842" s="117" t="e">
        <f>Simulações!#REF!</f>
        <v>#REF!</v>
      </c>
      <c r="L842" s="117" t="e">
        <f>Simulações!#REF!</f>
        <v>#REF!</v>
      </c>
      <c r="M842" s="114" t="e">
        <f>IF(Simulações!#REF!="","",Simulações!#REF!)</f>
        <v>#REF!</v>
      </c>
      <c r="N842" s="114" t="e">
        <f>IF(Simulações!#REF!="","",Simulações!#REF!)</f>
        <v>#REF!</v>
      </c>
      <c r="O842" s="114">
        <v>1</v>
      </c>
    </row>
    <row r="843" spans="1:15" ht="15.75" hidden="1" customHeight="1" x14ac:dyDescent="0.3">
      <c r="A843" s="124" t="e">
        <f>Simulações!#REF!</f>
        <v>#REF!</v>
      </c>
      <c r="B843" s="114" t="e">
        <f>Simulações!#REF!</f>
        <v>#REF!</v>
      </c>
      <c r="C843" s="125" t="e">
        <f>Simulações!#REF!</f>
        <v>#REF!</v>
      </c>
      <c r="D843" s="114" t="e">
        <f>Simulações!#REF!</f>
        <v>#REF!</v>
      </c>
      <c r="E843" s="114" t="e">
        <f>Simulações!#REF!</f>
        <v>#REF!</v>
      </c>
      <c r="F843" s="114" t="e">
        <f>Simulações!#REF!</f>
        <v>#REF!</v>
      </c>
      <c r="G843" s="114" t="e">
        <f>Simulações!#REF!</f>
        <v>#REF!</v>
      </c>
      <c r="H843" s="114" t="e">
        <f>Simulações!#REF!</f>
        <v>#REF!</v>
      </c>
      <c r="I843" s="114" t="e">
        <f>IF(Simulações!#REF!="","",Simulações!#REF!)</f>
        <v>#REF!</v>
      </c>
      <c r="J843" s="114" t="e">
        <f>IF(Simulações!#REF!="","",Simulações!#REF!)</f>
        <v>#REF!</v>
      </c>
      <c r="K843" s="117" t="e">
        <f>Simulações!#REF!</f>
        <v>#REF!</v>
      </c>
      <c r="L843" s="117" t="e">
        <f>Simulações!#REF!</f>
        <v>#REF!</v>
      </c>
      <c r="M843" s="114" t="e">
        <f>IF(Simulações!#REF!="","",Simulações!#REF!)</f>
        <v>#REF!</v>
      </c>
      <c r="N843" s="114" t="e">
        <f>IF(Simulações!#REF!="","",Simulações!#REF!)</f>
        <v>#REF!</v>
      </c>
      <c r="O843" s="114">
        <v>1</v>
      </c>
    </row>
    <row r="844" spans="1:15" ht="15.75" hidden="1" customHeight="1" x14ac:dyDescent="0.3">
      <c r="A844" s="124" t="e">
        <f>Simulações!#REF!</f>
        <v>#REF!</v>
      </c>
      <c r="B844" s="114" t="e">
        <f>Simulações!#REF!</f>
        <v>#REF!</v>
      </c>
      <c r="C844" s="125" t="e">
        <f>Simulações!#REF!</f>
        <v>#REF!</v>
      </c>
      <c r="D844" s="114" t="e">
        <f>Simulações!#REF!</f>
        <v>#REF!</v>
      </c>
      <c r="E844" s="114" t="e">
        <f>Simulações!#REF!</f>
        <v>#REF!</v>
      </c>
      <c r="F844" s="114" t="e">
        <f>Simulações!#REF!</f>
        <v>#REF!</v>
      </c>
      <c r="G844" s="114" t="e">
        <f>Simulações!#REF!</f>
        <v>#REF!</v>
      </c>
      <c r="H844" s="114" t="e">
        <f>Simulações!#REF!</f>
        <v>#REF!</v>
      </c>
      <c r="I844" s="114" t="e">
        <f>IF(Simulações!#REF!="","",Simulações!#REF!)</f>
        <v>#REF!</v>
      </c>
      <c r="J844" s="114" t="e">
        <f>IF(Simulações!#REF!="","",Simulações!#REF!)</f>
        <v>#REF!</v>
      </c>
      <c r="K844" s="117" t="e">
        <f>Simulações!#REF!</f>
        <v>#REF!</v>
      </c>
      <c r="L844" s="117" t="e">
        <f>Simulações!#REF!</f>
        <v>#REF!</v>
      </c>
      <c r="M844" s="114" t="e">
        <f>IF(Simulações!#REF!="","",Simulações!#REF!)</f>
        <v>#REF!</v>
      </c>
      <c r="N844" s="114" t="e">
        <f>IF(Simulações!#REF!="","",Simulações!#REF!)</f>
        <v>#REF!</v>
      </c>
      <c r="O844" s="114">
        <v>1</v>
      </c>
    </row>
    <row r="845" spans="1:15" ht="15.75" hidden="1" customHeight="1" x14ac:dyDescent="0.3">
      <c r="A845" s="124" t="e">
        <f>Simulações!#REF!</f>
        <v>#REF!</v>
      </c>
      <c r="B845" s="114" t="e">
        <f>Simulações!#REF!</f>
        <v>#REF!</v>
      </c>
      <c r="C845" s="125" t="e">
        <f>Simulações!#REF!</f>
        <v>#REF!</v>
      </c>
      <c r="D845" s="114" t="e">
        <f>Simulações!#REF!</f>
        <v>#REF!</v>
      </c>
      <c r="E845" s="114" t="e">
        <f>Simulações!#REF!</f>
        <v>#REF!</v>
      </c>
      <c r="F845" s="114" t="e">
        <f>Simulações!#REF!</f>
        <v>#REF!</v>
      </c>
      <c r="G845" s="114" t="e">
        <f>Simulações!#REF!</f>
        <v>#REF!</v>
      </c>
      <c r="H845" s="114" t="e">
        <f>Simulações!#REF!</f>
        <v>#REF!</v>
      </c>
      <c r="I845" s="114" t="e">
        <f>IF(Simulações!#REF!="","",Simulações!#REF!)</f>
        <v>#REF!</v>
      </c>
      <c r="J845" s="114" t="e">
        <f>IF(Simulações!#REF!="","",Simulações!#REF!)</f>
        <v>#REF!</v>
      </c>
      <c r="K845" s="117" t="e">
        <f>Simulações!#REF!</f>
        <v>#REF!</v>
      </c>
      <c r="L845" s="117" t="e">
        <f>Simulações!#REF!</f>
        <v>#REF!</v>
      </c>
      <c r="M845" s="114" t="e">
        <f>IF(Simulações!#REF!="","",Simulações!#REF!)</f>
        <v>#REF!</v>
      </c>
      <c r="N845" s="114" t="e">
        <f>IF(Simulações!#REF!="","",Simulações!#REF!)</f>
        <v>#REF!</v>
      </c>
      <c r="O845" s="114">
        <v>1</v>
      </c>
    </row>
    <row r="846" spans="1:15" ht="15.75" hidden="1" customHeight="1" x14ac:dyDescent="0.3">
      <c r="A846" s="124" t="e">
        <f>Simulações!#REF!</f>
        <v>#REF!</v>
      </c>
      <c r="B846" s="114" t="e">
        <f>Simulações!#REF!</f>
        <v>#REF!</v>
      </c>
      <c r="C846" s="125" t="e">
        <f>Simulações!#REF!</f>
        <v>#REF!</v>
      </c>
      <c r="D846" s="114" t="e">
        <f>Simulações!#REF!</f>
        <v>#REF!</v>
      </c>
      <c r="E846" s="114" t="e">
        <f>Simulações!#REF!</f>
        <v>#REF!</v>
      </c>
      <c r="F846" s="114" t="e">
        <f>Simulações!#REF!</f>
        <v>#REF!</v>
      </c>
      <c r="G846" s="114" t="e">
        <f>Simulações!#REF!</f>
        <v>#REF!</v>
      </c>
      <c r="H846" s="114" t="e">
        <f>Simulações!#REF!</f>
        <v>#REF!</v>
      </c>
      <c r="I846" s="114" t="e">
        <f>IF(Simulações!#REF!="","",Simulações!#REF!)</f>
        <v>#REF!</v>
      </c>
      <c r="J846" s="114" t="e">
        <f>IF(Simulações!#REF!="","",Simulações!#REF!)</f>
        <v>#REF!</v>
      </c>
      <c r="K846" s="117" t="e">
        <f>Simulações!#REF!</f>
        <v>#REF!</v>
      </c>
      <c r="L846" s="117" t="e">
        <f>Simulações!#REF!</f>
        <v>#REF!</v>
      </c>
      <c r="M846" s="114" t="e">
        <f>IF(Simulações!#REF!="","",Simulações!#REF!)</f>
        <v>#REF!</v>
      </c>
      <c r="N846" s="114" t="e">
        <f>IF(Simulações!#REF!="","",Simulações!#REF!)</f>
        <v>#REF!</v>
      </c>
      <c r="O846" s="114">
        <v>1</v>
      </c>
    </row>
    <row r="847" spans="1:15" ht="15.75" hidden="1" customHeight="1" x14ac:dyDescent="0.3">
      <c r="A847" s="124" t="e">
        <f>Simulações!#REF!</f>
        <v>#REF!</v>
      </c>
      <c r="B847" s="114" t="e">
        <f>Simulações!#REF!</f>
        <v>#REF!</v>
      </c>
      <c r="C847" s="125" t="e">
        <f>Simulações!#REF!</f>
        <v>#REF!</v>
      </c>
      <c r="D847" s="114" t="e">
        <f>Simulações!#REF!</f>
        <v>#REF!</v>
      </c>
      <c r="E847" s="114" t="e">
        <f>Simulações!#REF!</f>
        <v>#REF!</v>
      </c>
      <c r="F847" s="114" t="e">
        <f>Simulações!#REF!</f>
        <v>#REF!</v>
      </c>
      <c r="G847" s="114" t="e">
        <f>Simulações!#REF!</f>
        <v>#REF!</v>
      </c>
      <c r="H847" s="114" t="e">
        <f>Simulações!#REF!</f>
        <v>#REF!</v>
      </c>
      <c r="I847" s="114" t="e">
        <f>IF(Simulações!#REF!="","",Simulações!#REF!)</f>
        <v>#REF!</v>
      </c>
      <c r="J847" s="114" t="e">
        <f>IF(Simulações!#REF!="","",Simulações!#REF!)</f>
        <v>#REF!</v>
      </c>
      <c r="K847" s="117" t="e">
        <f>Simulações!#REF!</f>
        <v>#REF!</v>
      </c>
      <c r="L847" s="117" t="e">
        <f>Simulações!#REF!</f>
        <v>#REF!</v>
      </c>
      <c r="M847" s="114" t="e">
        <f>IF(Simulações!#REF!="","",Simulações!#REF!)</f>
        <v>#REF!</v>
      </c>
      <c r="N847" s="114" t="e">
        <f>IF(Simulações!#REF!="","",Simulações!#REF!)</f>
        <v>#REF!</v>
      </c>
      <c r="O847" s="114">
        <v>1</v>
      </c>
    </row>
    <row r="848" spans="1:15" ht="15.75" hidden="1" customHeight="1" x14ac:dyDescent="0.3">
      <c r="A848" s="124" t="e">
        <f>Simulações!#REF!</f>
        <v>#REF!</v>
      </c>
      <c r="B848" s="114" t="e">
        <f>Simulações!#REF!</f>
        <v>#REF!</v>
      </c>
      <c r="C848" s="125" t="e">
        <f>Simulações!#REF!</f>
        <v>#REF!</v>
      </c>
      <c r="D848" s="114" t="e">
        <f>Simulações!#REF!</f>
        <v>#REF!</v>
      </c>
      <c r="E848" s="114" t="e">
        <f>Simulações!#REF!</f>
        <v>#REF!</v>
      </c>
      <c r="F848" s="114" t="e">
        <f>Simulações!#REF!</f>
        <v>#REF!</v>
      </c>
      <c r="G848" s="114" t="e">
        <f>Simulações!#REF!</f>
        <v>#REF!</v>
      </c>
      <c r="H848" s="114" t="e">
        <f>Simulações!#REF!</f>
        <v>#REF!</v>
      </c>
      <c r="I848" s="114" t="e">
        <f>IF(Simulações!#REF!="","",Simulações!#REF!)</f>
        <v>#REF!</v>
      </c>
      <c r="J848" s="114" t="e">
        <f>IF(Simulações!#REF!="","",Simulações!#REF!)</f>
        <v>#REF!</v>
      </c>
      <c r="K848" s="117" t="e">
        <f>Simulações!#REF!</f>
        <v>#REF!</v>
      </c>
      <c r="L848" s="117" t="e">
        <f>Simulações!#REF!</f>
        <v>#REF!</v>
      </c>
      <c r="M848" s="114" t="e">
        <f>IF(Simulações!#REF!="","",Simulações!#REF!)</f>
        <v>#REF!</v>
      </c>
      <c r="N848" s="114" t="e">
        <f>IF(Simulações!#REF!="","",Simulações!#REF!)</f>
        <v>#REF!</v>
      </c>
      <c r="O848" s="114">
        <v>1</v>
      </c>
    </row>
    <row r="849" spans="1:15" ht="15.75" hidden="1" customHeight="1" x14ac:dyDescent="0.3">
      <c r="A849" s="124" t="e">
        <f>Simulações!#REF!</f>
        <v>#REF!</v>
      </c>
      <c r="B849" s="114" t="e">
        <f>Simulações!#REF!</f>
        <v>#REF!</v>
      </c>
      <c r="C849" s="125" t="e">
        <f>Simulações!#REF!</f>
        <v>#REF!</v>
      </c>
      <c r="D849" s="114" t="e">
        <f>Simulações!#REF!</f>
        <v>#REF!</v>
      </c>
      <c r="E849" s="114" t="e">
        <f>Simulações!#REF!</f>
        <v>#REF!</v>
      </c>
      <c r="F849" s="114" t="e">
        <f>Simulações!#REF!</f>
        <v>#REF!</v>
      </c>
      <c r="G849" s="114" t="e">
        <f>Simulações!#REF!</f>
        <v>#REF!</v>
      </c>
      <c r="H849" s="114" t="e">
        <f>Simulações!#REF!</f>
        <v>#REF!</v>
      </c>
      <c r="I849" s="114" t="e">
        <f>IF(Simulações!#REF!="","",Simulações!#REF!)</f>
        <v>#REF!</v>
      </c>
      <c r="J849" s="114" t="e">
        <f>IF(Simulações!#REF!="","",Simulações!#REF!)</f>
        <v>#REF!</v>
      </c>
      <c r="K849" s="117" t="e">
        <f>Simulações!#REF!</f>
        <v>#REF!</v>
      </c>
      <c r="L849" s="117" t="e">
        <f>Simulações!#REF!</f>
        <v>#REF!</v>
      </c>
      <c r="M849" s="114" t="e">
        <f>IF(Simulações!#REF!="","",Simulações!#REF!)</f>
        <v>#REF!</v>
      </c>
      <c r="N849" s="114" t="e">
        <f>IF(Simulações!#REF!="","",Simulações!#REF!)</f>
        <v>#REF!</v>
      </c>
      <c r="O849" s="114">
        <v>1</v>
      </c>
    </row>
    <row r="850" spans="1:15" ht="15.75" hidden="1" customHeight="1" x14ac:dyDescent="0.3">
      <c r="A850" s="124" t="e">
        <f>Simulações!#REF!</f>
        <v>#REF!</v>
      </c>
      <c r="B850" s="114" t="e">
        <f>Simulações!#REF!</f>
        <v>#REF!</v>
      </c>
      <c r="C850" s="125" t="e">
        <f>Simulações!#REF!</f>
        <v>#REF!</v>
      </c>
      <c r="D850" s="114" t="e">
        <f>Simulações!#REF!</f>
        <v>#REF!</v>
      </c>
      <c r="E850" s="114" t="e">
        <f>Simulações!#REF!</f>
        <v>#REF!</v>
      </c>
      <c r="F850" s="114" t="e">
        <f>Simulações!#REF!</f>
        <v>#REF!</v>
      </c>
      <c r="G850" s="114" t="e">
        <f>Simulações!#REF!</f>
        <v>#REF!</v>
      </c>
      <c r="H850" s="114" t="e">
        <f>Simulações!#REF!</f>
        <v>#REF!</v>
      </c>
      <c r="I850" s="114" t="e">
        <f>IF(Simulações!#REF!="","",Simulações!#REF!)</f>
        <v>#REF!</v>
      </c>
      <c r="J850" s="114" t="e">
        <f>IF(Simulações!#REF!="","",Simulações!#REF!)</f>
        <v>#REF!</v>
      </c>
      <c r="K850" s="117" t="e">
        <f>Simulações!#REF!</f>
        <v>#REF!</v>
      </c>
      <c r="L850" s="117" t="e">
        <f>Simulações!#REF!</f>
        <v>#REF!</v>
      </c>
      <c r="M850" s="114" t="e">
        <f>IF(Simulações!#REF!="","",Simulações!#REF!)</f>
        <v>#REF!</v>
      </c>
      <c r="N850" s="114" t="e">
        <f>IF(Simulações!#REF!="","",Simulações!#REF!)</f>
        <v>#REF!</v>
      </c>
      <c r="O850" s="114">
        <v>1</v>
      </c>
    </row>
    <row r="851" spans="1:15" ht="15.75" hidden="1" customHeight="1" x14ac:dyDescent="0.3">
      <c r="A851" s="124" t="e">
        <f>Simulações!#REF!</f>
        <v>#REF!</v>
      </c>
      <c r="B851" s="114" t="e">
        <f>Simulações!#REF!</f>
        <v>#REF!</v>
      </c>
      <c r="C851" s="125" t="e">
        <f>Simulações!#REF!</f>
        <v>#REF!</v>
      </c>
      <c r="D851" s="114" t="e">
        <f>Simulações!#REF!</f>
        <v>#REF!</v>
      </c>
      <c r="E851" s="114" t="e">
        <f>Simulações!#REF!</f>
        <v>#REF!</v>
      </c>
      <c r="F851" s="114" t="e">
        <f>Simulações!#REF!</f>
        <v>#REF!</v>
      </c>
      <c r="G851" s="114" t="e">
        <f>Simulações!#REF!</f>
        <v>#REF!</v>
      </c>
      <c r="H851" s="114" t="e">
        <f>Simulações!#REF!</f>
        <v>#REF!</v>
      </c>
      <c r="I851" s="114" t="e">
        <f>IF(Simulações!#REF!="","",Simulações!#REF!)</f>
        <v>#REF!</v>
      </c>
      <c r="J851" s="114" t="e">
        <f>IF(Simulações!#REF!="","",Simulações!#REF!)</f>
        <v>#REF!</v>
      </c>
      <c r="K851" s="117" t="e">
        <f>Simulações!#REF!</f>
        <v>#REF!</v>
      </c>
      <c r="L851" s="117" t="e">
        <f>Simulações!#REF!</f>
        <v>#REF!</v>
      </c>
      <c r="M851" s="114" t="e">
        <f>IF(Simulações!#REF!="","",Simulações!#REF!)</f>
        <v>#REF!</v>
      </c>
      <c r="N851" s="114" t="e">
        <f>IF(Simulações!#REF!="","",Simulações!#REF!)</f>
        <v>#REF!</v>
      </c>
      <c r="O851" s="114">
        <v>1</v>
      </c>
    </row>
    <row r="852" spans="1:15" ht="15.75" hidden="1" customHeight="1" x14ac:dyDescent="0.3">
      <c r="A852" s="124" t="e">
        <f>Simulações!#REF!</f>
        <v>#REF!</v>
      </c>
      <c r="B852" s="114" t="e">
        <f>Simulações!#REF!</f>
        <v>#REF!</v>
      </c>
      <c r="C852" s="125" t="e">
        <f>Simulações!#REF!</f>
        <v>#REF!</v>
      </c>
      <c r="D852" s="114" t="e">
        <f>Simulações!#REF!</f>
        <v>#REF!</v>
      </c>
      <c r="E852" s="114" t="e">
        <f>Simulações!#REF!</f>
        <v>#REF!</v>
      </c>
      <c r="F852" s="114" t="e">
        <f>Simulações!#REF!</f>
        <v>#REF!</v>
      </c>
      <c r="G852" s="114" t="e">
        <f>Simulações!#REF!</f>
        <v>#REF!</v>
      </c>
      <c r="H852" s="114" t="e">
        <f>Simulações!#REF!</f>
        <v>#REF!</v>
      </c>
      <c r="I852" s="114" t="e">
        <f>IF(Simulações!#REF!="","",Simulações!#REF!)</f>
        <v>#REF!</v>
      </c>
      <c r="J852" s="114" t="e">
        <f>IF(Simulações!#REF!="","",Simulações!#REF!)</f>
        <v>#REF!</v>
      </c>
      <c r="K852" s="117" t="e">
        <f>Simulações!#REF!</f>
        <v>#REF!</v>
      </c>
      <c r="L852" s="117" t="e">
        <f>Simulações!#REF!</f>
        <v>#REF!</v>
      </c>
      <c r="M852" s="114" t="e">
        <f>IF(Simulações!#REF!="","",Simulações!#REF!)</f>
        <v>#REF!</v>
      </c>
      <c r="N852" s="114" t="e">
        <f>IF(Simulações!#REF!="","",Simulações!#REF!)</f>
        <v>#REF!</v>
      </c>
      <c r="O852" s="114">
        <v>1</v>
      </c>
    </row>
    <row r="853" spans="1:15" ht="15.75" hidden="1" customHeight="1" x14ac:dyDescent="0.3">
      <c r="A853" s="124" t="e">
        <f>Simulações!#REF!</f>
        <v>#REF!</v>
      </c>
      <c r="B853" s="114" t="e">
        <f>Simulações!#REF!</f>
        <v>#REF!</v>
      </c>
      <c r="C853" s="125" t="e">
        <f>Simulações!#REF!</f>
        <v>#REF!</v>
      </c>
      <c r="D853" s="114" t="e">
        <f>Simulações!#REF!</f>
        <v>#REF!</v>
      </c>
      <c r="E853" s="114" t="e">
        <f>Simulações!#REF!</f>
        <v>#REF!</v>
      </c>
      <c r="F853" s="114" t="e">
        <f>Simulações!#REF!</f>
        <v>#REF!</v>
      </c>
      <c r="G853" s="114" t="e">
        <f>Simulações!#REF!</f>
        <v>#REF!</v>
      </c>
      <c r="H853" s="114" t="e">
        <f>Simulações!#REF!</f>
        <v>#REF!</v>
      </c>
      <c r="I853" s="114" t="e">
        <f>IF(Simulações!#REF!="","",Simulações!#REF!)</f>
        <v>#REF!</v>
      </c>
      <c r="J853" s="114" t="e">
        <f>IF(Simulações!#REF!="","",Simulações!#REF!)</f>
        <v>#REF!</v>
      </c>
      <c r="K853" s="117" t="e">
        <f>Simulações!#REF!</f>
        <v>#REF!</v>
      </c>
      <c r="L853" s="117" t="e">
        <f>Simulações!#REF!</f>
        <v>#REF!</v>
      </c>
      <c r="M853" s="114" t="e">
        <f>IF(Simulações!#REF!="","",Simulações!#REF!)</f>
        <v>#REF!</v>
      </c>
      <c r="N853" s="114" t="e">
        <f>IF(Simulações!#REF!="","",Simulações!#REF!)</f>
        <v>#REF!</v>
      </c>
      <c r="O853" s="114">
        <v>1</v>
      </c>
    </row>
    <row r="854" spans="1:15" ht="15.75" hidden="1" customHeight="1" x14ac:dyDescent="0.3">
      <c r="A854" s="124" t="e">
        <f>Simulações!#REF!</f>
        <v>#REF!</v>
      </c>
      <c r="B854" s="114" t="e">
        <f>Simulações!#REF!</f>
        <v>#REF!</v>
      </c>
      <c r="C854" s="125" t="e">
        <f>Simulações!#REF!</f>
        <v>#REF!</v>
      </c>
      <c r="D854" s="114" t="e">
        <f>Simulações!#REF!</f>
        <v>#REF!</v>
      </c>
      <c r="E854" s="114" t="e">
        <f>Simulações!#REF!</f>
        <v>#REF!</v>
      </c>
      <c r="F854" s="114" t="e">
        <f>Simulações!#REF!</f>
        <v>#REF!</v>
      </c>
      <c r="G854" s="114" t="e">
        <f>Simulações!#REF!</f>
        <v>#REF!</v>
      </c>
      <c r="H854" s="114" t="e">
        <f>Simulações!#REF!</f>
        <v>#REF!</v>
      </c>
      <c r="I854" s="114" t="e">
        <f>IF(Simulações!#REF!="","",Simulações!#REF!)</f>
        <v>#REF!</v>
      </c>
      <c r="J854" s="114" t="e">
        <f>IF(Simulações!#REF!="","",Simulações!#REF!)</f>
        <v>#REF!</v>
      </c>
      <c r="K854" s="117" t="e">
        <f>Simulações!#REF!</f>
        <v>#REF!</v>
      </c>
      <c r="L854" s="117" t="e">
        <f>Simulações!#REF!</f>
        <v>#REF!</v>
      </c>
      <c r="M854" s="114" t="e">
        <f>IF(Simulações!#REF!="","",Simulações!#REF!)</f>
        <v>#REF!</v>
      </c>
      <c r="N854" s="114" t="e">
        <f>IF(Simulações!#REF!="","",Simulações!#REF!)</f>
        <v>#REF!</v>
      </c>
      <c r="O854" s="114">
        <v>1</v>
      </c>
    </row>
    <row r="855" spans="1:15" ht="15.75" hidden="1" customHeight="1" x14ac:dyDescent="0.3">
      <c r="A855" s="124" t="e">
        <f>Simulações!#REF!</f>
        <v>#REF!</v>
      </c>
      <c r="B855" s="114" t="e">
        <f>Simulações!#REF!</f>
        <v>#REF!</v>
      </c>
      <c r="C855" s="125" t="e">
        <f>Simulações!#REF!</f>
        <v>#REF!</v>
      </c>
      <c r="D855" s="114" t="e">
        <f>Simulações!#REF!</f>
        <v>#REF!</v>
      </c>
      <c r="E855" s="114" t="e">
        <f>Simulações!#REF!</f>
        <v>#REF!</v>
      </c>
      <c r="F855" s="114" t="e">
        <f>Simulações!#REF!</f>
        <v>#REF!</v>
      </c>
      <c r="G855" s="114" t="e">
        <f>Simulações!#REF!</f>
        <v>#REF!</v>
      </c>
      <c r="H855" s="114" t="e">
        <f>Simulações!#REF!</f>
        <v>#REF!</v>
      </c>
      <c r="I855" s="114" t="e">
        <f>IF(Simulações!#REF!="","",Simulações!#REF!)</f>
        <v>#REF!</v>
      </c>
      <c r="J855" s="114" t="e">
        <f>IF(Simulações!#REF!="","",Simulações!#REF!)</f>
        <v>#REF!</v>
      </c>
      <c r="K855" s="117" t="e">
        <f>Simulações!#REF!</f>
        <v>#REF!</v>
      </c>
      <c r="L855" s="117" t="e">
        <f>Simulações!#REF!</f>
        <v>#REF!</v>
      </c>
      <c r="M855" s="114" t="e">
        <f>IF(Simulações!#REF!="","",Simulações!#REF!)</f>
        <v>#REF!</v>
      </c>
      <c r="N855" s="114" t="e">
        <f>IF(Simulações!#REF!="","",Simulações!#REF!)</f>
        <v>#REF!</v>
      </c>
      <c r="O855" s="114">
        <v>1</v>
      </c>
    </row>
    <row r="856" spans="1:15" ht="15.75" hidden="1" customHeight="1" x14ac:dyDescent="0.3">
      <c r="A856" s="124" t="e">
        <f>Simulações!#REF!</f>
        <v>#REF!</v>
      </c>
      <c r="B856" s="114" t="e">
        <f>Simulações!#REF!</f>
        <v>#REF!</v>
      </c>
      <c r="C856" s="125" t="e">
        <f>Simulações!#REF!</f>
        <v>#REF!</v>
      </c>
      <c r="D856" s="114" t="e">
        <f>Simulações!#REF!</f>
        <v>#REF!</v>
      </c>
      <c r="E856" s="114" t="e">
        <f>Simulações!#REF!</f>
        <v>#REF!</v>
      </c>
      <c r="F856" s="114" t="e">
        <f>Simulações!#REF!</f>
        <v>#REF!</v>
      </c>
      <c r="G856" s="114" t="e">
        <f>Simulações!#REF!</f>
        <v>#REF!</v>
      </c>
      <c r="H856" s="114" t="e">
        <f>Simulações!#REF!</f>
        <v>#REF!</v>
      </c>
      <c r="I856" s="114" t="e">
        <f>IF(Simulações!#REF!="","",Simulações!#REF!)</f>
        <v>#REF!</v>
      </c>
      <c r="J856" s="114" t="e">
        <f>IF(Simulações!#REF!="","",Simulações!#REF!)</f>
        <v>#REF!</v>
      </c>
      <c r="K856" s="117" t="e">
        <f>Simulações!#REF!</f>
        <v>#REF!</v>
      </c>
      <c r="L856" s="117" t="e">
        <f>Simulações!#REF!</f>
        <v>#REF!</v>
      </c>
      <c r="M856" s="114" t="e">
        <f>IF(Simulações!#REF!="","",Simulações!#REF!)</f>
        <v>#REF!</v>
      </c>
      <c r="N856" s="114" t="e">
        <f>IF(Simulações!#REF!="","",Simulações!#REF!)</f>
        <v>#REF!</v>
      </c>
      <c r="O856" s="114">
        <v>1</v>
      </c>
    </row>
    <row r="857" spans="1:15" ht="15.75" hidden="1" customHeight="1" x14ac:dyDescent="0.3">
      <c r="A857" s="124" t="e">
        <f>Simulações!#REF!</f>
        <v>#REF!</v>
      </c>
      <c r="B857" s="114" t="e">
        <f>Simulações!#REF!</f>
        <v>#REF!</v>
      </c>
      <c r="C857" s="125" t="e">
        <f>Simulações!#REF!</f>
        <v>#REF!</v>
      </c>
      <c r="D857" s="114" t="e">
        <f>Simulações!#REF!</f>
        <v>#REF!</v>
      </c>
      <c r="E857" s="114" t="e">
        <f>Simulações!#REF!</f>
        <v>#REF!</v>
      </c>
      <c r="F857" s="114" t="e">
        <f>Simulações!#REF!</f>
        <v>#REF!</v>
      </c>
      <c r="G857" s="114" t="e">
        <f>Simulações!#REF!</f>
        <v>#REF!</v>
      </c>
      <c r="H857" s="114" t="e">
        <f>Simulações!#REF!</f>
        <v>#REF!</v>
      </c>
      <c r="I857" s="114" t="e">
        <f>IF(Simulações!#REF!="","",Simulações!#REF!)</f>
        <v>#REF!</v>
      </c>
      <c r="J857" s="114" t="e">
        <f>IF(Simulações!#REF!="","",Simulações!#REF!)</f>
        <v>#REF!</v>
      </c>
      <c r="K857" s="117" t="e">
        <f>Simulações!#REF!</f>
        <v>#REF!</v>
      </c>
      <c r="L857" s="117" t="e">
        <f>Simulações!#REF!</f>
        <v>#REF!</v>
      </c>
      <c r="M857" s="114" t="e">
        <f>IF(Simulações!#REF!="","",Simulações!#REF!)</f>
        <v>#REF!</v>
      </c>
      <c r="N857" s="114" t="e">
        <f>IF(Simulações!#REF!="","",Simulações!#REF!)</f>
        <v>#REF!</v>
      </c>
      <c r="O857" s="114">
        <v>1</v>
      </c>
    </row>
    <row r="858" spans="1:15" ht="15.75" hidden="1" customHeight="1" x14ac:dyDescent="0.3">
      <c r="A858" s="124" t="e">
        <f>Simulações!#REF!</f>
        <v>#REF!</v>
      </c>
      <c r="B858" s="114" t="e">
        <f>Simulações!#REF!</f>
        <v>#REF!</v>
      </c>
      <c r="C858" s="125" t="e">
        <f>Simulações!#REF!</f>
        <v>#REF!</v>
      </c>
      <c r="D858" s="114" t="e">
        <f>Simulações!#REF!</f>
        <v>#REF!</v>
      </c>
      <c r="E858" s="114" t="e">
        <f>Simulações!#REF!</f>
        <v>#REF!</v>
      </c>
      <c r="F858" s="114" t="e">
        <f>Simulações!#REF!</f>
        <v>#REF!</v>
      </c>
      <c r="G858" s="114" t="e">
        <f>Simulações!#REF!</f>
        <v>#REF!</v>
      </c>
      <c r="H858" s="114" t="e">
        <f>Simulações!#REF!</f>
        <v>#REF!</v>
      </c>
      <c r="I858" s="114" t="e">
        <f>IF(Simulações!#REF!="","",Simulações!#REF!)</f>
        <v>#REF!</v>
      </c>
      <c r="J858" s="114" t="e">
        <f>IF(Simulações!#REF!="","",Simulações!#REF!)</f>
        <v>#REF!</v>
      </c>
      <c r="K858" s="117" t="e">
        <f>Simulações!#REF!</f>
        <v>#REF!</v>
      </c>
      <c r="L858" s="117" t="e">
        <f>Simulações!#REF!</f>
        <v>#REF!</v>
      </c>
      <c r="M858" s="114" t="e">
        <f>IF(Simulações!#REF!="","",Simulações!#REF!)</f>
        <v>#REF!</v>
      </c>
      <c r="N858" s="114" t="e">
        <f>IF(Simulações!#REF!="","",Simulações!#REF!)</f>
        <v>#REF!</v>
      </c>
      <c r="O858" s="114">
        <v>1</v>
      </c>
    </row>
    <row r="859" spans="1:15" ht="15.75" hidden="1" customHeight="1" x14ac:dyDescent="0.3">
      <c r="A859" s="124" t="e">
        <f>Simulações!#REF!</f>
        <v>#REF!</v>
      </c>
      <c r="B859" s="114" t="e">
        <f>Simulações!#REF!</f>
        <v>#REF!</v>
      </c>
      <c r="C859" s="125" t="e">
        <f>Simulações!#REF!</f>
        <v>#REF!</v>
      </c>
      <c r="D859" s="114" t="e">
        <f>Simulações!#REF!</f>
        <v>#REF!</v>
      </c>
      <c r="E859" s="114" t="e">
        <f>Simulações!#REF!</f>
        <v>#REF!</v>
      </c>
      <c r="F859" s="114" t="e">
        <f>Simulações!#REF!</f>
        <v>#REF!</v>
      </c>
      <c r="G859" s="114" t="e">
        <f>Simulações!#REF!</f>
        <v>#REF!</v>
      </c>
      <c r="H859" s="114" t="e">
        <f>Simulações!#REF!</f>
        <v>#REF!</v>
      </c>
      <c r="I859" s="114" t="e">
        <f>IF(Simulações!#REF!="","",Simulações!#REF!)</f>
        <v>#REF!</v>
      </c>
      <c r="J859" s="114" t="e">
        <f>IF(Simulações!#REF!="","",Simulações!#REF!)</f>
        <v>#REF!</v>
      </c>
      <c r="K859" s="117" t="e">
        <f>Simulações!#REF!</f>
        <v>#REF!</v>
      </c>
      <c r="L859" s="117" t="e">
        <f>Simulações!#REF!</f>
        <v>#REF!</v>
      </c>
      <c r="M859" s="114" t="e">
        <f>IF(Simulações!#REF!="","",Simulações!#REF!)</f>
        <v>#REF!</v>
      </c>
      <c r="N859" s="114" t="e">
        <f>IF(Simulações!#REF!="","",Simulações!#REF!)</f>
        <v>#REF!</v>
      </c>
      <c r="O859" s="114">
        <v>1</v>
      </c>
    </row>
    <row r="860" spans="1:15" ht="15.75" hidden="1" customHeight="1" x14ac:dyDescent="0.3">
      <c r="A860" s="124" t="e">
        <f>Simulações!#REF!</f>
        <v>#REF!</v>
      </c>
      <c r="B860" s="114" t="e">
        <f>Simulações!#REF!</f>
        <v>#REF!</v>
      </c>
      <c r="C860" s="125" t="e">
        <f>Simulações!#REF!</f>
        <v>#REF!</v>
      </c>
      <c r="D860" s="114" t="e">
        <f>Simulações!#REF!</f>
        <v>#REF!</v>
      </c>
      <c r="E860" s="114" t="e">
        <f>Simulações!#REF!</f>
        <v>#REF!</v>
      </c>
      <c r="F860" s="114" t="e">
        <f>Simulações!#REF!</f>
        <v>#REF!</v>
      </c>
      <c r="G860" s="114" t="e">
        <f>Simulações!#REF!</f>
        <v>#REF!</v>
      </c>
      <c r="H860" s="114" t="e">
        <f>Simulações!#REF!</f>
        <v>#REF!</v>
      </c>
      <c r="I860" s="114" t="e">
        <f>IF(Simulações!#REF!="","",Simulações!#REF!)</f>
        <v>#REF!</v>
      </c>
      <c r="J860" s="114" t="e">
        <f>IF(Simulações!#REF!="","",Simulações!#REF!)</f>
        <v>#REF!</v>
      </c>
      <c r="K860" s="117" t="e">
        <f>Simulações!#REF!</f>
        <v>#REF!</v>
      </c>
      <c r="L860" s="117" t="e">
        <f>Simulações!#REF!</f>
        <v>#REF!</v>
      </c>
      <c r="M860" s="114" t="e">
        <f>IF(Simulações!#REF!="","",Simulações!#REF!)</f>
        <v>#REF!</v>
      </c>
      <c r="N860" s="114" t="e">
        <f>IF(Simulações!#REF!="","",Simulações!#REF!)</f>
        <v>#REF!</v>
      </c>
      <c r="O860" s="114">
        <v>1</v>
      </c>
    </row>
    <row r="861" spans="1:15" ht="15.75" hidden="1" customHeight="1" x14ac:dyDescent="0.3">
      <c r="A861" s="124" t="e">
        <f>Simulações!#REF!</f>
        <v>#REF!</v>
      </c>
      <c r="B861" s="114" t="e">
        <f>Simulações!#REF!</f>
        <v>#REF!</v>
      </c>
      <c r="C861" s="125" t="e">
        <f>Simulações!#REF!</f>
        <v>#REF!</v>
      </c>
      <c r="D861" s="114" t="e">
        <f>Simulações!#REF!</f>
        <v>#REF!</v>
      </c>
      <c r="E861" s="114" t="e">
        <f>Simulações!#REF!</f>
        <v>#REF!</v>
      </c>
      <c r="F861" s="114" t="e">
        <f>Simulações!#REF!</f>
        <v>#REF!</v>
      </c>
      <c r="G861" s="114" t="e">
        <f>Simulações!#REF!</f>
        <v>#REF!</v>
      </c>
      <c r="H861" s="114" t="e">
        <f>Simulações!#REF!</f>
        <v>#REF!</v>
      </c>
      <c r="I861" s="114" t="e">
        <f>IF(Simulações!#REF!="","",Simulações!#REF!)</f>
        <v>#REF!</v>
      </c>
      <c r="J861" s="114" t="e">
        <f>IF(Simulações!#REF!="","",Simulações!#REF!)</f>
        <v>#REF!</v>
      </c>
      <c r="K861" s="117" t="e">
        <f>Simulações!#REF!</f>
        <v>#REF!</v>
      </c>
      <c r="L861" s="117" t="e">
        <f>Simulações!#REF!</f>
        <v>#REF!</v>
      </c>
      <c r="M861" s="114" t="e">
        <f>IF(Simulações!#REF!="","",Simulações!#REF!)</f>
        <v>#REF!</v>
      </c>
      <c r="N861" s="114" t="e">
        <f>IF(Simulações!#REF!="","",Simulações!#REF!)</f>
        <v>#REF!</v>
      </c>
      <c r="O861" s="114">
        <v>1</v>
      </c>
    </row>
    <row r="862" spans="1:15" ht="15.75" hidden="1" customHeight="1" x14ac:dyDescent="0.3">
      <c r="A862" s="124" t="e">
        <f>Simulações!#REF!</f>
        <v>#REF!</v>
      </c>
      <c r="B862" s="114" t="e">
        <f>Simulações!#REF!</f>
        <v>#REF!</v>
      </c>
      <c r="C862" s="125" t="e">
        <f>Simulações!#REF!</f>
        <v>#REF!</v>
      </c>
      <c r="D862" s="114" t="e">
        <f>Simulações!#REF!</f>
        <v>#REF!</v>
      </c>
      <c r="E862" s="114" t="e">
        <f>Simulações!#REF!</f>
        <v>#REF!</v>
      </c>
      <c r="F862" s="114" t="e">
        <f>Simulações!#REF!</f>
        <v>#REF!</v>
      </c>
      <c r="G862" s="114" t="e">
        <f>Simulações!#REF!</f>
        <v>#REF!</v>
      </c>
      <c r="H862" s="114" t="e">
        <f>Simulações!#REF!</f>
        <v>#REF!</v>
      </c>
      <c r="I862" s="114" t="e">
        <f>IF(Simulações!#REF!="","",Simulações!#REF!)</f>
        <v>#REF!</v>
      </c>
      <c r="J862" s="114" t="e">
        <f>IF(Simulações!#REF!="","",Simulações!#REF!)</f>
        <v>#REF!</v>
      </c>
      <c r="K862" s="117" t="e">
        <f>Simulações!#REF!</f>
        <v>#REF!</v>
      </c>
      <c r="L862" s="117" t="e">
        <f>Simulações!#REF!</f>
        <v>#REF!</v>
      </c>
      <c r="M862" s="114" t="e">
        <f>IF(Simulações!#REF!="","",Simulações!#REF!)</f>
        <v>#REF!</v>
      </c>
      <c r="N862" s="114" t="e">
        <f>IF(Simulações!#REF!="","",Simulações!#REF!)</f>
        <v>#REF!</v>
      </c>
      <c r="O862" s="114">
        <v>1</v>
      </c>
    </row>
    <row r="863" spans="1:15" ht="15.75" hidden="1" customHeight="1" x14ac:dyDescent="0.3">
      <c r="A863" s="124" t="e">
        <f>Simulações!#REF!</f>
        <v>#REF!</v>
      </c>
      <c r="B863" s="114" t="e">
        <f>Simulações!#REF!</f>
        <v>#REF!</v>
      </c>
      <c r="C863" s="125" t="e">
        <f>Simulações!#REF!</f>
        <v>#REF!</v>
      </c>
      <c r="D863" s="114" t="e">
        <f>Simulações!#REF!</f>
        <v>#REF!</v>
      </c>
      <c r="E863" s="114" t="e">
        <f>Simulações!#REF!</f>
        <v>#REF!</v>
      </c>
      <c r="F863" s="114" t="e">
        <f>Simulações!#REF!</f>
        <v>#REF!</v>
      </c>
      <c r="G863" s="114" t="e">
        <f>Simulações!#REF!</f>
        <v>#REF!</v>
      </c>
      <c r="H863" s="114" t="e">
        <f>Simulações!#REF!</f>
        <v>#REF!</v>
      </c>
      <c r="I863" s="114" t="e">
        <f>IF(Simulações!#REF!="","",Simulações!#REF!)</f>
        <v>#REF!</v>
      </c>
      <c r="J863" s="114" t="e">
        <f>IF(Simulações!#REF!="","",Simulações!#REF!)</f>
        <v>#REF!</v>
      </c>
      <c r="K863" s="117" t="e">
        <f>Simulações!#REF!</f>
        <v>#REF!</v>
      </c>
      <c r="L863" s="117" t="e">
        <f>Simulações!#REF!</f>
        <v>#REF!</v>
      </c>
      <c r="M863" s="114" t="e">
        <f>IF(Simulações!#REF!="","",Simulações!#REF!)</f>
        <v>#REF!</v>
      </c>
      <c r="N863" s="114" t="e">
        <f>IF(Simulações!#REF!="","",Simulações!#REF!)</f>
        <v>#REF!</v>
      </c>
      <c r="O863" s="114">
        <v>1</v>
      </c>
    </row>
    <row r="864" spans="1:15" ht="15.75" hidden="1" customHeight="1" x14ac:dyDescent="0.3">
      <c r="A864" s="124" t="e">
        <f>Simulações!#REF!</f>
        <v>#REF!</v>
      </c>
      <c r="B864" s="114" t="e">
        <f>Simulações!#REF!</f>
        <v>#REF!</v>
      </c>
      <c r="C864" s="125" t="e">
        <f>Simulações!#REF!</f>
        <v>#REF!</v>
      </c>
      <c r="D864" s="114" t="e">
        <f>Simulações!#REF!</f>
        <v>#REF!</v>
      </c>
      <c r="E864" s="114" t="e">
        <f>Simulações!#REF!</f>
        <v>#REF!</v>
      </c>
      <c r="F864" s="114" t="e">
        <f>Simulações!#REF!</f>
        <v>#REF!</v>
      </c>
      <c r="G864" s="114" t="e">
        <f>Simulações!#REF!</f>
        <v>#REF!</v>
      </c>
      <c r="H864" s="114" t="e">
        <f>Simulações!#REF!</f>
        <v>#REF!</v>
      </c>
      <c r="I864" s="114" t="e">
        <f>IF(Simulações!#REF!="","",Simulações!#REF!)</f>
        <v>#REF!</v>
      </c>
      <c r="J864" s="114" t="e">
        <f>IF(Simulações!#REF!="","",Simulações!#REF!)</f>
        <v>#REF!</v>
      </c>
      <c r="K864" s="117" t="e">
        <f>Simulações!#REF!</f>
        <v>#REF!</v>
      </c>
      <c r="L864" s="117" t="e">
        <f>Simulações!#REF!</f>
        <v>#REF!</v>
      </c>
      <c r="M864" s="114" t="e">
        <f>IF(Simulações!#REF!="","",Simulações!#REF!)</f>
        <v>#REF!</v>
      </c>
      <c r="N864" s="114" t="e">
        <f>IF(Simulações!#REF!="","",Simulações!#REF!)</f>
        <v>#REF!</v>
      </c>
      <c r="O864" s="114">
        <v>1</v>
      </c>
    </row>
    <row r="865" spans="1:15" ht="15.75" hidden="1" customHeight="1" x14ac:dyDescent="0.3">
      <c r="A865" s="124" t="e">
        <f>Simulações!#REF!</f>
        <v>#REF!</v>
      </c>
      <c r="B865" s="114" t="e">
        <f>Simulações!#REF!</f>
        <v>#REF!</v>
      </c>
      <c r="C865" s="125" t="e">
        <f>Simulações!#REF!</f>
        <v>#REF!</v>
      </c>
      <c r="D865" s="114" t="e">
        <f>Simulações!#REF!</f>
        <v>#REF!</v>
      </c>
      <c r="E865" s="114" t="e">
        <f>Simulações!#REF!</f>
        <v>#REF!</v>
      </c>
      <c r="F865" s="114" t="e">
        <f>Simulações!#REF!</f>
        <v>#REF!</v>
      </c>
      <c r="G865" s="114" t="e">
        <f>Simulações!#REF!</f>
        <v>#REF!</v>
      </c>
      <c r="H865" s="114" t="e">
        <f>Simulações!#REF!</f>
        <v>#REF!</v>
      </c>
      <c r="I865" s="114" t="e">
        <f>IF(Simulações!#REF!="","",Simulações!#REF!)</f>
        <v>#REF!</v>
      </c>
      <c r="J865" s="114" t="e">
        <f>IF(Simulações!#REF!="","",Simulações!#REF!)</f>
        <v>#REF!</v>
      </c>
      <c r="K865" s="117" t="e">
        <f>Simulações!#REF!</f>
        <v>#REF!</v>
      </c>
      <c r="L865" s="117" t="e">
        <f>Simulações!#REF!</f>
        <v>#REF!</v>
      </c>
      <c r="M865" s="114" t="e">
        <f>IF(Simulações!#REF!="","",Simulações!#REF!)</f>
        <v>#REF!</v>
      </c>
      <c r="N865" s="114" t="e">
        <f>IF(Simulações!#REF!="","",Simulações!#REF!)</f>
        <v>#REF!</v>
      </c>
      <c r="O865" s="114">
        <v>1</v>
      </c>
    </row>
    <row r="866" spans="1:15" ht="15.75" hidden="1" customHeight="1" x14ac:dyDescent="0.3">
      <c r="A866" s="124" t="e">
        <f>Simulações!#REF!</f>
        <v>#REF!</v>
      </c>
      <c r="B866" s="114" t="e">
        <f>Simulações!#REF!</f>
        <v>#REF!</v>
      </c>
      <c r="C866" s="125" t="e">
        <f>Simulações!#REF!</f>
        <v>#REF!</v>
      </c>
      <c r="D866" s="114" t="e">
        <f>Simulações!#REF!</f>
        <v>#REF!</v>
      </c>
      <c r="E866" s="114" t="e">
        <f>Simulações!#REF!</f>
        <v>#REF!</v>
      </c>
      <c r="F866" s="114" t="e">
        <f>Simulações!#REF!</f>
        <v>#REF!</v>
      </c>
      <c r="G866" s="114" t="e">
        <f>Simulações!#REF!</f>
        <v>#REF!</v>
      </c>
      <c r="H866" s="114" t="e">
        <f>Simulações!#REF!</f>
        <v>#REF!</v>
      </c>
      <c r="I866" s="114" t="e">
        <f>IF(Simulações!#REF!="","",Simulações!#REF!)</f>
        <v>#REF!</v>
      </c>
      <c r="J866" s="114" t="e">
        <f>IF(Simulações!#REF!="","",Simulações!#REF!)</f>
        <v>#REF!</v>
      </c>
      <c r="K866" s="117" t="e">
        <f>Simulações!#REF!</f>
        <v>#REF!</v>
      </c>
      <c r="L866" s="117" t="e">
        <f>Simulações!#REF!</f>
        <v>#REF!</v>
      </c>
      <c r="M866" s="114" t="e">
        <f>IF(Simulações!#REF!="","",Simulações!#REF!)</f>
        <v>#REF!</v>
      </c>
      <c r="N866" s="114" t="e">
        <f>IF(Simulações!#REF!="","",Simulações!#REF!)</f>
        <v>#REF!</v>
      </c>
      <c r="O866" s="114">
        <v>1</v>
      </c>
    </row>
    <row r="867" spans="1:15" ht="15.75" hidden="1" customHeight="1" x14ac:dyDescent="0.3">
      <c r="A867" s="124" t="e">
        <f>Simulações!#REF!</f>
        <v>#REF!</v>
      </c>
      <c r="B867" s="114" t="e">
        <f>Simulações!#REF!</f>
        <v>#REF!</v>
      </c>
      <c r="C867" s="125" t="e">
        <f>Simulações!#REF!</f>
        <v>#REF!</v>
      </c>
      <c r="D867" s="114" t="e">
        <f>Simulações!#REF!</f>
        <v>#REF!</v>
      </c>
      <c r="E867" s="114" t="e">
        <f>Simulações!#REF!</f>
        <v>#REF!</v>
      </c>
      <c r="F867" s="114" t="e">
        <f>Simulações!#REF!</f>
        <v>#REF!</v>
      </c>
      <c r="G867" s="114" t="e">
        <f>Simulações!#REF!</f>
        <v>#REF!</v>
      </c>
      <c r="H867" s="114" t="e">
        <f>Simulações!#REF!</f>
        <v>#REF!</v>
      </c>
      <c r="I867" s="114" t="e">
        <f>IF(Simulações!#REF!="","",Simulações!#REF!)</f>
        <v>#REF!</v>
      </c>
      <c r="J867" s="114" t="e">
        <f>IF(Simulações!#REF!="","",Simulações!#REF!)</f>
        <v>#REF!</v>
      </c>
      <c r="K867" s="117" t="e">
        <f>Simulações!#REF!</f>
        <v>#REF!</v>
      </c>
      <c r="L867" s="117" t="e">
        <f>Simulações!#REF!</f>
        <v>#REF!</v>
      </c>
      <c r="M867" s="114" t="e">
        <f>IF(Simulações!#REF!="","",Simulações!#REF!)</f>
        <v>#REF!</v>
      </c>
      <c r="N867" s="114" t="e">
        <f>IF(Simulações!#REF!="","",Simulações!#REF!)</f>
        <v>#REF!</v>
      </c>
      <c r="O867" s="114">
        <v>1</v>
      </c>
    </row>
    <row r="868" spans="1:15" ht="15.75" hidden="1" customHeight="1" x14ac:dyDescent="0.3">
      <c r="A868" s="124" t="e">
        <f>Simulações!#REF!</f>
        <v>#REF!</v>
      </c>
      <c r="B868" s="114" t="e">
        <f>Simulações!#REF!</f>
        <v>#REF!</v>
      </c>
      <c r="C868" s="125" t="e">
        <f>Simulações!#REF!</f>
        <v>#REF!</v>
      </c>
      <c r="D868" s="114" t="e">
        <f>Simulações!#REF!</f>
        <v>#REF!</v>
      </c>
      <c r="E868" s="114" t="e">
        <f>Simulações!#REF!</f>
        <v>#REF!</v>
      </c>
      <c r="F868" s="114" t="e">
        <f>Simulações!#REF!</f>
        <v>#REF!</v>
      </c>
      <c r="G868" s="114" t="e">
        <f>Simulações!#REF!</f>
        <v>#REF!</v>
      </c>
      <c r="H868" s="114" t="e">
        <f>Simulações!#REF!</f>
        <v>#REF!</v>
      </c>
      <c r="I868" s="114" t="e">
        <f>IF(Simulações!#REF!="","",Simulações!#REF!)</f>
        <v>#REF!</v>
      </c>
      <c r="J868" s="114" t="e">
        <f>IF(Simulações!#REF!="","",Simulações!#REF!)</f>
        <v>#REF!</v>
      </c>
      <c r="K868" s="117" t="e">
        <f>Simulações!#REF!</f>
        <v>#REF!</v>
      </c>
      <c r="L868" s="117" t="e">
        <f>Simulações!#REF!</f>
        <v>#REF!</v>
      </c>
      <c r="M868" s="114" t="e">
        <f>IF(Simulações!#REF!="","",Simulações!#REF!)</f>
        <v>#REF!</v>
      </c>
      <c r="N868" s="114" t="e">
        <f>IF(Simulações!#REF!="","",Simulações!#REF!)</f>
        <v>#REF!</v>
      </c>
      <c r="O868" s="114">
        <v>1</v>
      </c>
    </row>
    <row r="869" spans="1:15" ht="15.75" hidden="1" customHeight="1" x14ac:dyDescent="0.3">
      <c r="A869" s="124" t="e">
        <f>Simulações!#REF!</f>
        <v>#REF!</v>
      </c>
      <c r="B869" s="114" t="e">
        <f>Simulações!#REF!</f>
        <v>#REF!</v>
      </c>
      <c r="C869" s="125" t="e">
        <f>Simulações!#REF!</f>
        <v>#REF!</v>
      </c>
      <c r="D869" s="114" t="e">
        <f>Simulações!#REF!</f>
        <v>#REF!</v>
      </c>
      <c r="E869" s="114" t="e">
        <f>Simulações!#REF!</f>
        <v>#REF!</v>
      </c>
      <c r="F869" s="114" t="e">
        <f>Simulações!#REF!</f>
        <v>#REF!</v>
      </c>
      <c r="G869" s="114" t="e">
        <f>Simulações!#REF!</f>
        <v>#REF!</v>
      </c>
      <c r="H869" s="114" t="e">
        <f>Simulações!#REF!</f>
        <v>#REF!</v>
      </c>
      <c r="I869" s="114" t="e">
        <f>IF(Simulações!#REF!="","",Simulações!#REF!)</f>
        <v>#REF!</v>
      </c>
      <c r="J869" s="114" t="e">
        <f>IF(Simulações!#REF!="","",Simulações!#REF!)</f>
        <v>#REF!</v>
      </c>
      <c r="K869" s="117" t="e">
        <f>Simulações!#REF!</f>
        <v>#REF!</v>
      </c>
      <c r="L869" s="117" t="e">
        <f>Simulações!#REF!</f>
        <v>#REF!</v>
      </c>
      <c r="M869" s="114" t="e">
        <f>IF(Simulações!#REF!="","",Simulações!#REF!)</f>
        <v>#REF!</v>
      </c>
      <c r="N869" s="114" t="e">
        <f>IF(Simulações!#REF!="","",Simulações!#REF!)</f>
        <v>#REF!</v>
      </c>
      <c r="O869" s="114">
        <v>1</v>
      </c>
    </row>
    <row r="870" spans="1:15" ht="15.75" hidden="1" customHeight="1" x14ac:dyDescent="0.3">
      <c r="A870" s="124" t="e">
        <f>Simulações!#REF!</f>
        <v>#REF!</v>
      </c>
      <c r="B870" s="114" t="e">
        <f>Simulações!#REF!</f>
        <v>#REF!</v>
      </c>
      <c r="C870" s="125" t="e">
        <f>Simulações!#REF!</f>
        <v>#REF!</v>
      </c>
      <c r="D870" s="114" t="e">
        <f>Simulações!#REF!</f>
        <v>#REF!</v>
      </c>
      <c r="E870" s="114" t="e">
        <f>Simulações!#REF!</f>
        <v>#REF!</v>
      </c>
      <c r="F870" s="114" t="e">
        <f>Simulações!#REF!</f>
        <v>#REF!</v>
      </c>
      <c r="G870" s="114" t="e">
        <f>Simulações!#REF!</f>
        <v>#REF!</v>
      </c>
      <c r="H870" s="114" t="e">
        <f>Simulações!#REF!</f>
        <v>#REF!</v>
      </c>
      <c r="I870" s="114" t="e">
        <f>IF(Simulações!#REF!="","",Simulações!#REF!)</f>
        <v>#REF!</v>
      </c>
      <c r="J870" s="114" t="e">
        <f>IF(Simulações!#REF!="","",Simulações!#REF!)</f>
        <v>#REF!</v>
      </c>
      <c r="K870" s="117" t="e">
        <f>Simulações!#REF!</f>
        <v>#REF!</v>
      </c>
      <c r="L870" s="117" t="e">
        <f>Simulações!#REF!</f>
        <v>#REF!</v>
      </c>
      <c r="M870" s="114" t="e">
        <f>IF(Simulações!#REF!="","",Simulações!#REF!)</f>
        <v>#REF!</v>
      </c>
      <c r="N870" s="114" t="e">
        <f>IF(Simulações!#REF!="","",Simulações!#REF!)</f>
        <v>#REF!</v>
      </c>
      <c r="O870" s="114">
        <v>1</v>
      </c>
    </row>
    <row r="871" spans="1:15" ht="15.75" hidden="1" customHeight="1" x14ac:dyDescent="0.3">
      <c r="A871" s="124" t="e">
        <f>Simulações!#REF!</f>
        <v>#REF!</v>
      </c>
      <c r="B871" s="114" t="e">
        <f>Simulações!#REF!</f>
        <v>#REF!</v>
      </c>
      <c r="C871" s="125" t="e">
        <f>Simulações!#REF!</f>
        <v>#REF!</v>
      </c>
      <c r="D871" s="114" t="e">
        <f>Simulações!#REF!</f>
        <v>#REF!</v>
      </c>
      <c r="E871" s="114" t="e">
        <f>Simulações!#REF!</f>
        <v>#REF!</v>
      </c>
      <c r="F871" s="114" t="e">
        <f>Simulações!#REF!</f>
        <v>#REF!</v>
      </c>
      <c r="G871" s="114" t="e">
        <f>Simulações!#REF!</f>
        <v>#REF!</v>
      </c>
      <c r="H871" s="114" t="e">
        <f>Simulações!#REF!</f>
        <v>#REF!</v>
      </c>
      <c r="I871" s="114" t="e">
        <f>IF(Simulações!#REF!="","",Simulações!#REF!)</f>
        <v>#REF!</v>
      </c>
      <c r="J871" s="114" t="e">
        <f>IF(Simulações!#REF!="","",Simulações!#REF!)</f>
        <v>#REF!</v>
      </c>
      <c r="K871" s="117" t="e">
        <f>Simulações!#REF!</f>
        <v>#REF!</v>
      </c>
      <c r="L871" s="117" t="e">
        <f>Simulações!#REF!</f>
        <v>#REF!</v>
      </c>
      <c r="M871" s="114" t="e">
        <f>IF(Simulações!#REF!="","",Simulações!#REF!)</f>
        <v>#REF!</v>
      </c>
      <c r="N871" s="114" t="e">
        <f>IF(Simulações!#REF!="","",Simulações!#REF!)</f>
        <v>#REF!</v>
      </c>
      <c r="O871" s="114">
        <v>1</v>
      </c>
    </row>
    <row r="872" spans="1:15" ht="15.75" hidden="1" customHeight="1" x14ac:dyDescent="0.3">
      <c r="A872" s="124" t="e">
        <f>Simulações!#REF!</f>
        <v>#REF!</v>
      </c>
      <c r="B872" s="114" t="e">
        <f>Simulações!#REF!</f>
        <v>#REF!</v>
      </c>
      <c r="C872" s="125" t="e">
        <f>Simulações!#REF!</f>
        <v>#REF!</v>
      </c>
      <c r="D872" s="114" t="e">
        <f>Simulações!#REF!</f>
        <v>#REF!</v>
      </c>
      <c r="E872" s="114" t="e">
        <f>Simulações!#REF!</f>
        <v>#REF!</v>
      </c>
      <c r="F872" s="114" t="e">
        <f>Simulações!#REF!</f>
        <v>#REF!</v>
      </c>
      <c r="G872" s="114" t="e">
        <f>Simulações!#REF!</f>
        <v>#REF!</v>
      </c>
      <c r="H872" s="114" t="e">
        <f>Simulações!#REF!</f>
        <v>#REF!</v>
      </c>
      <c r="I872" s="114" t="e">
        <f>IF(Simulações!#REF!="","",Simulações!#REF!)</f>
        <v>#REF!</v>
      </c>
      <c r="J872" s="114" t="e">
        <f>IF(Simulações!#REF!="","",Simulações!#REF!)</f>
        <v>#REF!</v>
      </c>
      <c r="K872" s="117" t="e">
        <f>Simulações!#REF!</f>
        <v>#REF!</v>
      </c>
      <c r="L872" s="117" t="e">
        <f>Simulações!#REF!</f>
        <v>#REF!</v>
      </c>
      <c r="M872" s="114" t="e">
        <f>IF(Simulações!#REF!="","",Simulações!#REF!)</f>
        <v>#REF!</v>
      </c>
      <c r="N872" s="114" t="e">
        <f>IF(Simulações!#REF!="","",Simulações!#REF!)</f>
        <v>#REF!</v>
      </c>
      <c r="O872" s="114">
        <v>1</v>
      </c>
    </row>
    <row r="873" spans="1:15" ht="15.75" hidden="1" customHeight="1" x14ac:dyDescent="0.3">
      <c r="A873" s="124" t="e">
        <f>Simulações!#REF!</f>
        <v>#REF!</v>
      </c>
      <c r="B873" s="114" t="e">
        <f>Simulações!#REF!</f>
        <v>#REF!</v>
      </c>
      <c r="C873" s="125" t="e">
        <f>Simulações!#REF!</f>
        <v>#REF!</v>
      </c>
      <c r="D873" s="114" t="e">
        <f>Simulações!#REF!</f>
        <v>#REF!</v>
      </c>
      <c r="E873" s="114" t="e">
        <f>Simulações!#REF!</f>
        <v>#REF!</v>
      </c>
      <c r="F873" s="114" t="e">
        <f>Simulações!#REF!</f>
        <v>#REF!</v>
      </c>
      <c r="G873" s="114" t="e">
        <f>Simulações!#REF!</f>
        <v>#REF!</v>
      </c>
      <c r="H873" s="114" t="e">
        <f>Simulações!#REF!</f>
        <v>#REF!</v>
      </c>
      <c r="I873" s="114" t="e">
        <f>IF(Simulações!#REF!="","",Simulações!#REF!)</f>
        <v>#REF!</v>
      </c>
      <c r="J873" s="114" t="e">
        <f>IF(Simulações!#REF!="","",Simulações!#REF!)</f>
        <v>#REF!</v>
      </c>
      <c r="K873" s="117" t="e">
        <f>Simulações!#REF!</f>
        <v>#REF!</v>
      </c>
      <c r="L873" s="117" t="e">
        <f>Simulações!#REF!</f>
        <v>#REF!</v>
      </c>
      <c r="M873" s="114" t="e">
        <f>IF(Simulações!#REF!="","",Simulações!#REF!)</f>
        <v>#REF!</v>
      </c>
      <c r="N873" s="114" t="e">
        <f>IF(Simulações!#REF!="","",Simulações!#REF!)</f>
        <v>#REF!</v>
      </c>
      <c r="O873" s="114">
        <v>1</v>
      </c>
    </row>
    <row r="874" spans="1:15" ht="15.75" hidden="1" customHeight="1" x14ac:dyDescent="0.3">
      <c r="A874" s="124" t="e">
        <f>Simulações!#REF!</f>
        <v>#REF!</v>
      </c>
      <c r="B874" s="114" t="e">
        <f>Simulações!#REF!</f>
        <v>#REF!</v>
      </c>
      <c r="C874" s="125" t="e">
        <f>Simulações!#REF!</f>
        <v>#REF!</v>
      </c>
      <c r="D874" s="114" t="e">
        <f>Simulações!#REF!</f>
        <v>#REF!</v>
      </c>
      <c r="E874" s="114" t="e">
        <f>Simulações!#REF!</f>
        <v>#REF!</v>
      </c>
      <c r="F874" s="114" t="e">
        <f>Simulações!#REF!</f>
        <v>#REF!</v>
      </c>
      <c r="G874" s="114" t="e">
        <f>Simulações!#REF!</f>
        <v>#REF!</v>
      </c>
      <c r="H874" s="114" t="e">
        <f>Simulações!#REF!</f>
        <v>#REF!</v>
      </c>
      <c r="I874" s="114" t="e">
        <f>IF(Simulações!#REF!="","",Simulações!#REF!)</f>
        <v>#REF!</v>
      </c>
      <c r="J874" s="114" t="e">
        <f>IF(Simulações!#REF!="","",Simulações!#REF!)</f>
        <v>#REF!</v>
      </c>
      <c r="K874" s="117" t="e">
        <f>Simulações!#REF!</f>
        <v>#REF!</v>
      </c>
      <c r="L874" s="117" t="e">
        <f>Simulações!#REF!</f>
        <v>#REF!</v>
      </c>
      <c r="M874" s="114" t="e">
        <f>IF(Simulações!#REF!="","",Simulações!#REF!)</f>
        <v>#REF!</v>
      </c>
      <c r="N874" s="114" t="e">
        <f>IF(Simulações!#REF!="","",Simulações!#REF!)</f>
        <v>#REF!</v>
      </c>
      <c r="O874" s="114">
        <v>1</v>
      </c>
    </row>
    <row r="875" spans="1:15" ht="15.75" hidden="1" customHeight="1" x14ac:dyDescent="0.3">
      <c r="A875" s="124" t="e">
        <f>Simulações!#REF!</f>
        <v>#REF!</v>
      </c>
      <c r="B875" s="114" t="e">
        <f>Simulações!#REF!</f>
        <v>#REF!</v>
      </c>
      <c r="C875" s="125" t="e">
        <f>Simulações!#REF!</f>
        <v>#REF!</v>
      </c>
      <c r="D875" s="114" t="e">
        <f>Simulações!#REF!</f>
        <v>#REF!</v>
      </c>
      <c r="E875" s="114" t="e">
        <f>Simulações!#REF!</f>
        <v>#REF!</v>
      </c>
      <c r="F875" s="114" t="e">
        <f>Simulações!#REF!</f>
        <v>#REF!</v>
      </c>
      <c r="G875" s="114" t="e">
        <f>Simulações!#REF!</f>
        <v>#REF!</v>
      </c>
      <c r="H875" s="114" t="e">
        <f>Simulações!#REF!</f>
        <v>#REF!</v>
      </c>
      <c r="I875" s="114" t="e">
        <f>IF(Simulações!#REF!="","",Simulações!#REF!)</f>
        <v>#REF!</v>
      </c>
      <c r="J875" s="114" t="e">
        <f>IF(Simulações!#REF!="","",Simulações!#REF!)</f>
        <v>#REF!</v>
      </c>
      <c r="K875" s="117" t="e">
        <f>Simulações!#REF!</f>
        <v>#REF!</v>
      </c>
      <c r="L875" s="117" t="e">
        <f>Simulações!#REF!</f>
        <v>#REF!</v>
      </c>
      <c r="M875" s="114" t="e">
        <f>IF(Simulações!#REF!="","",Simulações!#REF!)</f>
        <v>#REF!</v>
      </c>
      <c r="N875" s="114" t="e">
        <f>IF(Simulações!#REF!="","",Simulações!#REF!)</f>
        <v>#REF!</v>
      </c>
      <c r="O875" s="114">
        <v>1</v>
      </c>
    </row>
    <row r="876" spans="1:15" ht="15.75" hidden="1" customHeight="1" x14ac:dyDescent="0.3">
      <c r="A876" s="124" t="e">
        <f>Simulações!#REF!</f>
        <v>#REF!</v>
      </c>
      <c r="B876" s="114" t="e">
        <f>Simulações!#REF!</f>
        <v>#REF!</v>
      </c>
      <c r="C876" s="125" t="e">
        <f>Simulações!#REF!</f>
        <v>#REF!</v>
      </c>
      <c r="D876" s="114" t="e">
        <f>Simulações!#REF!</f>
        <v>#REF!</v>
      </c>
      <c r="E876" s="114" t="e">
        <f>Simulações!#REF!</f>
        <v>#REF!</v>
      </c>
      <c r="F876" s="114" t="e">
        <f>Simulações!#REF!</f>
        <v>#REF!</v>
      </c>
      <c r="G876" s="114" t="e">
        <f>Simulações!#REF!</f>
        <v>#REF!</v>
      </c>
      <c r="H876" s="114" t="e">
        <f>Simulações!#REF!</f>
        <v>#REF!</v>
      </c>
      <c r="I876" s="114" t="e">
        <f>IF(Simulações!#REF!="","",Simulações!#REF!)</f>
        <v>#REF!</v>
      </c>
      <c r="J876" s="114" t="e">
        <f>IF(Simulações!#REF!="","",Simulações!#REF!)</f>
        <v>#REF!</v>
      </c>
      <c r="K876" s="117" t="e">
        <f>Simulações!#REF!</f>
        <v>#REF!</v>
      </c>
      <c r="L876" s="117" t="e">
        <f>Simulações!#REF!</f>
        <v>#REF!</v>
      </c>
      <c r="M876" s="114" t="e">
        <f>IF(Simulações!#REF!="","",Simulações!#REF!)</f>
        <v>#REF!</v>
      </c>
      <c r="N876" s="114" t="e">
        <f>IF(Simulações!#REF!="","",Simulações!#REF!)</f>
        <v>#REF!</v>
      </c>
      <c r="O876" s="114">
        <v>1</v>
      </c>
    </row>
    <row r="877" spans="1:15" ht="15.75" hidden="1" customHeight="1" x14ac:dyDescent="0.3">
      <c r="A877" s="124" t="e">
        <f>Simulações!#REF!</f>
        <v>#REF!</v>
      </c>
      <c r="B877" s="114" t="e">
        <f>Simulações!#REF!</f>
        <v>#REF!</v>
      </c>
      <c r="C877" s="125" t="e">
        <f>Simulações!#REF!</f>
        <v>#REF!</v>
      </c>
      <c r="D877" s="114" t="e">
        <f>Simulações!#REF!</f>
        <v>#REF!</v>
      </c>
      <c r="E877" s="114" t="e">
        <f>Simulações!#REF!</f>
        <v>#REF!</v>
      </c>
      <c r="F877" s="114" t="e">
        <f>Simulações!#REF!</f>
        <v>#REF!</v>
      </c>
      <c r="G877" s="114" t="e">
        <f>Simulações!#REF!</f>
        <v>#REF!</v>
      </c>
      <c r="H877" s="114" t="e">
        <f>Simulações!#REF!</f>
        <v>#REF!</v>
      </c>
      <c r="I877" s="114" t="e">
        <f>IF(Simulações!#REF!="","",Simulações!#REF!)</f>
        <v>#REF!</v>
      </c>
      <c r="J877" s="114" t="e">
        <f>IF(Simulações!#REF!="","",Simulações!#REF!)</f>
        <v>#REF!</v>
      </c>
      <c r="K877" s="117" t="e">
        <f>Simulações!#REF!</f>
        <v>#REF!</v>
      </c>
      <c r="L877" s="117" t="e">
        <f>Simulações!#REF!</f>
        <v>#REF!</v>
      </c>
      <c r="M877" s="114" t="e">
        <f>IF(Simulações!#REF!="","",Simulações!#REF!)</f>
        <v>#REF!</v>
      </c>
      <c r="N877" s="114" t="e">
        <f>IF(Simulações!#REF!="","",Simulações!#REF!)</f>
        <v>#REF!</v>
      </c>
      <c r="O877" s="114">
        <v>1</v>
      </c>
    </row>
    <row r="878" spans="1:15" ht="15.75" hidden="1" customHeight="1" x14ac:dyDescent="0.3">
      <c r="A878" s="124" t="e">
        <f>Simulações!#REF!</f>
        <v>#REF!</v>
      </c>
      <c r="B878" s="114" t="e">
        <f>Simulações!#REF!</f>
        <v>#REF!</v>
      </c>
      <c r="C878" s="125" t="e">
        <f>Simulações!#REF!</f>
        <v>#REF!</v>
      </c>
      <c r="D878" s="114" t="e">
        <f>Simulações!#REF!</f>
        <v>#REF!</v>
      </c>
      <c r="E878" s="114" t="e">
        <f>Simulações!#REF!</f>
        <v>#REF!</v>
      </c>
      <c r="F878" s="114" t="e">
        <f>Simulações!#REF!</f>
        <v>#REF!</v>
      </c>
      <c r="G878" s="114" t="e">
        <f>Simulações!#REF!</f>
        <v>#REF!</v>
      </c>
      <c r="H878" s="114" t="e">
        <f>Simulações!#REF!</f>
        <v>#REF!</v>
      </c>
      <c r="I878" s="114" t="e">
        <f>IF(Simulações!#REF!="","",Simulações!#REF!)</f>
        <v>#REF!</v>
      </c>
      <c r="J878" s="114" t="e">
        <f>IF(Simulações!#REF!="","",Simulações!#REF!)</f>
        <v>#REF!</v>
      </c>
      <c r="K878" s="117" t="e">
        <f>Simulações!#REF!</f>
        <v>#REF!</v>
      </c>
      <c r="L878" s="117" t="e">
        <f>Simulações!#REF!</f>
        <v>#REF!</v>
      </c>
      <c r="M878" s="114" t="e">
        <f>IF(Simulações!#REF!="","",Simulações!#REF!)</f>
        <v>#REF!</v>
      </c>
      <c r="N878" s="114" t="e">
        <f>IF(Simulações!#REF!="","",Simulações!#REF!)</f>
        <v>#REF!</v>
      </c>
      <c r="O878" s="114">
        <v>1</v>
      </c>
    </row>
    <row r="879" spans="1:15" ht="15.75" hidden="1" customHeight="1" x14ac:dyDescent="0.3">
      <c r="A879" s="124" t="e">
        <f>Simulações!#REF!</f>
        <v>#REF!</v>
      </c>
      <c r="B879" s="114" t="e">
        <f>Simulações!#REF!</f>
        <v>#REF!</v>
      </c>
      <c r="C879" s="125" t="e">
        <f>Simulações!#REF!</f>
        <v>#REF!</v>
      </c>
      <c r="D879" s="114" t="e">
        <f>Simulações!#REF!</f>
        <v>#REF!</v>
      </c>
      <c r="E879" s="114" t="e">
        <f>Simulações!#REF!</f>
        <v>#REF!</v>
      </c>
      <c r="F879" s="114" t="e">
        <f>Simulações!#REF!</f>
        <v>#REF!</v>
      </c>
      <c r="G879" s="114" t="e">
        <f>Simulações!#REF!</f>
        <v>#REF!</v>
      </c>
      <c r="H879" s="114" t="e">
        <f>Simulações!#REF!</f>
        <v>#REF!</v>
      </c>
      <c r="I879" s="114" t="e">
        <f>IF(Simulações!#REF!="","",Simulações!#REF!)</f>
        <v>#REF!</v>
      </c>
      <c r="J879" s="114" t="e">
        <f>IF(Simulações!#REF!="","",Simulações!#REF!)</f>
        <v>#REF!</v>
      </c>
      <c r="K879" s="117" t="e">
        <f>Simulações!#REF!</f>
        <v>#REF!</v>
      </c>
      <c r="L879" s="117" t="e">
        <f>Simulações!#REF!</f>
        <v>#REF!</v>
      </c>
      <c r="M879" s="114" t="e">
        <f>IF(Simulações!#REF!="","",Simulações!#REF!)</f>
        <v>#REF!</v>
      </c>
      <c r="N879" s="114" t="e">
        <f>IF(Simulações!#REF!="","",Simulações!#REF!)</f>
        <v>#REF!</v>
      </c>
      <c r="O879" s="114">
        <v>1</v>
      </c>
    </row>
    <row r="880" spans="1:15" ht="15.75" hidden="1" customHeight="1" x14ac:dyDescent="0.3">
      <c r="A880" s="124" t="e">
        <f>Simulações!#REF!</f>
        <v>#REF!</v>
      </c>
      <c r="B880" s="114" t="e">
        <f>Simulações!#REF!</f>
        <v>#REF!</v>
      </c>
      <c r="C880" s="125" t="e">
        <f>Simulações!#REF!</f>
        <v>#REF!</v>
      </c>
      <c r="D880" s="114" t="e">
        <f>Simulações!#REF!</f>
        <v>#REF!</v>
      </c>
      <c r="E880" s="114" t="e">
        <f>Simulações!#REF!</f>
        <v>#REF!</v>
      </c>
      <c r="F880" s="114" t="e">
        <f>Simulações!#REF!</f>
        <v>#REF!</v>
      </c>
      <c r="G880" s="114" t="e">
        <f>Simulações!#REF!</f>
        <v>#REF!</v>
      </c>
      <c r="H880" s="114" t="e">
        <f>Simulações!#REF!</f>
        <v>#REF!</v>
      </c>
      <c r="I880" s="114" t="e">
        <f>IF(Simulações!#REF!="","",Simulações!#REF!)</f>
        <v>#REF!</v>
      </c>
      <c r="J880" s="114" t="e">
        <f>IF(Simulações!#REF!="","",Simulações!#REF!)</f>
        <v>#REF!</v>
      </c>
      <c r="K880" s="117" t="e">
        <f>Simulações!#REF!</f>
        <v>#REF!</v>
      </c>
      <c r="L880" s="117" t="e">
        <f>Simulações!#REF!</f>
        <v>#REF!</v>
      </c>
      <c r="M880" s="114" t="e">
        <f>IF(Simulações!#REF!="","",Simulações!#REF!)</f>
        <v>#REF!</v>
      </c>
      <c r="N880" s="114" t="e">
        <f>IF(Simulações!#REF!="","",Simulações!#REF!)</f>
        <v>#REF!</v>
      </c>
      <c r="O880" s="114">
        <v>1</v>
      </c>
    </row>
    <row r="881" spans="1:15" ht="15.75" hidden="1" customHeight="1" x14ac:dyDescent="0.3">
      <c r="A881" s="124" t="e">
        <f>Simulações!#REF!</f>
        <v>#REF!</v>
      </c>
      <c r="B881" s="114" t="e">
        <f>Simulações!#REF!</f>
        <v>#REF!</v>
      </c>
      <c r="C881" s="125" t="e">
        <f>Simulações!#REF!</f>
        <v>#REF!</v>
      </c>
      <c r="D881" s="114" t="e">
        <f>Simulações!#REF!</f>
        <v>#REF!</v>
      </c>
      <c r="E881" s="114" t="e">
        <f>Simulações!#REF!</f>
        <v>#REF!</v>
      </c>
      <c r="F881" s="114" t="e">
        <f>Simulações!#REF!</f>
        <v>#REF!</v>
      </c>
      <c r="G881" s="114" t="e">
        <f>Simulações!#REF!</f>
        <v>#REF!</v>
      </c>
      <c r="H881" s="114" t="e">
        <f>Simulações!#REF!</f>
        <v>#REF!</v>
      </c>
      <c r="I881" s="114" t="e">
        <f>IF(Simulações!#REF!="","",Simulações!#REF!)</f>
        <v>#REF!</v>
      </c>
      <c r="J881" s="114" t="e">
        <f>IF(Simulações!#REF!="","",Simulações!#REF!)</f>
        <v>#REF!</v>
      </c>
      <c r="K881" s="117" t="e">
        <f>Simulações!#REF!</f>
        <v>#REF!</v>
      </c>
      <c r="L881" s="117" t="e">
        <f>Simulações!#REF!</f>
        <v>#REF!</v>
      </c>
      <c r="M881" s="114" t="e">
        <f>IF(Simulações!#REF!="","",Simulações!#REF!)</f>
        <v>#REF!</v>
      </c>
      <c r="N881" s="114" t="e">
        <f>IF(Simulações!#REF!="","",Simulações!#REF!)</f>
        <v>#REF!</v>
      </c>
      <c r="O881" s="114">
        <v>1</v>
      </c>
    </row>
    <row r="882" spans="1:15" ht="15.75" hidden="1" customHeight="1" x14ac:dyDescent="0.3">
      <c r="A882" s="124" t="e">
        <f>Simulações!#REF!</f>
        <v>#REF!</v>
      </c>
      <c r="B882" s="114" t="e">
        <f>Simulações!#REF!</f>
        <v>#REF!</v>
      </c>
      <c r="C882" s="125" t="e">
        <f>Simulações!#REF!</f>
        <v>#REF!</v>
      </c>
      <c r="D882" s="114" t="e">
        <f>Simulações!#REF!</f>
        <v>#REF!</v>
      </c>
      <c r="E882" s="114" t="e">
        <f>Simulações!#REF!</f>
        <v>#REF!</v>
      </c>
      <c r="F882" s="114" t="e">
        <f>Simulações!#REF!</f>
        <v>#REF!</v>
      </c>
      <c r="G882" s="114" t="e">
        <f>Simulações!#REF!</f>
        <v>#REF!</v>
      </c>
      <c r="H882" s="114" t="e">
        <f>Simulações!#REF!</f>
        <v>#REF!</v>
      </c>
      <c r="I882" s="114" t="e">
        <f>IF(Simulações!#REF!="","",Simulações!#REF!)</f>
        <v>#REF!</v>
      </c>
      <c r="J882" s="114" t="e">
        <f>IF(Simulações!#REF!="","",Simulações!#REF!)</f>
        <v>#REF!</v>
      </c>
      <c r="K882" s="117" t="e">
        <f>Simulações!#REF!</f>
        <v>#REF!</v>
      </c>
      <c r="L882" s="117" t="e">
        <f>Simulações!#REF!</f>
        <v>#REF!</v>
      </c>
      <c r="M882" s="114" t="e">
        <f>IF(Simulações!#REF!="","",Simulações!#REF!)</f>
        <v>#REF!</v>
      </c>
      <c r="N882" s="114" t="e">
        <f>IF(Simulações!#REF!="","",Simulações!#REF!)</f>
        <v>#REF!</v>
      </c>
      <c r="O882" s="114">
        <v>1</v>
      </c>
    </row>
    <row r="883" spans="1:15" ht="15.75" hidden="1" customHeight="1" x14ac:dyDescent="0.3">
      <c r="A883" s="124" t="e">
        <f>Simulações!#REF!</f>
        <v>#REF!</v>
      </c>
      <c r="B883" s="114" t="e">
        <f>Simulações!#REF!</f>
        <v>#REF!</v>
      </c>
      <c r="C883" s="125" t="e">
        <f>Simulações!#REF!</f>
        <v>#REF!</v>
      </c>
      <c r="D883" s="114" t="e">
        <f>Simulações!#REF!</f>
        <v>#REF!</v>
      </c>
      <c r="E883" s="114" t="e">
        <f>Simulações!#REF!</f>
        <v>#REF!</v>
      </c>
      <c r="F883" s="114" t="e">
        <f>Simulações!#REF!</f>
        <v>#REF!</v>
      </c>
      <c r="G883" s="114" t="e">
        <f>Simulações!#REF!</f>
        <v>#REF!</v>
      </c>
      <c r="H883" s="114" t="e">
        <f>Simulações!#REF!</f>
        <v>#REF!</v>
      </c>
      <c r="I883" s="114" t="e">
        <f>IF(Simulações!#REF!="","",Simulações!#REF!)</f>
        <v>#REF!</v>
      </c>
      <c r="J883" s="114" t="e">
        <f>IF(Simulações!#REF!="","",Simulações!#REF!)</f>
        <v>#REF!</v>
      </c>
      <c r="K883" s="117" t="e">
        <f>Simulações!#REF!</f>
        <v>#REF!</v>
      </c>
      <c r="L883" s="117" t="e">
        <f>Simulações!#REF!</f>
        <v>#REF!</v>
      </c>
      <c r="M883" s="114" t="e">
        <f>IF(Simulações!#REF!="","",Simulações!#REF!)</f>
        <v>#REF!</v>
      </c>
      <c r="N883" s="114" t="e">
        <f>IF(Simulações!#REF!="","",Simulações!#REF!)</f>
        <v>#REF!</v>
      </c>
      <c r="O883" s="114">
        <v>1</v>
      </c>
    </row>
    <row r="884" spans="1:15" ht="15.75" hidden="1" customHeight="1" x14ac:dyDescent="0.3">
      <c r="A884" s="124" t="e">
        <f>Simulações!#REF!</f>
        <v>#REF!</v>
      </c>
      <c r="B884" s="114" t="e">
        <f>Simulações!#REF!</f>
        <v>#REF!</v>
      </c>
      <c r="C884" s="125" t="e">
        <f>Simulações!#REF!</f>
        <v>#REF!</v>
      </c>
      <c r="D884" s="114" t="e">
        <f>Simulações!#REF!</f>
        <v>#REF!</v>
      </c>
      <c r="E884" s="114" t="e">
        <f>Simulações!#REF!</f>
        <v>#REF!</v>
      </c>
      <c r="F884" s="114" t="e">
        <f>Simulações!#REF!</f>
        <v>#REF!</v>
      </c>
      <c r="G884" s="114" t="e">
        <f>Simulações!#REF!</f>
        <v>#REF!</v>
      </c>
      <c r="H884" s="114" t="e">
        <f>Simulações!#REF!</f>
        <v>#REF!</v>
      </c>
      <c r="I884" s="114" t="e">
        <f>IF(Simulações!#REF!="","",Simulações!#REF!)</f>
        <v>#REF!</v>
      </c>
      <c r="J884" s="114" t="e">
        <f>IF(Simulações!#REF!="","",Simulações!#REF!)</f>
        <v>#REF!</v>
      </c>
      <c r="K884" s="117" t="e">
        <f>Simulações!#REF!</f>
        <v>#REF!</v>
      </c>
      <c r="L884" s="117" t="e">
        <f>Simulações!#REF!</f>
        <v>#REF!</v>
      </c>
      <c r="M884" s="114" t="e">
        <f>IF(Simulações!#REF!="","",Simulações!#REF!)</f>
        <v>#REF!</v>
      </c>
      <c r="N884" s="114" t="e">
        <f>IF(Simulações!#REF!="","",Simulações!#REF!)</f>
        <v>#REF!</v>
      </c>
      <c r="O884" s="114">
        <v>1</v>
      </c>
    </row>
    <row r="885" spans="1:15" ht="15.75" hidden="1" customHeight="1" x14ac:dyDescent="0.3">
      <c r="A885" s="124" t="e">
        <f>Simulações!#REF!</f>
        <v>#REF!</v>
      </c>
      <c r="B885" s="114" t="e">
        <f>Simulações!#REF!</f>
        <v>#REF!</v>
      </c>
      <c r="C885" s="125" t="e">
        <f>Simulações!#REF!</f>
        <v>#REF!</v>
      </c>
      <c r="D885" s="114" t="e">
        <f>Simulações!#REF!</f>
        <v>#REF!</v>
      </c>
      <c r="E885" s="114" t="e">
        <f>Simulações!#REF!</f>
        <v>#REF!</v>
      </c>
      <c r="F885" s="114" t="e">
        <f>Simulações!#REF!</f>
        <v>#REF!</v>
      </c>
      <c r="G885" s="114" t="e">
        <f>Simulações!#REF!</f>
        <v>#REF!</v>
      </c>
      <c r="H885" s="114" t="e">
        <f>Simulações!#REF!</f>
        <v>#REF!</v>
      </c>
      <c r="I885" s="114" t="e">
        <f>IF(Simulações!#REF!="","",Simulações!#REF!)</f>
        <v>#REF!</v>
      </c>
      <c r="J885" s="114" t="e">
        <f>IF(Simulações!#REF!="","",Simulações!#REF!)</f>
        <v>#REF!</v>
      </c>
      <c r="K885" s="117" t="e">
        <f>Simulações!#REF!</f>
        <v>#REF!</v>
      </c>
      <c r="L885" s="117" t="e">
        <f>Simulações!#REF!</f>
        <v>#REF!</v>
      </c>
      <c r="M885" s="114" t="e">
        <f>IF(Simulações!#REF!="","",Simulações!#REF!)</f>
        <v>#REF!</v>
      </c>
      <c r="N885" s="114" t="e">
        <f>IF(Simulações!#REF!="","",Simulações!#REF!)</f>
        <v>#REF!</v>
      </c>
      <c r="O885" s="114">
        <v>1</v>
      </c>
    </row>
    <row r="886" spans="1:15" ht="15.75" hidden="1" customHeight="1" x14ac:dyDescent="0.3">
      <c r="A886" s="124" t="e">
        <f>Simulações!#REF!</f>
        <v>#REF!</v>
      </c>
      <c r="B886" s="114" t="e">
        <f>Simulações!#REF!</f>
        <v>#REF!</v>
      </c>
      <c r="C886" s="125" t="e">
        <f>Simulações!#REF!</f>
        <v>#REF!</v>
      </c>
      <c r="D886" s="114" t="e">
        <f>Simulações!#REF!</f>
        <v>#REF!</v>
      </c>
      <c r="E886" s="114" t="e">
        <f>Simulações!#REF!</f>
        <v>#REF!</v>
      </c>
      <c r="F886" s="114" t="e">
        <f>Simulações!#REF!</f>
        <v>#REF!</v>
      </c>
      <c r="G886" s="114" t="e">
        <f>Simulações!#REF!</f>
        <v>#REF!</v>
      </c>
      <c r="H886" s="114" t="e">
        <f>Simulações!#REF!</f>
        <v>#REF!</v>
      </c>
      <c r="I886" s="114" t="e">
        <f>IF(Simulações!#REF!="","",Simulações!#REF!)</f>
        <v>#REF!</v>
      </c>
      <c r="J886" s="114" t="e">
        <f>IF(Simulações!#REF!="","",Simulações!#REF!)</f>
        <v>#REF!</v>
      </c>
      <c r="K886" s="117" t="e">
        <f>Simulações!#REF!</f>
        <v>#REF!</v>
      </c>
      <c r="L886" s="117" t="e">
        <f>Simulações!#REF!</f>
        <v>#REF!</v>
      </c>
      <c r="M886" s="114" t="e">
        <f>IF(Simulações!#REF!="","",Simulações!#REF!)</f>
        <v>#REF!</v>
      </c>
      <c r="N886" s="114" t="e">
        <f>IF(Simulações!#REF!="","",Simulações!#REF!)</f>
        <v>#REF!</v>
      </c>
      <c r="O886" s="114">
        <v>1</v>
      </c>
    </row>
    <row r="887" spans="1:15" ht="15.75" hidden="1" customHeight="1" x14ac:dyDescent="0.3">
      <c r="A887" s="124" t="e">
        <f>Simulações!#REF!</f>
        <v>#REF!</v>
      </c>
      <c r="B887" s="114" t="e">
        <f>Simulações!#REF!</f>
        <v>#REF!</v>
      </c>
      <c r="C887" s="125" t="e">
        <f>Simulações!#REF!</f>
        <v>#REF!</v>
      </c>
      <c r="D887" s="114" t="e">
        <f>Simulações!#REF!</f>
        <v>#REF!</v>
      </c>
      <c r="E887" s="114" t="e">
        <f>Simulações!#REF!</f>
        <v>#REF!</v>
      </c>
      <c r="F887" s="114" t="e">
        <f>Simulações!#REF!</f>
        <v>#REF!</v>
      </c>
      <c r="G887" s="114" t="e">
        <f>Simulações!#REF!</f>
        <v>#REF!</v>
      </c>
      <c r="H887" s="114" t="e">
        <f>Simulações!#REF!</f>
        <v>#REF!</v>
      </c>
      <c r="I887" s="114" t="e">
        <f>IF(Simulações!#REF!="","",Simulações!#REF!)</f>
        <v>#REF!</v>
      </c>
      <c r="J887" s="114" t="e">
        <f>IF(Simulações!#REF!="","",Simulações!#REF!)</f>
        <v>#REF!</v>
      </c>
      <c r="K887" s="117" t="e">
        <f>Simulações!#REF!</f>
        <v>#REF!</v>
      </c>
      <c r="L887" s="117" t="e">
        <f>Simulações!#REF!</f>
        <v>#REF!</v>
      </c>
      <c r="M887" s="114" t="e">
        <f>IF(Simulações!#REF!="","",Simulações!#REF!)</f>
        <v>#REF!</v>
      </c>
      <c r="N887" s="114" t="e">
        <f>IF(Simulações!#REF!="","",Simulações!#REF!)</f>
        <v>#REF!</v>
      </c>
      <c r="O887" s="114">
        <v>1</v>
      </c>
    </row>
    <row r="888" spans="1:15" ht="15.75" hidden="1" customHeight="1" x14ac:dyDescent="0.3">
      <c r="A888" s="124" t="e">
        <f>Simulações!#REF!</f>
        <v>#REF!</v>
      </c>
      <c r="B888" s="114" t="e">
        <f>Simulações!#REF!</f>
        <v>#REF!</v>
      </c>
      <c r="C888" s="125" t="e">
        <f>Simulações!#REF!</f>
        <v>#REF!</v>
      </c>
      <c r="D888" s="114" t="e">
        <f>Simulações!#REF!</f>
        <v>#REF!</v>
      </c>
      <c r="E888" s="114" t="e">
        <f>Simulações!#REF!</f>
        <v>#REF!</v>
      </c>
      <c r="F888" s="114" t="e">
        <f>Simulações!#REF!</f>
        <v>#REF!</v>
      </c>
      <c r="G888" s="114" t="e">
        <f>Simulações!#REF!</f>
        <v>#REF!</v>
      </c>
      <c r="H888" s="114" t="e">
        <f>Simulações!#REF!</f>
        <v>#REF!</v>
      </c>
      <c r="I888" s="114" t="e">
        <f>IF(Simulações!#REF!="","",Simulações!#REF!)</f>
        <v>#REF!</v>
      </c>
      <c r="J888" s="114" t="e">
        <f>IF(Simulações!#REF!="","",Simulações!#REF!)</f>
        <v>#REF!</v>
      </c>
      <c r="K888" s="117" t="e">
        <f>Simulações!#REF!</f>
        <v>#REF!</v>
      </c>
      <c r="L888" s="117" t="e">
        <f>Simulações!#REF!</f>
        <v>#REF!</v>
      </c>
      <c r="M888" s="114" t="e">
        <f>IF(Simulações!#REF!="","",Simulações!#REF!)</f>
        <v>#REF!</v>
      </c>
      <c r="N888" s="114" t="e">
        <f>IF(Simulações!#REF!="","",Simulações!#REF!)</f>
        <v>#REF!</v>
      </c>
      <c r="O888" s="114">
        <v>1</v>
      </c>
    </row>
    <row r="889" spans="1:15" ht="15.75" hidden="1" customHeight="1" x14ac:dyDescent="0.3">
      <c r="A889" s="124" t="e">
        <f>Simulações!#REF!</f>
        <v>#REF!</v>
      </c>
      <c r="B889" s="114" t="e">
        <f>Simulações!#REF!</f>
        <v>#REF!</v>
      </c>
      <c r="C889" s="125" t="e">
        <f>Simulações!#REF!</f>
        <v>#REF!</v>
      </c>
      <c r="D889" s="114" t="e">
        <f>Simulações!#REF!</f>
        <v>#REF!</v>
      </c>
      <c r="E889" s="114" t="e">
        <f>Simulações!#REF!</f>
        <v>#REF!</v>
      </c>
      <c r="F889" s="114" t="e">
        <f>Simulações!#REF!</f>
        <v>#REF!</v>
      </c>
      <c r="G889" s="114" t="e">
        <f>Simulações!#REF!</f>
        <v>#REF!</v>
      </c>
      <c r="H889" s="114" t="e">
        <f>Simulações!#REF!</f>
        <v>#REF!</v>
      </c>
      <c r="I889" s="114" t="e">
        <f>IF(Simulações!#REF!="","",Simulações!#REF!)</f>
        <v>#REF!</v>
      </c>
      <c r="J889" s="114" t="e">
        <f>IF(Simulações!#REF!="","",Simulações!#REF!)</f>
        <v>#REF!</v>
      </c>
      <c r="K889" s="117" t="e">
        <f>Simulações!#REF!</f>
        <v>#REF!</v>
      </c>
      <c r="L889" s="117" t="e">
        <f>Simulações!#REF!</f>
        <v>#REF!</v>
      </c>
      <c r="M889" s="114" t="e">
        <f>IF(Simulações!#REF!="","",Simulações!#REF!)</f>
        <v>#REF!</v>
      </c>
      <c r="N889" s="114" t="e">
        <f>IF(Simulações!#REF!="","",Simulações!#REF!)</f>
        <v>#REF!</v>
      </c>
      <c r="O889" s="114">
        <v>1</v>
      </c>
    </row>
    <row r="890" spans="1:15" ht="15.75" hidden="1" customHeight="1" x14ac:dyDescent="0.3">
      <c r="A890" s="124" t="e">
        <f>Simulações!#REF!</f>
        <v>#REF!</v>
      </c>
      <c r="B890" s="114" t="e">
        <f>Simulações!#REF!</f>
        <v>#REF!</v>
      </c>
      <c r="C890" s="125" t="e">
        <f>Simulações!#REF!</f>
        <v>#REF!</v>
      </c>
      <c r="D890" s="114" t="e">
        <f>Simulações!#REF!</f>
        <v>#REF!</v>
      </c>
      <c r="E890" s="114" t="e">
        <f>Simulações!#REF!</f>
        <v>#REF!</v>
      </c>
      <c r="F890" s="114" t="e">
        <f>Simulações!#REF!</f>
        <v>#REF!</v>
      </c>
      <c r="G890" s="114" t="e">
        <f>Simulações!#REF!</f>
        <v>#REF!</v>
      </c>
      <c r="H890" s="114" t="e">
        <f>Simulações!#REF!</f>
        <v>#REF!</v>
      </c>
      <c r="I890" s="114" t="e">
        <f>IF(Simulações!#REF!="","",Simulações!#REF!)</f>
        <v>#REF!</v>
      </c>
      <c r="J890" s="114" t="e">
        <f>IF(Simulações!#REF!="","",Simulações!#REF!)</f>
        <v>#REF!</v>
      </c>
      <c r="K890" s="117" t="e">
        <f>Simulações!#REF!</f>
        <v>#REF!</v>
      </c>
      <c r="L890" s="117" t="e">
        <f>Simulações!#REF!</f>
        <v>#REF!</v>
      </c>
      <c r="M890" s="114" t="e">
        <f>IF(Simulações!#REF!="","",Simulações!#REF!)</f>
        <v>#REF!</v>
      </c>
      <c r="N890" s="114" t="e">
        <f>IF(Simulações!#REF!="","",Simulações!#REF!)</f>
        <v>#REF!</v>
      </c>
      <c r="O890" s="114">
        <v>1</v>
      </c>
    </row>
    <row r="891" spans="1:15" ht="15.75" hidden="1" customHeight="1" x14ac:dyDescent="0.3">
      <c r="A891" s="124" t="e">
        <f>Simulações!#REF!</f>
        <v>#REF!</v>
      </c>
      <c r="B891" s="114" t="e">
        <f>Simulações!#REF!</f>
        <v>#REF!</v>
      </c>
      <c r="C891" s="125" t="e">
        <f>Simulações!#REF!</f>
        <v>#REF!</v>
      </c>
      <c r="D891" s="114" t="e">
        <f>Simulações!#REF!</f>
        <v>#REF!</v>
      </c>
      <c r="E891" s="114" t="e">
        <f>Simulações!#REF!</f>
        <v>#REF!</v>
      </c>
      <c r="F891" s="114" t="e">
        <f>Simulações!#REF!</f>
        <v>#REF!</v>
      </c>
      <c r="G891" s="114" t="e">
        <f>Simulações!#REF!</f>
        <v>#REF!</v>
      </c>
      <c r="H891" s="114" t="e">
        <f>Simulações!#REF!</f>
        <v>#REF!</v>
      </c>
      <c r="I891" s="114" t="e">
        <f>IF(Simulações!#REF!="","",Simulações!#REF!)</f>
        <v>#REF!</v>
      </c>
      <c r="J891" s="114" t="e">
        <f>IF(Simulações!#REF!="","",Simulações!#REF!)</f>
        <v>#REF!</v>
      </c>
      <c r="K891" s="117" t="e">
        <f>Simulações!#REF!</f>
        <v>#REF!</v>
      </c>
      <c r="L891" s="117" t="e">
        <f>Simulações!#REF!</f>
        <v>#REF!</v>
      </c>
      <c r="M891" s="114" t="e">
        <f>IF(Simulações!#REF!="","",Simulações!#REF!)</f>
        <v>#REF!</v>
      </c>
      <c r="N891" s="114" t="e">
        <f>IF(Simulações!#REF!="","",Simulações!#REF!)</f>
        <v>#REF!</v>
      </c>
      <c r="O891" s="114">
        <v>1</v>
      </c>
    </row>
    <row r="892" spans="1:15" ht="15.75" hidden="1" customHeight="1" x14ac:dyDescent="0.3">
      <c r="A892" s="124" t="e">
        <f>Simulações!#REF!</f>
        <v>#REF!</v>
      </c>
      <c r="B892" s="114" t="e">
        <f>Simulações!#REF!</f>
        <v>#REF!</v>
      </c>
      <c r="C892" s="125" t="e">
        <f>Simulações!#REF!</f>
        <v>#REF!</v>
      </c>
      <c r="D892" s="114" t="e">
        <f>Simulações!#REF!</f>
        <v>#REF!</v>
      </c>
      <c r="E892" s="114" t="e">
        <f>Simulações!#REF!</f>
        <v>#REF!</v>
      </c>
      <c r="F892" s="114" t="e">
        <f>Simulações!#REF!</f>
        <v>#REF!</v>
      </c>
      <c r="G892" s="114" t="e">
        <f>Simulações!#REF!</f>
        <v>#REF!</v>
      </c>
      <c r="H892" s="114" t="e">
        <f>Simulações!#REF!</f>
        <v>#REF!</v>
      </c>
      <c r="I892" s="114" t="e">
        <f>IF(Simulações!#REF!="","",Simulações!#REF!)</f>
        <v>#REF!</v>
      </c>
      <c r="J892" s="114" t="e">
        <f>IF(Simulações!#REF!="","",Simulações!#REF!)</f>
        <v>#REF!</v>
      </c>
      <c r="K892" s="117" t="e">
        <f>Simulações!#REF!</f>
        <v>#REF!</v>
      </c>
      <c r="L892" s="117" t="e">
        <f>Simulações!#REF!</f>
        <v>#REF!</v>
      </c>
      <c r="M892" s="114" t="e">
        <f>IF(Simulações!#REF!="","",Simulações!#REF!)</f>
        <v>#REF!</v>
      </c>
      <c r="N892" s="114" t="e">
        <f>IF(Simulações!#REF!="","",Simulações!#REF!)</f>
        <v>#REF!</v>
      </c>
      <c r="O892" s="114">
        <v>1</v>
      </c>
    </row>
    <row r="893" spans="1:15" ht="15.75" hidden="1" customHeight="1" x14ac:dyDescent="0.3">
      <c r="A893" s="124" t="e">
        <f>Simulações!#REF!</f>
        <v>#REF!</v>
      </c>
      <c r="B893" s="114" t="e">
        <f>Simulações!#REF!</f>
        <v>#REF!</v>
      </c>
      <c r="C893" s="125" t="e">
        <f>Simulações!#REF!</f>
        <v>#REF!</v>
      </c>
      <c r="D893" s="114" t="e">
        <f>Simulações!#REF!</f>
        <v>#REF!</v>
      </c>
      <c r="E893" s="114" t="e">
        <f>Simulações!#REF!</f>
        <v>#REF!</v>
      </c>
      <c r="F893" s="114" t="e">
        <f>Simulações!#REF!</f>
        <v>#REF!</v>
      </c>
      <c r="G893" s="114" t="e">
        <f>Simulações!#REF!</f>
        <v>#REF!</v>
      </c>
      <c r="H893" s="114" t="e">
        <f>Simulações!#REF!</f>
        <v>#REF!</v>
      </c>
      <c r="I893" s="114" t="e">
        <f>IF(Simulações!#REF!="","",Simulações!#REF!)</f>
        <v>#REF!</v>
      </c>
      <c r="J893" s="114" t="e">
        <f>IF(Simulações!#REF!="","",Simulações!#REF!)</f>
        <v>#REF!</v>
      </c>
      <c r="K893" s="117" t="e">
        <f>Simulações!#REF!</f>
        <v>#REF!</v>
      </c>
      <c r="L893" s="117" t="e">
        <f>Simulações!#REF!</f>
        <v>#REF!</v>
      </c>
      <c r="M893" s="114" t="e">
        <f>IF(Simulações!#REF!="","",Simulações!#REF!)</f>
        <v>#REF!</v>
      </c>
      <c r="N893" s="114" t="e">
        <f>IF(Simulações!#REF!="","",Simulações!#REF!)</f>
        <v>#REF!</v>
      </c>
      <c r="O893" s="114">
        <v>1</v>
      </c>
    </row>
    <row r="894" spans="1:15" ht="15.75" hidden="1" customHeight="1" x14ac:dyDescent="0.3">
      <c r="A894" s="124" t="e">
        <f>Simulações!#REF!</f>
        <v>#REF!</v>
      </c>
      <c r="B894" s="114" t="e">
        <f>Simulações!#REF!</f>
        <v>#REF!</v>
      </c>
      <c r="C894" s="125" t="e">
        <f>Simulações!#REF!</f>
        <v>#REF!</v>
      </c>
      <c r="D894" s="114" t="e">
        <f>Simulações!#REF!</f>
        <v>#REF!</v>
      </c>
      <c r="E894" s="114" t="e">
        <f>Simulações!#REF!</f>
        <v>#REF!</v>
      </c>
      <c r="F894" s="114" t="e">
        <f>Simulações!#REF!</f>
        <v>#REF!</v>
      </c>
      <c r="G894" s="114" t="e">
        <f>Simulações!#REF!</f>
        <v>#REF!</v>
      </c>
      <c r="H894" s="114" t="e">
        <f>Simulações!#REF!</f>
        <v>#REF!</v>
      </c>
      <c r="I894" s="114" t="e">
        <f>IF(Simulações!#REF!="","",Simulações!#REF!)</f>
        <v>#REF!</v>
      </c>
      <c r="J894" s="114" t="e">
        <f>IF(Simulações!#REF!="","",Simulações!#REF!)</f>
        <v>#REF!</v>
      </c>
      <c r="K894" s="117" t="e">
        <f>Simulações!#REF!</f>
        <v>#REF!</v>
      </c>
      <c r="L894" s="117" t="e">
        <f>Simulações!#REF!</f>
        <v>#REF!</v>
      </c>
      <c r="M894" s="114" t="e">
        <f>IF(Simulações!#REF!="","",Simulações!#REF!)</f>
        <v>#REF!</v>
      </c>
      <c r="N894" s="114" t="e">
        <f>IF(Simulações!#REF!="","",Simulações!#REF!)</f>
        <v>#REF!</v>
      </c>
      <c r="O894" s="114">
        <v>1</v>
      </c>
    </row>
    <row r="895" spans="1:15" ht="15.75" hidden="1" customHeight="1" x14ac:dyDescent="0.3">
      <c r="A895" s="124" t="e">
        <f>Simulações!#REF!</f>
        <v>#REF!</v>
      </c>
      <c r="B895" s="114" t="e">
        <f>Simulações!#REF!</f>
        <v>#REF!</v>
      </c>
      <c r="C895" s="125" t="e">
        <f>Simulações!#REF!</f>
        <v>#REF!</v>
      </c>
      <c r="D895" s="114" t="e">
        <f>Simulações!#REF!</f>
        <v>#REF!</v>
      </c>
      <c r="E895" s="114" t="e">
        <f>Simulações!#REF!</f>
        <v>#REF!</v>
      </c>
      <c r="F895" s="114" t="e">
        <f>Simulações!#REF!</f>
        <v>#REF!</v>
      </c>
      <c r="G895" s="114" t="e">
        <f>Simulações!#REF!</f>
        <v>#REF!</v>
      </c>
      <c r="H895" s="114" t="e">
        <f>Simulações!#REF!</f>
        <v>#REF!</v>
      </c>
      <c r="I895" s="114" t="e">
        <f>IF(Simulações!#REF!="","",Simulações!#REF!)</f>
        <v>#REF!</v>
      </c>
      <c r="J895" s="114" t="e">
        <f>IF(Simulações!#REF!="","",Simulações!#REF!)</f>
        <v>#REF!</v>
      </c>
      <c r="K895" s="117" t="e">
        <f>Simulações!#REF!</f>
        <v>#REF!</v>
      </c>
      <c r="L895" s="117" t="e">
        <f>Simulações!#REF!</f>
        <v>#REF!</v>
      </c>
      <c r="M895" s="114" t="e">
        <f>IF(Simulações!#REF!="","",Simulações!#REF!)</f>
        <v>#REF!</v>
      </c>
      <c r="N895" s="114" t="e">
        <f>IF(Simulações!#REF!="","",Simulações!#REF!)</f>
        <v>#REF!</v>
      </c>
      <c r="O895" s="114">
        <v>1</v>
      </c>
    </row>
    <row r="896" spans="1:15" ht="15.75" hidden="1" customHeight="1" x14ac:dyDescent="0.3">
      <c r="A896" s="124" t="e">
        <f>Simulações!#REF!</f>
        <v>#REF!</v>
      </c>
      <c r="B896" s="114" t="e">
        <f>Simulações!#REF!</f>
        <v>#REF!</v>
      </c>
      <c r="C896" s="125" t="e">
        <f>Simulações!#REF!</f>
        <v>#REF!</v>
      </c>
      <c r="D896" s="114" t="e">
        <f>Simulações!#REF!</f>
        <v>#REF!</v>
      </c>
      <c r="E896" s="114" t="e">
        <f>Simulações!#REF!</f>
        <v>#REF!</v>
      </c>
      <c r="F896" s="114" t="e">
        <f>Simulações!#REF!</f>
        <v>#REF!</v>
      </c>
      <c r="G896" s="114" t="e">
        <f>Simulações!#REF!</f>
        <v>#REF!</v>
      </c>
      <c r="H896" s="114" t="e">
        <f>Simulações!#REF!</f>
        <v>#REF!</v>
      </c>
      <c r="I896" s="114" t="e">
        <f>IF(Simulações!#REF!="","",Simulações!#REF!)</f>
        <v>#REF!</v>
      </c>
      <c r="J896" s="114" t="e">
        <f>IF(Simulações!#REF!="","",Simulações!#REF!)</f>
        <v>#REF!</v>
      </c>
      <c r="K896" s="117" t="e">
        <f>Simulações!#REF!</f>
        <v>#REF!</v>
      </c>
      <c r="L896" s="117" t="e">
        <f>Simulações!#REF!</f>
        <v>#REF!</v>
      </c>
      <c r="M896" s="114" t="e">
        <f>IF(Simulações!#REF!="","",Simulações!#REF!)</f>
        <v>#REF!</v>
      </c>
      <c r="N896" s="114" t="e">
        <f>IF(Simulações!#REF!="","",Simulações!#REF!)</f>
        <v>#REF!</v>
      </c>
      <c r="O896" s="114">
        <v>1</v>
      </c>
    </row>
    <row r="897" spans="1:15" ht="15.75" hidden="1" customHeight="1" x14ac:dyDescent="0.3">
      <c r="A897" s="124" t="e">
        <f>Simulações!#REF!</f>
        <v>#REF!</v>
      </c>
      <c r="B897" s="114" t="e">
        <f>Simulações!#REF!</f>
        <v>#REF!</v>
      </c>
      <c r="C897" s="125" t="e">
        <f>Simulações!#REF!</f>
        <v>#REF!</v>
      </c>
      <c r="D897" s="114" t="e">
        <f>Simulações!#REF!</f>
        <v>#REF!</v>
      </c>
      <c r="E897" s="114" t="e">
        <f>Simulações!#REF!</f>
        <v>#REF!</v>
      </c>
      <c r="F897" s="114" t="e">
        <f>Simulações!#REF!</f>
        <v>#REF!</v>
      </c>
      <c r="G897" s="114" t="e">
        <f>Simulações!#REF!</f>
        <v>#REF!</v>
      </c>
      <c r="H897" s="114" t="e">
        <f>Simulações!#REF!</f>
        <v>#REF!</v>
      </c>
      <c r="I897" s="114" t="e">
        <f>IF(Simulações!#REF!="","",Simulações!#REF!)</f>
        <v>#REF!</v>
      </c>
      <c r="J897" s="114" t="e">
        <f>IF(Simulações!#REF!="","",Simulações!#REF!)</f>
        <v>#REF!</v>
      </c>
      <c r="K897" s="117" t="e">
        <f>Simulações!#REF!</f>
        <v>#REF!</v>
      </c>
      <c r="L897" s="117" t="e">
        <f>Simulações!#REF!</f>
        <v>#REF!</v>
      </c>
      <c r="M897" s="114" t="e">
        <f>IF(Simulações!#REF!="","",Simulações!#REF!)</f>
        <v>#REF!</v>
      </c>
      <c r="N897" s="114" t="e">
        <f>IF(Simulações!#REF!="","",Simulações!#REF!)</f>
        <v>#REF!</v>
      </c>
      <c r="O897" s="114">
        <v>1</v>
      </c>
    </row>
    <row r="898" spans="1:15" ht="15.75" hidden="1" customHeight="1" x14ac:dyDescent="0.3">
      <c r="A898" s="124" t="e">
        <f>Simulações!#REF!</f>
        <v>#REF!</v>
      </c>
      <c r="B898" s="114" t="e">
        <f>Simulações!#REF!</f>
        <v>#REF!</v>
      </c>
      <c r="C898" s="125" t="e">
        <f>Simulações!#REF!</f>
        <v>#REF!</v>
      </c>
      <c r="D898" s="114" t="e">
        <f>Simulações!#REF!</f>
        <v>#REF!</v>
      </c>
      <c r="E898" s="114" t="e">
        <f>Simulações!#REF!</f>
        <v>#REF!</v>
      </c>
      <c r="F898" s="114" t="e">
        <f>Simulações!#REF!</f>
        <v>#REF!</v>
      </c>
      <c r="G898" s="114" t="e">
        <f>Simulações!#REF!</f>
        <v>#REF!</v>
      </c>
      <c r="H898" s="114" t="e">
        <f>Simulações!#REF!</f>
        <v>#REF!</v>
      </c>
      <c r="I898" s="114" t="e">
        <f>IF(Simulações!#REF!="","",Simulações!#REF!)</f>
        <v>#REF!</v>
      </c>
      <c r="J898" s="114" t="e">
        <f>IF(Simulações!#REF!="","",Simulações!#REF!)</f>
        <v>#REF!</v>
      </c>
      <c r="K898" s="117" t="e">
        <f>Simulações!#REF!</f>
        <v>#REF!</v>
      </c>
      <c r="L898" s="117" t="e">
        <f>Simulações!#REF!</f>
        <v>#REF!</v>
      </c>
      <c r="M898" s="114" t="e">
        <f>IF(Simulações!#REF!="","",Simulações!#REF!)</f>
        <v>#REF!</v>
      </c>
      <c r="N898" s="114" t="e">
        <f>IF(Simulações!#REF!="","",Simulações!#REF!)</f>
        <v>#REF!</v>
      </c>
      <c r="O898" s="114">
        <v>1</v>
      </c>
    </row>
    <row r="899" spans="1:15" ht="15.75" hidden="1" customHeight="1" x14ac:dyDescent="0.3">
      <c r="A899" s="124" t="e">
        <f>Simulações!#REF!</f>
        <v>#REF!</v>
      </c>
      <c r="B899" s="114" t="e">
        <f>Simulações!#REF!</f>
        <v>#REF!</v>
      </c>
      <c r="C899" s="125" t="e">
        <f>Simulações!#REF!</f>
        <v>#REF!</v>
      </c>
      <c r="D899" s="114" t="e">
        <f>Simulações!#REF!</f>
        <v>#REF!</v>
      </c>
      <c r="E899" s="114" t="e">
        <f>Simulações!#REF!</f>
        <v>#REF!</v>
      </c>
      <c r="F899" s="114" t="e">
        <f>Simulações!#REF!</f>
        <v>#REF!</v>
      </c>
      <c r="G899" s="114" t="e">
        <f>Simulações!#REF!</f>
        <v>#REF!</v>
      </c>
      <c r="H899" s="114" t="e">
        <f>Simulações!#REF!</f>
        <v>#REF!</v>
      </c>
      <c r="I899" s="114" t="e">
        <f>IF(Simulações!#REF!="","",Simulações!#REF!)</f>
        <v>#REF!</v>
      </c>
      <c r="J899" s="114" t="e">
        <f>IF(Simulações!#REF!="","",Simulações!#REF!)</f>
        <v>#REF!</v>
      </c>
      <c r="K899" s="117" t="e">
        <f>Simulações!#REF!</f>
        <v>#REF!</v>
      </c>
      <c r="L899" s="117" t="e">
        <f>Simulações!#REF!</f>
        <v>#REF!</v>
      </c>
      <c r="M899" s="114" t="e">
        <f>IF(Simulações!#REF!="","",Simulações!#REF!)</f>
        <v>#REF!</v>
      </c>
      <c r="N899" s="114" t="e">
        <f>IF(Simulações!#REF!="","",Simulações!#REF!)</f>
        <v>#REF!</v>
      </c>
      <c r="O899" s="114">
        <v>1</v>
      </c>
    </row>
    <row r="900" spans="1:15" ht="15.75" hidden="1" customHeight="1" x14ac:dyDescent="0.3">
      <c r="A900" s="124" t="e">
        <f>Simulações!#REF!</f>
        <v>#REF!</v>
      </c>
      <c r="B900" s="114" t="e">
        <f>Simulações!#REF!</f>
        <v>#REF!</v>
      </c>
      <c r="C900" s="125" t="e">
        <f>Simulações!#REF!</f>
        <v>#REF!</v>
      </c>
      <c r="D900" s="114" t="e">
        <f>Simulações!#REF!</f>
        <v>#REF!</v>
      </c>
      <c r="E900" s="114" t="e">
        <f>Simulações!#REF!</f>
        <v>#REF!</v>
      </c>
      <c r="F900" s="114" t="e">
        <f>Simulações!#REF!</f>
        <v>#REF!</v>
      </c>
      <c r="G900" s="114" t="e">
        <f>Simulações!#REF!</f>
        <v>#REF!</v>
      </c>
      <c r="H900" s="114" t="e">
        <f>Simulações!#REF!</f>
        <v>#REF!</v>
      </c>
      <c r="I900" s="114" t="e">
        <f>IF(Simulações!#REF!="","",Simulações!#REF!)</f>
        <v>#REF!</v>
      </c>
      <c r="J900" s="114" t="e">
        <f>IF(Simulações!#REF!="","",Simulações!#REF!)</f>
        <v>#REF!</v>
      </c>
      <c r="K900" s="117" t="e">
        <f>Simulações!#REF!</f>
        <v>#REF!</v>
      </c>
      <c r="L900" s="117" t="e">
        <f>Simulações!#REF!</f>
        <v>#REF!</v>
      </c>
      <c r="M900" s="114" t="e">
        <f>IF(Simulações!#REF!="","",Simulações!#REF!)</f>
        <v>#REF!</v>
      </c>
      <c r="N900" s="114" t="e">
        <f>IF(Simulações!#REF!="","",Simulações!#REF!)</f>
        <v>#REF!</v>
      </c>
      <c r="O900" s="114">
        <v>1</v>
      </c>
    </row>
    <row r="901" spans="1:15" ht="15.75" hidden="1" customHeight="1" x14ac:dyDescent="0.3">
      <c r="A901" s="124" t="e">
        <f>Simulações!#REF!</f>
        <v>#REF!</v>
      </c>
      <c r="B901" s="114" t="e">
        <f>Simulações!#REF!</f>
        <v>#REF!</v>
      </c>
      <c r="C901" s="125" t="e">
        <f>Simulações!#REF!</f>
        <v>#REF!</v>
      </c>
      <c r="D901" s="114" t="e">
        <f>Simulações!#REF!</f>
        <v>#REF!</v>
      </c>
      <c r="E901" s="114" t="e">
        <f>Simulações!#REF!</f>
        <v>#REF!</v>
      </c>
      <c r="F901" s="114" t="e">
        <f>Simulações!#REF!</f>
        <v>#REF!</v>
      </c>
      <c r="G901" s="114" t="e">
        <f>Simulações!#REF!</f>
        <v>#REF!</v>
      </c>
      <c r="H901" s="114" t="e">
        <f>Simulações!#REF!</f>
        <v>#REF!</v>
      </c>
      <c r="I901" s="114" t="e">
        <f>IF(Simulações!#REF!="","",Simulações!#REF!)</f>
        <v>#REF!</v>
      </c>
      <c r="J901" s="114" t="e">
        <f>IF(Simulações!#REF!="","",Simulações!#REF!)</f>
        <v>#REF!</v>
      </c>
      <c r="K901" s="117" t="e">
        <f>Simulações!#REF!</f>
        <v>#REF!</v>
      </c>
      <c r="L901" s="117" t="e">
        <f>Simulações!#REF!</f>
        <v>#REF!</v>
      </c>
      <c r="M901" s="114" t="e">
        <f>IF(Simulações!#REF!="","",Simulações!#REF!)</f>
        <v>#REF!</v>
      </c>
      <c r="N901" s="114" t="e">
        <f>IF(Simulações!#REF!="","",Simulações!#REF!)</f>
        <v>#REF!</v>
      </c>
      <c r="O901" s="114">
        <v>1</v>
      </c>
    </row>
    <row r="902" spans="1:15" ht="15.75" hidden="1" customHeight="1" x14ac:dyDescent="0.3">
      <c r="A902" s="124" t="e">
        <f>Simulações!#REF!</f>
        <v>#REF!</v>
      </c>
      <c r="B902" s="114" t="e">
        <f>Simulações!#REF!</f>
        <v>#REF!</v>
      </c>
      <c r="C902" s="125" t="e">
        <f>Simulações!#REF!</f>
        <v>#REF!</v>
      </c>
      <c r="D902" s="114" t="e">
        <f>Simulações!#REF!</f>
        <v>#REF!</v>
      </c>
      <c r="E902" s="114" t="e">
        <f>Simulações!#REF!</f>
        <v>#REF!</v>
      </c>
      <c r="F902" s="114" t="e">
        <f>Simulações!#REF!</f>
        <v>#REF!</v>
      </c>
      <c r="G902" s="114" t="e">
        <f>Simulações!#REF!</f>
        <v>#REF!</v>
      </c>
      <c r="H902" s="114" t="e">
        <f>Simulações!#REF!</f>
        <v>#REF!</v>
      </c>
      <c r="I902" s="114" t="e">
        <f>IF(Simulações!#REF!="","",Simulações!#REF!)</f>
        <v>#REF!</v>
      </c>
      <c r="J902" s="114" t="e">
        <f>IF(Simulações!#REF!="","",Simulações!#REF!)</f>
        <v>#REF!</v>
      </c>
      <c r="K902" s="117" t="e">
        <f>Simulações!#REF!</f>
        <v>#REF!</v>
      </c>
      <c r="L902" s="117" t="e">
        <f>Simulações!#REF!</f>
        <v>#REF!</v>
      </c>
      <c r="M902" s="114" t="e">
        <f>IF(Simulações!#REF!="","",Simulações!#REF!)</f>
        <v>#REF!</v>
      </c>
      <c r="N902" s="114" t="e">
        <f>IF(Simulações!#REF!="","",Simulações!#REF!)</f>
        <v>#REF!</v>
      </c>
      <c r="O902" s="114">
        <v>1</v>
      </c>
    </row>
    <row r="903" spans="1:15" ht="15.75" hidden="1" customHeight="1" x14ac:dyDescent="0.3">
      <c r="A903" s="124" t="e">
        <f>Simulações!#REF!</f>
        <v>#REF!</v>
      </c>
      <c r="B903" s="114" t="e">
        <f>Simulações!#REF!</f>
        <v>#REF!</v>
      </c>
      <c r="C903" s="125" t="e">
        <f>Simulações!#REF!</f>
        <v>#REF!</v>
      </c>
      <c r="D903" s="114" t="e">
        <f>Simulações!#REF!</f>
        <v>#REF!</v>
      </c>
      <c r="E903" s="114" t="e">
        <f>Simulações!#REF!</f>
        <v>#REF!</v>
      </c>
      <c r="F903" s="114" t="e">
        <f>Simulações!#REF!</f>
        <v>#REF!</v>
      </c>
      <c r="G903" s="114" t="e">
        <f>Simulações!#REF!</f>
        <v>#REF!</v>
      </c>
      <c r="H903" s="114" t="e">
        <f>Simulações!#REF!</f>
        <v>#REF!</v>
      </c>
      <c r="I903" s="114" t="e">
        <f>IF(Simulações!#REF!="","",Simulações!#REF!)</f>
        <v>#REF!</v>
      </c>
      <c r="J903" s="114" t="e">
        <f>IF(Simulações!#REF!="","",Simulações!#REF!)</f>
        <v>#REF!</v>
      </c>
      <c r="K903" s="117" t="e">
        <f>Simulações!#REF!</f>
        <v>#REF!</v>
      </c>
      <c r="L903" s="117" t="e">
        <f>Simulações!#REF!</f>
        <v>#REF!</v>
      </c>
      <c r="M903" s="114" t="e">
        <f>IF(Simulações!#REF!="","",Simulações!#REF!)</f>
        <v>#REF!</v>
      </c>
      <c r="N903" s="114" t="e">
        <f>IF(Simulações!#REF!="","",Simulações!#REF!)</f>
        <v>#REF!</v>
      </c>
      <c r="O903" s="114">
        <v>1</v>
      </c>
    </row>
    <row r="904" spans="1:15" ht="15.75" hidden="1" customHeight="1" x14ac:dyDescent="0.3">
      <c r="A904" s="124" t="e">
        <f>Simulações!#REF!</f>
        <v>#REF!</v>
      </c>
      <c r="B904" s="114" t="e">
        <f>Simulações!#REF!</f>
        <v>#REF!</v>
      </c>
      <c r="C904" s="125" t="e">
        <f>Simulações!#REF!</f>
        <v>#REF!</v>
      </c>
      <c r="D904" s="114" t="e">
        <f>Simulações!#REF!</f>
        <v>#REF!</v>
      </c>
      <c r="E904" s="114" t="e">
        <f>Simulações!#REF!</f>
        <v>#REF!</v>
      </c>
      <c r="F904" s="114" t="e">
        <f>Simulações!#REF!</f>
        <v>#REF!</v>
      </c>
      <c r="G904" s="114" t="e">
        <f>Simulações!#REF!</f>
        <v>#REF!</v>
      </c>
      <c r="H904" s="114" t="e">
        <f>Simulações!#REF!</f>
        <v>#REF!</v>
      </c>
      <c r="I904" s="114" t="e">
        <f>IF(Simulações!#REF!="","",Simulações!#REF!)</f>
        <v>#REF!</v>
      </c>
      <c r="J904" s="114" t="e">
        <f>IF(Simulações!#REF!="","",Simulações!#REF!)</f>
        <v>#REF!</v>
      </c>
      <c r="K904" s="117" t="e">
        <f>Simulações!#REF!</f>
        <v>#REF!</v>
      </c>
      <c r="L904" s="117" t="e">
        <f>Simulações!#REF!</f>
        <v>#REF!</v>
      </c>
      <c r="M904" s="114" t="e">
        <f>IF(Simulações!#REF!="","",Simulações!#REF!)</f>
        <v>#REF!</v>
      </c>
      <c r="N904" s="114" t="e">
        <f>IF(Simulações!#REF!="","",Simulações!#REF!)</f>
        <v>#REF!</v>
      </c>
      <c r="O904" s="114">
        <v>1</v>
      </c>
    </row>
    <row r="905" spans="1:15" ht="15.75" hidden="1" customHeight="1" x14ac:dyDescent="0.3">
      <c r="A905" s="124" t="e">
        <f>Simulações!#REF!</f>
        <v>#REF!</v>
      </c>
      <c r="B905" s="114" t="e">
        <f>Simulações!#REF!</f>
        <v>#REF!</v>
      </c>
      <c r="C905" s="125" t="e">
        <f>Simulações!#REF!</f>
        <v>#REF!</v>
      </c>
      <c r="D905" s="114" t="e">
        <f>Simulações!#REF!</f>
        <v>#REF!</v>
      </c>
      <c r="E905" s="114" t="e">
        <f>Simulações!#REF!</f>
        <v>#REF!</v>
      </c>
      <c r="F905" s="114" t="e">
        <f>Simulações!#REF!</f>
        <v>#REF!</v>
      </c>
      <c r="G905" s="114" t="e">
        <f>Simulações!#REF!</f>
        <v>#REF!</v>
      </c>
      <c r="H905" s="114" t="e">
        <f>Simulações!#REF!</f>
        <v>#REF!</v>
      </c>
      <c r="I905" s="114" t="e">
        <f>IF(Simulações!#REF!="","",Simulações!#REF!)</f>
        <v>#REF!</v>
      </c>
      <c r="J905" s="114" t="e">
        <f>IF(Simulações!#REF!="","",Simulações!#REF!)</f>
        <v>#REF!</v>
      </c>
      <c r="K905" s="117" t="e">
        <f>Simulações!#REF!</f>
        <v>#REF!</v>
      </c>
      <c r="L905" s="117" t="e">
        <f>Simulações!#REF!</f>
        <v>#REF!</v>
      </c>
      <c r="M905" s="114" t="e">
        <f>IF(Simulações!#REF!="","",Simulações!#REF!)</f>
        <v>#REF!</v>
      </c>
      <c r="N905" s="114" t="e">
        <f>IF(Simulações!#REF!="","",Simulações!#REF!)</f>
        <v>#REF!</v>
      </c>
      <c r="O905" s="114">
        <v>1</v>
      </c>
    </row>
    <row r="906" spans="1:15" ht="15.75" hidden="1" customHeight="1" x14ac:dyDescent="0.3">
      <c r="A906" s="124" t="e">
        <f>Simulações!#REF!</f>
        <v>#REF!</v>
      </c>
      <c r="B906" s="114" t="e">
        <f>Simulações!#REF!</f>
        <v>#REF!</v>
      </c>
      <c r="C906" s="125" t="e">
        <f>Simulações!#REF!</f>
        <v>#REF!</v>
      </c>
      <c r="D906" s="114" t="e">
        <f>Simulações!#REF!</f>
        <v>#REF!</v>
      </c>
      <c r="E906" s="114" t="e">
        <f>Simulações!#REF!</f>
        <v>#REF!</v>
      </c>
      <c r="F906" s="114" t="e">
        <f>Simulações!#REF!</f>
        <v>#REF!</v>
      </c>
      <c r="G906" s="114" t="e">
        <f>Simulações!#REF!</f>
        <v>#REF!</v>
      </c>
      <c r="H906" s="114" t="e">
        <f>Simulações!#REF!</f>
        <v>#REF!</v>
      </c>
      <c r="I906" s="114" t="e">
        <f>IF(Simulações!#REF!="","",Simulações!#REF!)</f>
        <v>#REF!</v>
      </c>
      <c r="J906" s="114" t="e">
        <f>IF(Simulações!#REF!="","",Simulações!#REF!)</f>
        <v>#REF!</v>
      </c>
      <c r="K906" s="117" t="e">
        <f>Simulações!#REF!</f>
        <v>#REF!</v>
      </c>
      <c r="L906" s="117" t="e">
        <f>Simulações!#REF!</f>
        <v>#REF!</v>
      </c>
      <c r="M906" s="114" t="e">
        <f>IF(Simulações!#REF!="","",Simulações!#REF!)</f>
        <v>#REF!</v>
      </c>
      <c r="N906" s="114" t="e">
        <f>IF(Simulações!#REF!="","",Simulações!#REF!)</f>
        <v>#REF!</v>
      </c>
      <c r="O906" s="114">
        <v>1</v>
      </c>
    </row>
    <row r="907" spans="1:15" ht="15.75" hidden="1" customHeight="1" x14ac:dyDescent="0.3">
      <c r="A907" s="124" t="e">
        <f>Simulações!#REF!</f>
        <v>#REF!</v>
      </c>
      <c r="B907" s="114" t="e">
        <f>Simulações!#REF!</f>
        <v>#REF!</v>
      </c>
      <c r="C907" s="125" t="e">
        <f>Simulações!#REF!</f>
        <v>#REF!</v>
      </c>
      <c r="D907" s="114" t="e">
        <f>Simulações!#REF!</f>
        <v>#REF!</v>
      </c>
      <c r="E907" s="114" t="e">
        <f>Simulações!#REF!</f>
        <v>#REF!</v>
      </c>
      <c r="F907" s="114" t="e">
        <f>Simulações!#REF!</f>
        <v>#REF!</v>
      </c>
      <c r="G907" s="114" t="e">
        <f>Simulações!#REF!</f>
        <v>#REF!</v>
      </c>
      <c r="H907" s="114" t="e">
        <f>Simulações!#REF!</f>
        <v>#REF!</v>
      </c>
      <c r="I907" s="114" t="e">
        <f>IF(Simulações!#REF!="","",Simulações!#REF!)</f>
        <v>#REF!</v>
      </c>
      <c r="J907" s="114" t="e">
        <f>IF(Simulações!#REF!="","",Simulações!#REF!)</f>
        <v>#REF!</v>
      </c>
      <c r="K907" s="117" t="e">
        <f>Simulações!#REF!</f>
        <v>#REF!</v>
      </c>
      <c r="L907" s="117" t="e">
        <f>Simulações!#REF!</f>
        <v>#REF!</v>
      </c>
      <c r="M907" s="114" t="e">
        <f>IF(Simulações!#REF!="","",Simulações!#REF!)</f>
        <v>#REF!</v>
      </c>
      <c r="N907" s="114" t="e">
        <f>IF(Simulações!#REF!="","",Simulações!#REF!)</f>
        <v>#REF!</v>
      </c>
      <c r="O907" s="114">
        <v>1</v>
      </c>
    </row>
    <row r="908" spans="1:15" ht="15.75" hidden="1" customHeight="1" x14ac:dyDescent="0.3">
      <c r="A908" s="124" t="e">
        <f>Simulações!#REF!</f>
        <v>#REF!</v>
      </c>
      <c r="B908" s="114" t="e">
        <f>Simulações!#REF!</f>
        <v>#REF!</v>
      </c>
      <c r="C908" s="125" t="e">
        <f>Simulações!#REF!</f>
        <v>#REF!</v>
      </c>
      <c r="D908" s="114" t="e">
        <f>Simulações!#REF!</f>
        <v>#REF!</v>
      </c>
      <c r="E908" s="114" t="e">
        <f>Simulações!#REF!</f>
        <v>#REF!</v>
      </c>
      <c r="F908" s="114" t="e">
        <f>Simulações!#REF!</f>
        <v>#REF!</v>
      </c>
      <c r="G908" s="114" t="e">
        <f>Simulações!#REF!</f>
        <v>#REF!</v>
      </c>
      <c r="H908" s="114" t="e">
        <f>Simulações!#REF!</f>
        <v>#REF!</v>
      </c>
      <c r="I908" s="114" t="e">
        <f>IF(Simulações!#REF!="","",Simulações!#REF!)</f>
        <v>#REF!</v>
      </c>
      <c r="J908" s="114" t="e">
        <f>IF(Simulações!#REF!="","",Simulações!#REF!)</f>
        <v>#REF!</v>
      </c>
      <c r="K908" s="117" t="e">
        <f>Simulações!#REF!</f>
        <v>#REF!</v>
      </c>
      <c r="L908" s="117" t="e">
        <f>Simulações!#REF!</f>
        <v>#REF!</v>
      </c>
      <c r="M908" s="114" t="e">
        <f>IF(Simulações!#REF!="","",Simulações!#REF!)</f>
        <v>#REF!</v>
      </c>
      <c r="N908" s="114" t="e">
        <f>IF(Simulações!#REF!="","",Simulações!#REF!)</f>
        <v>#REF!</v>
      </c>
      <c r="O908" s="114">
        <v>1</v>
      </c>
    </row>
    <row r="909" spans="1:15" ht="15.75" hidden="1" customHeight="1" x14ac:dyDescent="0.3">
      <c r="A909" s="124" t="e">
        <f>Simulações!#REF!</f>
        <v>#REF!</v>
      </c>
      <c r="B909" s="114" t="e">
        <f>Simulações!#REF!</f>
        <v>#REF!</v>
      </c>
      <c r="C909" s="125" t="e">
        <f>Simulações!#REF!</f>
        <v>#REF!</v>
      </c>
      <c r="D909" s="114" t="e">
        <f>Simulações!#REF!</f>
        <v>#REF!</v>
      </c>
      <c r="E909" s="114" t="e">
        <f>Simulações!#REF!</f>
        <v>#REF!</v>
      </c>
      <c r="F909" s="114" t="e">
        <f>Simulações!#REF!</f>
        <v>#REF!</v>
      </c>
      <c r="G909" s="114" t="e">
        <f>Simulações!#REF!</f>
        <v>#REF!</v>
      </c>
      <c r="H909" s="114" t="e">
        <f>Simulações!#REF!</f>
        <v>#REF!</v>
      </c>
      <c r="I909" s="114" t="e">
        <f>IF(Simulações!#REF!="","",Simulações!#REF!)</f>
        <v>#REF!</v>
      </c>
      <c r="J909" s="114" t="e">
        <f>IF(Simulações!#REF!="","",Simulações!#REF!)</f>
        <v>#REF!</v>
      </c>
      <c r="K909" s="117" t="e">
        <f>Simulações!#REF!</f>
        <v>#REF!</v>
      </c>
      <c r="L909" s="117" t="e">
        <f>Simulações!#REF!</f>
        <v>#REF!</v>
      </c>
      <c r="M909" s="114" t="e">
        <f>IF(Simulações!#REF!="","",Simulações!#REF!)</f>
        <v>#REF!</v>
      </c>
      <c r="N909" s="114" t="e">
        <f>IF(Simulações!#REF!="","",Simulações!#REF!)</f>
        <v>#REF!</v>
      </c>
      <c r="O909" s="114">
        <v>1</v>
      </c>
    </row>
    <row r="910" spans="1:15" ht="15.75" hidden="1" customHeight="1" x14ac:dyDescent="0.3">
      <c r="A910" s="124" t="e">
        <f>Simulações!#REF!</f>
        <v>#REF!</v>
      </c>
      <c r="B910" s="114" t="e">
        <f>Simulações!#REF!</f>
        <v>#REF!</v>
      </c>
      <c r="C910" s="125" t="e">
        <f>Simulações!#REF!</f>
        <v>#REF!</v>
      </c>
      <c r="D910" s="114" t="e">
        <f>Simulações!#REF!</f>
        <v>#REF!</v>
      </c>
      <c r="E910" s="114" t="e">
        <f>Simulações!#REF!</f>
        <v>#REF!</v>
      </c>
      <c r="F910" s="114" t="e">
        <f>Simulações!#REF!</f>
        <v>#REF!</v>
      </c>
      <c r="G910" s="114" t="e">
        <f>Simulações!#REF!</f>
        <v>#REF!</v>
      </c>
      <c r="H910" s="114" t="e">
        <f>Simulações!#REF!</f>
        <v>#REF!</v>
      </c>
      <c r="I910" s="114" t="e">
        <f>IF(Simulações!#REF!="","",Simulações!#REF!)</f>
        <v>#REF!</v>
      </c>
      <c r="J910" s="114" t="e">
        <f>IF(Simulações!#REF!="","",Simulações!#REF!)</f>
        <v>#REF!</v>
      </c>
      <c r="K910" s="117" t="e">
        <f>Simulações!#REF!</f>
        <v>#REF!</v>
      </c>
      <c r="L910" s="117" t="e">
        <f>Simulações!#REF!</f>
        <v>#REF!</v>
      </c>
      <c r="M910" s="114" t="e">
        <f>IF(Simulações!#REF!="","",Simulações!#REF!)</f>
        <v>#REF!</v>
      </c>
      <c r="N910" s="114" t="e">
        <f>IF(Simulações!#REF!="","",Simulações!#REF!)</f>
        <v>#REF!</v>
      </c>
      <c r="O910" s="114">
        <v>1</v>
      </c>
    </row>
    <row r="911" spans="1:15" ht="15.75" hidden="1" customHeight="1" x14ac:dyDescent="0.3">
      <c r="A911" s="124" t="e">
        <f>Simulações!#REF!</f>
        <v>#REF!</v>
      </c>
      <c r="B911" s="114" t="e">
        <f>Simulações!#REF!</f>
        <v>#REF!</v>
      </c>
      <c r="C911" s="125" t="e">
        <f>Simulações!#REF!</f>
        <v>#REF!</v>
      </c>
      <c r="D911" s="114" t="e">
        <f>Simulações!#REF!</f>
        <v>#REF!</v>
      </c>
      <c r="E911" s="114" t="e">
        <f>Simulações!#REF!</f>
        <v>#REF!</v>
      </c>
      <c r="F911" s="114" t="e">
        <f>Simulações!#REF!</f>
        <v>#REF!</v>
      </c>
      <c r="G911" s="114" t="e">
        <f>Simulações!#REF!</f>
        <v>#REF!</v>
      </c>
      <c r="H911" s="114" t="e">
        <f>Simulações!#REF!</f>
        <v>#REF!</v>
      </c>
      <c r="I911" s="114" t="e">
        <f>IF(Simulações!#REF!="","",Simulações!#REF!)</f>
        <v>#REF!</v>
      </c>
      <c r="J911" s="114" t="e">
        <f>IF(Simulações!#REF!="","",Simulações!#REF!)</f>
        <v>#REF!</v>
      </c>
      <c r="K911" s="117" t="e">
        <f>Simulações!#REF!</f>
        <v>#REF!</v>
      </c>
      <c r="L911" s="117" t="e">
        <f>Simulações!#REF!</f>
        <v>#REF!</v>
      </c>
      <c r="M911" s="114" t="e">
        <f>IF(Simulações!#REF!="","",Simulações!#REF!)</f>
        <v>#REF!</v>
      </c>
      <c r="N911" s="114" t="e">
        <f>IF(Simulações!#REF!="","",Simulações!#REF!)</f>
        <v>#REF!</v>
      </c>
      <c r="O911" s="114">
        <v>1</v>
      </c>
    </row>
    <row r="912" spans="1:15" ht="15.75" hidden="1" customHeight="1" x14ac:dyDescent="0.3">
      <c r="A912" s="124" t="e">
        <f>Simulações!#REF!</f>
        <v>#REF!</v>
      </c>
      <c r="B912" s="114" t="e">
        <f>Simulações!#REF!</f>
        <v>#REF!</v>
      </c>
      <c r="C912" s="125" t="e">
        <f>Simulações!#REF!</f>
        <v>#REF!</v>
      </c>
      <c r="D912" s="114" t="e">
        <f>Simulações!#REF!</f>
        <v>#REF!</v>
      </c>
      <c r="E912" s="114" t="e">
        <f>Simulações!#REF!</f>
        <v>#REF!</v>
      </c>
      <c r="F912" s="114" t="e">
        <f>Simulações!#REF!</f>
        <v>#REF!</v>
      </c>
      <c r="G912" s="114" t="e">
        <f>Simulações!#REF!</f>
        <v>#REF!</v>
      </c>
      <c r="H912" s="114" t="e">
        <f>Simulações!#REF!</f>
        <v>#REF!</v>
      </c>
      <c r="I912" s="114" t="e">
        <f>IF(Simulações!#REF!="","",Simulações!#REF!)</f>
        <v>#REF!</v>
      </c>
      <c r="J912" s="114" t="e">
        <f>IF(Simulações!#REF!="","",Simulações!#REF!)</f>
        <v>#REF!</v>
      </c>
      <c r="K912" s="117" t="e">
        <f>Simulações!#REF!</f>
        <v>#REF!</v>
      </c>
      <c r="L912" s="117" t="e">
        <f>Simulações!#REF!</f>
        <v>#REF!</v>
      </c>
      <c r="M912" s="114" t="e">
        <f>IF(Simulações!#REF!="","",Simulações!#REF!)</f>
        <v>#REF!</v>
      </c>
      <c r="N912" s="114" t="e">
        <f>IF(Simulações!#REF!="","",Simulações!#REF!)</f>
        <v>#REF!</v>
      </c>
      <c r="O912" s="114">
        <v>1</v>
      </c>
    </row>
    <row r="913" spans="1:15" ht="15.75" hidden="1" customHeight="1" x14ac:dyDescent="0.3">
      <c r="A913" s="124" t="e">
        <f>Simulações!#REF!</f>
        <v>#REF!</v>
      </c>
      <c r="B913" s="114" t="e">
        <f>Simulações!#REF!</f>
        <v>#REF!</v>
      </c>
      <c r="C913" s="125" t="e">
        <f>Simulações!#REF!</f>
        <v>#REF!</v>
      </c>
      <c r="D913" s="114" t="e">
        <f>Simulações!#REF!</f>
        <v>#REF!</v>
      </c>
      <c r="E913" s="114" t="e">
        <f>Simulações!#REF!</f>
        <v>#REF!</v>
      </c>
      <c r="F913" s="114" t="e">
        <f>Simulações!#REF!</f>
        <v>#REF!</v>
      </c>
      <c r="G913" s="114" t="e">
        <f>Simulações!#REF!</f>
        <v>#REF!</v>
      </c>
      <c r="H913" s="114" t="e">
        <f>Simulações!#REF!</f>
        <v>#REF!</v>
      </c>
      <c r="I913" s="114" t="e">
        <f>IF(Simulações!#REF!="","",Simulações!#REF!)</f>
        <v>#REF!</v>
      </c>
      <c r="J913" s="114" t="e">
        <f>IF(Simulações!#REF!="","",Simulações!#REF!)</f>
        <v>#REF!</v>
      </c>
      <c r="K913" s="117" t="e">
        <f>Simulações!#REF!</f>
        <v>#REF!</v>
      </c>
      <c r="L913" s="117" t="e">
        <f>Simulações!#REF!</f>
        <v>#REF!</v>
      </c>
      <c r="M913" s="114" t="e">
        <f>IF(Simulações!#REF!="","",Simulações!#REF!)</f>
        <v>#REF!</v>
      </c>
      <c r="N913" s="114" t="e">
        <f>IF(Simulações!#REF!="","",Simulações!#REF!)</f>
        <v>#REF!</v>
      </c>
      <c r="O913" s="114">
        <v>1</v>
      </c>
    </row>
    <row r="914" spans="1:15" ht="15.75" hidden="1" customHeight="1" x14ac:dyDescent="0.3">
      <c r="A914" s="124" t="e">
        <f>Simulações!#REF!</f>
        <v>#REF!</v>
      </c>
      <c r="B914" s="114" t="e">
        <f>Simulações!#REF!</f>
        <v>#REF!</v>
      </c>
      <c r="C914" s="125" t="e">
        <f>Simulações!#REF!</f>
        <v>#REF!</v>
      </c>
      <c r="D914" s="114" t="e">
        <f>Simulações!#REF!</f>
        <v>#REF!</v>
      </c>
      <c r="E914" s="114" t="e">
        <f>Simulações!#REF!</f>
        <v>#REF!</v>
      </c>
      <c r="F914" s="114" t="e">
        <f>Simulações!#REF!</f>
        <v>#REF!</v>
      </c>
      <c r="G914" s="114" t="e">
        <f>Simulações!#REF!</f>
        <v>#REF!</v>
      </c>
      <c r="H914" s="114" t="e">
        <f>Simulações!#REF!</f>
        <v>#REF!</v>
      </c>
      <c r="I914" s="114" t="e">
        <f>IF(Simulações!#REF!="","",Simulações!#REF!)</f>
        <v>#REF!</v>
      </c>
      <c r="J914" s="114" t="e">
        <f>IF(Simulações!#REF!="","",Simulações!#REF!)</f>
        <v>#REF!</v>
      </c>
      <c r="K914" s="117" t="e">
        <f>Simulações!#REF!</f>
        <v>#REF!</v>
      </c>
      <c r="L914" s="117" t="e">
        <f>Simulações!#REF!</f>
        <v>#REF!</v>
      </c>
      <c r="M914" s="114" t="e">
        <f>IF(Simulações!#REF!="","",Simulações!#REF!)</f>
        <v>#REF!</v>
      </c>
      <c r="N914" s="114" t="e">
        <f>IF(Simulações!#REF!="","",Simulações!#REF!)</f>
        <v>#REF!</v>
      </c>
      <c r="O914" s="114">
        <v>1</v>
      </c>
    </row>
    <row r="915" spans="1:15" ht="15.75" hidden="1" customHeight="1" x14ac:dyDescent="0.3">
      <c r="A915" s="124" t="e">
        <f>Simulações!#REF!</f>
        <v>#REF!</v>
      </c>
      <c r="B915" s="114" t="e">
        <f>Simulações!#REF!</f>
        <v>#REF!</v>
      </c>
      <c r="C915" s="125" t="e">
        <f>Simulações!#REF!</f>
        <v>#REF!</v>
      </c>
      <c r="D915" s="114" t="e">
        <f>Simulações!#REF!</f>
        <v>#REF!</v>
      </c>
      <c r="E915" s="114" t="e">
        <f>Simulações!#REF!</f>
        <v>#REF!</v>
      </c>
      <c r="F915" s="114" t="e">
        <f>Simulações!#REF!</f>
        <v>#REF!</v>
      </c>
      <c r="G915" s="114" t="e">
        <f>Simulações!#REF!</f>
        <v>#REF!</v>
      </c>
      <c r="H915" s="114" t="e">
        <f>Simulações!#REF!</f>
        <v>#REF!</v>
      </c>
      <c r="I915" s="114" t="e">
        <f>IF(Simulações!#REF!="","",Simulações!#REF!)</f>
        <v>#REF!</v>
      </c>
      <c r="J915" s="114" t="e">
        <f>IF(Simulações!#REF!="","",Simulações!#REF!)</f>
        <v>#REF!</v>
      </c>
      <c r="K915" s="117" t="e">
        <f>Simulações!#REF!</f>
        <v>#REF!</v>
      </c>
      <c r="L915" s="117" t="e">
        <f>Simulações!#REF!</f>
        <v>#REF!</v>
      </c>
      <c r="M915" s="114" t="e">
        <f>IF(Simulações!#REF!="","",Simulações!#REF!)</f>
        <v>#REF!</v>
      </c>
      <c r="N915" s="114" t="e">
        <f>IF(Simulações!#REF!="","",Simulações!#REF!)</f>
        <v>#REF!</v>
      </c>
      <c r="O915" s="114">
        <v>1</v>
      </c>
    </row>
    <row r="916" spans="1:15" ht="15.75" hidden="1" customHeight="1" x14ac:dyDescent="0.3">
      <c r="A916" s="124" t="e">
        <f>Simulações!#REF!</f>
        <v>#REF!</v>
      </c>
      <c r="B916" s="114" t="e">
        <f>Simulações!#REF!</f>
        <v>#REF!</v>
      </c>
      <c r="C916" s="125" t="e">
        <f>Simulações!#REF!</f>
        <v>#REF!</v>
      </c>
      <c r="D916" s="114" t="e">
        <f>Simulações!#REF!</f>
        <v>#REF!</v>
      </c>
      <c r="E916" s="114" t="e">
        <f>Simulações!#REF!</f>
        <v>#REF!</v>
      </c>
      <c r="F916" s="114" t="e">
        <f>Simulações!#REF!</f>
        <v>#REF!</v>
      </c>
      <c r="G916" s="114" t="e">
        <f>Simulações!#REF!</f>
        <v>#REF!</v>
      </c>
      <c r="H916" s="114" t="e">
        <f>Simulações!#REF!</f>
        <v>#REF!</v>
      </c>
      <c r="I916" s="114" t="e">
        <f>IF(Simulações!#REF!="","",Simulações!#REF!)</f>
        <v>#REF!</v>
      </c>
      <c r="J916" s="114" t="e">
        <f>IF(Simulações!#REF!="","",Simulações!#REF!)</f>
        <v>#REF!</v>
      </c>
      <c r="K916" s="117" t="e">
        <f>Simulações!#REF!</f>
        <v>#REF!</v>
      </c>
      <c r="L916" s="117" t="e">
        <f>Simulações!#REF!</f>
        <v>#REF!</v>
      </c>
      <c r="M916" s="114" t="e">
        <f>IF(Simulações!#REF!="","",Simulações!#REF!)</f>
        <v>#REF!</v>
      </c>
      <c r="N916" s="114" t="e">
        <f>IF(Simulações!#REF!="","",Simulações!#REF!)</f>
        <v>#REF!</v>
      </c>
      <c r="O916" s="114">
        <v>1</v>
      </c>
    </row>
    <row r="917" spans="1:15" ht="15.75" hidden="1" customHeight="1" x14ac:dyDescent="0.3">
      <c r="A917" s="124" t="e">
        <f>Simulações!#REF!</f>
        <v>#REF!</v>
      </c>
      <c r="B917" s="114" t="e">
        <f>Simulações!#REF!</f>
        <v>#REF!</v>
      </c>
      <c r="C917" s="125" t="e">
        <f>Simulações!#REF!</f>
        <v>#REF!</v>
      </c>
      <c r="D917" s="114" t="e">
        <f>Simulações!#REF!</f>
        <v>#REF!</v>
      </c>
      <c r="E917" s="114" t="e">
        <f>Simulações!#REF!</f>
        <v>#REF!</v>
      </c>
      <c r="F917" s="114" t="e">
        <f>Simulações!#REF!</f>
        <v>#REF!</v>
      </c>
      <c r="G917" s="114" t="e">
        <f>Simulações!#REF!</f>
        <v>#REF!</v>
      </c>
      <c r="H917" s="114" t="e">
        <f>Simulações!#REF!</f>
        <v>#REF!</v>
      </c>
      <c r="I917" s="114" t="e">
        <f>IF(Simulações!#REF!="","",Simulações!#REF!)</f>
        <v>#REF!</v>
      </c>
      <c r="J917" s="114" t="e">
        <f>IF(Simulações!#REF!="","",Simulações!#REF!)</f>
        <v>#REF!</v>
      </c>
      <c r="K917" s="117" t="e">
        <f>Simulações!#REF!</f>
        <v>#REF!</v>
      </c>
      <c r="L917" s="117" t="e">
        <f>Simulações!#REF!</f>
        <v>#REF!</v>
      </c>
      <c r="M917" s="114" t="e">
        <f>IF(Simulações!#REF!="","",Simulações!#REF!)</f>
        <v>#REF!</v>
      </c>
      <c r="N917" s="114" t="e">
        <f>IF(Simulações!#REF!="","",Simulações!#REF!)</f>
        <v>#REF!</v>
      </c>
      <c r="O917" s="114">
        <v>1</v>
      </c>
    </row>
    <row r="918" spans="1:15" ht="15.75" hidden="1" customHeight="1" x14ac:dyDescent="0.3">
      <c r="A918" s="124" t="e">
        <f>Simulações!#REF!</f>
        <v>#REF!</v>
      </c>
      <c r="B918" s="114" t="e">
        <f>Simulações!#REF!</f>
        <v>#REF!</v>
      </c>
      <c r="C918" s="125" t="e">
        <f>Simulações!#REF!</f>
        <v>#REF!</v>
      </c>
      <c r="D918" s="114" t="e">
        <f>Simulações!#REF!</f>
        <v>#REF!</v>
      </c>
      <c r="E918" s="114" t="e">
        <f>Simulações!#REF!</f>
        <v>#REF!</v>
      </c>
      <c r="F918" s="114" t="e">
        <f>Simulações!#REF!</f>
        <v>#REF!</v>
      </c>
      <c r="G918" s="114" t="e">
        <f>Simulações!#REF!</f>
        <v>#REF!</v>
      </c>
      <c r="H918" s="114" t="e">
        <f>Simulações!#REF!</f>
        <v>#REF!</v>
      </c>
      <c r="I918" s="114" t="e">
        <f>IF(Simulações!#REF!="","",Simulações!#REF!)</f>
        <v>#REF!</v>
      </c>
      <c r="J918" s="114" t="e">
        <f>IF(Simulações!#REF!="","",Simulações!#REF!)</f>
        <v>#REF!</v>
      </c>
      <c r="K918" s="117" t="e">
        <f>Simulações!#REF!</f>
        <v>#REF!</v>
      </c>
      <c r="L918" s="117" t="e">
        <f>Simulações!#REF!</f>
        <v>#REF!</v>
      </c>
      <c r="M918" s="114" t="e">
        <f>IF(Simulações!#REF!="","",Simulações!#REF!)</f>
        <v>#REF!</v>
      </c>
      <c r="N918" s="114" t="e">
        <f>IF(Simulações!#REF!="","",Simulações!#REF!)</f>
        <v>#REF!</v>
      </c>
      <c r="O918" s="114">
        <v>1</v>
      </c>
    </row>
    <row r="919" spans="1:15" ht="15.75" hidden="1" customHeight="1" x14ac:dyDescent="0.3">
      <c r="A919" s="124" t="e">
        <f>Simulações!#REF!</f>
        <v>#REF!</v>
      </c>
      <c r="B919" s="114" t="e">
        <f>Simulações!#REF!</f>
        <v>#REF!</v>
      </c>
      <c r="C919" s="125" t="e">
        <f>Simulações!#REF!</f>
        <v>#REF!</v>
      </c>
      <c r="D919" s="114" t="e">
        <f>Simulações!#REF!</f>
        <v>#REF!</v>
      </c>
      <c r="E919" s="114" t="e">
        <f>Simulações!#REF!</f>
        <v>#REF!</v>
      </c>
      <c r="F919" s="114" t="e">
        <f>Simulações!#REF!</f>
        <v>#REF!</v>
      </c>
      <c r="G919" s="114" t="e">
        <f>Simulações!#REF!</f>
        <v>#REF!</v>
      </c>
      <c r="H919" s="114" t="e">
        <f>Simulações!#REF!</f>
        <v>#REF!</v>
      </c>
      <c r="I919" s="114" t="e">
        <f>IF(Simulações!#REF!="","",Simulações!#REF!)</f>
        <v>#REF!</v>
      </c>
      <c r="J919" s="114" t="e">
        <f>IF(Simulações!#REF!="","",Simulações!#REF!)</f>
        <v>#REF!</v>
      </c>
      <c r="K919" s="117" t="e">
        <f>Simulações!#REF!</f>
        <v>#REF!</v>
      </c>
      <c r="L919" s="117" t="e">
        <f>Simulações!#REF!</f>
        <v>#REF!</v>
      </c>
      <c r="M919" s="114" t="e">
        <f>IF(Simulações!#REF!="","",Simulações!#REF!)</f>
        <v>#REF!</v>
      </c>
      <c r="N919" s="114" t="e">
        <f>IF(Simulações!#REF!="","",Simulações!#REF!)</f>
        <v>#REF!</v>
      </c>
      <c r="O919" s="114">
        <v>1</v>
      </c>
    </row>
    <row r="920" spans="1:15" ht="15.75" hidden="1" customHeight="1" x14ac:dyDescent="0.3">
      <c r="A920" s="124" t="e">
        <f>Simulações!#REF!</f>
        <v>#REF!</v>
      </c>
      <c r="B920" s="114" t="e">
        <f>Simulações!#REF!</f>
        <v>#REF!</v>
      </c>
      <c r="C920" s="125" t="e">
        <f>Simulações!#REF!</f>
        <v>#REF!</v>
      </c>
      <c r="D920" s="114" t="e">
        <f>Simulações!#REF!</f>
        <v>#REF!</v>
      </c>
      <c r="E920" s="114" t="e">
        <f>Simulações!#REF!</f>
        <v>#REF!</v>
      </c>
      <c r="F920" s="114" t="e">
        <f>Simulações!#REF!</f>
        <v>#REF!</v>
      </c>
      <c r="G920" s="114" t="e">
        <f>Simulações!#REF!</f>
        <v>#REF!</v>
      </c>
      <c r="H920" s="114" t="e">
        <f>Simulações!#REF!</f>
        <v>#REF!</v>
      </c>
      <c r="I920" s="114" t="e">
        <f>IF(Simulações!#REF!="","",Simulações!#REF!)</f>
        <v>#REF!</v>
      </c>
      <c r="J920" s="114" t="e">
        <f>IF(Simulações!#REF!="","",Simulações!#REF!)</f>
        <v>#REF!</v>
      </c>
      <c r="K920" s="117" t="e">
        <f>Simulações!#REF!</f>
        <v>#REF!</v>
      </c>
      <c r="L920" s="117" t="e">
        <f>Simulações!#REF!</f>
        <v>#REF!</v>
      </c>
      <c r="M920" s="114" t="e">
        <f>IF(Simulações!#REF!="","",Simulações!#REF!)</f>
        <v>#REF!</v>
      </c>
      <c r="N920" s="114" t="e">
        <f>IF(Simulações!#REF!="","",Simulações!#REF!)</f>
        <v>#REF!</v>
      </c>
      <c r="O920" s="114">
        <v>1</v>
      </c>
    </row>
    <row r="921" spans="1:15" ht="15.75" hidden="1" customHeight="1" x14ac:dyDescent="0.3">
      <c r="A921" s="124" t="e">
        <f>Simulações!#REF!</f>
        <v>#REF!</v>
      </c>
      <c r="B921" s="114" t="e">
        <f>Simulações!#REF!</f>
        <v>#REF!</v>
      </c>
      <c r="C921" s="125" t="e">
        <f>Simulações!#REF!</f>
        <v>#REF!</v>
      </c>
      <c r="D921" s="114" t="e">
        <f>Simulações!#REF!</f>
        <v>#REF!</v>
      </c>
      <c r="E921" s="114" t="e">
        <f>Simulações!#REF!</f>
        <v>#REF!</v>
      </c>
      <c r="F921" s="114" t="e">
        <f>Simulações!#REF!</f>
        <v>#REF!</v>
      </c>
      <c r="G921" s="114" t="e">
        <f>Simulações!#REF!</f>
        <v>#REF!</v>
      </c>
      <c r="H921" s="114" t="e">
        <f>Simulações!#REF!</f>
        <v>#REF!</v>
      </c>
      <c r="I921" s="114" t="e">
        <f>IF(Simulações!#REF!="","",Simulações!#REF!)</f>
        <v>#REF!</v>
      </c>
      <c r="J921" s="114" t="e">
        <f>IF(Simulações!#REF!="","",Simulações!#REF!)</f>
        <v>#REF!</v>
      </c>
      <c r="K921" s="117" t="e">
        <f>Simulações!#REF!</f>
        <v>#REF!</v>
      </c>
      <c r="L921" s="117" t="e">
        <f>Simulações!#REF!</f>
        <v>#REF!</v>
      </c>
      <c r="M921" s="114" t="e">
        <f>IF(Simulações!#REF!="","",Simulações!#REF!)</f>
        <v>#REF!</v>
      </c>
      <c r="N921" s="114" t="e">
        <f>IF(Simulações!#REF!="","",Simulações!#REF!)</f>
        <v>#REF!</v>
      </c>
      <c r="O921" s="114">
        <v>1</v>
      </c>
    </row>
    <row r="922" spans="1:15" ht="15.75" hidden="1" customHeight="1" x14ac:dyDescent="0.3">
      <c r="A922" s="124" t="e">
        <f>Simulações!#REF!</f>
        <v>#REF!</v>
      </c>
      <c r="B922" s="114" t="e">
        <f>Simulações!#REF!</f>
        <v>#REF!</v>
      </c>
      <c r="C922" s="125" t="e">
        <f>Simulações!#REF!</f>
        <v>#REF!</v>
      </c>
      <c r="D922" s="114" t="e">
        <f>Simulações!#REF!</f>
        <v>#REF!</v>
      </c>
      <c r="E922" s="114" t="e">
        <f>Simulações!#REF!</f>
        <v>#REF!</v>
      </c>
      <c r="F922" s="114" t="e">
        <f>Simulações!#REF!</f>
        <v>#REF!</v>
      </c>
      <c r="G922" s="114" t="e">
        <f>Simulações!#REF!</f>
        <v>#REF!</v>
      </c>
      <c r="H922" s="114" t="e">
        <f>Simulações!#REF!</f>
        <v>#REF!</v>
      </c>
      <c r="I922" s="114" t="e">
        <f>IF(Simulações!#REF!="","",Simulações!#REF!)</f>
        <v>#REF!</v>
      </c>
      <c r="J922" s="114" t="e">
        <f>IF(Simulações!#REF!="","",Simulações!#REF!)</f>
        <v>#REF!</v>
      </c>
      <c r="K922" s="117" t="e">
        <f>Simulações!#REF!</f>
        <v>#REF!</v>
      </c>
      <c r="L922" s="117" t="e">
        <f>Simulações!#REF!</f>
        <v>#REF!</v>
      </c>
      <c r="M922" s="114" t="e">
        <f>IF(Simulações!#REF!="","",Simulações!#REF!)</f>
        <v>#REF!</v>
      </c>
      <c r="N922" s="114" t="e">
        <f>IF(Simulações!#REF!="","",Simulações!#REF!)</f>
        <v>#REF!</v>
      </c>
      <c r="O922" s="114">
        <v>1</v>
      </c>
    </row>
    <row r="923" spans="1:15" ht="15.75" hidden="1" customHeight="1" x14ac:dyDescent="0.3">
      <c r="A923" s="124" t="e">
        <f>Simulações!#REF!</f>
        <v>#REF!</v>
      </c>
      <c r="B923" s="114" t="e">
        <f>Simulações!#REF!</f>
        <v>#REF!</v>
      </c>
      <c r="C923" s="125" t="e">
        <f>Simulações!#REF!</f>
        <v>#REF!</v>
      </c>
      <c r="D923" s="114" t="e">
        <f>Simulações!#REF!</f>
        <v>#REF!</v>
      </c>
      <c r="E923" s="114" t="e">
        <f>Simulações!#REF!</f>
        <v>#REF!</v>
      </c>
      <c r="F923" s="114" t="e">
        <f>Simulações!#REF!</f>
        <v>#REF!</v>
      </c>
      <c r="G923" s="114" t="e">
        <f>Simulações!#REF!</f>
        <v>#REF!</v>
      </c>
      <c r="H923" s="114" t="e">
        <f>Simulações!#REF!</f>
        <v>#REF!</v>
      </c>
      <c r="I923" s="114" t="e">
        <f>IF(Simulações!#REF!="","",Simulações!#REF!)</f>
        <v>#REF!</v>
      </c>
      <c r="J923" s="114" t="e">
        <f>IF(Simulações!#REF!="","",Simulações!#REF!)</f>
        <v>#REF!</v>
      </c>
      <c r="K923" s="117" t="e">
        <f>Simulações!#REF!</f>
        <v>#REF!</v>
      </c>
      <c r="L923" s="117" t="e">
        <f>Simulações!#REF!</f>
        <v>#REF!</v>
      </c>
      <c r="M923" s="114" t="e">
        <f>IF(Simulações!#REF!="","",Simulações!#REF!)</f>
        <v>#REF!</v>
      </c>
      <c r="N923" s="114" t="e">
        <f>IF(Simulações!#REF!="","",Simulações!#REF!)</f>
        <v>#REF!</v>
      </c>
      <c r="O923" s="114">
        <v>1</v>
      </c>
    </row>
    <row r="924" spans="1:15" ht="15.75" hidden="1" customHeight="1" x14ac:dyDescent="0.3">
      <c r="A924" s="124" t="e">
        <f>Simulações!#REF!</f>
        <v>#REF!</v>
      </c>
      <c r="B924" s="114" t="e">
        <f>Simulações!#REF!</f>
        <v>#REF!</v>
      </c>
      <c r="C924" s="125" t="e">
        <f>Simulações!#REF!</f>
        <v>#REF!</v>
      </c>
      <c r="D924" s="114" t="e">
        <f>Simulações!#REF!</f>
        <v>#REF!</v>
      </c>
      <c r="E924" s="114" t="e">
        <f>Simulações!#REF!</f>
        <v>#REF!</v>
      </c>
      <c r="F924" s="114" t="e">
        <f>Simulações!#REF!</f>
        <v>#REF!</v>
      </c>
      <c r="G924" s="114" t="e">
        <f>Simulações!#REF!</f>
        <v>#REF!</v>
      </c>
      <c r="H924" s="114" t="e">
        <f>Simulações!#REF!</f>
        <v>#REF!</v>
      </c>
      <c r="I924" s="114" t="e">
        <f>IF(Simulações!#REF!="","",Simulações!#REF!)</f>
        <v>#REF!</v>
      </c>
      <c r="J924" s="114" t="e">
        <f>IF(Simulações!#REF!="","",Simulações!#REF!)</f>
        <v>#REF!</v>
      </c>
      <c r="K924" s="117" t="e">
        <f>Simulações!#REF!</f>
        <v>#REF!</v>
      </c>
      <c r="L924" s="117" t="e">
        <f>Simulações!#REF!</f>
        <v>#REF!</v>
      </c>
      <c r="M924" s="114" t="e">
        <f>IF(Simulações!#REF!="","",Simulações!#REF!)</f>
        <v>#REF!</v>
      </c>
      <c r="N924" s="114" t="e">
        <f>IF(Simulações!#REF!="","",Simulações!#REF!)</f>
        <v>#REF!</v>
      </c>
      <c r="O924" s="114">
        <v>1</v>
      </c>
    </row>
    <row r="925" spans="1:15" ht="15.75" hidden="1" customHeight="1" x14ac:dyDescent="0.3">
      <c r="A925" s="124" t="e">
        <f>Simulações!#REF!</f>
        <v>#REF!</v>
      </c>
      <c r="B925" s="114" t="e">
        <f>Simulações!#REF!</f>
        <v>#REF!</v>
      </c>
      <c r="C925" s="125" t="e">
        <f>Simulações!#REF!</f>
        <v>#REF!</v>
      </c>
      <c r="D925" s="114" t="e">
        <f>Simulações!#REF!</f>
        <v>#REF!</v>
      </c>
      <c r="E925" s="114" t="e">
        <f>Simulações!#REF!</f>
        <v>#REF!</v>
      </c>
      <c r="F925" s="114" t="e">
        <f>Simulações!#REF!</f>
        <v>#REF!</v>
      </c>
      <c r="G925" s="114" t="e">
        <f>Simulações!#REF!</f>
        <v>#REF!</v>
      </c>
      <c r="H925" s="114" t="e">
        <f>Simulações!#REF!</f>
        <v>#REF!</v>
      </c>
      <c r="I925" s="114" t="e">
        <f>IF(Simulações!#REF!="","",Simulações!#REF!)</f>
        <v>#REF!</v>
      </c>
      <c r="J925" s="114" t="e">
        <f>IF(Simulações!#REF!="","",Simulações!#REF!)</f>
        <v>#REF!</v>
      </c>
      <c r="K925" s="117" t="e">
        <f>Simulações!#REF!</f>
        <v>#REF!</v>
      </c>
      <c r="L925" s="117" t="e">
        <f>Simulações!#REF!</f>
        <v>#REF!</v>
      </c>
      <c r="M925" s="114" t="e">
        <f>IF(Simulações!#REF!="","",Simulações!#REF!)</f>
        <v>#REF!</v>
      </c>
      <c r="N925" s="114" t="e">
        <f>IF(Simulações!#REF!="","",Simulações!#REF!)</f>
        <v>#REF!</v>
      </c>
      <c r="O925" s="114">
        <v>1</v>
      </c>
    </row>
    <row r="926" spans="1:15" ht="15.75" hidden="1" customHeight="1" x14ac:dyDescent="0.3">
      <c r="A926" s="124" t="e">
        <f>Simulações!#REF!</f>
        <v>#REF!</v>
      </c>
      <c r="B926" s="114" t="e">
        <f>Simulações!#REF!</f>
        <v>#REF!</v>
      </c>
      <c r="C926" s="125" t="e">
        <f>Simulações!#REF!</f>
        <v>#REF!</v>
      </c>
      <c r="D926" s="114" t="e">
        <f>Simulações!#REF!</f>
        <v>#REF!</v>
      </c>
      <c r="E926" s="114" t="e">
        <f>Simulações!#REF!</f>
        <v>#REF!</v>
      </c>
      <c r="F926" s="114" t="e">
        <f>Simulações!#REF!</f>
        <v>#REF!</v>
      </c>
      <c r="G926" s="114" t="e">
        <f>Simulações!#REF!</f>
        <v>#REF!</v>
      </c>
      <c r="H926" s="114" t="e">
        <f>Simulações!#REF!</f>
        <v>#REF!</v>
      </c>
      <c r="I926" s="114" t="e">
        <f>IF(Simulações!#REF!="","",Simulações!#REF!)</f>
        <v>#REF!</v>
      </c>
      <c r="J926" s="114" t="e">
        <f>IF(Simulações!#REF!="","",Simulações!#REF!)</f>
        <v>#REF!</v>
      </c>
      <c r="K926" s="117" t="e">
        <f>Simulações!#REF!</f>
        <v>#REF!</v>
      </c>
      <c r="L926" s="117" t="e">
        <f>Simulações!#REF!</f>
        <v>#REF!</v>
      </c>
      <c r="M926" s="114" t="e">
        <f>IF(Simulações!#REF!="","",Simulações!#REF!)</f>
        <v>#REF!</v>
      </c>
      <c r="N926" s="114" t="e">
        <f>IF(Simulações!#REF!="","",Simulações!#REF!)</f>
        <v>#REF!</v>
      </c>
      <c r="O926" s="114">
        <v>1</v>
      </c>
    </row>
    <row r="927" spans="1:15" ht="15.75" hidden="1" customHeight="1" x14ac:dyDescent="0.3">
      <c r="A927" s="124" t="e">
        <f>Simulações!#REF!</f>
        <v>#REF!</v>
      </c>
      <c r="B927" s="114" t="e">
        <f>Simulações!#REF!</f>
        <v>#REF!</v>
      </c>
      <c r="C927" s="125" t="e">
        <f>Simulações!#REF!</f>
        <v>#REF!</v>
      </c>
      <c r="D927" s="114" t="e">
        <f>Simulações!#REF!</f>
        <v>#REF!</v>
      </c>
      <c r="E927" s="114" t="e">
        <f>Simulações!#REF!</f>
        <v>#REF!</v>
      </c>
      <c r="F927" s="114" t="e">
        <f>Simulações!#REF!</f>
        <v>#REF!</v>
      </c>
      <c r="G927" s="114" t="e">
        <f>Simulações!#REF!</f>
        <v>#REF!</v>
      </c>
      <c r="H927" s="114" t="e">
        <f>Simulações!#REF!</f>
        <v>#REF!</v>
      </c>
      <c r="I927" s="114" t="e">
        <f>IF(Simulações!#REF!="","",Simulações!#REF!)</f>
        <v>#REF!</v>
      </c>
      <c r="J927" s="114" t="e">
        <f>IF(Simulações!#REF!="","",Simulações!#REF!)</f>
        <v>#REF!</v>
      </c>
      <c r="K927" s="117" t="e">
        <f>Simulações!#REF!</f>
        <v>#REF!</v>
      </c>
      <c r="L927" s="117" t="e">
        <f>Simulações!#REF!</f>
        <v>#REF!</v>
      </c>
      <c r="M927" s="114" t="e">
        <f>IF(Simulações!#REF!="","",Simulações!#REF!)</f>
        <v>#REF!</v>
      </c>
      <c r="N927" s="114" t="e">
        <f>IF(Simulações!#REF!="","",Simulações!#REF!)</f>
        <v>#REF!</v>
      </c>
      <c r="O927" s="114">
        <v>1</v>
      </c>
    </row>
    <row r="928" spans="1:15" ht="15.75" hidden="1" customHeight="1" x14ac:dyDescent="0.3">
      <c r="A928" s="124" t="e">
        <f>Simulações!#REF!</f>
        <v>#REF!</v>
      </c>
      <c r="B928" s="114" t="e">
        <f>Simulações!#REF!</f>
        <v>#REF!</v>
      </c>
      <c r="C928" s="125" t="e">
        <f>Simulações!#REF!</f>
        <v>#REF!</v>
      </c>
      <c r="D928" s="114" t="e">
        <f>Simulações!#REF!</f>
        <v>#REF!</v>
      </c>
      <c r="E928" s="114" t="e">
        <f>Simulações!#REF!</f>
        <v>#REF!</v>
      </c>
      <c r="F928" s="114" t="e">
        <f>Simulações!#REF!</f>
        <v>#REF!</v>
      </c>
      <c r="G928" s="114" t="e">
        <f>Simulações!#REF!</f>
        <v>#REF!</v>
      </c>
      <c r="H928" s="114" t="e">
        <f>Simulações!#REF!</f>
        <v>#REF!</v>
      </c>
      <c r="I928" s="114" t="e">
        <f>IF(Simulações!#REF!="","",Simulações!#REF!)</f>
        <v>#REF!</v>
      </c>
      <c r="J928" s="114" t="e">
        <f>IF(Simulações!#REF!="","",Simulações!#REF!)</f>
        <v>#REF!</v>
      </c>
      <c r="K928" s="117" t="e">
        <f>Simulações!#REF!</f>
        <v>#REF!</v>
      </c>
      <c r="L928" s="117" t="e">
        <f>Simulações!#REF!</f>
        <v>#REF!</v>
      </c>
      <c r="M928" s="114" t="e">
        <f>IF(Simulações!#REF!="","",Simulações!#REF!)</f>
        <v>#REF!</v>
      </c>
      <c r="N928" s="114" t="e">
        <f>IF(Simulações!#REF!="","",Simulações!#REF!)</f>
        <v>#REF!</v>
      </c>
      <c r="O928" s="114">
        <v>1</v>
      </c>
    </row>
    <row r="929" spans="1:15" ht="15.75" hidden="1" customHeight="1" x14ac:dyDescent="0.3">
      <c r="A929" s="124" t="e">
        <f>Simulações!#REF!</f>
        <v>#REF!</v>
      </c>
      <c r="B929" s="114" t="e">
        <f>Simulações!#REF!</f>
        <v>#REF!</v>
      </c>
      <c r="C929" s="125" t="e">
        <f>Simulações!#REF!</f>
        <v>#REF!</v>
      </c>
      <c r="D929" s="114" t="e">
        <f>Simulações!#REF!</f>
        <v>#REF!</v>
      </c>
      <c r="E929" s="114" t="e">
        <f>Simulações!#REF!</f>
        <v>#REF!</v>
      </c>
      <c r="F929" s="114" t="e">
        <f>Simulações!#REF!</f>
        <v>#REF!</v>
      </c>
      <c r="G929" s="114" t="e">
        <f>Simulações!#REF!</f>
        <v>#REF!</v>
      </c>
      <c r="H929" s="114" t="e">
        <f>Simulações!#REF!</f>
        <v>#REF!</v>
      </c>
      <c r="I929" s="114" t="e">
        <f>IF(Simulações!#REF!="","",Simulações!#REF!)</f>
        <v>#REF!</v>
      </c>
      <c r="J929" s="114" t="e">
        <f>IF(Simulações!#REF!="","",Simulações!#REF!)</f>
        <v>#REF!</v>
      </c>
      <c r="K929" s="117" t="e">
        <f>Simulações!#REF!</f>
        <v>#REF!</v>
      </c>
      <c r="L929" s="117" t="e">
        <f>Simulações!#REF!</f>
        <v>#REF!</v>
      </c>
      <c r="M929" s="114" t="e">
        <f>IF(Simulações!#REF!="","",Simulações!#REF!)</f>
        <v>#REF!</v>
      </c>
      <c r="N929" s="114" t="e">
        <f>IF(Simulações!#REF!="","",Simulações!#REF!)</f>
        <v>#REF!</v>
      </c>
      <c r="O929" s="114">
        <v>1</v>
      </c>
    </row>
    <row r="930" spans="1:15" ht="15.75" hidden="1" customHeight="1" x14ac:dyDescent="0.3">
      <c r="A930" s="124" t="e">
        <f>Simulações!#REF!</f>
        <v>#REF!</v>
      </c>
      <c r="B930" s="114" t="e">
        <f>Simulações!#REF!</f>
        <v>#REF!</v>
      </c>
      <c r="C930" s="125" t="e">
        <f>Simulações!#REF!</f>
        <v>#REF!</v>
      </c>
      <c r="D930" s="114" t="e">
        <f>Simulações!#REF!</f>
        <v>#REF!</v>
      </c>
      <c r="E930" s="114" t="e">
        <f>Simulações!#REF!</f>
        <v>#REF!</v>
      </c>
      <c r="F930" s="114" t="e">
        <f>Simulações!#REF!</f>
        <v>#REF!</v>
      </c>
      <c r="G930" s="114" t="e">
        <f>Simulações!#REF!</f>
        <v>#REF!</v>
      </c>
      <c r="H930" s="114" t="e">
        <f>Simulações!#REF!</f>
        <v>#REF!</v>
      </c>
      <c r="I930" s="114" t="e">
        <f>IF(Simulações!#REF!="","",Simulações!#REF!)</f>
        <v>#REF!</v>
      </c>
      <c r="J930" s="114" t="e">
        <f>IF(Simulações!#REF!="","",Simulações!#REF!)</f>
        <v>#REF!</v>
      </c>
      <c r="K930" s="117" t="e">
        <f>Simulações!#REF!</f>
        <v>#REF!</v>
      </c>
      <c r="L930" s="117" t="e">
        <f>Simulações!#REF!</f>
        <v>#REF!</v>
      </c>
      <c r="M930" s="114" t="e">
        <f>IF(Simulações!#REF!="","",Simulações!#REF!)</f>
        <v>#REF!</v>
      </c>
      <c r="N930" s="114" t="e">
        <f>IF(Simulações!#REF!="","",Simulações!#REF!)</f>
        <v>#REF!</v>
      </c>
      <c r="O930" s="114">
        <v>1</v>
      </c>
    </row>
    <row r="931" spans="1:15" ht="15.75" hidden="1" customHeight="1" x14ac:dyDescent="0.3">
      <c r="A931" s="124" t="e">
        <f>Simulações!#REF!</f>
        <v>#REF!</v>
      </c>
      <c r="B931" s="114" t="e">
        <f>Simulações!#REF!</f>
        <v>#REF!</v>
      </c>
      <c r="C931" s="125" t="e">
        <f>Simulações!#REF!</f>
        <v>#REF!</v>
      </c>
      <c r="D931" s="114" t="e">
        <f>Simulações!#REF!</f>
        <v>#REF!</v>
      </c>
      <c r="E931" s="114" t="e">
        <f>Simulações!#REF!</f>
        <v>#REF!</v>
      </c>
      <c r="F931" s="114" t="e">
        <f>Simulações!#REF!</f>
        <v>#REF!</v>
      </c>
      <c r="G931" s="114" t="e">
        <f>Simulações!#REF!</f>
        <v>#REF!</v>
      </c>
      <c r="H931" s="114" t="e">
        <f>Simulações!#REF!</f>
        <v>#REF!</v>
      </c>
      <c r="I931" s="114" t="e">
        <f>IF(Simulações!#REF!="","",Simulações!#REF!)</f>
        <v>#REF!</v>
      </c>
      <c r="J931" s="114" t="e">
        <f>IF(Simulações!#REF!="","",Simulações!#REF!)</f>
        <v>#REF!</v>
      </c>
      <c r="K931" s="117" t="e">
        <f>Simulações!#REF!</f>
        <v>#REF!</v>
      </c>
      <c r="L931" s="117" t="e">
        <f>Simulações!#REF!</f>
        <v>#REF!</v>
      </c>
      <c r="M931" s="114" t="e">
        <f>IF(Simulações!#REF!="","",Simulações!#REF!)</f>
        <v>#REF!</v>
      </c>
      <c r="N931" s="114" t="e">
        <f>IF(Simulações!#REF!="","",Simulações!#REF!)</f>
        <v>#REF!</v>
      </c>
      <c r="O931" s="114">
        <v>1</v>
      </c>
    </row>
    <row r="932" spans="1:15" ht="15.75" hidden="1" customHeight="1" x14ac:dyDescent="0.3">
      <c r="A932" s="124" t="e">
        <f>Simulações!#REF!</f>
        <v>#REF!</v>
      </c>
      <c r="B932" s="114" t="e">
        <f>Simulações!#REF!</f>
        <v>#REF!</v>
      </c>
      <c r="C932" s="125" t="e">
        <f>Simulações!#REF!</f>
        <v>#REF!</v>
      </c>
      <c r="D932" s="114" t="e">
        <f>Simulações!#REF!</f>
        <v>#REF!</v>
      </c>
      <c r="E932" s="114" t="e">
        <f>Simulações!#REF!</f>
        <v>#REF!</v>
      </c>
      <c r="F932" s="114" t="e">
        <f>Simulações!#REF!</f>
        <v>#REF!</v>
      </c>
      <c r="G932" s="114" t="e">
        <f>Simulações!#REF!</f>
        <v>#REF!</v>
      </c>
      <c r="H932" s="114" t="e">
        <f>Simulações!#REF!</f>
        <v>#REF!</v>
      </c>
      <c r="I932" s="114" t="e">
        <f>IF(Simulações!#REF!="","",Simulações!#REF!)</f>
        <v>#REF!</v>
      </c>
      <c r="J932" s="114" t="e">
        <f>IF(Simulações!#REF!="","",Simulações!#REF!)</f>
        <v>#REF!</v>
      </c>
      <c r="K932" s="117" t="e">
        <f>Simulações!#REF!</f>
        <v>#REF!</v>
      </c>
      <c r="L932" s="117" t="e">
        <f>Simulações!#REF!</f>
        <v>#REF!</v>
      </c>
      <c r="M932" s="114" t="e">
        <f>IF(Simulações!#REF!="","",Simulações!#REF!)</f>
        <v>#REF!</v>
      </c>
      <c r="N932" s="114" t="e">
        <f>IF(Simulações!#REF!="","",Simulações!#REF!)</f>
        <v>#REF!</v>
      </c>
      <c r="O932" s="114">
        <v>1</v>
      </c>
    </row>
    <row r="933" spans="1:15" ht="15.75" hidden="1" customHeight="1" x14ac:dyDescent="0.3">
      <c r="A933" s="124" t="e">
        <f>Simulações!#REF!</f>
        <v>#REF!</v>
      </c>
      <c r="B933" s="114" t="e">
        <f>Simulações!#REF!</f>
        <v>#REF!</v>
      </c>
      <c r="C933" s="125" t="e">
        <f>Simulações!#REF!</f>
        <v>#REF!</v>
      </c>
      <c r="D933" s="114" t="e">
        <f>Simulações!#REF!</f>
        <v>#REF!</v>
      </c>
      <c r="E933" s="114" t="e">
        <f>Simulações!#REF!</f>
        <v>#REF!</v>
      </c>
      <c r="F933" s="114" t="e">
        <f>Simulações!#REF!</f>
        <v>#REF!</v>
      </c>
      <c r="G933" s="114" t="e">
        <f>Simulações!#REF!</f>
        <v>#REF!</v>
      </c>
      <c r="H933" s="114" t="e">
        <f>Simulações!#REF!</f>
        <v>#REF!</v>
      </c>
      <c r="I933" s="114" t="e">
        <f>IF(Simulações!#REF!="","",Simulações!#REF!)</f>
        <v>#REF!</v>
      </c>
      <c r="J933" s="114" t="e">
        <f>IF(Simulações!#REF!="","",Simulações!#REF!)</f>
        <v>#REF!</v>
      </c>
      <c r="K933" s="117" t="e">
        <f>Simulações!#REF!</f>
        <v>#REF!</v>
      </c>
      <c r="L933" s="117" t="e">
        <f>Simulações!#REF!</f>
        <v>#REF!</v>
      </c>
      <c r="M933" s="114" t="e">
        <f>IF(Simulações!#REF!="","",Simulações!#REF!)</f>
        <v>#REF!</v>
      </c>
      <c r="N933" s="114" t="e">
        <f>IF(Simulações!#REF!="","",Simulações!#REF!)</f>
        <v>#REF!</v>
      </c>
      <c r="O933" s="114">
        <v>1</v>
      </c>
    </row>
    <row r="934" spans="1:15" ht="15.75" hidden="1" customHeight="1" x14ac:dyDescent="0.3">
      <c r="A934" s="124" t="e">
        <f>Simulações!#REF!</f>
        <v>#REF!</v>
      </c>
      <c r="B934" s="114" t="e">
        <f>Simulações!#REF!</f>
        <v>#REF!</v>
      </c>
      <c r="C934" s="125" t="e">
        <f>Simulações!#REF!</f>
        <v>#REF!</v>
      </c>
      <c r="D934" s="114" t="e">
        <f>Simulações!#REF!</f>
        <v>#REF!</v>
      </c>
      <c r="E934" s="114" t="e">
        <f>Simulações!#REF!</f>
        <v>#REF!</v>
      </c>
      <c r="F934" s="114" t="e">
        <f>Simulações!#REF!</f>
        <v>#REF!</v>
      </c>
      <c r="G934" s="114" t="e">
        <f>Simulações!#REF!</f>
        <v>#REF!</v>
      </c>
      <c r="H934" s="114" t="e">
        <f>Simulações!#REF!</f>
        <v>#REF!</v>
      </c>
      <c r="I934" s="114" t="e">
        <f>IF(Simulações!#REF!="","",Simulações!#REF!)</f>
        <v>#REF!</v>
      </c>
      <c r="J934" s="114" t="e">
        <f>IF(Simulações!#REF!="","",Simulações!#REF!)</f>
        <v>#REF!</v>
      </c>
      <c r="K934" s="117" t="e">
        <f>Simulações!#REF!</f>
        <v>#REF!</v>
      </c>
      <c r="L934" s="117" t="e">
        <f>Simulações!#REF!</f>
        <v>#REF!</v>
      </c>
      <c r="M934" s="114" t="e">
        <f>IF(Simulações!#REF!="","",Simulações!#REF!)</f>
        <v>#REF!</v>
      </c>
      <c r="N934" s="114" t="e">
        <f>IF(Simulações!#REF!="","",Simulações!#REF!)</f>
        <v>#REF!</v>
      </c>
      <c r="O934" s="114">
        <v>1</v>
      </c>
    </row>
    <row r="935" spans="1:15" ht="15.75" hidden="1" customHeight="1" x14ac:dyDescent="0.3">
      <c r="A935" s="124" t="e">
        <f>Simulações!#REF!</f>
        <v>#REF!</v>
      </c>
      <c r="B935" s="114" t="e">
        <f>Simulações!#REF!</f>
        <v>#REF!</v>
      </c>
      <c r="C935" s="125" t="e">
        <f>Simulações!#REF!</f>
        <v>#REF!</v>
      </c>
      <c r="D935" s="114" t="e">
        <f>Simulações!#REF!</f>
        <v>#REF!</v>
      </c>
      <c r="E935" s="114" t="e">
        <f>Simulações!#REF!</f>
        <v>#REF!</v>
      </c>
      <c r="F935" s="114" t="e">
        <f>Simulações!#REF!</f>
        <v>#REF!</v>
      </c>
      <c r="G935" s="114" t="e">
        <f>Simulações!#REF!</f>
        <v>#REF!</v>
      </c>
      <c r="H935" s="114" t="e">
        <f>Simulações!#REF!</f>
        <v>#REF!</v>
      </c>
      <c r="I935" s="114" t="e">
        <f>IF(Simulações!#REF!="","",Simulações!#REF!)</f>
        <v>#REF!</v>
      </c>
      <c r="J935" s="114" t="e">
        <f>IF(Simulações!#REF!="","",Simulações!#REF!)</f>
        <v>#REF!</v>
      </c>
      <c r="K935" s="117" t="e">
        <f>Simulações!#REF!</f>
        <v>#REF!</v>
      </c>
      <c r="L935" s="117" t="e">
        <f>Simulações!#REF!</f>
        <v>#REF!</v>
      </c>
      <c r="M935" s="114" t="e">
        <f>IF(Simulações!#REF!="","",Simulações!#REF!)</f>
        <v>#REF!</v>
      </c>
      <c r="N935" s="114" t="e">
        <f>IF(Simulações!#REF!="","",Simulações!#REF!)</f>
        <v>#REF!</v>
      </c>
      <c r="O935" s="114">
        <v>1</v>
      </c>
    </row>
    <row r="936" spans="1:15" ht="15.75" hidden="1" customHeight="1" x14ac:dyDescent="0.3">
      <c r="A936" s="124" t="e">
        <f>Simulações!#REF!</f>
        <v>#REF!</v>
      </c>
      <c r="B936" s="114" t="e">
        <f>Simulações!#REF!</f>
        <v>#REF!</v>
      </c>
      <c r="C936" s="125" t="e">
        <f>Simulações!#REF!</f>
        <v>#REF!</v>
      </c>
      <c r="D936" s="114" t="e">
        <f>Simulações!#REF!</f>
        <v>#REF!</v>
      </c>
      <c r="E936" s="114" t="e">
        <f>Simulações!#REF!</f>
        <v>#REF!</v>
      </c>
      <c r="F936" s="114" t="e">
        <f>Simulações!#REF!</f>
        <v>#REF!</v>
      </c>
      <c r="G936" s="114" t="e">
        <f>Simulações!#REF!</f>
        <v>#REF!</v>
      </c>
      <c r="H936" s="114" t="e">
        <f>Simulações!#REF!</f>
        <v>#REF!</v>
      </c>
      <c r="I936" s="114" t="e">
        <f>IF(Simulações!#REF!="","",Simulações!#REF!)</f>
        <v>#REF!</v>
      </c>
      <c r="J936" s="114" t="e">
        <f>IF(Simulações!#REF!="","",Simulações!#REF!)</f>
        <v>#REF!</v>
      </c>
      <c r="K936" s="117" t="e">
        <f>Simulações!#REF!</f>
        <v>#REF!</v>
      </c>
      <c r="L936" s="117" t="e">
        <f>Simulações!#REF!</f>
        <v>#REF!</v>
      </c>
      <c r="M936" s="114" t="e">
        <f>IF(Simulações!#REF!="","",Simulações!#REF!)</f>
        <v>#REF!</v>
      </c>
      <c r="N936" s="114" t="e">
        <f>IF(Simulações!#REF!="","",Simulações!#REF!)</f>
        <v>#REF!</v>
      </c>
      <c r="O936" s="114">
        <v>1</v>
      </c>
    </row>
    <row r="937" spans="1:15" ht="15.75" hidden="1" customHeight="1" x14ac:dyDescent="0.3">
      <c r="A937" s="124" t="e">
        <f>Simulações!#REF!</f>
        <v>#REF!</v>
      </c>
      <c r="B937" s="114" t="e">
        <f>Simulações!#REF!</f>
        <v>#REF!</v>
      </c>
      <c r="C937" s="125" t="e">
        <f>Simulações!#REF!</f>
        <v>#REF!</v>
      </c>
      <c r="D937" s="114" t="e">
        <f>Simulações!#REF!</f>
        <v>#REF!</v>
      </c>
      <c r="E937" s="114" t="e">
        <f>Simulações!#REF!</f>
        <v>#REF!</v>
      </c>
      <c r="F937" s="114" t="e">
        <f>Simulações!#REF!</f>
        <v>#REF!</v>
      </c>
      <c r="G937" s="114" t="e">
        <f>Simulações!#REF!</f>
        <v>#REF!</v>
      </c>
      <c r="H937" s="114" t="e">
        <f>Simulações!#REF!</f>
        <v>#REF!</v>
      </c>
      <c r="I937" s="114" t="e">
        <f>IF(Simulações!#REF!="","",Simulações!#REF!)</f>
        <v>#REF!</v>
      </c>
      <c r="J937" s="114" t="e">
        <f>IF(Simulações!#REF!="","",Simulações!#REF!)</f>
        <v>#REF!</v>
      </c>
      <c r="K937" s="117" t="e">
        <f>Simulações!#REF!</f>
        <v>#REF!</v>
      </c>
      <c r="L937" s="117" t="e">
        <f>Simulações!#REF!</f>
        <v>#REF!</v>
      </c>
      <c r="M937" s="114" t="e">
        <f>IF(Simulações!#REF!="","",Simulações!#REF!)</f>
        <v>#REF!</v>
      </c>
      <c r="N937" s="114" t="e">
        <f>IF(Simulações!#REF!="","",Simulações!#REF!)</f>
        <v>#REF!</v>
      </c>
      <c r="O937" s="114">
        <v>1</v>
      </c>
    </row>
    <row r="938" spans="1:15" ht="15.75" hidden="1" customHeight="1" x14ac:dyDescent="0.3">
      <c r="A938" s="124" t="e">
        <f>Simulações!#REF!</f>
        <v>#REF!</v>
      </c>
      <c r="B938" s="114" t="e">
        <f>Simulações!#REF!</f>
        <v>#REF!</v>
      </c>
      <c r="C938" s="125" t="e">
        <f>Simulações!#REF!</f>
        <v>#REF!</v>
      </c>
      <c r="D938" s="114" t="e">
        <f>Simulações!#REF!</f>
        <v>#REF!</v>
      </c>
      <c r="E938" s="114" t="e">
        <f>Simulações!#REF!</f>
        <v>#REF!</v>
      </c>
      <c r="F938" s="114" t="e">
        <f>Simulações!#REF!</f>
        <v>#REF!</v>
      </c>
      <c r="G938" s="114" t="e">
        <f>Simulações!#REF!</f>
        <v>#REF!</v>
      </c>
      <c r="H938" s="114" t="e">
        <f>Simulações!#REF!</f>
        <v>#REF!</v>
      </c>
      <c r="I938" s="114" t="e">
        <f>IF(Simulações!#REF!="","",Simulações!#REF!)</f>
        <v>#REF!</v>
      </c>
      <c r="J938" s="114" t="e">
        <f>IF(Simulações!#REF!="","",Simulações!#REF!)</f>
        <v>#REF!</v>
      </c>
      <c r="K938" s="117" t="e">
        <f>Simulações!#REF!</f>
        <v>#REF!</v>
      </c>
      <c r="L938" s="117" t="e">
        <f>Simulações!#REF!</f>
        <v>#REF!</v>
      </c>
      <c r="M938" s="114" t="e">
        <f>IF(Simulações!#REF!="","",Simulações!#REF!)</f>
        <v>#REF!</v>
      </c>
      <c r="N938" s="114" t="e">
        <f>IF(Simulações!#REF!="","",Simulações!#REF!)</f>
        <v>#REF!</v>
      </c>
      <c r="O938" s="114">
        <v>1</v>
      </c>
    </row>
    <row r="939" spans="1:15" ht="15.75" hidden="1" customHeight="1" x14ac:dyDescent="0.3">
      <c r="A939" s="124" t="e">
        <f>Simulações!#REF!</f>
        <v>#REF!</v>
      </c>
      <c r="B939" s="114" t="e">
        <f>Simulações!#REF!</f>
        <v>#REF!</v>
      </c>
      <c r="C939" s="125" t="e">
        <f>Simulações!#REF!</f>
        <v>#REF!</v>
      </c>
      <c r="D939" s="114" t="e">
        <f>Simulações!#REF!</f>
        <v>#REF!</v>
      </c>
      <c r="E939" s="114" t="e">
        <f>Simulações!#REF!</f>
        <v>#REF!</v>
      </c>
      <c r="F939" s="114" t="e">
        <f>Simulações!#REF!</f>
        <v>#REF!</v>
      </c>
      <c r="G939" s="114" t="e">
        <f>Simulações!#REF!</f>
        <v>#REF!</v>
      </c>
      <c r="H939" s="114" t="e">
        <f>Simulações!#REF!</f>
        <v>#REF!</v>
      </c>
      <c r="I939" s="114" t="e">
        <f>IF(Simulações!#REF!="","",Simulações!#REF!)</f>
        <v>#REF!</v>
      </c>
      <c r="J939" s="114" t="e">
        <f>IF(Simulações!#REF!="","",Simulações!#REF!)</f>
        <v>#REF!</v>
      </c>
      <c r="K939" s="117" t="e">
        <f>Simulações!#REF!</f>
        <v>#REF!</v>
      </c>
      <c r="L939" s="117" t="e">
        <f>Simulações!#REF!</f>
        <v>#REF!</v>
      </c>
      <c r="M939" s="114" t="e">
        <f>IF(Simulações!#REF!="","",Simulações!#REF!)</f>
        <v>#REF!</v>
      </c>
      <c r="N939" s="114" t="e">
        <f>IF(Simulações!#REF!="","",Simulações!#REF!)</f>
        <v>#REF!</v>
      </c>
      <c r="O939" s="114">
        <v>1</v>
      </c>
    </row>
    <row r="940" spans="1:15" ht="15.75" hidden="1" customHeight="1" x14ac:dyDescent="0.3">
      <c r="A940" s="124" t="e">
        <f>Simulações!#REF!</f>
        <v>#REF!</v>
      </c>
      <c r="B940" s="114" t="e">
        <f>Simulações!#REF!</f>
        <v>#REF!</v>
      </c>
      <c r="C940" s="125" t="e">
        <f>Simulações!#REF!</f>
        <v>#REF!</v>
      </c>
      <c r="D940" s="114" t="e">
        <f>Simulações!#REF!</f>
        <v>#REF!</v>
      </c>
      <c r="E940" s="114" t="e">
        <f>Simulações!#REF!</f>
        <v>#REF!</v>
      </c>
      <c r="F940" s="114" t="e">
        <f>Simulações!#REF!</f>
        <v>#REF!</v>
      </c>
      <c r="G940" s="114" t="e">
        <f>Simulações!#REF!</f>
        <v>#REF!</v>
      </c>
      <c r="H940" s="114" t="e">
        <f>Simulações!#REF!</f>
        <v>#REF!</v>
      </c>
      <c r="I940" s="114" t="e">
        <f>IF(Simulações!#REF!="","",Simulações!#REF!)</f>
        <v>#REF!</v>
      </c>
      <c r="J940" s="114" t="e">
        <f>IF(Simulações!#REF!="","",Simulações!#REF!)</f>
        <v>#REF!</v>
      </c>
      <c r="K940" s="117" t="e">
        <f>Simulações!#REF!</f>
        <v>#REF!</v>
      </c>
      <c r="L940" s="117" t="e">
        <f>Simulações!#REF!</f>
        <v>#REF!</v>
      </c>
      <c r="M940" s="114" t="e">
        <f>IF(Simulações!#REF!="","",Simulações!#REF!)</f>
        <v>#REF!</v>
      </c>
      <c r="N940" s="114" t="e">
        <f>IF(Simulações!#REF!="","",Simulações!#REF!)</f>
        <v>#REF!</v>
      </c>
      <c r="O940" s="114">
        <v>1</v>
      </c>
    </row>
    <row r="941" spans="1:15" ht="15.75" hidden="1" customHeight="1" x14ac:dyDescent="0.3">
      <c r="A941" s="124" t="e">
        <f>Simulações!#REF!</f>
        <v>#REF!</v>
      </c>
      <c r="B941" s="114" t="e">
        <f>Simulações!#REF!</f>
        <v>#REF!</v>
      </c>
      <c r="C941" s="125" t="e">
        <f>Simulações!#REF!</f>
        <v>#REF!</v>
      </c>
      <c r="D941" s="114" t="e">
        <f>Simulações!#REF!</f>
        <v>#REF!</v>
      </c>
      <c r="E941" s="114" t="e">
        <f>Simulações!#REF!</f>
        <v>#REF!</v>
      </c>
      <c r="F941" s="114" t="e">
        <f>Simulações!#REF!</f>
        <v>#REF!</v>
      </c>
      <c r="G941" s="114" t="e">
        <f>Simulações!#REF!</f>
        <v>#REF!</v>
      </c>
      <c r="H941" s="114" t="e">
        <f>Simulações!#REF!</f>
        <v>#REF!</v>
      </c>
      <c r="I941" s="114" t="e">
        <f>IF(Simulações!#REF!="","",Simulações!#REF!)</f>
        <v>#REF!</v>
      </c>
      <c r="J941" s="114" t="e">
        <f>IF(Simulações!#REF!="","",Simulações!#REF!)</f>
        <v>#REF!</v>
      </c>
      <c r="K941" s="117" t="e">
        <f>Simulações!#REF!</f>
        <v>#REF!</v>
      </c>
      <c r="L941" s="117" t="e">
        <f>Simulações!#REF!</f>
        <v>#REF!</v>
      </c>
      <c r="M941" s="114" t="e">
        <f>IF(Simulações!#REF!="","",Simulações!#REF!)</f>
        <v>#REF!</v>
      </c>
      <c r="N941" s="114" t="e">
        <f>IF(Simulações!#REF!="","",Simulações!#REF!)</f>
        <v>#REF!</v>
      </c>
      <c r="O941" s="114">
        <v>1</v>
      </c>
    </row>
    <row r="942" spans="1:15" ht="15.75" hidden="1" customHeight="1" x14ac:dyDescent="0.3">
      <c r="A942" s="124" t="e">
        <f>Simulações!#REF!</f>
        <v>#REF!</v>
      </c>
      <c r="B942" s="114" t="e">
        <f>Simulações!#REF!</f>
        <v>#REF!</v>
      </c>
      <c r="C942" s="125" t="e">
        <f>Simulações!#REF!</f>
        <v>#REF!</v>
      </c>
      <c r="D942" s="114" t="e">
        <f>Simulações!#REF!</f>
        <v>#REF!</v>
      </c>
      <c r="E942" s="114" t="e">
        <f>Simulações!#REF!</f>
        <v>#REF!</v>
      </c>
      <c r="F942" s="114" t="e">
        <f>Simulações!#REF!</f>
        <v>#REF!</v>
      </c>
      <c r="G942" s="114" t="e">
        <f>Simulações!#REF!</f>
        <v>#REF!</v>
      </c>
      <c r="H942" s="114" t="e">
        <f>Simulações!#REF!</f>
        <v>#REF!</v>
      </c>
      <c r="I942" s="114" t="e">
        <f>IF(Simulações!#REF!="","",Simulações!#REF!)</f>
        <v>#REF!</v>
      </c>
      <c r="J942" s="114" t="e">
        <f>IF(Simulações!#REF!="","",Simulações!#REF!)</f>
        <v>#REF!</v>
      </c>
      <c r="K942" s="117" t="e">
        <f>Simulações!#REF!</f>
        <v>#REF!</v>
      </c>
      <c r="L942" s="117" t="e">
        <f>Simulações!#REF!</f>
        <v>#REF!</v>
      </c>
      <c r="M942" s="114" t="e">
        <f>IF(Simulações!#REF!="","",Simulações!#REF!)</f>
        <v>#REF!</v>
      </c>
      <c r="N942" s="114" t="e">
        <f>IF(Simulações!#REF!="","",Simulações!#REF!)</f>
        <v>#REF!</v>
      </c>
      <c r="O942" s="114">
        <v>1</v>
      </c>
    </row>
    <row r="943" spans="1:15" ht="15.75" hidden="1" customHeight="1" x14ac:dyDescent="0.3">
      <c r="A943" s="124" t="e">
        <f>Simulações!#REF!</f>
        <v>#REF!</v>
      </c>
      <c r="B943" s="114" t="e">
        <f>Simulações!#REF!</f>
        <v>#REF!</v>
      </c>
      <c r="C943" s="125" t="e">
        <f>Simulações!#REF!</f>
        <v>#REF!</v>
      </c>
      <c r="D943" s="114" t="e">
        <f>Simulações!#REF!</f>
        <v>#REF!</v>
      </c>
      <c r="E943" s="114" t="e">
        <f>Simulações!#REF!</f>
        <v>#REF!</v>
      </c>
      <c r="F943" s="114" t="e">
        <f>Simulações!#REF!</f>
        <v>#REF!</v>
      </c>
      <c r="G943" s="114" t="e">
        <f>Simulações!#REF!</f>
        <v>#REF!</v>
      </c>
      <c r="H943" s="114" t="e">
        <f>Simulações!#REF!</f>
        <v>#REF!</v>
      </c>
      <c r="I943" s="114" t="e">
        <f>IF(Simulações!#REF!="","",Simulações!#REF!)</f>
        <v>#REF!</v>
      </c>
      <c r="J943" s="114" t="e">
        <f>IF(Simulações!#REF!="","",Simulações!#REF!)</f>
        <v>#REF!</v>
      </c>
      <c r="K943" s="117" t="e">
        <f>Simulações!#REF!</f>
        <v>#REF!</v>
      </c>
      <c r="L943" s="117" t="e">
        <f>Simulações!#REF!</f>
        <v>#REF!</v>
      </c>
      <c r="M943" s="114" t="e">
        <f>IF(Simulações!#REF!="","",Simulações!#REF!)</f>
        <v>#REF!</v>
      </c>
      <c r="N943" s="114" t="e">
        <f>IF(Simulações!#REF!="","",Simulações!#REF!)</f>
        <v>#REF!</v>
      </c>
      <c r="O943" s="114">
        <v>1</v>
      </c>
    </row>
    <row r="944" spans="1:15" ht="15.75" hidden="1" customHeight="1" x14ac:dyDescent="0.3">
      <c r="A944" s="124" t="e">
        <f>Simulações!#REF!</f>
        <v>#REF!</v>
      </c>
      <c r="B944" s="114" t="e">
        <f>Simulações!#REF!</f>
        <v>#REF!</v>
      </c>
      <c r="C944" s="125" t="e">
        <f>Simulações!#REF!</f>
        <v>#REF!</v>
      </c>
      <c r="D944" s="114" t="e">
        <f>Simulações!#REF!</f>
        <v>#REF!</v>
      </c>
      <c r="E944" s="114" t="e">
        <f>Simulações!#REF!</f>
        <v>#REF!</v>
      </c>
      <c r="F944" s="114" t="e">
        <f>Simulações!#REF!</f>
        <v>#REF!</v>
      </c>
      <c r="G944" s="114" t="e">
        <f>Simulações!#REF!</f>
        <v>#REF!</v>
      </c>
      <c r="H944" s="114" t="e">
        <f>Simulações!#REF!</f>
        <v>#REF!</v>
      </c>
      <c r="I944" s="114" t="e">
        <f>IF(Simulações!#REF!="","",Simulações!#REF!)</f>
        <v>#REF!</v>
      </c>
      <c r="J944" s="114" t="e">
        <f>IF(Simulações!#REF!="","",Simulações!#REF!)</f>
        <v>#REF!</v>
      </c>
      <c r="K944" s="117" t="e">
        <f>Simulações!#REF!</f>
        <v>#REF!</v>
      </c>
      <c r="L944" s="117" t="e">
        <f>Simulações!#REF!</f>
        <v>#REF!</v>
      </c>
      <c r="M944" s="114" t="e">
        <f>IF(Simulações!#REF!="","",Simulações!#REF!)</f>
        <v>#REF!</v>
      </c>
      <c r="N944" s="114" t="e">
        <f>IF(Simulações!#REF!="","",Simulações!#REF!)</f>
        <v>#REF!</v>
      </c>
      <c r="O944" s="114">
        <v>1</v>
      </c>
    </row>
    <row r="945" spans="1:15" ht="15.75" hidden="1" customHeight="1" x14ac:dyDescent="0.3">
      <c r="A945" s="124" t="e">
        <f>Simulações!#REF!</f>
        <v>#REF!</v>
      </c>
      <c r="B945" s="114" t="e">
        <f>Simulações!#REF!</f>
        <v>#REF!</v>
      </c>
      <c r="C945" s="125" t="e">
        <f>Simulações!#REF!</f>
        <v>#REF!</v>
      </c>
      <c r="D945" s="114" t="e">
        <f>Simulações!#REF!</f>
        <v>#REF!</v>
      </c>
      <c r="E945" s="114" t="e">
        <f>Simulações!#REF!</f>
        <v>#REF!</v>
      </c>
      <c r="F945" s="114" t="e">
        <f>Simulações!#REF!</f>
        <v>#REF!</v>
      </c>
      <c r="G945" s="114" t="e">
        <f>Simulações!#REF!</f>
        <v>#REF!</v>
      </c>
      <c r="H945" s="114" t="e">
        <f>Simulações!#REF!</f>
        <v>#REF!</v>
      </c>
      <c r="I945" s="114" t="e">
        <f>IF(Simulações!#REF!="","",Simulações!#REF!)</f>
        <v>#REF!</v>
      </c>
      <c r="J945" s="114" t="e">
        <f>IF(Simulações!#REF!="","",Simulações!#REF!)</f>
        <v>#REF!</v>
      </c>
      <c r="K945" s="117" t="e">
        <f>Simulações!#REF!</f>
        <v>#REF!</v>
      </c>
      <c r="L945" s="117" t="e">
        <f>Simulações!#REF!</f>
        <v>#REF!</v>
      </c>
      <c r="M945" s="114" t="e">
        <f>IF(Simulações!#REF!="","",Simulações!#REF!)</f>
        <v>#REF!</v>
      </c>
      <c r="N945" s="114" t="e">
        <f>IF(Simulações!#REF!="","",Simulações!#REF!)</f>
        <v>#REF!</v>
      </c>
      <c r="O945" s="114">
        <v>1</v>
      </c>
    </row>
    <row r="946" spans="1:15" ht="15.75" hidden="1" customHeight="1" x14ac:dyDescent="0.3">
      <c r="A946" s="124" t="e">
        <f>Simulações!#REF!</f>
        <v>#REF!</v>
      </c>
      <c r="B946" s="114" t="e">
        <f>Simulações!#REF!</f>
        <v>#REF!</v>
      </c>
      <c r="C946" s="125" t="e">
        <f>Simulações!#REF!</f>
        <v>#REF!</v>
      </c>
      <c r="D946" s="114" t="e">
        <f>Simulações!#REF!</f>
        <v>#REF!</v>
      </c>
      <c r="E946" s="114" t="e">
        <f>Simulações!#REF!</f>
        <v>#REF!</v>
      </c>
      <c r="F946" s="114" t="e">
        <f>Simulações!#REF!</f>
        <v>#REF!</v>
      </c>
      <c r="G946" s="114" t="e">
        <f>Simulações!#REF!</f>
        <v>#REF!</v>
      </c>
      <c r="H946" s="114" t="e">
        <f>Simulações!#REF!</f>
        <v>#REF!</v>
      </c>
      <c r="I946" s="114" t="e">
        <f>IF(Simulações!#REF!="","",Simulações!#REF!)</f>
        <v>#REF!</v>
      </c>
      <c r="J946" s="114" t="e">
        <f>IF(Simulações!#REF!="","",Simulações!#REF!)</f>
        <v>#REF!</v>
      </c>
      <c r="K946" s="117" t="e">
        <f>Simulações!#REF!</f>
        <v>#REF!</v>
      </c>
      <c r="L946" s="117" t="e">
        <f>Simulações!#REF!</f>
        <v>#REF!</v>
      </c>
      <c r="M946" s="114" t="e">
        <f>IF(Simulações!#REF!="","",Simulações!#REF!)</f>
        <v>#REF!</v>
      </c>
      <c r="N946" s="114" t="e">
        <f>IF(Simulações!#REF!="","",Simulações!#REF!)</f>
        <v>#REF!</v>
      </c>
      <c r="O946" s="114">
        <v>1</v>
      </c>
    </row>
    <row r="947" spans="1:15" ht="15.75" hidden="1" customHeight="1" x14ac:dyDescent="0.3">
      <c r="A947" s="124" t="e">
        <f>Simulações!#REF!</f>
        <v>#REF!</v>
      </c>
      <c r="B947" s="114" t="e">
        <f>Simulações!#REF!</f>
        <v>#REF!</v>
      </c>
      <c r="C947" s="125" t="e">
        <f>Simulações!#REF!</f>
        <v>#REF!</v>
      </c>
      <c r="D947" s="114" t="e">
        <f>Simulações!#REF!</f>
        <v>#REF!</v>
      </c>
      <c r="E947" s="114" t="e">
        <f>Simulações!#REF!</f>
        <v>#REF!</v>
      </c>
      <c r="F947" s="114" t="e">
        <f>Simulações!#REF!</f>
        <v>#REF!</v>
      </c>
      <c r="G947" s="114" t="e">
        <f>Simulações!#REF!</f>
        <v>#REF!</v>
      </c>
      <c r="H947" s="114" t="e">
        <f>Simulações!#REF!</f>
        <v>#REF!</v>
      </c>
      <c r="I947" s="114" t="e">
        <f>IF(Simulações!#REF!="","",Simulações!#REF!)</f>
        <v>#REF!</v>
      </c>
      <c r="J947" s="114" t="e">
        <f>IF(Simulações!#REF!="","",Simulações!#REF!)</f>
        <v>#REF!</v>
      </c>
      <c r="K947" s="117" t="e">
        <f>Simulações!#REF!</f>
        <v>#REF!</v>
      </c>
      <c r="L947" s="117" t="e">
        <f>Simulações!#REF!</f>
        <v>#REF!</v>
      </c>
      <c r="M947" s="114" t="e">
        <f>IF(Simulações!#REF!="","",Simulações!#REF!)</f>
        <v>#REF!</v>
      </c>
      <c r="N947" s="114" t="e">
        <f>IF(Simulações!#REF!="","",Simulações!#REF!)</f>
        <v>#REF!</v>
      </c>
      <c r="O947" s="114">
        <v>1</v>
      </c>
    </row>
    <row r="948" spans="1:15" ht="15.75" hidden="1" customHeight="1" x14ac:dyDescent="0.3">
      <c r="A948" s="124" t="e">
        <f>Simulações!#REF!</f>
        <v>#REF!</v>
      </c>
      <c r="B948" s="114" t="e">
        <f>Simulações!#REF!</f>
        <v>#REF!</v>
      </c>
      <c r="C948" s="125" t="e">
        <f>Simulações!#REF!</f>
        <v>#REF!</v>
      </c>
      <c r="D948" s="114" t="e">
        <f>Simulações!#REF!</f>
        <v>#REF!</v>
      </c>
      <c r="E948" s="114" t="e">
        <f>Simulações!#REF!</f>
        <v>#REF!</v>
      </c>
      <c r="F948" s="114" t="e">
        <f>Simulações!#REF!</f>
        <v>#REF!</v>
      </c>
      <c r="G948" s="114" t="e">
        <f>Simulações!#REF!</f>
        <v>#REF!</v>
      </c>
      <c r="H948" s="114" t="e">
        <f>Simulações!#REF!</f>
        <v>#REF!</v>
      </c>
      <c r="I948" s="114" t="e">
        <f>IF(Simulações!#REF!="","",Simulações!#REF!)</f>
        <v>#REF!</v>
      </c>
      <c r="J948" s="114" t="e">
        <f>IF(Simulações!#REF!="","",Simulações!#REF!)</f>
        <v>#REF!</v>
      </c>
      <c r="K948" s="117" t="e">
        <f>Simulações!#REF!</f>
        <v>#REF!</v>
      </c>
      <c r="L948" s="117" t="e">
        <f>Simulações!#REF!</f>
        <v>#REF!</v>
      </c>
      <c r="M948" s="114" t="e">
        <f>IF(Simulações!#REF!="","",Simulações!#REF!)</f>
        <v>#REF!</v>
      </c>
      <c r="N948" s="114" t="e">
        <f>IF(Simulações!#REF!="","",Simulações!#REF!)</f>
        <v>#REF!</v>
      </c>
      <c r="O948" s="114">
        <v>1</v>
      </c>
    </row>
    <row r="949" spans="1:15" ht="15.75" hidden="1" customHeight="1" x14ac:dyDescent="0.3">
      <c r="A949" s="124" t="e">
        <f>Simulações!#REF!</f>
        <v>#REF!</v>
      </c>
      <c r="B949" s="114" t="e">
        <f>Simulações!#REF!</f>
        <v>#REF!</v>
      </c>
      <c r="C949" s="125" t="e">
        <f>Simulações!#REF!</f>
        <v>#REF!</v>
      </c>
      <c r="D949" s="114" t="e">
        <f>Simulações!#REF!</f>
        <v>#REF!</v>
      </c>
      <c r="E949" s="114" t="e">
        <f>Simulações!#REF!</f>
        <v>#REF!</v>
      </c>
      <c r="F949" s="114" t="e">
        <f>Simulações!#REF!</f>
        <v>#REF!</v>
      </c>
      <c r="G949" s="114" t="e">
        <f>Simulações!#REF!</f>
        <v>#REF!</v>
      </c>
      <c r="H949" s="114" t="e">
        <f>Simulações!#REF!</f>
        <v>#REF!</v>
      </c>
      <c r="I949" s="114" t="e">
        <f>IF(Simulações!#REF!="","",Simulações!#REF!)</f>
        <v>#REF!</v>
      </c>
      <c r="J949" s="114" t="e">
        <f>IF(Simulações!#REF!="","",Simulações!#REF!)</f>
        <v>#REF!</v>
      </c>
      <c r="K949" s="117" t="e">
        <f>Simulações!#REF!</f>
        <v>#REF!</v>
      </c>
      <c r="L949" s="117" t="e">
        <f>Simulações!#REF!</f>
        <v>#REF!</v>
      </c>
      <c r="M949" s="114" t="e">
        <f>IF(Simulações!#REF!="","",Simulações!#REF!)</f>
        <v>#REF!</v>
      </c>
      <c r="N949" s="114" t="e">
        <f>IF(Simulações!#REF!="","",Simulações!#REF!)</f>
        <v>#REF!</v>
      </c>
      <c r="O949" s="114">
        <v>1</v>
      </c>
    </row>
    <row r="950" spans="1:15" ht="15.75" hidden="1" customHeight="1" x14ac:dyDescent="0.3">
      <c r="A950" s="124" t="e">
        <f>Simulações!#REF!</f>
        <v>#REF!</v>
      </c>
      <c r="B950" s="114" t="e">
        <f>Simulações!#REF!</f>
        <v>#REF!</v>
      </c>
      <c r="C950" s="125" t="e">
        <f>Simulações!#REF!</f>
        <v>#REF!</v>
      </c>
      <c r="D950" s="114" t="e">
        <f>Simulações!#REF!</f>
        <v>#REF!</v>
      </c>
      <c r="E950" s="114" t="e">
        <f>Simulações!#REF!</f>
        <v>#REF!</v>
      </c>
      <c r="F950" s="114" t="e">
        <f>Simulações!#REF!</f>
        <v>#REF!</v>
      </c>
      <c r="G950" s="114" t="e">
        <f>Simulações!#REF!</f>
        <v>#REF!</v>
      </c>
      <c r="H950" s="114" t="e">
        <f>Simulações!#REF!</f>
        <v>#REF!</v>
      </c>
      <c r="I950" s="114" t="e">
        <f>IF(Simulações!#REF!="","",Simulações!#REF!)</f>
        <v>#REF!</v>
      </c>
      <c r="J950" s="114" t="e">
        <f>IF(Simulações!#REF!="","",Simulações!#REF!)</f>
        <v>#REF!</v>
      </c>
      <c r="K950" s="117" t="e">
        <f>Simulações!#REF!</f>
        <v>#REF!</v>
      </c>
      <c r="L950" s="117" t="e">
        <f>Simulações!#REF!</f>
        <v>#REF!</v>
      </c>
      <c r="M950" s="114" t="e">
        <f>IF(Simulações!#REF!="","",Simulações!#REF!)</f>
        <v>#REF!</v>
      </c>
      <c r="N950" s="114" t="e">
        <f>IF(Simulações!#REF!="","",Simulações!#REF!)</f>
        <v>#REF!</v>
      </c>
      <c r="O950" s="114">
        <v>1</v>
      </c>
    </row>
    <row r="951" spans="1:15" ht="15.75" hidden="1" customHeight="1" x14ac:dyDescent="0.3">
      <c r="A951" s="124" t="e">
        <f>Simulações!#REF!</f>
        <v>#REF!</v>
      </c>
      <c r="B951" s="114" t="e">
        <f>Simulações!#REF!</f>
        <v>#REF!</v>
      </c>
      <c r="C951" s="125" t="e">
        <f>Simulações!#REF!</f>
        <v>#REF!</v>
      </c>
      <c r="D951" s="114" t="e">
        <f>Simulações!#REF!</f>
        <v>#REF!</v>
      </c>
      <c r="E951" s="114" t="e">
        <f>Simulações!#REF!</f>
        <v>#REF!</v>
      </c>
      <c r="F951" s="114" t="e">
        <f>Simulações!#REF!</f>
        <v>#REF!</v>
      </c>
      <c r="G951" s="114" t="e">
        <f>Simulações!#REF!</f>
        <v>#REF!</v>
      </c>
      <c r="H951" s="114" t="e">
        <f>Simulações!#REF!</f>
        <v>#REF!</v>
      </c>
      <c r="I951" s="114" t="e">
        <f>IF(Simulações!#REF!="","",Simulações!#REF!)</f>
        <v>#REF!</v>
      </c>
      <c r="J951" s="114" t="e">
        <f>IF(Simulações!#REF!="","",Simulações!#REF!)</f>
        <v>#REF!</v>
      </c>
      <c r="K951" s="117" t="e">
        <f>Simulações!#REF!</f>
        <v>#REF!</v>
      </c>
      <c r="L951" s="117" t="e">
        <f>Simulações!#REF!</f>
        <v>#REF!</v>
      </c>
      <c r="M951" s="114" t="e">
        <f>IF(Simulações!#REF!="","",Simulações!#REF!)</f>
        <v>#REF!</v>
      </c>
      <c r="N951" s="114" t="e">
        <f>IF(Simulações!#REF!="","",Simulações!#REF!)</f>
        <v>#REF!</v>
      </c>
      <c r="O951" s="114">
        <v>1</v>
      </c>
    </row>
    <row r="952" spans="1:15" ht="15.75" hidden="1" customHeight="1" x14ac:dyDescent="0.3">
      <c r="A952" s="124" t="e">
        <f>Simulações!#REF!</f>
        <v>#REF!</v>
      </c>
      <c r="B952" s="114" t="e">
        <f>Simulações!#REF!</f>
        <v>#REF!</v>
      </c>
      <c r="C952" s="125" t="e">
        <f>Simulações!#REF!</f>
        <v>#REF!</v>
      </c>
      <c r="D952" s="114" t="e">
        <f>Simulações!#REF!</f>
        <v>#REF!</v>
      </c>
      <c r="E952" s="114" t="e">
        <f>Simulações!#REF!</f>
        <v>#REF!</v>
      </c>
      <c r="F952" s="114" t="e">
        <f>Simulações!#REF!</f>
        <v>#REF!</v>
      </c>
      <c r="G952" s="114" t="e">
        <f>Simulações!#REF!</f>
        <v>#REF!</v>
      </c>
      <c r="H952" s="114" t="e">
        <f>Simulações!#REF!</f>
        <v>#REF!</v>
      </c>
      <c r="I952" s="114" t="e">
        <f>IF(Simulações!#REF!="","",Simulações!#REF!)</f>
        <v>#REF!</v>
      </c>
      <c r="J952" s="114" t="e">
        <f>IF(Simulações!#REF!="","",Simulações!#REF!)</f>
        <v>#REF!</v>
      </c>
      <c r="K952" s="117" t="e">
        <f>Simulações!#REF!</f>
        <v>#REF!</v>
      </c>
      <c r="L952" s="117" t="e">
        <f>Simulações!#REF!</f>
        <v>#REF!</v>
      </c>
      <c r="M952" s="114" t="e">
        <f>IF(Simulações!#REF!="","",Simulações!#REF!)</f>
        <v>#REF!</v>
      </c>
      <c r="N952" s="114" t="e">
        <f>IF(Simulações!#REF!="","",Simulações!#REF!)</f>
        <v>#REF!</v>
      </c>
      <c r="O952" s="114">
        <v>1</v>
      </c>
    </row>
    <row r="953" spans="1:15" ht="15.75" hidden="1" customHeight="1" x14ac:dyDescent="0.3">
      <c r="A953" s="124" t="e">
        <f>Simulações!#REF!</f>
        <v>#REF!</v>
      </c>
      <c r="B953" s="114" t="e">
        <f>Simulações!#REF!</f>
        <v>#REF!</v>
      </c>
      <c r="C953" s="125" t="e">
        <f>Simulações!#REF!</f>
        <v>#REF!</v>
      </c>
      <c r="D953" s="114" t="e">
        <f>Simulações!#REF!</f>
        <v>#REF!</v>
      </c>
      <c r="E953" s="114" t="e">
        <f>Simulações!#REF!</f>
        <v>#REF!</v>
      </c>
      <c r="F953" s="114" t="e">
        <f>Simulações!#REF!</f>
        <v>#REF!</v>
      </c>
      <c r="G953" s="114" t="e">
        <f>Simulações!#REF!</f>
        <v>#REF!</v>
      </c>
      <c r="H953" s="114" t="e">
        <f>Simulações!#REF!</f>
        <v>#REF!</v>
      </c>
      <c r="I953" s="114" t="e">
        <f>IF(Simulações!#REF!="","",Simulações!#REF!)</f>
        <v>#REF!</v>
      </c>
      <c r="J953" s="114" t="e">
        <f>IF(Simulações!#REF!="","",Simulações!#REF!)</f>
        <v>#REF!</v>
      </c>
      <c r="K953" s="117" t="e">
        <f>Simulações!#REF!</f>
        <v>#REF!</v>
      </c>
      <c r="L953" s="117" t="e">
        <f>Simulações!#REF!</f>
        <v>#REF!</v>
      </c>
      <c r="M953" s="114" t="e">
        <f>IF(Simulações!#REF!="","",Simulações!#REF!)</f>
        <v>#REF!</v>
      </c>
      <c r="N953" s="114" t="e">
        <f>IF(Simulações!#REF!="","",Simulações!#REF!)</f>
        <v>#REF!</v>
      </c>
      <c r="O953" s="114">
        <v>1</v>
      </c>
    </row>
    <row r="954" spans="1:15" ht="15.75" hidden="1" customHeight="1" x14ac:dyDescent="0.3">
      <c r="A954" s="124" t="e">
        <f>Simulações!#REF!</f>
        <v>#REF!</v>
      </c>
      <c r="B954" s="114" t="e">
        <f>Simulações!#REF!</f>
        <v>#REF!</v>
      </c>
      <c r="C954" s="125" t="e">
        <f>Simulações!#REF!</f>
        <v>#REF!</v>
      </c>
      <c r="D954" s="114" t="e">
        <f>Simulações!#REF!</f>
        <v>#REF!</v>
      </c>
      <c r="E954" s="114" t="e">
        <f>Simulações!#REF!</f>
        <v>#REF!</v>
      </c>
      <c r="F954" s="114" t="e">
        <f>Simulações!#REF!</f>
        <v>#REF!</v>
      </c>
      <c r="G954" s="114" t="e">
        <f>Simulações!#REF!</f>
        <v>#REF!</v>
      </c>
      <c r="H954" s="114" t="e">
        <f>Simulações!#REF!</f>
        <v>#REF!</v>
      </c>
      <c r="I954" s="114" t="e">
        <f>IF(Simulações!#REF!="","",Simulações!#REF!)</f>
        <v>#REF!</v>
      </c>
      <c r="J954" s="114" t="e">
        <f>IF(Simulações!#REF!="","",Simulações!#REF!)</f>
        <v>#REF!</v>
      </c>
      <c r="K954" s="117" t="e">
        <f>Simulações!#REF!</f>
        <v>#REF!</v>
      </c>
      <c r="L954" s="117" t="e">
        <f>Simulações!#REF!</f>
        <v>#REF!</v>
      </c>
      <c r="M954" s="114" t="e">
        <f>IF(Simulações!#REF!="","",Simulações!#REF!)</f>
        <v>#REF!</v>
      </c>
      <c r="N954" s="114" t="e">
        <f>IF(Simulações!#REF!="","",Simulações!#REF!)</f>
        <v>#REF!</v>
      </c>
      <c r="O954" s="114">
        <v>1</v>
      </c>
    </row>
    <row r="955" spans="1:15" ht="15.75" hidden="1" customHeight="1" x14ac:dyDescent="0.3">
      <c r="A955" s="124" t="e">
        <f>Simulações!#REF!</f>
        <v>#REF!</v>
      </c>
      <c r="B955" s="114" t="e">
        <f>Simulações!#REF!</f>
        <v>#REF!</v>
      </c>
      <c r="C955" s="125" t="e">
        <f>Simulações!#REF!</f>
        <v>#REF!</v>
      </c>
      <c r="D955" s="114" t="e">
        <f>Simulações!#REF!</f>
        <v>#REF!</v>
      </c>
      <c r="E955" s="114" t="e">
        <f>Simulações!#REF!</f>
        <v>#REF!</v>
      </c>
      <c r="F955" s="114" t="e">
        <f>Simulações!#REF!</f>
        <v>#REF!</v>
      </c>
      <c r="G955" s="114" t="e">
        <f>Simulações!#REF!</f>
        <v>#REF!</v>
      </c>
      <c r="H955" s="114" t="e">
        <f>Simulações!#REF!</f>
        <v>#REF!</v>
      </c>
      <c r="I955" s="114" t="e">
        <f>IF(Simulações!#REF!="","",Simulações!#REF!)</f>
        <v>#REF!</v>
      </c>
      <c r="J955" s="114" t="e">
        <f>IF(Simulações!#REF!="","",Simulações!#REF!)</f>
        <v>#REF!</v>
      </c>
      <c r="K955" s="117" t="e">
        <f>Simulações!#REF!</f>
        <v>#REF!</v>
      </c>
      <c r="L955" s="117" t="e">
        <f>Simulações!#REF!</f>
        <v>#REF!</v>
      </c>
      <c r="M955" s="114" t="e">
        <f>IF(Simulações!#REF!="","",Simulações!#REF!)</f>
        <v>#REF!</v>
      </c>
      <c r="N955" s="114" t="e">
        <f>IF(Simulações!#REF!="","",Simulações!#REF!)</f>
        <v>#REF!</v>
      </c>
      <c r="O955" s="114">
        <v>1</v>
      </c>
    </row>
    <row r="956" spans="1:15" ht="15.75" hidden="1" customHeight="1" x14ac:dyDescent="0.3">
      <c r="A956" s="124" t="e">
        <f>Simulações!#REF!</f>
        <v>#REF!</v>
      </c>
      <c r="B956" s="114" t="e">
        <f>Simulações!#REF!</f>
        <v>#REF!</v>
      </c>
      <c r="C956" s="125" t="e">
        <f>Simulações!#REF!</f>
        <v>#REF!</v>
      </c>
      <c r="D956" s="114" t="e">
        <f>Simulações!#REF!</f>
        <v>#REF!</v>
      </c>
      <c r="E956" s="114" t="e">
        <f>Simulações!#REF!</f>
        <v>#REF!</v>
      </c>
      <c r="F956" s="114" t="e">
        <f>Simulações!#REF!</f>
        <v>#REF!</v>
      </c>
      <c r="G956" s="114" t="e">
        <f>Simulações!#REF!</f>
        <v>#REF!</v>
      </c>
      <c r="H956" s="114" t="e">
        <f>Simulações!#REF!</f>
        <v>#REF!</v>
      </c>
      <c r="I956" s="114" t="e">
        <f>IF(Simulações!#REF!="","",Simulações!#REF!)</f>
        <v>#REF!</v>
      </c>
      <c r="J956" s="114" t="e">
        <f>IF(Simulações!#REF!="","",Simulações!#REF!)</f>
        <v>#REF!</v>
      </c>
      <c r="K956" s="117" t="e">
        <f>Simulações!#REF!</f>
        <v>#REF!</v>
      </c>
      <c r="L956" s="117" t="e">
        <f>Simulações!#REF!</f>
        <v>#REF!</v>
      </c>
      <c r="M956" s="114" t="e">
        <f>IF(Simulações!#REF!="","",Simulações!#REF!)</f>
        <v>#REF!</v>
      </c>
      <c r="N956" s="114" t="e">
        <f>IF(Simulações!#REF!="","",Simulações!#REF!)</f>
        <v>#REF!</v>
      </c>
      <c r="O956" s="114">
        <v>1</v>
      </c>
    </row>
    <row r="957" spans="1:15" ht="15.75" hidden="1" customHeight="1" x14ac:dyDescent="0.3">
      <c r="A957" s="124" t="e">
        <f>Simulações!#REF!</f>
        <v>#REF!</v>
      </c>
      <c r="B957" s="114" t="e">
        <f>Simulações!#REF!</f>
        <v>#REF!</v>
      </c>
      <c r="C957" s="125" t="e">
        <f>Simulações!#REF!</f>
        <v>#REF!</v>
      </c>
      <c r="D957" s="114" t="e">
        <f>Simulações!#REF!</f>
        <v>#REF!</v>
      </c>
      <c r="E957" s="114" t="e">
        <f>Simulações!#REF!</f>
        <v>#REF!</v>
      </c>
      <c r="F957" s="114" t="e">
        <f>Simulações!#REF!</f>
        <v>#REF!</v>
      </c>
      <c r="G957" s="114" t="e">
        <f>Simulações!#REF!</f>
        <v>#REF!</v>
      </c>
      <c r="H957" s="114" t="e">
        <f>Simulações!#REF!</f>
        <v>#REF!</v>
      </c>
      <c r="I957" s="114" t="e">
        <f>IF(Simulações!#REF!="","",Simulações!#REF!)</f>
        <v>#REF!</v>
      </c>
      <c r="J957" s="114" t="e">
        <f>IF(Simulações!#REF!="","",Simulações!#REF!)</f>
        <v>#REF!</v>
      </c>
      <c r="K957" s="117" t="e">
        <f>Simulações!#REF!</f>
        <v>#REF!</v>
      </c>
      <c r="L957" s="117" t="e">
        <f>Simulações!#REF!</f>
        <v>#REF!</v>
      </c>
      <c r="M957" s="114" t="e">
        <f>IF(Simulações!#REF!="","",Simulações!#REF!)</f>
        <v>#REF!</v>
      </c>
      <c r="N957" s="114" t="e">
        <f>IF(Simulações!#REF!="","",Simulações!#REF!)</f>
        <v>#REF!</v>
      </c>
      <c r="O957" s="114">
        <v>1</v>
      </c>
    </row>
    <row r="958" spans="1:15" ht="15.75" hidden="1" customHeight="1" x14ac:dyDescent="0.3">
      <c r="A958" s="124" t="e">
        <f>Simulações!#REF!</f>
        <v>#REF!</v>
      </c>
      <c r="B958" s="114" t="e">
        <f>Simulações!#REF!</f>
        <v>#REF!</v>
      </c>
      <c r="C958" s="125" t="e">
        <f>Simulações!#REF!</f>
        <v>#REF!</v>
      </c>
      <c r="D958" s="114" t="e">
        <f>Simulações!#REF!</f>
        <v>#REF!</v>
      </c>
      <c r="E958" s="114" t="e">
        <f>Simulações!#REF!</f>
        <v>#REF!</v>
      </c>
      <c r="F958" s="114" t="e">
        <f>Simulações!#REF!</f>
        <v>#REF!</v>
      </c>
      <c r="G958" s="114" t="e">
        <f>Simulações!#REF!</f>
        <v>#REF!</v>
      </c>
      <c r="H958" s="114" t="e">
        <f>Simulações!#REF!</f>
        <v>#REF!</v>
      </c>
      <c r="I958" s="114" t="e">
        <f>IF(Simulações!#REF!="","",Simulações!#REF!)</f>
        <v>#REF!</v>
      </c>
      <c r="J958" s="114" t="e">
        <f>IF(Simulações!#REF!="","",Simulações!#REF!)</f>
        <v>#REF!</v>
      </c>
      <c r="K958" s="117" t="e">
        <f>Simulações!#REF!</f>
        <v>#REF!</v>
      </c>
      <c r="L958" s="117" t="e">
        <f>Simulações!#REF!</f>
        <v>#REF!</v>
      </c>
      <c r="M958" s="114" t="e">
        <f>IF(Simulações!#REF!="","",Simulações!#REF!)</f>
        <v>#REF!</v>
      </c>
      <c r="N958" s="114" t="e">
        <f>IF(Simulações!#REF!="","",Simulações!#REF!)</f>
        <v>#REF!</v>
      </c>
      <c r="O958" s="114">
        <v>1</v>
      </c>
    </row>
    <row r="959" spans="1:15" ht="15.75" hidden="1" customHeight="1" x14ac:dyDescent="0.3">
      <c r="A959" s="124" t="e">
        <f>Simulações!#REF!</f>
        <v>#REF!</v>
      </c>
      <c r="B959" s="114" t="e">
        <f>Simulações!#REF!</f>
        <v>#REF!</v>
      </c>
      <c r="C959" s="125" t="e">
        <f>Simulações!#REF!</f>
        <v>#REF!</v>
      </c>
      <c r="D959" s="114" t="e">
        <f>Simulações!#REF!</f>
        <v>#REF!</v>
      </c>
      <c r="E959" s="114" t="e">
        <f>Simulações!#REF!</f>
        <v>#REF!</v>
      </c>
      <c r="F959" s="114" t="e">
        <f>Simulações!#REF!</f>
        <v>#REF!</v>
      </c>
      <c r="G959" s="114" t="e">
        <f>Simulações!#REF!</f>
        <v>#REF!</v>
      </c>
      <c r="H959" s="114" t="e">
        <f>Simulações!#REF!</f>
        <v>#REF!</v>
      </c>
      <c r="I959" s="114" t="e">
        <f>IF(Simulações!#REF!="","",Simulações!#REF!)</f>
        <v>#REF!</v>
      </c>
      <c r="J959" s="114" t="e">
        <f>IF(Simulações!#REF!="","",Simulações!#REF!)</f>
        <v>#REF!</v>
      </c>
      <c r="K959" s="117" t="e">
        <f>Simulações!#REF!</f>
        <v>#REF!</v>
      </c>
      <c r="L959" s="117" t="e">
        <f>Simulações!#REF!</f>
        <v>#REF!</v>
      </c>
      <c r="M959" s="114" t="e">
        <f>IF(Simulações!#REF!="","",Simulações!#REF!)</f>
        <v>#REF!</v>
      </c>
      <c r="N959" s="114" t="e">
        <f>IF(Simulações!#REF!="","",Simulações!#REF!)</f>
        <v>#REF!</v>
      </c>
      <c r="O959" s="114">
        <v>1</v>
      </c>
    </row>
    <row r="960" spans="1:15" ht="15.75" hidden="1" customHeight="1" x14ac:dyDescent="0.3">
      <c r="A960" s="124" t="e">
        <f>Simulações!#REF!</f>
        <v>#REF!</v>
      </c>
      <c r="B960" s="114" t="e">
        <f>Simulações!#REF!</f>
        <v>#REF!</v>
      </c>
      <c r="C960" s="125" t="e">
        <f>Simulações!#REF!</f>
        <v>#REF!</v>
      </c>
      <c r="D960" s="114" t="e">
        <f>Simulações!#REF!</f>
        <v>#REF!</v>
      </c>
      <c r="E960" s="114" t="e">
        <f>Simulações!#REF!</f>
        <v>#REF!</v>
      </c>
      <c r="F960" s="114" t="e">
        <f>Simulações!#REF!</f>
        <v>#REF!</v>
      </c>
      <c r="G960" s="114" t="e">
        <f>Simulações!#REF!</f>
        <v>#REF!</v>
      </c>
      <c r="H960" s="114" t="e">
        <f>Simulações!#REF!</f>
        <v>#REF!</v>
      </c>
      <c r="I960" s="114" t="e">
        <f>IF(Simulações!#REF!="","",Simulações!#REF!)</f>
        <v>#REF!</v>
      </c>
      <c r="J960" s="114" t="e">
        <f>IF(Simulações!#REF!="","",Simulações!#REF!)</f>
        <v>#REF!</v>
      </c>
      <c r="K960" s="117" t="e">
        <f>Simulações!#REF!</f>
        <v>#REF!</v>
      </c>
      <c r="L960" s="117" t="e">
        <f>Simulações!#REF!</f>
        <v>#REF!</v>
      </c>
      <c r="M960" s="114" t="e">
        <f>IF(Simulações!#REF!="","",Simulações!#REF!)</f>
        <v>#REF!</v>
      </c>
      <c r="N960" s="114" t="e">
        <f>IF(Simulações!#REF!="","",Simulações!#REF!)</f>
        <v>#REF!</v>
      </c>
      <c r="O960" s="114">
        <v>1</v>
      </c>
    </row>
    <row r="961" spans="1:15" ht="15.75" hidden="1" customHeight="1" x14ac:dyDescent="0.3">
      <c r="A961" s="124" t="e">
        <f>Simulações!#REF!</f>
        <v>#REF!</v>
      </c>
      <c r="B961" s="114" t="e">
        <f>Simulações!#REF!</f>
        <v>#REF!</v>
      </c>
      <c r="C961" s="125" t="e">
        <f>Simulações!#REF!</f>
        <v>#REF!</v>
      </c>
      <c r="D961" s="114" t="e">
        <f>Simulações!#REF!</f>
        <v>#REF!</v>
      </c>
      <c r="E961" s="114" t="e">
        <f>Simulações!#REF!</f>
        <v>#REF!</v>
      </c>
      <c r="F961" s="114" t="e">
        <f>Simulações!#REF!</f>
        <v>#REF!</v>
      </c>
      <c r="G961" s="114" t="e">
        <f>Simulações!#REF!</f>
        <v>#REF!</v>
      </c>
      <c r="H961" s="114" t="e">
        <f>Simulações!#REF!</f>
        <v>#REF!</v>
      </c>
      <c r="I961" s="114" t="e">
        <f>IF(Simulações!#REF!="","",Simulações!#REF!)</f>
        <v>#REF!</v>
      </c>
      <c r="J961" s="114" t="e">
        <f>IF(Simulações!#REF!="","",Simulações!#REF!)</f>
        <v>#REF!</v>
      </c>
      <c r="K961" s="117" t="e">
        <f>Simulações!#REF!</f>
        <v>#REF!</v>
      </c>
      <c r="L961" s="117" t="e">
        <f>Simulações!#REF!</f>
        <v>#REF!</v>
      </c>
      <c r="M961" s="114" t="e">
        <f>IF(Simulações!#REF!="","",Simulações!#REF!)</f>
        <v>#REF!</v>
      </c>
      <c r="N961" s="114" t="e">
        <f>IF(Simulações!#REF!="","",Simulações!#REF!)</f>
        <v>#REF!</v>
      </c>
      <c r="O961" s="114">
        <v>1</v>
      </c>
    </row>
    <row r="962" spans="1:15" ht="15.75" hidden="1" customHeight="1" x14ac:dyDescent="0.3">
      <c r="A962" s="124" t="e">
        <f>Simulações!#REF!</f>
        <v>#REF!</v>
      </c>
      <c r="B962" s="114" t="e">
        <f>Simulações!#REF!</f>
        <v>#REF!</v>
      </c>
      <c r="C962" s="125" t="e">
        <f>Simulações!#REF!</f>
        <v>#REF!</v>
      </c>
      <c r="D962" s="114" t="e">
        <f>Simulações!#REF!</f>
        <v>#REF!</v>
      </c>
      <c r="E962" s="114" t="e">
        <f>Simulações!#REF!</f>
        <v>#REF!</v>
      </c>
      <c r="F962" s="114" t="e">
        <f>Simulações!#REF!</f>
        <v>#REF!</v>
      </c>
      <c r="G962" s="114" t="e">
        <f>Simulações!#REF!</f>
        <v>#REF!</v>
      </c>
      <c r="H962" s="114" t="e">
        <f>Simulações!#REF!</f>
        <v>#REF!</v>
      </c>
      <c r="I962" s="114" t="e">
        <f>IF(Simulações!#REF!="","",Simulações!#REF!)</f>
        <v>#REF!</v>
      </c>
      <c r="J962" s="114" t="e">
        <f>IF(Simulações!#REF!="","",Simulações!#REF!)</f>
        <v>#REF!</v>
      </c>
      <c r="K962" s="117" t="e">
        <f>Simulações!#REF!</f>
        <v>#REF!</v>
      </c>
      <c r="L962" s="117" t="e">
        <f>Simulações!#REF!</f>
        <v>#REF!</v>
      </c>
      <c r="M962" s="114" t="e">
        <f>IF(Simulações!#REF!="","",Simulações!#REF!)</f>
        <v>#REF!</v>
      </c>
      <c r="N962" s="114" t="e">
        <f>IF(Simulações!#REF!="","",Simulações!#REF!)</f>
        <v>#REF!</v>
      </c>
      <c r="O962" s="114">
        <v>1</v>
      </c>
    </row>
    <row r="963" spans="1:15" ht="15.75" hidden="1" customHeight="1" x14ac:dyDescent="0.3">
      <c r="A963" s="124" t="e">
        <f>Simulações!#REF!</f>
        <v>#REF!</v>
      </c>
      <c r="B963" s="114" t="e">
        <f>Simulações!#REF!</f>
        <v>#REF!</v>
      </c>
      <c r="C963" s="125" t="e">
        <f>Simulações!#REF!</f>
        <v>#REF!</v>
      </c>
      <c r="D963" s="114" t="e">
        <f>Simulações!#REF!</f>
        <v>#REF!</v>
      </c>
      <c r="E963" s="114" t="e">
        <f>Simulações!#REF!</f>
        <v>#REF!</v>
      </c>
      <c r="F963" s="114" t="e">
        <f>Simulações!#REF!</f>
        <v>#REF!</v>
      </c>
      <c r="G963" s="114" t="e">
        <f>Simulações!#REF!</f>
        <v>#REF!</v>
      </c>
      <c r="H963" s="114" t="e">
        <f>Simulações!#REF!</f>
        <v>#REF!</v>
      </c>
      <c r="I963" s="114" t="e">
        <f>IF(Simulações!#REF!="","",Simulações!#REF!)</f>
        <v>#REF!</v>
      </c>
      <c r="J963" s="114" t="e">
        <f>IF(Simulações!#REF!="","",Simulações!#REF!)</f>
        <v>#REF!</v>
      </c>
      <c r="K963" s="117" t="e">
        <f>Simulações!#REF!</f>
        <v>#REF!</v>
      </c>
      <c r="L963" s="117" t="e">
        <f>Simulações!#REF!</f>
        <v>#REF!</v>
      </c>
      <c r="M963" s="114" t="e">
        <f>IF(Simulações!#REF!="","",Simulações!#REF!)</f>
        <v>#REF!</v>
      </c>
      <c r="N963" s="114" t="e">
        <f>IF(Simulações!#REF!="","",Simulações!#REF!)</f>
        <v>#REF!</v>
      </c>
      <c r="O963" s="114">
        <v>1</v>
      </c>
    </row>
    <row r="964" spans="1:15" ht="15.75" hidden="1" customHeight="1" x14ac:dyDescent="0.3">
      <c r="A964" s="124" t="e">
        <f>Simulações!#REF!</f>
        <v>#REF!</v>
      </c>
      <c r="B964" s="114" t="e">
        <f>Simulações!#REF!</f>
        <v>#REF!</v>
      </c>
      <c r="C964" s="125" t="e">
        <f>Simulações!#REF!</f>
        <v>#REF!</v>
      </c>
      <c r="D964" s="114" t="e">
        <f>Simulações!#REF!</f>
        <v>#REF!</v>
      </c>
      <c r="E964" s="114" t="e">
        <f>Simulações!#REF!</f>
        <v>#REF!</v>
      </c>
      <c r="F964" s="114" t="e">
        <f>Simulações!#REF!</f>
        <v>#REF!</v>
      </c>
      <c r="G964" s="114" t="e">
        <f>Simulações!#REF!</f>
        <v>#REF!</v>
      </c>
      <c r="H964" s="114" t="e">
        <f>Simulações!#REF!</f>
        <v>#REF!</v>
      </c>
      <c r="I964" s="114" t="e">
        <f>IF(Simulações!#REF!="","",Simulações!#REF!)</f>
        <v>#REF!</v>
      </c>
      <c r="J964" s="114" t="e">
        <f>IF(Simulações!#REF!="","",Simulações!#REF!)</f>
        <v>#REF!</v>
      </c>
      <c r="K964" s="117" t="e">
        <f>Simulações!#REF!</f>
        <v>#REF!</v>
      </c>
      <c r="L964" s="117" t="e">
        <f>Simulações!#REF!</f>
        <v>#REF!</v>
      </c>
      <c r="M964" s="114" t="e">
        <f>IF(Simulações!#REF!="","",Simulações!#REF!)</f>
        <v>#REF!</v>
      </c>
      <c r="N964" s="114" t="e">
        <f>IF(Simulações!#REF!="","",Simulações!#REF!)</f>
        <v>#REF!</v>
      </c>
      <c r="O964" s="114">
        <v>1</v>
      </c>
    </row>
    <row r="965" spans="1:15" ht="15.75" customHeight="1" x14ac:dyDescent="0.3">
      <c r="A965" s="124"/>
      <c r="B965" s="114"/>
      <c r="C965" s="125"/>
      <c r="D965" s="114"/>
      <c r="E965" s="114"/>
      <c r="F965" s="114"/>
      <c r="G965" s="114"/>
      <c r="H965" s="114"/>
      <c r="I965" s="114"/>
      <c r="J965" s="114"/>
      <c r="K965" s="117"/>
      <c r="L965" s="117"/>
      <c r="M965" s="114"/>
      <c r="N965" s="114"/>
      <c r="O965" s="114"/>
    </row>
    <row r="966" spans="1:15" ht="15.75" customHeight="1" x14ac:dyDescent="0.3">
      <c r="A966" s="124"/>
      <c r="B966" s="114"/>
      <c r="C966" s="125"/>
      <c r="D966" s="114"/>
      <c r="E966" s="114"/>
      <c r="F966" s="114"/>
      <c r="G966" s="114"/>
      <c r="H966" s="114"/>
      <c r="I966" s="114"/>
      <c r="J966" s="114"/>
      <c r="K966" s="117"/>
      <c r="L966" s="117"/>
      <c r="M966" s="114"/>
      <c r="N966" s="114"/>
      <c r="O966" s="114"/>
    </row>
    <row r="967" spans="1:15" ht="15.75" customHeight="1" x14ac:dyDescent="0.3">
      <c r="A967" s="124"/>
      <c r="B967" s="114"/>
      <c r="C967" s="125"/>
      <c r="D967" s="114"/>
      <c r="E967" s="114"/>
      <c r="F967" s="114"/>
      <c r="G967" s="114"/>
      <c r="H967" s="114"/>
      <c r="I967" s="114"/>
      <c r="J967" s="114"/>
      <c r="K967" s="117"/>
      <c r="L967" s="117"/>
      <c r="M967" s="114"/>
      <c r="N967" s="114"/>
      <c r="O967" s="114"/>
    </row>
    <row r="968" spans="1:15" ht="15.75" customHeight="1" x14ac:dyDescent="0.3">
      <c r="A968" s="124"/>
      <c r="B968" s="114"/>
      <c r="C968" s="125"/>
      <c r="D968" s="114"/>
      <c r="E968" s="114"/>
      <c r="F968" s="114"/>
      <c r="G968" s="114"/>
      <c r="H968" s="114"/>
      <c r="I968" s="114"/>
      <c r="J968" s="114"/>
      <c r="K968" s="117"/>
      <c r="L968" s="117"/>
      <c r="M968" s="114"/>
      <c r="N968" s="114"/>
      <c r="O968" s="114"/>
    </row>
    <row r="969" spans="1:15" ht="15.75" customHeight="1" x14ac:dyDescent="0.3">
      <c r="A969" s="124"/>
      <c r="B969" s="114"/>
      <c r="C969" s="125"/>
      <c r="D969" s="114"/>
      <c r="E969" s="114"/>
      <c r="F969" s="114"/>
      <c r="G969" s="114"/>
      <c r="H969" s="114"/>
      <c r="I969" s="114"/>
      <c r="J969" s="114"/>
      <c r="K969" s="117"/>
      <c r="L969" s="117"/>
      <c r="M969" s="114"/>
      <c r="N969" s="114"/>
      <c r="O969" s="114"/>
    </row>
    <row r="970" spans="1:15" ht="15.75" customHeight="1" x14ac:dyDescent="0.3">
      <c r="A970" s="124"/>
      <c r="B970" s="114"/>
      <c r="C970" s="125"/>
      <c r="D970" s="114"/>
      <c r="E970" s="114"/>
      <c r="F970" s="114"/>
      <c r="G970" s="114"/>
      <c r="H970" s="114"/>
      <c r="I970" s="114"/>
      <c r="J970" s="114"/>
      <c r="K970" s="117"/>
      <c r="L970" s="117"/>
      <c r="M970" s="114"/>
      <c r="N970" s="114"/>
      <c r="O970" s="114"/>
    </row>
    <row r="971" spans="1:15" ht="15.75" customHeight="1" x14ac:dyDescent="0.3">
      <c r="A971" s="124"/>
      <c r="B971" s="114"/>
      <c r="C971" s="125"/>
      <c r="D971" s="114"/>
      <c r="E971" s="114"/>
      <c r="F971" s="114"/>
      <c r="G971" s="114"/>
      <c r="H971" s="114"/>
      <c r="I971" s="114"/>
      <c r="J971" s="114"/>
      <c r="K971" s="117"/>
      <c r="L971" s="117"/>
      <c r="M971" s="114"/>
      <c r="N971" s="114"/>
      <c r="O971" s="114"/>
    </row>
    <row r="972" spans="1:15" ht="15.75" customHeight="1" x14ac:dyDescent="0.3">
      <c r="A972" s="124"/>
      <c r="B972" s="114"/>
      <c r="C972" s="125"/>
      <c r="D972" s="114"/>
      <c r="E972" s="114"/>
      <c r="F972" s="114"/>
      <c r="G972" s="114"/>
      <c r="H972" s="114"/>
      <c r="I972" s="114"/>
      <c r="J972" s="114"/>
      <c r="K972" s="117"/>
      <c r="L972" s="117"/>
      <c r="M972" s="114"/>
      <c r="N972" s="114"/>
      <c r="O972" s="114"/>
    </row>
    <row r="973" spans="1:15" ht="15.75" customHeight="1" x14ac:dyDescent="0.3">
      <c r="A973" s="124"/>
      <c r="B973" s="114"/>
      <c r="C973" s="125"/>
      <c r="D973" s="114"/>
      <c r="E973" s="114"/>
      <c r="F973" s="114"/>
      <c r="G973" s="114"/>
      <c r="H973" s="114"/>
      <c r="I973" s="114"/>
      <c r="J973" s="114"/>
      <c r="K973" s="117"/>
      <c r="L973" s="117"/>
      <c r="M973" s="114"/>
      <c r="N973" s="114"/>
      <c r="O973" s="114"/>
    </row>
    <row r="974" spans="1:15" ht="15.75" customHeight="1" x14ac:dyDescent="0.3">
      <c r="A974" s="124"/>
      <c r="B974" s="114"/>
      <c r="C974" s="125"/>
      <c r="D974" s="114"/>
      <c r="E974" s="114"/>
      <c r="F974" s="114"/>
      <c r="G974" s="114"/>
      <c r="H974" s="114"/>
      <c r="I974" s="114"/>
      <c r="J974" s="114"/>
      <c r="K974" s="117"/>
      <c r="L974" s="117"/>
      <c r="M974" s="114"/>
      <c r="N974" s="114"/>
      <c r="O974" s="114"/>
    </row>
    <row r="975" spans="1:15" ht="15.75" customHeight="1" x14ac:dyDescent="0.3">
      <c r="A975" s="124"/>
      <c r="B975" s="114"/>
      <c r="C975" s="125"/>
      <c r="D975" s="114"/>
      <c r="E975" s="114"/>
      <c r="F975" s="114"/>
      <c r="G975" s="114"/>
      <c r="H975" s="114"/>
      <c r="I975" s="114"/>
      <c r="J975" s="114"/>
      <c r="K975" s="117"/>
      <c r="L975" s="117"/>
      <c r="M975" s="114"/>
      <c r="N975" s="114"/>
      <c r="O975" s="114"/>
    </row>
    <row r="976" spans="1:15" ht="15.75" customHeight="1" x14ac:dyDescent="0.3">
      <c r="A976" s="124"/>
      <c r="B976" s="114"/>
      <c r="C976" s="125"/>
      <c r="D976" s="114"/>
      <c r="E976" s="114"/>
      <c r="F976" s="114"/>
      <c r="G976" s="114"/>
      <c r="H976" s="114"/>
      <c r="I976" s="114"/>
      <c r="J976" s="114"/>
      <c r="K976" s="117"/>
      <c r="L976" s="117"/>
      <c r="M976" s="114"/>
      <c r="N976" s="114"/>
      <c r="O976" s="114"/>
    </row>
    <row r="977" spans="1:15" ht="15.75" customHeight="1" x14ac:dyDescent="0.3">
      <c r="A977" s="124"/>
      <c r="B977" s="114"/>
      <c r="C977" s="125"/>
      <c r="D977" s="114"/>
      <c r="E977" s="114"/>
      <c r="F977" s="114"/>
      <c r="G977" s="114"/>
      <c r="H977" s="114"/>
      <c r="I977" s="114"/>
      <c r="J977" s="114"/>
      <c r="K977" s="117"/>
      <c r="L977" s="117"/>
      <c r="M977" s="114"/>
      <c r="N977" s="114"/>
      <c r="O977" s="114"/>
    </row>
    <row r="978" spans="1:15" ht="15.75" customHeight="1" x14ac:dyDescent="0.3">
      <c r="A978" s="124"/>
      <c r="B978" s="114"/>
      <c r="C978" s="125"/>
      <c r="D978" s="114"/>
      <c r="E978" s="114"/>
      <c r="F978" s="114"/>
      <c r="G978" s="114"/>
      <c r="H978" s="114"/>
      <c r="I978" s="114"/>
      <c r="J978" s="114"/>
      <c r="K978" s="117"/>
      <c r="L978" s="117"/>
      <c r="M978" s="114"/>
      <c r="N978" s="114"/>
      <c r="O978" s="114"/>
    </row>
    <row r="979" spans="1:15" ht="15.75" customHeight="1" x14ac:dyDescent="0.3">
      <c r="A979" s="124"/>
      <c r="B979" s="114"/>
      <c r="C979" s="125"/>
      <c r="D979" s="114"/>
      <c r="E979" s="114"/>
      <c r="F979" s="114"/>
      <c r="G979" s="114"/>
      <c r="H979" s="114"/>
      <c r="I979" s="114"/>
      <c r="J979" s="114"/>
      <c r="K979" s="117"/>
      <c r="L979" s="117"/>
      <c r="M979" s="114"/>
      <c r="N979" s="114"/>
      <c r="O979" s="114"/>
    </row>
    <row r="980" spans="1:15" ht="15.75" customHeight="1" x14ac:dyDescent="0.3">
      <c r="A980" s="124"/>
      <c r="B980" s="114"/>
      <c r="C980" s="125"/>
      <c r="D980" s="114"/>
      <c r="E980" s="114"/>
      <c r="F980" s="114"/>
      <c r="G980" s="114"/>
      <c r="H980" s="114"/>
      <c r="I980" s="114"/>
      <c r="J980" s="114"/>
      <c r="K980" s="117"/>
      <c r="L980" s="117"/>
      <c r="M980" s="114"/>
      <c r="N980" s="114"/>
      <c r="O980" s="114"/>
    </row>
    <row r="981" spans="1:15" ht="15.75" customHeight="1" x14ac:dyDescent="0.3">
      <c r="A981" s="124"/>
      <c r="B981" s="114"/>
      <c r="C981" s="125"/>
      <c r="D981" s="114"/>
      <c r="E981" s="114"/>
      <c r="F981" s="114"/>
      <c r="G981" s="114"/>
      <c r="H981" s="114"/>
      <c r="I981" s="114"/>
      <c r="J981" s="114"/>
      <c r="K981" s="117"/>
      <c r="L981" s="117"/>
      <c r="M981" s="114"/>
      <c r="N981" s="114"/>
      <c r="O981" s="114"/>
    </row>
    <row r="982" spans="1:15" ht="15.75" customHeight="1" x14ac:dyDescent="0.3">
      <c r="A982" s="124"/>
      <c r="B982" s="114"/>
      <c r="C982" s="125"/>
      <c r="D982" s="114"/>
      <c r="E982" s="114"/>
      <c r="F982" s="114"/>
      <c r="G982" s="114"/>
      <c r="H982" s="114"/>
      <c r="I982" s="114"/>
      <c r="J982" s="114"/>
      <c r="K982" s="117"/>
      <c r="L982" s="117"/>
      <c r="M982" s="114"/>
      <c r="N982" s="114"/>
      <c r="O982" s="114"/>
    </row>
    <row r="983" spans="1:15" ht="15.75" customHeight="1" x14ac:dyDescent="0.3">
      <c r="A983" s="124"/>
      <c r="B983" s="114"/>
      <c r="C983" s="125"/>
      <c r="D983" s="114"/>
      <c r="E983" s="114"/>
      <c r="F983" s="114"/>
      <c r="G983" s="114"/>
      <c r="H983" s="114"/>
      <c r="I983" s="114"/>
      <c r="J983" s="114"/>
      <c r="K983" s="117"/>
      <c r="L983" s="117"/>
      <c r="M983" s="114"/>
      <c r="N983" s="114"/>
      <c r="O983" s="114"/>
    </row>
    <row r="984" spans="1:15" ht="15.75" customHeight="1" x14ac:dyDescent="0.3">
      <c r="A984" s="124"/>
      <c r="B984" s="114"/>
      <c r="C984" s="125"/>
      <c r="D984" s="114"/>
      <c r="E984" s="114"/>
      <c r="F984" s="114"/>
      <c r="G984" s="114"/>
      <c r="H984" s="114"/>
      <c r="I984" s="114"/>
      <c r="J984" s="114"/>
      <c r="K984" s="117"/>
      <c r="L984" s="117"/>
      <c r="M984" s="114"/>
      <c r="N984" s="114"/>
      <c r="O984" s="114"/>
    </row>
    <row r="985" spans="1:15" ht="15.75" customHeight="1" x14ac:dyDescent="0.3">
      <c r="A985" s="124"/>
      <c r="B985" s="114"/>
      <c r="C985" s="125"/>
      <c r="D985" s="114"/>
      <c r="E985" s="114"/>
      <c r="F985" s="114"/>
      <c r="G985" s="114"/>
      <c r="H985" s="114"/>
      <c r="I985" s="114"/>
      <c r="J985" s="114"/>
      <c r="K985" s="117"/>
      <c r="L985" s="117"/>
      <c r="M985" s="114"/>
      <c r="N985" s="114"/>
      <c r="O985" s="114"/>
    </row>
    <row r="986" spans="1:15" ht="15.75" customHeight="1" x14ac:dyDescent="0.3">
      <c r="A986" s="124"/>
      <c r="B986" s="114"/>
      <c r="C986" s="125"/>
      <c r="D986" s="114"/>
      <c r="E986" s="114"/>
      <c r="F986" s="114"/>
      <c r="G986" s="114"/>
      <c r="H986" s="114"/>
      <c r="I986" s="114"/>
      <c r="J986" s="114"/>
      <c r="K986" s="117"/>
      <c r="L986" s="117"/>
      <c r="M986" s="114"/>
      <c r="N986" s="114"/>
      <c r="O986" s="114"/>
    </row>
    <row r="987" spans="1:15" ht="15.75" customHeight="1" x14ac:dyDescent="0.3">
      <c r="A987" s="124"/>
      <c r="B987" s="114"/>
      <c r="C987" s="125"/>
      <c r="D987" s="114"/>
      <c r="E987" s="114"/>
      <c r="F987" s="114"/>
      <c r="G987" s="114"/>
      <c r="H987" s="114"/>
      <c r="I987" s="114"/>
      <c r="J987" s="114"/>
      <c r="K987" s="117"/>
      <c r="L987" s="117"/>
      <c r="M987" s="114"/>
      <c r="N987" s="114"/>
      <c r="O987" s="114"/>
    </row>
    <row r="988" spans="1:15" ht="15.75" customHeight="1" x14ac:dyDescent="0.3">
      <c r="A988" s="124"/>
      <c r="B988" s="114"/>
      <c r="C988" s="125"/>
      <c r="D988" s="114"/>
      <c r="E988" s="114"/>
      <c r="F988" s="114"/>
      <c r="G988" s="114"/>
      <c r="H988" s="114"/>
      <c r="I988" s="114"/>
      <c r="J988" s="114"/>
      <c r="K988" s="117"/>
      <c r="L988" s="117"/>
      <c r="M988" s="114"/>
      <c r="N988" s="114"/>
      <c r="O988" s="114"/>
    </row>
    <row r="989" spans="1:15" ht="15.75" customHeight="1" x14ac:dyDescent="0.3">
      <c r="A989" s="124"/>
      <c r="B989" s="114"/>
      <c r="C989" s="125"/>
      <c r="D989" s="114"/>
      <c r="E989" s="114"/>
      <c r="F989" s="114"/>
      <c r="G989" s="114"/>
      <c r="H989" s="114"/>
      <c r="I989" s="114"/>
      <c r="J989" s="114"/>
      <c r="K989" s="117"/>
      <c r="L989" s="117"/>
      <c r="M989" s="114"/>
      <c r="N989" s="114"/>
      <c r="O989" s="114"/>
    </row>
    <row r="990" spans="1:15" ht="15.75" customHeight="1" x14ac:dyDescent="0.3">
      <c r="A990" s="124"/>
      <c r="B990" s="114"/>
      <c r="C990" s="125"/>
      <c r="D990" s="114"/>
      <c r="E990" s="114"/>
      <c r="F990" s="114"/>
      <c r="G990" s="114"/>
      <c r="H990" s="114"/>
      <c r="I990" s="114"/>
      <c r="J990" s="114"/>
      <c r="K990" s="117"/>
      <c r="L990" s="117"/>
      <c r="M990" s="114"/>
      <c r="N990" s="114"/>
      <c r="O990" s="114"/>
    </row>
    <row r="991" spans="1:15" ht="15.75" customHeight="1" x14ac:dyDescent="0.3">
      <c r="A991" s="124"/>
      <c r="B991" s="114"/>
      <c r="C991" s="125"/>
      <c r="D991" s="114"/>
      <c r="E991" s="114"/>
      <c r="F991" s="114"/>
      <c r="G991" s="114"/>
      <c r="H991" s="114"/>
      <c r="I991" s="114"/>
      <c r="J991" s="114"/>
      <c r="K991" s="117"/>
      <c r="L991" s="117"/>
      <c r="M991" s="114"/>
      <c r="N991" s="114"/>
      <c r="O991" s="114"/>
    </row>
    <row r="992" spans="1:15" ht="15.75" customHeight="1" x14ac:dyDescent="0.3">
      <c r="A992" s="124"/>
      <c r="B992" s="114"/>
      <c r="C992" s="125"/>
      <c r="D992" s="114"/>
      <c r="E992" s="114"/>
      <c r="F992" s="114"/>
      <c r="G992" s="114"/>
      <c r="H992" s="114"/>
      <c r="I992" s="114"/>
      <c r="J992" s="114"/>
      <c r="K992" s="117"/>
      <c r="L992" s="117"/>
      <c r="M992" s="114"/>
      <c r="N992" s="114"/>
      <c r="O992" s="114"/>
    </row>
    <row r="993" spans="1:15" ht="15.75" customHeight="1" x14ac:dyDescent="0.3">
      <c r="A993" s="124"/>
      <c r="B993" s="114"/>
      <c r="C993" s="125"/>
      <c r="D993" s="114"/>
      <c r="E993" s="114"/>
      <c r="F993" s="114"/>
      <c r="G993" s="114"/>
      <c r="H993" s="114"/>
      <c r="I993" s="114"/>
      <c r="J993" s="114"/>
      <c r="K993" s="117"/>
      <c r="L993" s="117"/>
      <c r="M993" s="114"/>
      <c r="N993" s="114"/>
      <c r="O993" s="114"/>
    </row>
    <row r="994" spans="1:15" ht="15.75" customHeight="1" x14ac:dyDescent="0.3">
      <c r="A994" s="124"/>
      <c r="B994" s="114"/>
      <c r="C994" s="125"/>
      <c r="D994" s="114"/>
      <c r="E994" s="114"/>
      <c r="F994" s="114"/>
      <c r="G994" s="114"/>
      <c r="H994" s="114"/>
      <c r="I994" s="114"/>
      <c r="J994" s="114"/>
      <c r="K994" s="117"/>
      <c r="L994" s="117"/>
      <c r="M994" s="114"/>
      <c r="N994" s="114"/>
      <c r="O994" s="114"/>
    </row>
    <row r="995" spans="1:15" ht="15.75" customHeight="1" x14ac:dyDescent="0.3">
      <c r="A995" s="124"/>
      <c r="B995" s="114"/>
      <c r="C995" s="125"/>
      <c r="D995" s="114"/>
      <c r="E995" s="114"/>
      <c r="F995" s="114"/>
      <c r="G995" s="114"/>
      <c r="H995" s="114"/>
      <c r="I995" s="114"/>
      <c r="J995" s="114"/>
      <c r="K995" s="117"/>
      <c r="L995" s="117"/>
      <c r="M995" s="114"/>
      <c r="N995" s="114"/>
      <c r="O995" s="114"/>
    </row>
    <row r="996" spans="1:15" ht="15.75" customHeight="1" x14ac:dyDescent="0.3">
      <c r="A996" s="124"/>
      <c r="B996" s="114"/>
      <c r="C996" s="125"/>
      <c r="D996" s="114"/>
      <c r="E996" s="114"/>
      <c r="F996" s="114"/>
      <c r="G996" s="114"/>
      <c r="H996" s="114"/>
      <c r="I996" s="114"/>
      <c r="J996" s="114"/>
      <c r="K996" s="117"/>
      <c r="L996" s="117"/>
      <c r="M996" s="114"/>
      <c r="N996" s="114"/>
      <c r="O996" s="114"/>
    </row>
    <row r="997" spans="1:15" ht="15.75" customHeight="1" x14ac:dyDescent="0.3">
      <c r="A997" s="124"/>
      <c r="B997" s="114"/>
      <c r="C997" s="125"/>
      <c r="D997" s="114"/>
      <c r="E997" s="114"/>
      <c r="F997" s="114"/>
      <c r="G997" s="114"/>
      <c r="H997" s="114"/>
      <c r="I997" s="114"/>
      <c r="J997" s="114"/>
      <c r="K997" s="117"/>
      <c r="L997" s="117"/>
      <c r="M997" s="114"/>
      <c r="N997" s="114"/>
      <c r="O997" s="114"/>
    </row>
    <row r="998" spans="1:15" ht="15.75" customHeight="1" x14ac:dyDescent="0.3">
      <c r="A998" s="124"/>
      <c r="B998" s="114"/>
      <c r="C998" s="125"/>
      <c r="D998" s="114"/>
      <c r="E998" s="114"/>
      <c r="F998" s="114"/>
      <c r="G998" s="114"/>
      <c r="H998" s="114"/>
      <c r="I998" s="114"/>
      <c r="J998" s="114"/>
      <c r="K998" s="117"/>
      <c r="L998" s="117"/>
      <c r="M998" s="114"/>
      <c r="N998" s="114"/>
      <c r="O998" s="114"/>
    </row>
    <row r="999" spans="1:15" ht="15.75" customHeight="1" x14ac:dyDescent="0.3">
      <c r="A999" s="124"/>
      <c r="B999" s="114"/>
      <c r="C999" s="125"/>
      <c r="D999" s="114"/>
      <c r="E999" s="114"/>
      <c r="F999" s="114"/>
      <c r="G999" s="114"/>
      <c r="H999" s="114"/>
      <c r="I999" s="114"/>
      <c r="J999" s="114"/>
      <c r="K999" s="117"/>
      <c r="L999" s="117"/>
      <c r="M999" s="114"/>
      <c r="N999" s="114"/>
      <c r="O999" s="114"/>
    </row>
    <row r="1000" spans="1:15" ht="15.75" customHeight="1" x14ac:dyDescent="0.3">
      <c r="A1000" s="124"/>
      <c r="B1000" s="114"/>
      <c r="C1000" s="125"/>
      <c r="D1000" s="114"/>
      <c r="E1000" s="114"/>
      <c r="F1000" s="114"/>
      <c r="G1000" s="114"/>
      <c r="H1000" s="114"/>
      <c r="I1000" s="114"/>
      <c r="J1000" s="114"/>
      <c r="K1000" s="117"/>
      <c r="L1000" s="117"/>
      <c r="M1000" s="114"/>
      <c r="N1000" s="114"/>
      <c r="O1000" s="114"/>
    </row>
    <row r="1001" spans="1:15" ht="15.75" customHeight="1" x14ac:dyDescent="0.3">
      <c r="A1001" s="124"/>
      <c r="B1001" s="114"/>
      <c r="C1001" s="125"/>
      <c r="D1001" s="114"/>
      <c r="E1001" s="114"/>
      <c r="F1001" s="114"/>
      <c r="G1001" s="114"/>
      <c r="H1001" s="114"/>
      <c r="I1001" s="114"/>
      <c r="J1001" s="114"/>
      <c r="K1001" s="117"/>
      <c r="L1001" s="117"/>
      <c r="M1001" s="114"/>
      <c r="N1001" s="114"/>
      <c r="O1001" s="114"/>
    </row>
    <row r="1002" spans="1:15" ht="15.75" customHeight="1" x14ac:dyDescent="0.3">
      <c r="A1002" s="124"/>
      <c r="B1002" s="114"/>
      <c r="C1002" s="125"/>
      <c r="D1002" s="114"/>
      <c r="E1002" s="114"/>
      <c r="F1002" s="114"/>
      <c r="G1002" s="114"/>
      <c r="H1002" s="114"/>
      <c r="I1002" s="114"/>
      <c r="J1002" s="114"/>
      <c r="K1002" s="117"/>
      <c r="L1002" s="117"/>
      <c r="M1002" s="114"/>
      <c r="N1002" s="114"/>
      <c r="O1002" s="114"/>
    </row>
    <row r="1003" spans="1:15" ht="15.75" customHeight="1" x14ac:dyDescent="0.3">
      <c r="A1003" s="124"/>
      <c r="B1003" s="114"/>
      <c r="C1003" s="125"/>
      <c r="D1003" s="114"/>
      <c r="E1003" s="114"/>
      <c r="F1003" s="114"/>
      <c r="G1003" s="114"/>
      <c r="H1003" s="114"/>
      <c r="I1003" s="114"/>
      <c r="J1003" s="114"/>
      <c r="K1003" s="117"/>
      <c r="L1003" s="117"/>
      <c r="M1003" s="114"/>
      <c r="N1003" s="114"/>
      <c r="O1003" s="114"/>
    </row>
    <row r="1004" spans="1:15" ht="15.75" customHeight="1" x14ac:dyDescent="0.3">
      <c r="A1004" s="124"/>
      <c r="B1004" s="114"/>
      <c r="C1004" s="125"/>
      <c r="D1004" s="114"/>
      <c r="E1004" s="114"/>
      <c r="F1004" s="114"/>
      <c r="G1004" s="114"/>
      <c r="H1004" s="114"/>
      <c r="I1004" s="114"/>
      <c r="J1004" s="114"/>
      <c r="K1004" s="117"/>
      <c r="L1004" s="117"/>
      <c r="M1004" s="114"/>
      <c r="N1004" s="114"/>
      <c r="O1004" s="114"/>
    </row>
    <row r="1005" spans="1:15" ht="15.75" customHeight="1" x14ac:dyDescent="0.3">
      <c r="A1005" s="124"/>
      <c r="B1005" s="114"/>
      <c r="C1005" s="125"/>
      <c r="D1005" s="114"/>
      <c r="E1005" s="114"/>
      <c r="F1005" s="114"/>
      <c r="G1005" s="114"/>
      <c r="H1005" s="114"/>
      <c r="I1005" s="114"/>
      <c r="J1005" s="114"/>
      <c r="K1005" s="117"/>
      <c r="L1005" s="117"/>
      <c r="M1005" s="114"/>
      <c r="N1005" s="114"/>
      <c r="O1005" s="114"/>
    </row>
    <row r="1006" spans="1:15" ht="15.75" customHeight="1" x14ac:dyDescent="0.3">
      <c r="A1006" s="124"/>
      <c r="B1006" s="114"/>
      <c r="C1006" s="125"/>
      <c r="D1006" s="114"/>
      <c r="E1006" s="114"/>
      <c r="F1006" s="114"/>
      <c r="G1006" s="114"/>
      <c r="H1006" s="114"/>
      <c r="I1006" s="114"/>
      <c r="J1006" s="114"/>
      <c r="K1006" s="117"/>
      <c r="L1006" s="117"/>
      <c r="M1006" s="114"/>
      <c r="N1006" s="114"/>
      <c r="O1006" s="114"/>
    </row>
    <row r="1007" spans="1:15" ht="15.75" customHeight="1" x14ac:dyDescent="0.3">
      <c r="A1007" s="124"/>
      <c r="B1007" s="114"/>
      <c r="C1007" s="125"/>
      <c r="D1007" s="114"/>
      <c r="E1007" s="114"/>
      <c r="F1007" s="114"/>
      <c r="G1007" s="114"/>
      <c r="H1007" s="114"/>
      <c r="I1007" s="114"/>
      <c r="J1007" s="114"/>
      <c r="K1007" s="117"/>
      <c r="L1007" s="117"/>
      <c r="M1007" s="114"/>
      <c r="N1007" s="114"/>
      <c r="O1007" s="114"/>
    </row>
    <row r="1008" spans="1:15" ht="15.75" customHeight="1" x14ac:dyDescent="0.3">
      <c r="A1008" s="124"/>
      <c r="B1008" s="114"/>
      <c r="C1008" s="125"/>
      <c r="D1008" s="114"/>
      <c r="E1008" s="114"/>
      <c r="F1008" s="114"/>
      <c r="G1008" s="114"/>
      <c r="H1008" s="114"/>
      <c r="I1008" s="114"/>
      <c r="J1008" s="114"/>
      <c r="K1008" s="117"/>
      <c r="L1008" s="117"/>
      <c r="M1008" s="114"/>
      <c r="N1008" s="114"/>
      <c r="O1008" s="114"/>
    </row>
    <row r="1009" spans="1:15" ht="15.75" customHeight="1" x14ac:dyDescent="0.3">
      <c r="A1009" s="124"/>
      <c r="B1009" s="114"/>
      <c r="C1009" s="125"/>
      <c r="D1009" s="114"/>
      <c r="E1009" s="114"/>
      <c r="F1009" s="114"/>
      <c r="G1009" s="114"/>
      <c r="H1009" s="114"/>
      <c r="I1009" s="114"/>
      <c r="J1009" s="114"/>
      <c r="K1009" s="117"/>
      <c r="L1009" s="117"/>
      <c r="M1009" s="114"/>
      <c r="N1009" s="114"/>
      <c r="O1009" s="114"/>
    </row>
    <row r="1010" spans="1:15" ht="15.75" customHeight="1" x14ac:dyDescent="0.3">
      <c r="A1010" s="124"/>
      <c r="B1010" s="114"/>
      <c r="C1010" s="125"/>
      <c r="D1010" s="114"/>
      <c r="E1010" s="114"/>
      <c r="F1010" s="114"/>
      <c r="G1010" s="114"/>
      <c r="H1010" s="114"/>
      <c r="I1010" s="114"/>
      <c r="J1010" s="114"/>
      <c r="K1010" s="117"/>
      <c r="L1010" s="117"/>
      <c r="M1010" s="114"/>
      <c r="N1010" s="114"/>
      <c r="O1010" s="114"/>
    </row>
    <row r="1011" spans="1:15" ht="15.75" customHeight="1" x14ac:dyDescent="0.3">
      <c r="A1011" s="124"/>
      <c r="B1011" s="114"/>
      <c r="C1011" s="125"/>
      <c r="D1011" s="114"/>
      <c r="E1011" s="114"/>
      <c r="F1011" s="114"/>
      <c r="G1011" s="114"/>
      <c r="H1011" s="114"/>
      <c r="I1011" s="114"/>
      <c r="J1011" s="114"/>
      <c r="K1011" s="117"/>
      <c r="L1011" s="117"/>
      <c r="M1011" s="114"/>
      <c r="N1011" s="114"/>
      <c r="O1011" s="114"/>
    </row>
    <row r="1012" spans="1:15" ht="15.75" customHeight="1" x14ac:dyDescent="0.3">
      <c r="A1012" s="124"/>
      <c r="B1012" s="114"/>
      <c r="C1012" s="125"/>
      <c r="D1012" s="114"/>
      <c r="E1012" s="114"/>
      <c r="F1012" s="114"/>
      <c r="G1012" s="114"/>
      <c r="H1012" s="114"/>
      <c r="I1012" s="114"/>
      <c r="J1012" s="114"/>
      <c r="K1012" s="117"/>
      <c r="L1012" s="117"/>
      <c r="M1012" s="114"/>
      <c r="N1012" s="114"/>
      <c r="O1012" s="114"/>
    </row>
    <row r="1013" spans="1:15" ht="15.75" customHeight="1" x14ac:dyDescent="0.3">
      <c r="A1013" s="124"/>
      <c r="B1013" s="114"/>
      <c r="C1013" s="125"/>
      <c r="D1013" s="114"/>
      <c r="E1013" s="114"/>
      <c r="F1013" s="114"/>
      <c r="G1013" s="114"/>
      <c r="H1013" s="114"/>
      <c r="I1013" s="114"/>
      <c r="J1013" s="114"/>
      <c r="K1013" s="117"/>
      <c r="L1013" s="117"/>
      <c r="M1013" s="114"/>
      <c r="N1013" s="114"/>
      <c r="O1013" s="114"/>
    </row>
    <row r="1014" spans="1:15" ht="15.75" customHeight="1" x14ac:dyDescent="0.3">
      <c r="A1014" s="124"/>
      <c r="B1014" s="114"/>
      <c r="C1014" s="125"/>
      <c r="D1014" s="114"/>
      <c r="E1014" s="114"/>
      <c r="F1014" s="114"/>
      <c r="G1014" s="114"/>
      <c r="H1014" s="114"/>
      <c r="I1014" s="114"/>
      <c r="J1014" s="114"/>
      <c r="K1014" s="117"/>
      <c r="L1014" s="117"/>
      <c r="M1014" s="114"/>
      <c r="N1014" s="114"/>
      <c r="O1014" s="114"/>
    </row>
    <row r="1015" spans="1:15" ht="15.75" customHeight="1" x14ac:dyDescent="0.3">
      <c r="A1015" s="124"/>
      <c r="B1015" s="114"/>
      <c r="C1015" s="125"/>
      <c r="D1015" s="114"/>
      <c r="E1015" s="114"/>
      <c r="F1015" s="114"/>
      <c r="G1015" s="114"/>
      <c r="H1015" s="114"/>
      <c r="I1015" s="114"/>
      <c r="J1015" s="114"/>
      <c r="K1015" s="117"/>
      <c r="L1015" s="117"/>
      <c r="M1015" s="114"/>
      <c r="N1015" s="114"/>
      <c r="O1015" s="114"/>
    </row>
    <row r="1016" spans="1:15" ht="15.75" customHeight="1" x14ac:dyDescent="0.3">
      <c r="A1016" s="124"/>
      <c r="B1016" s="114"/>
      <c r="C1016" s="125"/>
      <c r="D1016" s="114"/>
      <c r="E1016" s="114"/>
      <c r="F1016" s="114"/>
      <c r="G1016" s="114"/>
      <c r="H1016" s="114"/>
      <c r="I1016" s="114"/>
      <c r="J1016" s="114"/>
      <c r="K1016" s="117"/>
      <c r="L1016" s="117"/>
      <c r="M1016" s="114"/>
      <c r="N1016" s="114"/>
      <c r="O1016" s="114"/>
    </row>
    <row r="1017" spans="1:15" ht="15.75" customHeight="1" x14ac:dyDescent="0.3">
      <c r="A1017" s="124"/>
      <c r="B1017" s="114"/>
      <c r="C1017" s="125"/>
      <c r="D1017" s="114"/>
      <c r="E1017" s="114"/>
      <c r="F1017" s="114"/>
      <c r="G1017" s="114"/>
      <c r="H1017" s="114"/>
      <c r="I1017" s="114"/>
      <c r="J1017" s="114"/>
      <c r="K1017" s="117"/>
      <c r="L1017" s="117"/>
      <c r="M1017" s="114"/>
      <c r="N1017" s="114"/>
      <c r="O1017" s="114"/>
    </row>
    <row r="1018" spans="1:15" ht="15.75" customHeight="1" x14ac:dyDescent="0.3">
      <c r="A1018" s="124"/>
      <c r="B1018" s="114"/>
      <c r="C1018" s="125"/>
      <c r="D1018" s="114"/>
      <c r="E1018" s="114"/>
      <c r="F1018" s="114"/>
      <c r="G1018" s="114"/>
      <c r="H1018" s="114"/>
      <c r="I1018" s="114"/>
      <c r="J1018" s="114"/>
      <c r="K1018" s="117"/>
      <c r="L1018" s="117"/>
      <c r="M1018" s="114"/>
      <c r="N1018" s="114"/>
      <c r="O1018" s="114"/>
    </row>
    <row r="1019" spans="1:15" ht="15.75" customHeight="1" x14ac:dyDescent="0.3">
      <c r="A1019" s="124"/>
      <c r="B1019" s="114"/>
      <c r="C1019" s="125"/>
      <c r="D1019" s="114"/>
      <c r="E1019" s="114"/>
      <c r="F1019" s="114"/>
      <c r="G1019" s="114"/>
      <c r="H1019" s="114"/>
      <c r="I1019" s="114"/>
      <c r="J1019" s="114"/>
      <c r="K1019" s="117"/>
      <c r="L1019" s="117"/>
      <c r="M1019" s="114"/>
      <c r="N1019" s="114"/>
      <c r="O1019" s="114"/>
    </row>
    <row r="1020" spans="1:15" ht="15.75" customHeight="1" x14ac:dyDescent="0.3">
      <c r="A1020" s="124"/>
      <c r="B1020" s="114"/>
      <c r="C1020" s="125"/>
      <c r="D1020" s="114"/>
      <c r="E1020" s="114"/>
      <c r="F1020" s="114"/>
      <c r="G1020" s="114"/>
      <c r="H1020" s="114"/>
      <c r="I1020" s="114"/>
      <c r="J1020" s="114"/>
      <c r="K1020" s="117"/>
      <c r="L1020" s="117"/>
      <c r="M1020" s="114"/>
      <c r="N1020" s="114"/>
      <c r="O1020" s="114"/>
    </row>
    <row r="1021" spans="1:15" ht="15.75" customHeight="1" x14ac:dyDescent="0.3">
      <c r="A1021" s="124"/>
      <c r="B1021" s="114"/>
      <c r="C1021" s="125"/>
      <c r="D1021" s="114"/>
      <c r="E1021" s="114"/>
      <c r="F1021" s="114"/>
      <c r="G1021" s="114"/>
      <c r="H1021" s="114"/>
      <c r="I1021" s="114"/>
      <c r="J1021" s="114"/>
      <c r="K1021" s="117"/>
      <c r="L1021" s="117"/>
      <c r="M1021" s="114"/>
      <c r="N1021" s="114"/>
      <c r="O1021" s="114"/>
    </row>
    <row r="1022" spans="1:15" ht="15.75" customHeight="1" x14ac:dyDescent="0.3">
      <c r="A1022" s="124"/>
      <c r="B1022" s="114"/>
      <c r="C1022" s="125"/>
      <c r="D1022" s="114"/>
      <c r="E1022" s="114"/>
      <c r="F1022" s="114"/>
      <c r="G1022" s="114"/>
      <c r="H1022" s="114"/>
      <c r="I1022" s="114"/>
      <c r="J1022" s="114"/>
      <c r="K1022" s="117"/>
      <c r="L1022" s="117"/>
      <c r="M1022" s="114"/>
      <c r="N1022" s="114"/>
      <c r="O1022" s="114"/>
    </row>
    <row r="1023" spans="1:15" ht="15.75" customHeight="1" x14ac:dyDescent="0.3">
      <c r="A1023" s="124"/>
      <c r="B1023" s="114"/>
      <c r="C1023" s="125"/>
      <c r="D1023" s="114"/>
      <c r="E1023" s="114"/>
      <c r="F1023" s="114"/>
      <c r="G1023" s="114"/>
      <c r="H1023" s="114"/>
      <c r="I1023" s="114"/>
      <c r="J1023" s="114"/>
      <c r="K1023" s="117"/>
      <c r="L1023" s="117"/>
      <c r="M1023" s="114"/>
      <c r="N1023" s="114"/>
      <c r="O1023" s="114"/>
    </row>
    <row r="1024" spans="1:15" ht="15.75" customHeight="1" x14ac:dyDescent="0.3">
      <c r="A1024" s="124"/>
      <c r="B1024" s="114"/>
      <c r="C1024" s="125"/>
      <c r="D1024" s="114"/>
      <c r="E1024" s="114"/>
      <c r="F1024" s="114"/>
      <c r="G1024" s="114"/>
      <c r="H1024" s="114"/>
      <c r="I1024" s="114"/>
      <c r="J1024" s="114"/>
      <c r="K1024" s="117"/>
      <c r="L1024" s="117"/>
      <c r="M1024" s="114"/>
      <c r="N1024" s="114"/>
      <c r="O1024" s="114"/>
    </row>
    <row r="1025" spans="1:15" ht="15.75" customHeight="1" x14ac:dyDescent="0.3">
      <c r="A1025" s="124"/>
      <c r="B1025" s="114"/>
      <c r="C1025" s="125"/>
      <c r="D1025" s="114"/>
      <c r="E1025" s="114"/>
      <c r="F1025" s="114"/>
      <c r="G1025" s="114"/>
      <c r="H1025" s="114"/>
      <c r="I1025" s="114"/>
      <c r="J1025" s="114"/>
      <c r="K1025" s="117"/>
      <c r="L1025" s="117"/>
      <c r="M1025" s="114"/>
      <c r="N1025" s="114"/>
      <c r="O1025" s="114"/>
    </row>
    <row r="1026" spans="1:15" ht="15.75" customHeight="1" x14ac:dyDescent="0.3">
      <c r="A1026" s="124"/>
      <c r="B1026" s="114"/>
      <c r="C1026" s="125"/>
      <c r="D1026" s="114"/>
      <c r="E1026" s="114"/>
      <c r="F1026" s="114"/>
      <c r="G1026" s="114"/>
      <c r="H1026" s="114"/>
      <c r="I1026" s="114"/>
      <c r="J1026" s="114"/>
      <c r="K1026" s="117"/>
      <c r="L1026" s="117"/>
      <c r="M1026" s="114"/>
      <c r="N1026" s="114"/>
      <c r="O1026" s="114"/>
    </row>
    <row r="1027" spans="1:15" ht="15.75" customHeight="1" x14ac:dyDescent="0.3">
      <c r="A1027" s="124"/>
      <c r="B1027" s="114"/>
      <c r="C1027" s="125"/>
      <c r="D1027" s="114"/>
      <c r="E1027" s="114"/>
      <c r="F1027" s="114"/>
      <c r="G1027" s="114"/>
      <c r="H1027" s="114"/>
      <c r="I1027" s="114"/>
      <c r="J1027" s="114"/>
      <c r="K1027" s="117"/>
      <c r="L1027" s="117"/>
      <c r="M1027" s="114"/>
      <c r="N1027" s="114"/>
      <c r="O1027" s="114"/>
    </row>
    <row r="1028" spans="1:15" ht="15.75" customHeight="1" x14ac:dyDescent="0.3">
      <c r="A1028" s="124"/>
      <c r="B1028" s="114"/>
      <c r="C1028" s="125"/>
      <c r="D1028" s="114"/>
      <c r="E1028" s="114"/>
      <c r="F1028" s="114"/>
      <c r="G1028" s="114"/>
      <c r="H1028" s="114"/>
      <c r="I1028" s="114"/>
      <c r="J1028" s="114"/>
      <c r="K1028" s="117"/>
      <c r="L1028" s="117"/>
      <c r="M1028" s="114"/>
      <c r="N1028" s="114"/>
      <c r="O1028" s="114"/>
    </row>
    <row r="1029" spans="1:15" ht="15.75" customHeight="1" x14ac:dyDescent="0.3">
      <c r="A1029" s="124"/>
      <c r="B1029" s="114"/>
      <c r="C1029" s="125"/>
      <c r="D1029" s="114"/>
      <c r="E1029" s="114"/>
      <c r="F1029" s="114"/>
      <c r="G1029" s="114"/>
      <c r="H1029" s="114"/>
      <c r="I1029" s="114"/>
      <c r="J1029" s="114"/>
      <c r="K1029" s="117"/>
      <c r="L1029" s="117"/>
      <c r="M1029" s="114"/>
      <c r="N1029" s="114"/>
      <c r="O1029" s="114"/>
    </row>
    <row r="1030" spans="1:15" ht="15.75" customHeight="1" x14ac:dyDescent="0.3">
      <c r="A1030" s="124"/>
      <c r="B1030" s="114"/>
      <c r="C1030" s="125"/>
      <c r="D1030" s="114"/>
      <c r="E1030" s="114"/>
      <c r="F1030" s="114"/>
      <c r="G1030" s="114"/>
      <c r="H1030" s="114"/>
      <c r="I1030" s="114"/>
      <c r="J1030" s="114"/>
      <c r="K1030" s="117"/>
      <c r="L1030" s="117"/>
      <c r="M1030" s="114"/>
      <c r="N1030" s="114"/>
      <c r="O1030" s="114"/>
    </row>
    <row r="1031" spans="1:15" ht="15.75" customHeight="1" x14ac:dyDescent="0.3">
      <c r="A1031" s="124"/>
      <c r="B1031" s="114"/>
      <c r="C1031" s="125"/>
      <c r="D1031" s="114"/>
      <c r="E1031" s="114"/>
      <c r="F1031" s="114"/>
      <c r="G1031" s="114"/>
      <c r="H1031" s="114"/>
      <c r="I1031" s="114"/>
      <c r="J1031" s="114"/>
      <c r="K1031" s="117"/>
      <c r="L1031" s="117"/>
      <c r="M1031" s="114"/>
      <c r="N1031" s="114"/>
      <c r="O1031" s="114"/>
    </row>
    <row r="1032" spans="1:15" ht="15.75" customHeight="1" x14ac:dyDescent="0.3">
      <c r="A1032" s="124"/>
      <c r="B1032" s="114"/>
      <c r="C1032" s="125"/>
      <c r="D1032" s="114"/>
      <c r="E1032" s="114"/>
      <c r="F1032" s="114"/>
      <c r="G1032" s="114"/>
      <c r="H1032" s="114"/>
      <c r="I1032" s="114"/>
      <c r="J1032" s="114"/>
      <c r="K1032" s="117"/>
      <c r="L1032" s="117"/>
      <c r="M1032" s="114"/>
      <c r="N1032" s="114"/>
      <c r="O1032" s="114"/>
    </row>
    <row r="1033" spans="1:15" ht="15.75" customHeight="1" x14ac:dyDescent="0.3">
      <c r="A1033" s="124"/>
      <c r="B1033" s="114"/>
      <c r="C1033" s="125"/>
      <c r="D1033" s="114"/>
      <c r="E1033" s="114"/>
      <c r="F1033" s="114"/>
      <c r="G1033" s="114"/>
      <c r="H1033" s="114"/>
      <c r="I1033" s="114"/>
      <c r="J1033" s="114"/>
      <c r="K1033" s="117"/>
      <c r="L1033" s="117"/>
      <c r="M1033" s="114"/>
      <c r="N1033" s="114"/>
      <c r="O1033" s="114"/>
    </row>
    <row r="1034" spans="1:15" ht="15.75" customHeight="1" x14ac:dyDescent="0.3">
      <c r="A1034" s="124"/>
      <c r="B1034" s="114"/>
      <c r="C1034" s="125"/>
      <c r="D1034" s="114"/>
      <c r="E1034" s="114"/>
      <c r="F1034" s="114"/>
      <c r="G1034" s="114"/>
      <c r="H1034" s="114"/>
      <c r="I1034" s="114"/>
      <c r="J1034" s="114"/>
      <c r="K1034" s="117"/>
      <c r="L1034" s="117"/>
      <c r="M1034" s="114"/>
      <c r="N1034" s="114"/>
      <c r="O1034" s="114"/>
    </row>
    <row r="1035" spans="1:15" ht="15.75" customHeight="1" x14ac:dyDescent="0.3">
      <c r="A1035" s="124"/>
      <c r="B1035" s="114"/>
      <c r="C1035" s="125"/>
      <c r="D1035" s="114"/>
      <c r="E1035" s="114"/>
      <c r="F1035" s="114"/>
      <c r="G1035" s="114"/>
      <c r="H1035" s="114"/>
      <c r="I1035" s="114"/>
      <c r="J1035" s="114"/>
      <c r="K1035" s="117"/>
      <c r="L1035" s="117"/>
      <c r="M1035" s="114"/>
      <c r="N1035" s="114"/>
      <c r="O1035" s="114"/>
    </row>
    <row r="1036" spans="1:15" ht="15.75" customHeight="1" x14ac:dyDescent="0.3">
      <c r="A1036" s="124"/>
      <c r="B1036" s="114"/>
      <c r="C1036" s="125"/>
      <c r="D1036" s="114"/>
      <c r="E1036" s="114"/>
      <c r="F1036" s="114"/>
      <c r="G1036" s="114"/>
      <c r="H1036" s="114"/>
      <c r="I1036" s="114"/>
      <c r="J1036" s="114"/>
      <c r="K1036" s="117"/>
      <c r="L1036" s="117"/>
      <c r="M1036" s="114"/>
      <c r="N1036" s="114"/>
      <c r="O1036" s="114"/>
    </row>
    <row r="1037" spans="1:15" ht="15.75" customHeight="1" x14ac:dyDescent="0.3">
      <c r="A1037" s="124"/>
      <c r="B1037" s="114"/>
      <c r="C1037" s="125"/>
      <c r="D1037" s="114"/>
      <c r="E1037" s="114"/>
      <c r="F1037" s="114"/>
      <c r="G1037" s="114"/>
      <c r="H1037" s="114"/>
      <c r="I1037" s="114"/>
      <c r="J1037" s="114"/>
      <c r="K1037" s="117"/>
      <c r="L1037" s="117"/>
      <c r="M1037" s="114"/>
      <c r="N1037" s="114"/>
      <c r="O1037" s="114"/>
    </row>
    <row r="1038" spans="1:15" ht="15.75" customHeight="1" x14ac:dyDescent="0.3">
      <c r="A1038" s="124"/>
      <c r="B1038" s="114"/>
      <c r="C1038" s="125"/>
      <c r="D1038" s="114"/>
      <c r="E1038" s="114"/>
      <c r="F1038" s="114"/>
      <c r="G1038" s="114"/>
      <c r="H1038" s="114"/>
      <c r="I1038" s="114"/>
      <c r="J1038" s="114"/>
      <c r="K1038" s="117"/>
      <c r="L1038" s="117"/>
      <c r="M1038" s="114"/>
      <c r="N1038" s="114"/>
      <c r="O1038" s="114"/>
    </row>
    <row r="1039" spans="1:15" ht="15.75" customHeight="1" x14ac:dyDescent="0.3">
      <c r="A1039" s="124"/>
      <c r="B1039" s="114"/>
      <c r="C1039" s="125"/>
      <c r="D1039" s="114"/>
      <c r="E1039" s="114"/>
      <c r="F1039" s="114"/>
      <c r="G1039" s="114"/>
      <c r="H1039" s="114"/>
      <c r="I1039" s="114"/>
      <c r="J1039" s="114"/>
      <c r="K1039" s="117"/>
      <c r="L1039" s="117"/>
      <c r="M1039" s="114"/>
      <c r="N1039" s="114"/>
      <c r="O1039" s="114"/>
    </row>
    <row r="1040" spans="1:15" ht="15.75" customHeight="1" x14ac:dyDescent="0.3">
      <c r="A1040" s="124"/>
      <c r="B1040" s="114"/>
      <c r="C1040" s="125"/>
      <c r="D1040" s="114"/>
      <c r="E1040" s="114"/>
      <c r="F1040" s="114"/>
      <c r="G1040" s="114"/>
      <c r="H1040" s="114"/>
      <c r="I1040" s="114"/>
      <c r="J1040" s="114"/>
      <c r="K1040" s="117"/>
      <c r="L1040" s="117"/>
      <c r="M1040" s="114"/>
      <c r="N1040" s="114"/>
      <c r="O1040" s="114"/>
    </row>
    <row r="1041" spans="1:15" ht="15.75" customHeight="1" x14ac:dyDescent="0.3">
      <c r="A1041" s="124"/>
      <c r="B1041" s="114"/>
      <c r="C1041" s="125"/>
      <c r="D1041" s="114"/>
      <c r="E1041" s="114"/>
      <c r="F1041" s="114"/>
      <c r="G1041" s="114"/>
      <c r="H1041" s="114"/>
      <c r="I1041" s="114"/>
      <c r="J1041" s="114"/>
      <c r="K1041" s="117"/>
      <c r="L1041" s="117"/>
      <c r="M1041" s="114"/>
      <c r="N1041" s="114"/>
      <c r="O1041" s="114"/>
    </row>
    <row r="1042" spans="1:15" ht="15.75" customHeight="1" x14ac:dyDescent="0.3">
      <c r="A1042" s="124"/>
      <c r="B1042" s="114"/>
      <c r="C1042" s="125"/>
      <c r="D1042" s="114"/>
      <c r="E1042" s="114"/>
      <c r="F1042" s="114"/>
      <c r="G1042" s="114"/>
      <c r="H1042" s="114"/>
      <c r="I1042" s="114"/>
      <c r="J1042" s="114"/>
      <c r="K1042" s="117"/>
      <c r="L1042" s="117"/>
      <c r="M1042" s="114"/>
      <c r="N1042" s="114"/>
      <c r="O1042" s="114"/>
    </row>
    <row r="1043" spans="1:15" ht="15.75" customHeight="1" x14ac:dyDescent="0.3">
      <c r="A1043" s="124"/>
      <c r="B1043" s="114"/>
      <c r="C1043" s="125"/>
      <c r="D1043" s="114"/>
      <c r="E1043" s="114"/>
      <c r="F1043" s="114"/>
      <c r="G1043" s="114"/>
      <c r="H1043" s="114"/>
      <c r="I1043" s="114"/>
      <c r="J1043" s="114"/>
      <c r="K1043" s="117"/>
      <c r="L1043" s="117"/>
      <c r="M1043" s="114"/>
      <c r="N1043" s="114"/>
      <c r="O1043" s="114"/>
    </row>
    <row r="1044" spans="1:15" ht="15.75" customHeight="1" x14ac:dyDescent="0.3">
      <c r="A1044" s="124"/>
      <c r="B1044" s="114"/>
      <c r="C1044" s="125"/>
      <c r="D1044" s="114"/>
      <c r="E1044" s="114"/>
      <c r="F1044" s="114"/>
      <c r="G1044" s="114"/>
      <c r="H1044" s="114"/>
      <c r="I1044" s="114"/>
      <c r="J1044" s="114"/>
      <c r="K1044" s="117"/>
      <c r="L1044" s="117"/>
      <c r="M1044" s="114"/>
      <c r="N1044" s="114"/>
      <c r="O1044" s="114"/>
    </row>
    <row r="1045" spans="1:15" ht="15.75" customHeight="1" x14ac:dyDescent="0.3">
      <c r="A1045" s="124"/>
      <c r="B1045" s="114"/>
      <c r="C1045" s="125"/>
      <c r="D1045" s="114"/>
      <c r="E1045" s="114"/>
      <c r="F1045" s="114"/>
      <c r="G1045" s="114"/>
      <c r="H1045" s="114"/>
      <c r="I1045" s="114"/>
      <c r="J1045" s="114"/>
      <c r="K1045" s="117"/>
      <c r="L1045" s="117"/>
      <c r="M1045" s="114"/>
      <c r="N1045" s="114"/>
      <c r="O1045" s="114"/>
    </row>
    <row r="1046" spans="1:15" ht="15.75" customHeight="1" x14ac:dyDescent="0.3">
      <c r="A1046" s="124"/>
      <c r="B1046" s="114"/>
      <c r="C1046" s="125"/>
      <c r="D1046" s="114"/>
      <c r="E1046" s="114"/>
      <c r="F1046" s="114"/>
      <c r="G1046" s="114"/>
      <c r="H1046" s="114"/>
      <c r="I1046" s="114"/>
      <c r="J1046" s="114"/>
      <c r="K1046" s="117"/>
      <c r="L1046" s="117"/>
      <c r="M1046" s="114"/>
      <c r="N1046" s="114"/>
      <c r="O1046" s="114"/>
    </row>
    <row r="1047" spans="1:15" ht="15.75" customHeight="1" x14ac:dyDescent="0.3">
      <c r="A1047" s="124"/>
      <c r="B1047" s="114"/>
      <c r="C1047" s="125"/>
      <c r="D1047" s="114"/>
      <c r="E1047" s="114"/>
      <c r="F1047" s="114"/>
      <c r="G1047" s="114"/>
      <c r="H1047" s="114"/>
      <c r="I1047" s="114"/>
      <c r="J1047" s="114"/>
      <c r="K1047" s="117"/>
      <c r="L1047" s="117"/>
      <c r="M1047" s="114"/>
      <c r="N1047" s="114"/>
      <c r="O1047" s="114"/>
    </row>
    <row r="1048" spans="1:15" ht="15.75" customHeight="1" x14ac:dyDescent="0.3">
      <c r="A1048" s="124"/>
      <c r="B1048" s="114"/>
      <c r="C1048" s="125"/>
      <c r="D1048" s="114"/>
      <c r="E1048" s="114"/>
      <c r="F1048" s="114"/>
      <c r="G1048" s="114"/>
      <c r="H1048" s="114"/>
      <c r="I1048" s="114"/>
      <c r="J1048" s="114"/>
      <c r="K1048" s="117"/>
      <c r="L1048" s="117"/>
      <c r="M1048" s="114"/>
      <c r="N1048" s="114"/>
      <c r="O1048" s="114"/>
    </row>
    <row r="1049" spans="1:15" ht="15.75" customHeight="1" x14ac:dyDescent="0.3">
      <c r="A1049" s="124"/>
      <c r="B1049" s="114"/>
      <c r="C1049" s="125"/>
      <c r="D1049" s="114"/>
      <c r="E1049" s="114"/>
      <c r="F1049" s="114"/>
      <c r="G1049" s="114"/>
      <c r="H1049" s="114"/>
      <c r="I1049" s="114"/>
      <c r="J1049" s="114"/>
      <c r="K1049" s="117"/>
      <c r="L1049" s="117"/>
      <c r="M1049" s="114"/>
      <c r="N1049" s="114"/>
      <c r="O1049" s="114"/>
    </row>
    <row r="1050" spans="1:15" ht="15.75" customHeight="1" x14ac:dyDescent="0.3">
      <c r="A1050" s="124"/>
      <c r="B1050" s="114"/>
      <c r="C1050" s="125"/>
      <c r="D1050" s="114"/>
      <c r="E1050" s="114"/>
      <c r="F1050" s="114"/>
      <c r="G1050" s="114"/>
      <c r="H1050" s="114"/>
      <c r="I1050" s="114"/>
      <c r="J1050" s="114"/>
      <c r="K1050" s="117"/>
      <c r="L1050" s="117"/>
      <c r="M1050" s="114"/>
      <c r="N1050" s="114"/>
      <c r="O1050" s="114"/>
    </row>
    <row r="1051" spans="1:15" ht="15.75" customHeight="1" x14ac:dyDescent="0.3">
      <c r="A1051" s="124"/>
      <c r="B1051" s="114"/>
      <c r="C1051" s="125"/>
      <c r="D1051" s="114"/>
      <c r="E1051" s="114"/>
      <c r="F1051" s="114"/>
      <c r="G1051" s="114"/>
      <c r="H1051" s="114"/>
      <c r="I1051" s="114"/>
      <c r="J1051" s="114"/>
      <c r="K1051" s="117"/>
      <c r="L1051" s="117"/>
      <c r="M1051" s="114"/>
      <c r="N1051" s="114"/>
      <c r="O1051" s="114"/>
    </row>
    <row r="1052" spans="1:15" ht="15.75" customHeight="1" x14ac:dyDescent="0.3">
      <c r="A1052" s="124"/>
      <c r="B1052" s="114"/>
      <c r="C1052" s="125"/>
      <c r="D1052" s="114"/>
      <c r="E1052" s="114"/>
      <c r="F1052" s="114"/>
      <c r="G1052" s="114"/>
      <c r="H1052" s="114"/>
      <c r="I1052" s="114"/>
      <c r="J1052" s="114"/>
      <c r="K1052" s="117"/>
      <c r="L1052" s="117"/>
      <c r="M1052" s="114"/>
      <c r="N1052" s="114"/>
      <c r="O1052" s="114"/>
    </row>
    <row r="1053" spans="1:15" ht="15.75" customHeight="1" x14ac:dyDescent="0.3">
      <c r="A1053" s="124"/>
      <c r="B1053" s="114"/>
      <c r="C1053" s="125"/>
      <c r="D1053" s="114"/>
      <c r="E1053" s="114"/>
      <c r="F1053" s="114"/>
      <c r="G1053" s="114"/>
      <c r="H1053" s="114"/>
      <c r="I1053" s="114"/>
      <c r="J1053" s="114"/>
      <c r="K1053" s="117"/>
      <c r="L1053" s="117"/>
      <c r="M1053" s="114"/>
      <c r="N1053" s="114"/>
      <c r="O1053" s="114"/>
    </row>
    <row r="1054" spans="1:15" ht="15.75" customHeight="1" x14ac:dyDescent="0.3">
      <c r="A1054" s="124"/>
      <c r="B1054" s="114"/>
      <c r="C1054" s="125"/>
      <c r="D1054" s="114"/>
      <c r="E1054" s="114"/>
      <c r="F1054" s="114"/>
      <c r="G1054" s="114"/>
      <c r="H1054" s="114"/>
      <c r="I1054" s="114"/>
      <c r="J1054" s="114"/>
      <c r="K1054" s="117"/>
      <c r="L1054" s="117"/>
      <c r="M1054" s="114"/>
      <c r="N1054" s="114"/>
      <c r="O1054" s="114"/>
    </row>
    <row r="1055" spans="1:15" ht="15.75" customHeight="1" x14ac:dyDescent="0.3">
      <c r="A1055" s="124"/>
      <c r="B1055" s="114"/>
      <c r="C1055" s="125"/>
      <c r="D1055" s="114"/>
      <c r="E1055" s="114"/>
      <c r="F1055" s="114"/>
      <c r="G1055" s="114"/>
      <c r="H1055" s="114"/>
      <c r="I1055" s="114"/>
      <c r="J1055" s="114"/>
      <c r="K1055" s="117"/>
      <c r="L1055" s="117"/>
      <c r="M1055" s="114"/>
      <c r="N1055" s="114"/>
      <c r="O1055" s="114"/>
    </row>
    <row r="1056" spans="1:15" ht="15.75" customHeight="1" x14ac:dyDescent="0.3">
      <c r="A1056" s="124"/>
      <c r="B1056" s="114"/>
      <c r="C1056" s="125"/>
      <c r="D1056" s="114"/>
      <c r="E1056" s="114"/>
      <c r="F1056" s="114"/>
      <c r="G1056" s="114"/>
      <c r="H1056" s="114"/>
      <c r="I1056" s="114"/>
      <c r="J1056" s="114"/>
      <c r="K1056" s="117"/>
      <c r="L1056" s="117"/>
      <c r="M1056" s="114"/>
      <c r="N1056" s="114"/>
      <c r="O1056" s="114"/>
    </row>
    <row r="1057" spans="1:15" ht="15.75" customHeight="1" x14ac:dyDescent="0.3">
      <c r="A1057" s="124"/>
      <c r="B1057" s="114"/>
      <c r="C1057" s="125"/>
      <c r="D1057" s="114"/>
      <c r="E1057" s="114"/>
      <c r="F1057" s="114"/>
      <c r="G1057" s="114"/>
      <c r="H1057" s="114"/>
      <c r="I1057" s="114"/>
      <c r="J1057" s="114"/>
      <c r="K1057" s="117"/>
      <c r="L1057" s="117"/>
      <c r="M1057" s="114"/>
      <c r="N1057" s="114"/>
      <c r="O1057" s="114"/>
    </row>
    <row r="1058" spans="1:15" ht="15.75" customHeight="1" x14ac:dyDescent="0.3">
      <c r="A1058" s="124"/>
      <c r="B1058" s="114"/>
      <c r="C1058" s="125"/>
      <c r="D1058" s="114"/>
      <c r="E1058" s="114"/>
      <c r="F1058" s="114"/>
      <c r="G1058" s="114"/>
      <c r="H1058" s="114"/>
      <c r="I1058" s="114"/>
      <c r="J1058" s="114"/>
      <c r="K1058" s="117"/>
      <c r="L1058" s="117"/>
      <c r="M1058" s="114"/>
      <c r="N1058" s="114"/>
      <c r="O1058" s="114"/>
    </row>
    <row r="1059" spans="1:15" ht="15.75" customHeight="1" x14ac:dyDescent="0.3">
      <c r="A1059" s="124"/>
      <c r="B1059" s="114"/>
      <c r="C1059" s="125"/>
      <c r="D1059" s="114"/>
      <c r="E1059" s="114"/>
      <c r="F1059" s="114"/>
      <c r="G1059" s="114"/>
      <c r="H1059" s="114"/>
      <c r="I1059" s="114"/>
      <c r="J1059" s="114"/>
      <c r="K1059" s="117"/>
      <c r="L1059" s="117"/>
      <c r="M1059" s="114"/>
      <c r="N1059" s="114"/>
      <c r="O1059" s="114"/>
    </row>
    <row r="1060" spans="1:15" ht="15.75" customHeight="1" x14ac:dyDescent="0.3">
      <c r="A1060" s="124"/>
      <c r="B1060" s="114"/>
      <c r="C1060" s="125"/>
      <c r="D1060" s="114"/>
      <c r="E1060" s="114"/>
      <c r="F1060" s="114"/>
      <c r="G1060" s="114"/>
      <c r="H1060" s="114"/>
      <c r="I1060" s="114"/>
      <c r="J1060" s="114"/>
      <c r="K1060" s="117"/>
      <c r="L1060" s="117"/>
      <c r="M1060" s="114"/>
      <c r="N1060" s="114"/>
      <c r="O1060" s="114"/>
    </row>
    <row r="1061" spans="1:15" ht="15.75" customHeight="1" x14ac:dyDescent="0.3">
      <c r="A1061" s="124"/>
      <c r="B1061" s="114"/>
      <c r="C1061" s="125"/>
      <c r="D1061" s="114"/>
      <c r="E1061" s="114"/>
      <c r="F1061" s="114"/>
      <c r="G1061" s="114"/>
      <c r="H1061" s="114"/>
      <c r="I1061" s="114"/>
      <c r="J1061" s="114"/>
      <c r="K1061" s="117"/>
      <c r="L1061" s="117"/>
      <c r="M1061" s="114"/>
      <c r="N1061" s="114"/>
      <c r="O1061" s="114"/>
    </row>
    <row r="1062" spans="1:15" ht="15.75" customHeight="1" x14ac:dyDescent="0.3">
      <c r="A1062" s="124"/>
      <c r="B1062" s="114"/>
      <c r="C1062" s="125"/>
      <c r="D1062" s="114"/>
      <c r="E1062" s="114"/>
      <c r="F1062" s="114"/>
      <c r="G1062" s="114"/>
      <c r="H1062" s="114"/>
      <c r="I1062" s="114"/>
      <c r="J1062" s="114"/>
      <c r="K1062" s="117"/>
      <c r="L1062" s="117"/>
      <c r="M1062" s="114"/>
      <c r="N1062" s="114"/>
      <c r="O1062" s="114"/>
    </row>
    <row r="1063" spans="1:15" ht="15.75" customHeight="1" x14ac:dyDescent="0.3">
      <c r="A1063" s="124"/>
      <c r="B1063" s="114"/>
      <c r="C1063" s="125"/>
      <c r="D1063" s="114"/>
      <c r="E1063" s="114"/>
      <c r="F1063" s="114"/>
      <c r="G1063" s="114"/>
      <c r="H1063" s="114"/>
      <c r="I1063" s="114"/>
      <c r="J1063" s="114"/>
      <c r="K1063" s="117"/>
      <c r="L1063" s="117"/>
      <c r="M1063" s="114"/>
      <c r="N1063" s="114"/>
      <c r="O1063" s="114"/>
    </row>
    <row r="1064" spans="1:15" ht="15.75" customHeight="1" x14ac:dyDescent="0.3">
      <c r="A1064" s="124"/>
      <c r="B1064" s="114"/>
      <c r="C1064" s="125"/>
      <c r="D1064" s="114"/>
      <c r="E1064" s="114"/>
      <c r="F1064" s="114"/>
      <c r="G1064" s="114"/>
      <c r="H1064" s="114"/>
      <c r="I1064" s="114"/>
      <c r="J1064" s="114"/>
      <c r="K1064" s="117"/>
      <c r="L1064" s="117"/>
      <c r="M1064" s="114"/>
      <c r="N1064" s="114"/>
      <c r="O1064" s="114"/>
    </row>
    <row r="1065" spans="1:15" ht="15.75" customHeight="1" x14ac:dyDescent="0.3">
      <c r="A1065" s="124"/>
      <c r="B1065" s="114"/>
      <c r="C1065" s="125"/>
      <c r="D1065" s="114"/>
      <c r="E1065" s="114"/>
      <c r="F1065" s="114"/>
      <c r="G1065" s="114"/>
      <c r="H1065" s="114"/>
      <c r="I1065" s="114"/>
      <c r="J1065" s="114"/>
      <c r="K1065" s="117"/>
      <c r="L1065" s="117"/>
      <c r="M1065" s="114"/>
      <c r="N1065" s="114"/>
      <c r="O1065" s="114"/>
    </row>
    <row r="1066" spans="1:15" ht="15.75" customHeight="1" x14ac:dyDescent="0.3">
      <c r="A1066" s="124"/>
      <c r="B1066" s="114"/>
      <c r="C1066" s="125"/>
      <c r="D1066" s="114"/>
      <c r="E1066" s="114"/>
      <c r="F1066" s="114"/>
      <c r="G1066" s="114"/>
      <c r="H1066" s="114"/>
      <c r="I1066" s="114"/>
      <c r="J1066" s="114"/>
      <c r="K1066" s="117"/>
      <c r="L1066" s="117"/>
      <c r="M1066" s="114"/>
      <c r="N1066" s="114"/>
      <c r="O1066" s="114"/>
    </row>
    <row r="1067" spans="1:15" ht="15.75" customHeight="1" x14ac:dyDescent="0.3">
      <c r="A1067" s="124"/>
      <c r="B1067" s="114"/>
      <c r="C1067" s="125"/>
      <c r="D1067" s="114"/>
      <c r="E1067" s="114"/>
      <c r="F1067" s="114"/>
      <c r="G1067" s="114"/>
      <c r="H1067" s="114"/>
      <c r="I1067" s="114"/>
      <c r="J1067" s="114"/>
      <c r="K1067" s="117"/>
      <c r="L1067" s="117"/>
      <c r="M1067" s="114"/>
      <c r="N1067" s="114"/>
      <c r="O1067" s="114"/>
    </row>
    <row r="1068" spans="1:15" ht="15.75" customHeight="1" x14ac:dyDescent="0.3">
      <c r="A1068" s="124"/>
      <c r="B1068" s="114"/>
      <c r="C1068" s="125"/>
      <c r="D1068" s="114"/>
      <c r="E1068" s="114"/>
      <c r="F1068" s="114"/>
      <c r="G1068" s="114"/>
      <c r="H1068" s="114"/>
      <c r="I1068" s="114"/>
      <c r="J1068" s="114"/>
      <c r="K1068" s="117"/>
      <c r="L1068" s="117"/>
      <c r="M1068" s="114"/>
      <c r="N1068" s="114"/>
      <c r="O1068" s="114"/>
    </row>
    <row r="1069" spans="1:15" ht="15.75" customHeight="1" x14ac:dyDescent="0.3">
      <c r="A1069" s="124"/>
      <c r="B1069" s="114"/>
      <c r="C1069" s="125"/>
      <c r="D1069" s="114"/>
      <c r="E1069" s="114"/>
      <c r="F1069" s="114"/>
      <c r="G1069" s="114"/>
      <c r="H1069" s="114"/>
      <c r="I1069" s="114"/>
      <c r="J1069" s="114"/>
      <c r="K1069" s="117"/>
      <c r="L1069" s="117"/>
      <c r="M1069" s="114"/>
      <c r="N1069" s="114"/>
      <c r="O1069" s="114"/>
    </row>
    <row r="1070" spans="1:15" ht="15.75" customHeight="1" x14ac:dyDescent="0.3">
      <c r="A1070" s="124"/>
      <c r="B1070" s="114"/>
      <c r="C1070" s="125"/>
      <c r="D1070" s="114"/>
      <c r="E1070" s="114"/>
      <c r="F1070" s="114"/>
      <c r="G1070" s="114"/>
      <c r="H1070" s="114"/>
      <c r="I1070" s="114"/>
      <c r="J1070" s="114"/>
      <c r="K1070" s="117"/>
      <c r="L1070" s="117"/>
      <c r="M1070" s="114"/>
      <c r="N1070" s="114"/>
      <c r="O1070" s="114"/>
    </row>
    <row r="1071" spans="1:15" ht="15.75" customHeight="1" x14ac:dyDescent="0.3">
      <c r="A1071" s="124"/>
      <c r="B1071" s="114"/>
      <c r="C1071" s="125"/>
      <c r="D1071" s="114"/>
      <c r="E1071" s="114"/>
      <c r="F1071" s="114"/>
      <c r="G1071" s="114"/>
      <c r="H1071" s="114"/>
      <c r="I1071" s="114"/>
      <c r="J1071" s="114"/>
      <c r="K1071" s="117"/>
      <c r="L1071" s="117"/>
      <c r="M1071" s="114"/>
      <c r="N1071" s="114"/>
      <c r="O1071" s="114"/>
    </row>
    <row r="1072" spans="1:15" ht="15.75" customHeight="1" x14ac:dyDescent="0.3">
      <c r="A1072" s="124"/>
      <c r="B1072" s="114"/>
      <c r="C1072" s="125"/>
      <c r="D1072" s="114"/>
      <c r="E1072" s="114"/>
      <c r="F1072" s="114"/>
      <c r="G1072" s="114"/>
      <c r="H1072" s="114"/>
      <c r="I1072" s="114"/>
      <c r="J1072" s="114"/>
      <c r="K1072" s="117"/>
      <c r="L1072" s="117"/>
      <c r="M1072" s="114"/>
      <c r="N1072" s="114"/>
      <c r="O1072" s="114"/>
    </row>
    <row r="1073" spans="1:15" ht="15.75" customHeight="1" x14ac:dyDescent="0.3">
      <c r="A1073" s="124"/>
      <c r="B1073" s="114"/>
      <c r="C1073" s="125"/>
      <c r="D1073" s="114"/>
      <c r="E1073" s="114"/>
      <c r="F1073" s="114"/>
      <c r="G1073" s="114"/>
      <c r="H1073" s="114"/>
      <c r="I1073" s="114"/>
      <c r="J1073" s="114"/>
      <c r="K1073" s="117"/>
      <c r="L1073" s="117"/>
      <c r="M1073" s="114"/>
      <c r="N1073" s="114"/>
      <c r="O1073" s="114"/>
    </row>
    <row r="1074" spans="1:15" ht="15.75" customHeight="1" x14ac:dyDescent="0.3">
      <c r="A1074" s="124"/>
      <c r="B1074" s="114"/>
      <c r="C1074" s="125"/>
      <c r="D1074" s="114"/>
      <c r="E1074" s="114"/>
      <c r="F1074" s="114"/>
      <c r="G1074" s="114"/>
      <c r="H1074" s="114"/>
      <c r="I1074" s="114"/>
      <c r="J1074" s="114"/>
      <c r="K1074" s="117"/>
      <c r="L1074" s="117"/>
      <c r="M1074" s="114"/>
      <c r="N1074" s="114"/>
      <c r="O1074" s="114"/>
    </row>
    <row r="1075" spans="1:15" ht="15.75" customHeight="1" x14ac:dyDescent="0.3">
      <c r="A1075" s="124"/>
      <c r="B1075" s="114"/>
      <c r="C1075" s="125"/>
      <c r="D1075" s="114"/>
      <c r="E1075" s="114"/>
      <c r="F1075" s="114"/>
      <c r="G1075" s="114"/>
      <c r="H1075" s="114"/>
      <c r="I1075" s="114"/>
      <c r="J1075" s="114"/>
      <c r="K1075" s="117"/>
      <c r="L1075" s="117"/>
      <c r="M1075" s="114"/>
      <c r="N1075" s="114"/>
      <c r="O1075" s="114"/>
    </row>
    <row r="1076" spans="1:15" ht="15.75" customHeight="1" x14ac:dyDescent="0.3">
      <c r="A1076" s="124"/>
      <c r="B1076" s="114"/>
      <c r="C1076" s="125"/>
      <c r="D1076" s="114"/>
      <c r="E1076" s="114"/>
      <c r="F1076" s="114"/>
      <c r="G1076" s="114"/>
      <c r="H1076" s="114"/>
      <c r="I1076" s="114"/>
      <c r="J1076" s="114"/>
      <c r="K1076" s="117"/>
      <c r="L1076" s="117"/>
      <c r="M1076" s="114"/>
      <c r="N1076" s="114"/>
      <c r="O1076" s="114"/>
    </row>
    <row r="1077" spans="1:15" ht="15.75" customHeight="1" x14ac:dyDescent="0.3">
      <c r="A1077" s="124"/>
      <c r="B1077" s="114"/>
      <c r="C1077" s="125"/>
      <c r="D1077" s="114"/>
      <c r="E1077" s="114"/>
      <c r="F1077" s="114"/>
      <c r="G1077" s="114"/>
      <c r="H1077" s="114"/>
      <c r="I1077" s="114"/>
      <c r="J1077" s="114"/>
      <c r="K1077" s="117"/>
      <c r="L1077" s="117"/>
      <c r="M1077" s="114"/>
      <c r="N1077" s="114"/>
      <c r="O1077" s="114"/>
    </row>
    <row r="1078" spans="1:15" ht="15.75" customHeight="1" x14ac:dyDescent="0.3">
      <c r="A1078" s="124"/>
      <c r="B1078" s="114"/>
      <c r="C1078" s="125"/>
      <c r="D1078" s="114"/>
      <c r="E1078" s="114"/>
      <c r="F1078" s="114"/>
      <c r="G1078" s="114"/>
      <c r="H1078" s="114"/>
      <c r="I1078" s="114"/>
      <c r="J1078" s="114"/>
      <c r="K1078" s="117"/>
      <c r="L1078" s="117"/>
      <c r="M1078" s="114"/>
      <c r="N1078" s="114"/>
      <c r="O1078" s="114"/>
    </row>
    <row r="1079" spans="1:15" ht="15.75" customHeight="1" x14ac:dyDescent="0.3">
      <c r="A1079" s="124"/>
      <c r="B1079" s="114"/>
      <c r="C1079" s="125"/>
      <c r="D1079" s="114"/>
      <c r="E1079" s="114"/>
      <c r="F1079" s="114"/>
      <c r="G1079" s="114"/>
      <c r="H1079" s="114"/>
      <c r="I1079" s="114"/>
      <c r="J1079" s="114"/>
      <c r="K1079" s="117"/>
      <c r="L1079" s="117"/>
      <c r="M1079" s="114"/>
      <c r="N1079" s="114"/>
      <c r="O1079" s="114"/>
    </row>
    <row r="1080" spans="1:15" ht="15.75" customHeight="1" x14ac:dyDescent="0.3">
      <c r="A1080" s="124"/>
      <c r="B1080" s="114"/>
      <c r="C1080" s="125"/>
      <c r="D1080" s="114"/>
      <c r="E1080" s="114"/>
      <c r="F1080" s="114"/>
      <c r="G1080" s="114"/>
      <c r="H1080" s="114"/>
      <c r="I1080" s="114"/>
      <c r="J1080" s="114"/>
      <c r="K1080" s="117"/>
      <c r="L1080" s="117"/>
      <c r="M1080" s="114"/>
      <c r="N1080" s="114"/>
      <c r="O1080" s="114"/>
    </row>
    <row r="1081" spans="1:15" ht="15.75" customHeight="1" x14ac:dyDescent="0.3">
      <c r="A1081" s="124"/>
      <c r="B1081" s="114"/>
      <c r="C1081" s="125"/>
      <c r="D1081" s="114"/>
      <c r="E1081" s="114"/>
      <c r="F1081" s="114"/>
      <c r="G1081" s="114"/>
      <c r="H1081" s="114"/>
      <c r="I1081" s="114"/>
      <c r="J1081" s="114"/>
      <c r="K1081" s="117"/>
      <c r="L1081" s="117"/>
      <c r="M1081" s="114"/>
      <c r="N1081" s="114"/>
      <c r="O1081" s="114"/>
    </row>
    <row r="1082" spans="1:15" ht="15.75" customHeight="1" x14ac:dyDescent="0.3">
      <c r="A1082" s="124"/>
      <c r="B1082" s="114"/>
      <c r="C1082" s="125"/>
      <c r="D1082" s="114"/>
      <c r="E1082" s="114"/>
      <c r="F1082" s="114"/>
      <c r="G1082" s="114"/>
      <c r="H1082" s="114"/>
      <c r="I1082" s="114"/>
      <c r="J1082" s="114"/>
      <c r="K1082" s="117"/>
      <c r="L1082" s="117"/>
      <c r="M1082" s="114"/>
      <c r="N1082" s="114"/>
      <c r="O1082" s="114"/>
    </row>
    <row r="1083" spans="1:15" ht="15.75" customHeight="1" x14ac:dyDescent="0.3">
      <c r="A1083" s="124"/>
      <c r="B1083" s="114"/>
      <c r="C1083" s="125"/>
      <c r="D1083" s="114"/>
      <c r="E1083" s="114"/>
      <c r="F1083" s="114"/>
      <c r="G1083" s="114"/>
      <c r="H1083" s="114"/>
      <c r="I1083" s="114"/>
      <c r="J1083" s="114"/>
      <c r="K1083" s="117"/>
      <c r="L1083" s="117"/>
      <c r="M1083" s="114"/>
      <c r="N1083" s="114"/>
      <c r="O1083" s="114"/>
    </row>
    <row r="1084" spans="1:15" ht="15.75" customHeight="1" x14ac:dyDescent="0.3">
      <c r="A1084" s="124"/>
      <c r="B1084" s="114"/>
      <c r="C1084" s="125"/>
      <c r="D1084" s="114"/>
      <c r="E1084" s="114"/>
      <c r="F1084" s="114"/>
      <c r="G1084" s="114"/>
      <c r="H1084" s="114"/>
      <c r="I1084" s="114"/>
      <c r="J1084" s="114"/>
      <c r="K1084" s="117"/>
      <c r="L1084" s="117"/>
      <c r="M1084" s="114"/>
      <c r="N1084" s="114"/>
      <c r="O1084" s="114"/>
    </row>
    <row r="1085" spans="1:15" ht="15.75" customHeight="1" x14ac:dyDescent="0.3">
      <c r="A1085" s="124"/>
      <c r="B1085" s="114"/>
      <c r="C1085" s="125"/>
      <c r="D1085" s="114"/>
      <c r="E1085" s="114"/>
      <c r="F1085" s="114"/>
      <c r="G1085" s="114"/>
      <c r="H1085" s="114"/>
      <c r="I1085" s="114"/>
      <c r="J1085" s="114"/>
      <c r="K1085" s="117"/>
      <c r="L1085" s="117"/>
      <c r="M1085" s="114"/>
      <c r="N1085" s="114"/>
      <c r="O1085" s="114"/>
    </row>
    <row r="1086" spans="1:15" ht="15.75" customHeight="1" x14ac:dyDescent="0.3">
      <c r="A1086" s="124"/>
      <c r="B1086" s="114"/>
      <c r="C1086" s="125"/>
      <c r="D1086" s="114"/>
      <c r="E1086" s="114"/>
      <c r="F1086" s="114"/>
      <c r="G1086" s="114"/>
      <c r="H1086" s="114"/>
      <c r="I1086" s="114"/>
      <c r="J1086" s="114"/>
      <c r="K1086" s="117"/>
      <c r="L1086" s="117"/>
      <c r="M1086" s="114"/>
      <c r="N1086" s="114"/>
      <c r="O1086" s="114"/>
    </row>
    <row r="1087" spans="1:15" ht="15.75" customHeight="1" x14ac:dyDescent="0.3">
      <c r="A1087" s="124"/>
      <c r="B1087" s="114"/>
      <c r="C1087" s="125"/>
      <c r="D1087" s="114"/>
      <c r="E1087" s="114"/>
      <c r="F1087" s="114"/>
      <c r="G1087" s="114"/>
      <c r="H1087" s="114"/>
      <c r="I1087" s="114"/>
      <c r="J1087" s="114"/>
      <c r="K1087" s="117"/>
      <c r="L1087" s="117"/>
      <c r="M1087" s="114"/>
      <c r="N1087" s="114"/>
      <c r="O1087" s="114"/>
    </row>
    <row r="1088" spans="1:15" ht="15.75" customHeight="1" x14ac:dyDescent="0.3">
      <c r="A1088" s="124"/>
      <c r="B1088" s="114"/>
      <c r="C1088" s="125"/>
      <c r="D1088" s="114"/>
      <c r="E1088" s="114"/>
      <c r="F1088" s="114"/>
      <c r="G1088" s="114"/>
      <c r="H1088" s="114"/>
      <c r="I1088" s="114"/>
      <c r="J1088" s="114"/>
      <c r="K1088" s="117"/>
      <c r="L1088" s="117"/>
      <c r="M1088" s="114"/>
      <c r="N1088" s="114"/>
      <c r="O1088" s="114"/>
    </row>
    <row r="1089" spans="1:15" ht="15.75" customHeight="1" x14ac:dyDescent="0.3">
      <c r="A1089" s="124"/>
      <c r="B1089" s="114"/>
      <c r="C1089" s="125"/>
      <c r="D1089" s="114"/>
      <c r="E1089" s="114"/>
      <c r="F1089" s="114"/>
      <c r="G1089" s="114"/>
      <c r="H1089" s="114"/>
      <c r="I1089" s="114"/>
      <c r="J1089" s="114"/>
      <c r="K1089" s="117"/>
      <c r="L1089" s="117"/>
      <c r="M1089" s="114"/>
      <c r="N1089" s="114"/>
      <c r="O1089" s="114"/>
    </row>
    <row r="1090" spans="1:15" ht="15.75" customHeight="1" x14ac:dyDescent="0.3">
      <c r="A1090" s="124"/>
      <c r="B1090" s="114"/>
      <c r="C1090" s="125"/>
      <c r="D1090" s="114"/>
      <c r="E1090" s="114"/>
      <c r="F1090" s="114"/>
      <c r="G1090" s="114"/>
      <c r="H1090" s="114"/>
      <c r="I1090" s="114"/>
      <c r="J1090" s="114"/>
      <c r="K1090" s="117"/>
      <c r="L1090" s="117"/>
      <c r="M1090" s="114"/>
      <c r="N1090" s="114"/>
      <c r="O1090" s="114"/>
    </row>
    <row r="1091" spans="1:15" ht="15.75" customHeight="1" x14ac:dyDescent="0.3">
      <c r="A1091" s="124"/>
      <c r="B1091" s="114"/>
      <c r="C1091" s="125"/>
      <c r="D1091" s="114"/>
      <c r="E1091" s="114"/>
      <c r="F1091" s="114"/>
      <c r="G1091" s="114"/>
      <c r="H1091" s="114"/>
      <c r="I1091" s="114"/>
      <c r="J1091" s="114"/>
      <c r="K1091" s="117"/>
      <c r="L1091" s="117"/>
      <c r="M1091" s="114"/>
      <c r="N1091" s="114"/>
      <c r="O1091" s="114"/>
    </row>
    <row r="1092" spans="1:15" ht="15.75" customHeight="1" x14ac:dyDescent="0.3">
      <c r="A1092" s="124"/>
      <c r="B1092" s="114"/>
      <c r="C1092" s="125"/>
      <c r="D1092" s="114"/>
      <c r="E1092" s="114"/>
      <c r="F1092" s="114"/>
      <c r="G1092" s="114"/>
      <c r="H1092" s="114"/>
      <c r="I1092" s="114"/>
      <c r="J1092" s="114"/>
      <c r="K1092" s="117"/>
      <c r="L1092" s="117"/>
      <c r="M1092" s="114"/>
      <c r="N1092" s="114"/>
      <c r="O1092" s="114"/>
    </row>
    <row r="1093" spans="1:15" ht="15.75" customHeight="1" x14ac:dyDescent="0.3">
      <c r="A1093" s="124"/>
      <c r="B1093" s="114"/>
      <c r="C1093" s="125"/>
      <c r="D1093" s="114"/>
      <c r="E1093" s="114"/>
      <c r="F1093" s="114"/>
      <c r="G1093" s="114"/>
      <c r="H1093" s="114"/>
      <c r="I1093" s="114"/>
      <c r="J1093" s="114"/>
      <c r="K1093" s="117"/>
      <c r="L1093" s="117"/>
      <c r="M1093" s="114"/>
      <c r="N1093" s="114"/>
      <c r="O1093" s="114"/>
    </row>
    <row r="1094" spans="1:15" ht="15.75" customHeight="1" x14ac:dyDescent="0.3">
      <c r="A1094" s="124"/>
      <c r="B1094" s="114"/>
      <c r="C1094" s="125"/>
      <c r="D1094" s="114"/>
      <c r="E1094" s="114"/>
      <c r="F1094" s="114"/>
      <c r="G1094" s="114"/>
      <c r="H1094" s="114"/>
      <c r="I1094" s="114"/>
      <c r="J1094" s="114"/>
      <c r="K1094" s="117"/>
      <c r="L1094" s="117"/>
      <c r="M1094" s="114"/>
      <c r="N1094" s="114"/>
      <c r="O1094" s="114"/>
    </row>
    <row r="1095" spans="1:15" ht="15.75" customHeight="1" x14ac:dyDescent="0.3">
      <c r="A1095" s="124"/>
      <c r="B1095" s="114"/>
      <c r="C1095" s="125"/>
      <c r="D1095" s="114"/>
      <c r="E1095" s="114"/>
      <c r="F1095" s="114"/>
      <c r="G1095" s="114"/>
      <c r="H1095" s="114"/>
      <c r="I1095" s="114"/>
      <c r="J1095" s="114"/>
      <c r="K1095" s="117"/>
      <c r="L1095" s="117"/>
      <c r="M1095" s="114"/>
      <c r="N1095" s="114"/>
      <c r="O1095" s="114"/>
    </row>
    <row r="1096" spans="1:15" ht="15.75" customHeight="1" x14ac:dyDescent="0.3">
      <c r="A1096" s="124"/>
      <c r="B1096" s="114"/>
      <c r="C1096" s="125"/>
      <c r="D1096" s="114"/>
      <c r="E1096" s="114"/>
      <c r="F1096" s="114"/>
      <c r="G1096" s="114"/>
      <c r="H1096" s="114"/>
      <c r="I1096" s="114"/>
      <c r="J1096" s="114"/>
      <c r="K1096" s="117"/>
      <c r="L1096" s="117"/>
      <c r="M1096" s="114"/>
      <c r="N1096" s="114"/>
      <c r="O1096" s="114"/>
    </row>
    <row r="1097" spans="1:15" ht="15.75" customHeight="1" x14ac:dyDescent="0.3">
      <c r="A1097" s="124"/>
      <c r="B1097" s="114"/>
      <c r="C1097" s="125"/>
      <c r="D1097" s="114"/>
      <c r="E1097" s="114"/>
      <c r="F1097" s="114"/>
      <c r="G1097" s="114"/>
      <c r="H1097" s="114"/>
      <c r="I1097" s="114"/>
      <c r="J1097" s="114"/>
      <c r="K1097" s="117"/>
      <c r="L1097" s="117"/>
      <c r="M1097" s="114"/>
      <c r="N1097" s="114"/>
      <c r="O1097" s="114"/>
    </row>
    <row r="1098" spans="1:15" ht="15.75" customHeight="1" x14ac:dyDescent="0.3">
      <c r="A1098" s="124"/>
      <c r="B1098" s="114"/>
      <c r="C1098" s="125"/>
      <c r="D1098" s="114"/>
      <c r="E1098" s="114"/>
      <c r="F1098" s="114"/>
      <c r="G1098" s="114"/>
      <c r="H1098" s="114"/>
      <c r="I1098" s="114"/>
      <c r="J1098" s="114"/>
      <c r="K1098" s="117"/>
      <c r="L1098" s="117"/>
      <c r="M1098" s="114"/>
      <c r="N1098" s="114"/>
      <c r="O1098" s="114"/>
    </row>
    <row r="1099" spans="1:15" ht="15.75" customHeight="1" x14ac:dyDescent="0.3">
      <c r="A1099" s="124"/>
      <c r="B1099" s="114"/>
      <c r="C1099" s="125"/>
      <c r="D1099" s="114"/>
      <c r="E1099" s="114"/>
      <c r="F1099" s="114"/>
      <c r="G1099" s="114"/>
      <c r="H1099" s="114"/>
      <c r="I1099" s="114"/>
      <c r="J1099" s="114"/>
      <c r="K1099" s="117"/>
      <c r="L1099" s="117"/>
      <c r="M1099" s="114"/>
      <c r="N1099" s="114"/>
      <c r="O1099" s="114"/>
    </row>
    <row r="1100" spans="1:15" ht="15.75" customHeight="1" x14ac:dyDescent="0.3">
      <c r="A1100" s="124"/>
      <c r="B1100" s="114"/>
      <c r="C1100" s="125"/>
      <c r="D1100" s="114"/>
      <c r="E1100" s="114"/>
      <c r="F1100" s="114"/>
      <c r="G1100" s="114"/>
      <c r="H1100" s="114"/>
      <c r="I1100" s="114"/>
      <c r="J1100" s="114"/>
      <c r="K1100" s="117"/>
      <c r="L1100" s="117"/>
      <c r="M1100" s="114"/>
      <c r="N1100" s="114"/>
      <c r="O1100" s="114"/>
    </row>
    <row r="1101" spans="1:15" ht="15.75" customHeight="1" x14ac:dyDescent="0.3">
      <c r="A1101" s="124"/>
      <c r="B1101" s="114"/>
      <c r="C1101" s="125"/>
      <c r="D1101" s="114"/>
      <c r="E1101" s="114"/>
      <c r="F1101" s="114"/>
      <c r="G1101" s="114"/>
      <c r="H1101" s="114"/>
      <c r="I1101" s="114"/>
      <c r="J1101" s="114"/>
      <c r="K1101" s="117"/>
      <c r="L1101" s="117"/>
      <c r="M1101" s="114"/>
      <c r="N1101" s="114"/>
      <c r="O1101" s="114"/>
    </row>
    <row r="1102" spans="1:15" ht="15.75" customHeight="1" x14ac:dyDescent="0.3">
      <c r="A1102" s="124"/>
      <c r="B1102" s="114"/>
      <c r="C1102" s="125"/>
      <c r="D1102" s="114"/>
      <c r="E1102" s="114"/>
      <c r="F1102" s="114"/>
      <c r="G1102" s="114"/>
      <c r="H1102" s="114"/>
      <c r="I1102" s="114"/>
      <c r="J1102" s="114"/>
      <c r="K1102" s="117"/>
      <c r="L1102" s="117"/>
      <c r="M1102" s="114"/>
      <c r="N1102" s="114"/>
      <c r="O1102" s="114"/>
    </row>
    <row r="1103" spans="1:15" ht="15.75" customHeight="1" x14ac:dyDescent="0.3">
      <c r="A1103" s="124"/>
      <c r="B1103" s="114"/>
      <c r="C1103" s="125"/>
      <c r="D1103" s="114"/>
      <c r="E1103" s="114"/>
      <c r="F1103" s="114"/>
      <c r="G1103" s="114"/>
      <c r="H1103" s="114"/>
      <c r="I1103" s="114"/>
      <c r="J1103" s="114"/>
      <c r="K1103" s="117"/>
      <c r="L1103" s="117"/>
      <c r="M1103" s="114"/>
      <c r="N1103" s="114"/>
      <c r="O1103" s="114"/>
    </row>
    <row r="1104" spans="1:15" ht="15.75" customHeight="1" x14ac:dyDescent="0.3">
      <c r="A1104" s="124"/>
      <c r="B1104" s="114"/>
      <c r="C1104" s="125"/>
      <c r="D1104" s="114"/>
      <c r="E1104" s="114"/>
      <c r="F1104" s="114"/>
      <c r="G1104" s="114"/>
      <c r="H1104" s="114"/>
      <c r="I1104" s="114"/>
      <c r="J1104" s="114"/>
      <c r="K1104" s="117"/>
      <c r="L1104" s="117"/>
      <c r="M1104" s="114"/>
      <c r="N1104" s="114"/>
      <c r="O1104" s="114"/>
    </row>
    <row r="1105" spans="1:15" ht="15.75" customHeight="1" x14ac:dyDescent="0.3">
      <c r="A1105" s="124"/>
      <c r="B1105" s="114"/>
      <c r="C1105" s="125"/>
      <c r="D1105" s="114"/>
      <c r="E1105" s="114"/>
      <c r="F1105" s="114"/>
      <c r="G1105" s="114"/>
      <c r="H1105" s="114"/>
      <c r="I1105" s="114"/>
      <c r="J1105" s="114"/>
      <c r="K1105" s="117"/>
      <c r="L1105" s="117"/>
      <c r="M1105" s="114"/>
      <c r="N1105" s="114"/>
      <c r="O1105" s="114"/>
    </row>
    <row r="1106" spans="1:15" ht="15.75" customHeight="1" x14ac:dyDescent="0.3">
      <c r="A1106" s="124"/>
      <c r="B1106" s="114"/>
      <c r="C1106" s="125"/>
      <c r="D1106" s="114"/>
      <c r="E1106" s="114"/>
      <c r="F1106" s="114"/>
      <c r="G1106" s="114"/>
      <c r="H1106" s="114"/>
      <c r="I1106" s="114"/>
      <c r="J1106" s="114"/>
      <c r="K1106" s="117"/>
      <c r="L1106" s="117"/>
      <c r="M1106" s="114"/>
      <c r="N1106" s="114"/>
      <c r="O1106" s="114"/>
    </row>
    <row r="1107" spans="1:15" ht="15.75" customHeight="1" x14ac:dyDescent="0.3">
      <c r="A1107" s="124"/>
      <c r="B1107" s="114"/>
      <c r="C1107" s="125"/>
      <c r="D1107" s="114"/>
      <c r="E1107" s="114"/>
      <c r="F1107" s="114"/>
      <c r="G1107" s="114"/>
      <c r="H1107" s="114"/>
      <c r="I1107" s="114"/>
      <c r="J1107" s="114"/>
      <c r="K1107" s="117"/>
      <c r="L1107" s="117"/>
      <c r="M1107" s="114"/>
      <c r="N1107" s="114"/>
      <c r="O1107" s="114"/>
    </row>
    <row r="1108" spans="1:15" ht="15.75" customHeight="1" x14ac:dyDescent="0.3">
      <c r="A1108" s="124"/>
      <c r="B1108" s="114"/>
      <c r="C1108" s="125"/>
      <c r="D1108" s="114"/>
      <c r="E1108" s="114"/>
      <c r="F1108" s="114"/>
      <c r="G1108" s="114"/>
      <c r="H1108" s="114"/>
      <c r="I1108" s="114"/>
      <c r="J1108" s="114"/>
      <c r="K1108" s="117"/>
      <c r="L1108" s="117"/>
      <c r="M1108" s="114"/>
      <c r="N1108" s="114"/>
      <c r="O1108" s="114"/>
    </row>
    <row r="1109" spans="1:15" ht="15.75" customHeight="1" x14ac:dyDescent="0.3">
      <c r="A1109" s="124"/>
      <c r="B1109" s="114"/>
      <c r="C1109" s="125"/>
      <c r="D1109" s="114"/>
      <c r="E1109" s="114"/>
      <c r="F1109" s="114"/>
      <c r="G1109" s="114"/>
      <c r="H1109" s="114"/>
      <c r="I1109" s="114"/>
      <c r="J1109" s="114"/>
      <c r="K1109" s="117"/>
      <c r="L1109" s="117"/>
      <c r="M1109" s="114"/>
      <c r="N1109" s="114"/>
      <c r="O1109" s="114"/>
    </row>
    <row r="1110" spans="1:15" ht="15.75" customHeight="1" x14ac:dyDescent="0.3">
      <c r="A1110" s="124"/>
      <c r="B1110" s="114"/>
      <c r="C1110" s="125"/>
      <c r="D1110" s="114"/>
      <c r="E1110" s="114"/>
      <c r="F1110" s="114"/>
      <c r="G1110" s="114"/>
      <c r="H1110" s="114"/>
      <c r="I1110" s="114"/>
      <c r="J1110" s="114"/>
      <c r="K1110" s="117"/>
      <c r="L1110" s="117"/>
      <c r="M1110" s="114"/>
      <c r="N1110" s="114"/>
      <c r="O1110" s="114"/>
    </row>
    <row r="1111" spans="1:15" ht="15.75" customHeight="1" x14ac:dyDescent="0.3">
      <c r="A1111" s="124"/>
      <c r="B1111" s="114"/>
      <c r="C1111" s="125"/>
      <c r="D1111" s="114"/>
      <c r="E1111" s="114"/>
      <c r="F1111" s="114"/>
      <c r="G1111" s="114"/>
      <c r="H1111" s="114"/>
      <c r="I1111" s="114"/>
      <c r="J1111" s="114"/>
      <c r="K1111" s="117"/>
      <c r="L1111" s="117"/>
      <c r="M1111" s="114"/>
      <c r="N1111" s="114"/>
      <c r="O1111" s="114"/>
    </row>
    <row r="1112" spans="1:15" ht="15.75" customHeight="1" x14ac:dyDescent="0.3">
      <c r="A1112" s="124"/>
      <c r="B1112" s="114"/>
      <c r="C1112" s="125"/>
      <c r="D1112" s="114"/>
      <c r="E1112" s="114"/>
      <c r="F1112" s="114"/>
      <c r="G1112" s="114"/>
      <c r="H1112" s="114"/>
      <c r="I1112" s="114"/>
      <c r="J1112" s="114"/>
      <c r="K1112" s="117"/>
      <c r="L1112" s="117"/>
      <c r="M1112" s="114"/>
      <c r="N1112" s="114"/>
      <c r="O1112" s="114"/>
    </row>
    <row r="1113" spans="1:15" ht="15.75" customHeight="1" x14ac:dyDescent="0.3">
      <c r="A1113" s="124"/>
      <c r="B1113" s="114"/>
      <c r="C1113" s="125"/>
      <c r="D1113" s="114"/>
      <c r="E1113" s="114"/>
      <c r="F1113" s="114"/>
      <c r="G1113" s="114"/>
      <c r="H1113" s="114"/>
      <c r="I1113" s="114"/>
      <c r="J1113" s="114"/>
      <c r="K1113" s="117"/>
      <c r="L1113" s="117"/>
      <c r="M1113" s="114"/>
      <c r="N1113" s="114"/>
      <c r="O1113" s="114"/>
    </row>
    <row r="1114" spans="1:15" ht="15.75" customHeight="1" x14ac:dyDescent="0.3">
      <c r="A1114" s="124"/>
      <c r="B1114" s="114"/>
      <c r="C1114" s="125"/>
      <c r="D1114" s="114"/>
      <c r="E1114" s="114"/>
      <c r="F1114" s="114"/>
      <c r="G1114" s="114"/>
      <c r="H1114" s="114"/>
      <c r="I1114" s="114"/>
      <c r="J1114" s="114"/>
      <c r="K1114" s="117"/>
      <c r="L1114" s="117"/>
      <c r="M1114" s="114"/>
      <c r="N1114" s="114"/>
      <c r="O1114" s="114"/>
    </row>
    <row r="1115" spans="1:15" ht="15.75" customHeight="1" x14ac:dyDescent="0.3">
      <c r="A1115" s="124"/>
      <c r="B1115" s="114"/>
      <c r="C1115" s="125"/>
      <c r="D1115" s="114"/>
      <c r="E1115" s="114"/>
      <c r="F1115" s="114"/>
      <c r="G1115" s="114"/>
      <c r="H1115" s="114"/>
      <c r="I1115" s="114"/>
      <c r="J1115" s="114"/>
      <c r="K1115" s="117"/>
      <c r="L1115" s="117"/>
      <c r="M1115" s="114"/>
      <c r="N1115" s="114"/>
      <c r="O1115" s="114"/>
    </row>
    <row r="1116" spans="1:15" ht="15.75" customHeight="1" x14ac:dyDescent="0.3">
      <c r="A1116" s="124"/>
      <c r="B1116" s="114"/>
      <c r="C1116" s="125"/>
      <c r="D1116" s="114"/>
      <c r="E1116" s="114"/>
      <c r="F1116" s="114"/>
      <c r="G1116" s="114"/>
      <c r="H1116" s="114"/>
      <c r="I1116" s="114"/>
      <c r="J1116" s="114"/>
      <c r="K1116" s="117"/>
      <c r="L1116" s="117"/>
      <c r="M1116" s="114"/>
      <c r="N1116" s="114"/>
      <c r="O1116" s="114"/>
    </row>
    <row r="1117" spans="1:15" ht="15.75" customHeight="1" x14ac:dyDescent="0.3">
      <c r="A1117" s="124"/>
      <c r="B1117" s="114"/>
      <c r="C1117" s="125"/>
      <c r="D1117" s="114"/>
      <c r="E1117" s="114"/>
      <c r="F1117" s="114"/>
      <c r="G1117" s="114"/>
      <c r="H1117" s="114"/>
      <c r="I1117" s="114"/>
      <c r="J1117" s="114"/>
      <c r="K1117" s="117"/>
      <c r="L1117" s="117"/>
      <c r="M1117" s="114"/>
      <c r="N1117" s="114"/>
      <c r="O1117" s="114"/>
    </row>
    <row r="1118" spans="1:15" ht="15.75" customHeight="1" x14ac:dyDescent="0.3">
      <c r="A1118" s="124"/>
      <c r="B1118" s="114"/>
      <c r="C1118" s="125"/>
      <c r="D1118" s="114"/>
      <c r="E1118" s="114"/>
      <c r="F1118" s="114"/>
      <c r="G1118" s="114"/>
      <c r="H1118" s="114"/>
      <c r="I1118" s="114"/>
      <c r="J1118" s="114"/>
      <c r="K1118" s="117"/>
      <c r="L1118" s="117"/>
      <c r="M1118" s="114"/>
      <c r="N1118" s="114"/>
      <c r="O1118" s="114"/>
    </row>
    <row r="1119" spans="1:15" ht="15.75" customHeight="1" x14ac:dyDescent="0.3">
      <c r="A1119" s="124"/>
      <c r="B1119" s="114"/>
      <c r="C1119" s="125"/>
      <c r="D1119" s="114"/>
      <c r="E1119" s="114"/>
      <c r="F1119" s="114"/>
      <c r="G1119" s="114"/>
      <c r="H1119" s="114"/>
      <c r="I1119" s="114"/>
      <c r="J1119" s="114"/>
      <c r="K1119" s="117"/>
      <c r="L1119" s="117"/>
      <c r="M1119" s="114"/>
      <c r="N1119" s="114"/>
      <c r="O1119" s="114"/>
    </row>
    <row r="1120" spans="1:15" ht="15.75" customHeight="1" x14ac:dyDescent="0.3">
      <c r="A1120" s="124"/>
      <c r="B1120" s="114"/>
      <c r="C1120" s="125"/>
      <c r="D1120" s="114"/>
      <c r="E1120" s="114"/>
      <c r="F1120" s="114"/>
      <c r="G1120" s="114"/>
      <c r="H1120" s="114"/>
      <c r="I1120" s="114"/>
      <c r="J1120" s="114"/>
      <c r="K1120" s="117"/>
      <c r="L1120" s="117"/>
      <c r="M1120" s="114"/>
      <c r="N1120" s="114"/>
      <c r="O1120" s="114"/>
    </row>
    <row r="1121" spans="1:15" ht="15.75" customHeight="1" x14ac:dyDescent="0.3">
      <c r="A1121" s="124"/>
      <c r="B1121" s="114"/>
      <c r="C1121" s="125"/>
      <c r="D1121" s="114"/>
      <c r="E1121" s="114"/>
      <c r="F1121" s="114"/>
      <c r="G1121" s="114"/>
      <c r="H1121" s="114"/>
      <c r="I1121" s="114"/>
      <c r="J1121" s="114"/>
      <c r="K1121" s="117"/>
      <c r="L1121" s="117"/>
      <c r="M1121" s="114"/>
      <c r="N1121" s="114"/>
      <c r="O1121" s="114"/>
    </row>
    <row r="1122" spans="1:15" ht="15.75" customHeight="1" x14ac:dyDescent="0.3">
      <c r="A1122" s="124"/>
      <c r="B1122" s="114"/>
      <c r="C1122" s="125"/>
      <c r="D1122" s="114"/>
      <c r="E1122" s="114"/>
      <c r="F1122" s="114"/>
      <c r="G1122" s="114"/>
      <c r="H1122" s="114"/>
      <c r="I1122" s="114"/>
      <c r="J1122" s="114"/>
      <c r="K1122" s="117"/>
      <c r="L1122" s="117"/>
      <c r="M1122" s="114"/>
      <c r="N1122" s="114"/>
      <c r="O1122" s="114"/>
    </row>
    <row r="1123" spans="1:15" ht="15.75" customHeight="1" x14ac:dyDescent="0.3">
      <c r="A1123" s="124"/>
      <c r="B1123" s="114"/>
      <c r="C1123" s="125"/>
      <c r="D1123" s="114"/>
      <c r="E1123" s="114"/>
      <c r="F1123" s="114"/>
      <c r="G1123" s="114"/>
      <c r="H1123" s="114"/>
      <c r="I1123" s="114"/>
      <c r="J1123" s="114"/>
      <c r="K1123" s="117"/>
      <c r="L1123" s="117"/>
      <c r="M1123" s="114"/>
      <c r="N1123" s="114"/>
      <c r="O1123" s="114"/>
    </row>
    <row r="1124" spans="1:15" ht="15.75" customHeight="1" x14ac:dyDescent="0.3">
      <c r="A1124" s="124"/>
      <c r="B1124" s="114"/>
      <c r="C1124" s="125"/>
      <c r="D1124" s="114"/>
      <c r="E1124" s="114"/>
      <c r="F1124" s="114"/>
      <c r="G1124" s="114"/>
      <c r="H1124" s="114"/>
      <c r="I1124" s="114"/>
      <c r="J1124" s="114"/>
      <c r="K1124" s="117"/>
      <c r="L1124" s="117"/>
      <c r="M1124" s="114"/>
      <c r="N1124" s="114"/>
      <c r="O1124" s="114"/>
    </row>
    <row r="1125" spans="1:15" ht="15.75" customHeight="1" x14ac:dyDescent="0.3">
      <c r="A1125" s="124"/>
      <c r="B1125" s="114"/>
      <c r="C1125" s="125"/>
      <c r="D1125" s="114"/>
      <c r="E1125" s="114"/>
      <c r="F1125" s="114"/>
      <c r="G1125" s="114"/>
      <c r="H1125" s="114"/>
      <c r="I1125" s="114"/>
      <c r="J1125" s="114"/>
      <c r="K1125" s="117"/>
      <c r="L1125" s="117"/>
      <c r="M1125" s="114"/>
      <c r="N1125" s="114"/>
      <c r="O1125" s="114"/>
    </row>
    <row r="1126" spans="1:15" ht="15.75" customHeight="1" x14ac:dyDescent="0.3">
      <c r="A1126" s="124"/>
      <c r="B1126" s="114"/>
      <c r="C1126" s="125"/>
      <c r="D1126" s="114"/>
      <c r="E1126" s="114"/>
      <c r="F1126" s="114"/>
      <c r="G1126" s="114"/>
      <c r="H1126" s="114"/>
      <c r="I1126" s="114"/>
      <c r="J1126" s="114"/>
      <c r="K1126" s="117"/>
      <c r="L1126" s="117"/>
      <c r="M1126" s="114"/>
      <c r="N1126" s="114"/>
      <c r="O1126" s="114"/>
    </row>
    <row r="1127" spans="1:15" ht="15.75" customHeight="1" x14ac:dyDescent="0.3">
      <c r="A1127" s="124"/>
      <c r="B1127" s="114"/>
      <c r="C1127" s="125"/>
      <c r="D1127" s="114"/>
      <c r="E1127" s="114"/>
      <c r="F1127" s="114"/>
      <c r="G1127" s="114"/>
      <c r="H1127" s="114"/>
      <c r="I1127" s="114"/>
      <c r="J1127" s="114"/>
      <c r="K1127" s="117"/>
      <c r="L1127" s="117"/>
      <c r="M1127" s="114"/>
      <c r="N1127" s="114"/>
      <c r="O1127" s="114"/>
    </row>
    <row r="1128" spans="1:15" ht="15.75" customHeight="1" x14ac:dyDescent="0.3">
      <c r="A1128" s="124"/>
      <c r="B1128" s="114"/>
      <c r="C1128" s="125"/>
      <c r="D1128" s="114"/>
      <c r="E1128" s="114"/>
      <c r="F1128" s="114"/>
      <c r="G1128" s="114"/>
      <c r="H1128" s="114"/>
      <c r="I1128" s="114"/>
      <c r="J1128" s="114"/>
      <c r="K1128" s="117"/>
      <c r="L1128" s="117"/>
      <c r="M1128" s="114"/>
      <c r="N1128" s="114"/>
      <c r="O1128" s="114"/>
    </row>
    <row r="1129" spans="1:15" ht="15.75" customHeight="1" x14ac:dyDescent="0.3">
      <c r="A1129" s="124"/>
      <c r="B1129" s="114"/>
      <c r="C1129" s="125"/>
      <c r="D1129" s="114"/>
      <c r="E1129" s="114"/>
      <c r="F1129" s="114"/>
      <c r="G1129" s="114"/>
      <c r="H1129" s="114"/>
      <c r="I1129" s="114"/>
      <c r="J1129" s="114"/>
      <c r="K1129" s="117"/>
      <c r="L1129" s="117"/>
      <c r="M1129" s="114"/>
      <c r="N1129" s="114"/>
      <c r="O1129" s="114"/>
    </row>
    <row r="1130" spans="1:15" ht="15.75" customHeight="1" x14ac:dyDescent="0.3">
      <c r="A1130" s="124"/>
      <c r="B1130" s="114"/>
      <c r="C1130" s="125"/>
      <c r="D1130" s="114"/>
      <c r="E1130" s="114"/>
      <c r="F1130" s="114"/>
      <c r="G1130" s="114"/>
      <c r="H1130" s="114"/>
      <c r="I1130" s="114"/>
      <c r="J1130" s="114"/>
      <c r="K1130" s="117"/>
      <c r="L1130" s="117"/>
      <c r="M1130" s="114"/>
      <c r="N1130" s="114"/>
      <c r="O1130" s="114"/>
    </row>
    <row r="1131" spans="1:15" ht="15.75" customHeight="1" x14ac:dyDescent="0.3">
      <c r="A1131" s="124"/>
      <c r="B1131" s="114"/>
      <c r="C1131" s="125"/>
      <c r="D1131" s="114"/>
      <c r="E1131" s="114"/>
      <c r="F1131" s="114"/>
      <c r="G1131" s="114"/>
      <c r="H1131" s="114"/>
      <c r="I1131" s="114"/>
      <c r="J1131" s="114"/>
      <c r="K1131" s="117"/>
      <c r="L1131" s="117"/>
      <c r="M1131" s="114"/>
      <c r="N1131" s="114"/>
      <c r="O1131" s="114"/>
    </row>
    <row r="1132" spans="1:15" ht="15.75" customHeight="1" x14ac:dyDescent="0.3">
      <c r="A1132" s="124"/>
      <c r="B1132" s="114"/>
      <c r="C1132" s="125"/>
      <c r="D1132" s="114"/>
      <c r="E1132" s="114"/>
      <c r="F1132" s="114"/>
      <c r="G1132" s="114"/>
      <c r="H1132" s="114"/>
      <c r="I1132" s="114"/>
      <c r="J1132" s="114"/>
      <c r="K1132" s="117"/>
      <c r="L1132" s="117"/>
      <c r="M1132" s="114"/>
      <c r="N1132" s="114"/>
      <c r="O1132" s="114"/>
    </row>
    <row r="1133" spans="1:15" ht="15.75" customHeight="1" x14ac:dyDescent="0.3">
      <c r="A1133" s="124"/>
      <c r="B1133" s="114"/>
      <c r="C1133" s="125"/>
      <c r="D1133" s="114"/>
      <c r="E1133" s="114"/>
      <c r="F1133" s="114"/>
      <c r="G1133" s="114"/>
      <c r="H1133" s="114"/>
      <c r="I1133" s="114"/>
      <c r="J1133" s="114"/>
      <c r="K1133" s="117"/>
      <c r="L1133" s="117"/>
      <c r="M1133" s="114"/>
      <c r="N1133" s="114"/>
      <c r="O1133" s="114"/>
    </row>
    <row r="1134" spans="1:15" ht="15.75" customHeight="1" x14ac:dyDescent="0.3">
      <c r="A1134" s="124"/>
      <c r="B1134" s="114"/>
      <c r="C1134" s="125"/>
      <c r="D1134" s="114"/>
      <c r="E1134" s="114"/>
      <c r="F1134" s="114"/>
      <c r="G1134" s="114"/>
      <c r="H1134" s="114"/>
      <c r="I1134" s="114"/>
      <c r="J1134" s="114"/>
      <c r="K1134" s="117"/>
      <c r="L1134" s="117"/>
      <c r="M1134" s="114"/>
      <c r="N1134" s="114"/>
      <c r="O1134" s="114"/>
    </row>
    <row r="1135" spans="1:15" ht="15.75" customHeight="1" x14ac:dyDescent="0.3">
      <c r="A1135" s="124"/>
      <c r="B1135" s="114"/>
      <c r="C1135" s="125"/>
      <c r="D1135" s="114"/>
      <c r="E1135" s="114"/>
      <c r="F1135" s="114"/>
      <c r="G1135" s="114"/>
      <c r="H1135" s="114"/>
      <c r="I1135" s="114"/>
      <c r="J1135" s="114"/>
      <c r="K1135" s="117"/>
      <c r="L1135" s="117"/>
      <c r="M1135" s="114"/>
      <c r="N1135" s="114"/>
      <c r="O1135" s="114"/>
    </row>
    <row r="1136" spans="1:15" ht="15.75" customHeight="1" x14ac:dyDescent="0.3">
      <c r="A1136" s="124"/>
      <c r="B1136" s="114"/>
      <c r="C1136" s="125"/>
      <c r="D1136" s="114"/>
      <c r="E1136" s="114"/>
      <c r="F1136" s="114"/>
      <c r="G1136" s="114"/>
      <c r="H1136" s="114"/>
      <c r="I1136" s="114"/>
      <c r="J1136" s="114"/>
      <c r="K1136" s="117"/>
      <c r="L1136" s="117"/>
      <c r="M1136" s="114"/>
      <c r="N1136" s="114"/>
      <c r="O1136" s="114"/>
    </row>
    <row r="1137" spans="1:15" ht="15.75" customHeight="1" x14ac:dyDescent="0.3">
      <c r="A1137" s="124"/>
      <c r="B1137" s="114"/>
      <c r="C1137" s="125"/>
      <c r="D1137" s="114"/>
      <c r="E1137" s="114"/>
      <c r="F1137" s="114"/>
      <c r="G1137" s="114"/>
      <c r="H1137" s="114"/>
      <c r="I1137" s="114"/>
      <c r="J1137" s="114"/>
      <c r="K1137" s="117"/>
      <c r="L1137" s="117"/>
      <c r="M1137" s="114"/>
      <c r="N1137" s="114"/>
      <c r="O1137" s="114"/>
    </row>
    <row r="1138" spans="1:15" ht="15.75" customHeight="1" x14ac:dyDescent="0.3">
      <c r="A1138" s="124"/>
      <c r="B1138" s="114"/>
      <c r="C1138" s="125"/>
      <c r="D1138" s="114"/>
      <c r="E1138" s="114"/>
      <c r="F1138" s="114"/>
      <c r="G1138" s="114"/>
      <c r="H1138" s="114"/>
      <c r="I1138" s="114"/>
      <c r="J1138" s="114"/>
      <c r="K1138" s="117"/>
      <c r="L1138" s="117"/>
      <c r="M1138" s="114"/>
      <c r="N1138" s="114"/>
      <c r="O1138" s="114"/>
    </row>
    <row r="1139" spans="1:15" ht="15.75" customHeight="1" x14ac:dyDescent="0.3">
      <c r="A1139" s="124"/>
      <c r="B1139" s="114"/>
      <c r="C1139" s="125"/>
      <c r="D1139" s="114"/>
      <c r="E1139" s="114"/>
      <c r="F1139" s="114"/>
      <c r="G1139" s="114"/>
      <c r="H1139" s="114"/>
      <c r="I1139" s="114"/>
      <c r="J1139" s="114"/>
      <c r="K1139" s="117"/>
      <c r="L1139" s="117"/>
      <c r="M1139" s="114"/>
      <c r="N1139" s="114"/>
      <c r="O1139" s="114"/>
    </row>
    <row r="1140" spans="1:15" ht="15.75" customHeight="1" x14ac:dyDescent="0.3">
      <c r="A1140" s="124"/>
      <c r="B1140" s="114"/>
      <c r="C1140" s="125"/>
      <c r="D1140" s="114"/>
      <c r="E1140" s="114"/>
      <c r="F1140" s="114"/>
      <c r="G1140" s="114"/>
      <c r="H1140" s="114"/>
      <c r="I1140" s="114"/>
      <c r="J1140" s="114"/>
      <c r="K1140" s="117"/>
      <c r="L1140" s="117"/>
      <c r="M1140" s="114"/>
      <c r="N1140" s="114"/>
      <c r="O1140" s="114"/>
    </row>
    <row r="1141" spans="1:15" ht="15.75" customHeight="1" x14ac:dyDescent="0.3">
      <c r="A1141" s="124"/>
      <c r="B1141" s="114"/>
      <c r="C1141" s="125"/>
      <c r="D1141" s="114"/>
      <c r="E1141" s="114"/>
      <c r="F1141" s="114"/>
      <c r="G1141" s="114"/>
      <c r="H1141" s="114"/>
      <c r="I1141" s="114"/>
      <c r="J1141" s="114"/>
      <c r="K1141" s="117"/>
      <c r="L1141" s="117"/>
      <c r="M1141" s="114"/>
      <c r="N1141" s="114"/>
      <c r="O1141" s="114"/>
    </row>
    <row r="1142" spans="1:15" ht="15.75" customHeight="1" x14ac:dyDescent="0.3">
      <c r="A1142" s="124"/>
      <c r="B1142" s="114"/>
      <c r="C1142" s="125"/>
      <c r="D1142" s="114"/>
      <c r="E1142" s="114"/>
      <c r="F1142" s="114"/>
      <c r="G1142" s="114"/>
      <c r="H1142" s="114"/>
      <c r="I1142" s="114"/>
      <c r="J1142" s="114"/>
      <c r="K1142" s="117"/>
      <c r="L1142" s="117"/>
      <c r="M1142" s="114"/>
      <c r="N1142" s="114"/>
      <c r="O1142" s="114"/>
    </row>
    <row r="1143" spans="1:15" ht="15.75" customHeight="1" x14ac:dyDescent="0.3">
      <c r="A1143" s="124"/>
      <c r="B1143" s="114"/>
      <c r="C1143" s="125"/>
      <c r="D1143" s="114"/>
      <c r="E1143" s="114"/>
      <c r="F1143" s="114"/>
      <c r="G1143" s="114"/>
      <c r="H1143" s="114"/>
      <c r="I1143" s="114"/>
      <c r="J1143" s="114"/>
      <c r="K1143" s="117"/>
      <c r="L1143" s="117"/>
      <c r="M1143" s="114"/>
      <c r="N1143" s="114"/>
      <c r="O1143" s="114"/>
    </row>
    <row r="1144" spans="1:15" ht="15.75" customHeight="1" x14ac:dyDescent="0.3">
      <c r="A1144" s="124"/>
      <c r="B1144" s="114"/>
      <c r="C1144" s="125"/>
      <c r="D1144" s="114"/>
      <c r="E1144" s="114"/>
      <c r="F1144" s="114"/>
      <c r="G1144" s="114"/>
      <c r="H1144" s="114"/>
      <c r="I1144" s="114"/>
      <c r="J1144" s="114"/>
      <c r="K1144" s="117"/>
      <c r="L1144" s="117"/>
      <c r="M1144" s="114"/>
      <c r="N1144" s="114"/>
      <c r="O1144" s="114"/>
    </row>
    <row r="1145" spans="1:15" ht="15.75" customHeight="1" x14ac:dyDescent="0.3">
      <c r="A1145" s="124"/>
      <c r="B1145" s="114"/>
      <c r="C1145" s="125"/>
      <c r="D1145" s="114"/>
      <c r="E1145" s="114"/>
      <c r="F1145" s="114"/>
      <c r="G1145" s="114"/>
      <c r="H1145" s="114"/>
      <c r="I1145" s="114"/>
      <c r="J1145" s="114"/>
      <c r="K1145" s="117"/>
      <c r="L1145" s="117"/>
      <c r="M1145" s="114"/>
      <c r="N1145" s="114"/>
      <c r="O1145" s="114"/>
    </row>
    <row r="1146" spans="1:15" ht="15.75" customHeight="1" x14ac:dyDescent="0.3">
      <c r="A1146" s="124"/>
      <c r="B1146" s="114"/>
      <c r="C1146" s="125"/>
      <c r="D1146" s="114"/>
      <c r="E1146" s="114"/>
      <c r="F1146" s="114"/>
      <c r="G1146" s="114"/>
      <c r="H1146" s="114"/>
      <c r="I1146" s="114"/>
      <c r="J1146" s="114"/>
      <c r="K1146" s="117"/>
      <c r="L1146" s="117"/>
      <c r="M1146" s="114"/>
      <c r="N1146" s="114"/>
      <c r="O1146" s="114"/>
    </row>
    <row r="1147" spans="1:15" ht="15.75" customHeight="1" x14ac:dyDescent="0.3">
      <c r="A1147" s="124"/>
      <c r="B1147" s="114"/>
      <c r="C1147" s="125"/>
      <c r="D1147" s="114"/>
      <c r="E1147" s="114"/>
      <c r="F1147" s="114"/>
      <c r="G1147" s="114"/>
      <c r="H1147" s="114"/>
      <c r="I1147" s="114"/>
      <c r="J1147" s="114"/>
      <c r="K1147" s="117"/>
      <c r="L1147" s="117"/>
      <c r="M1147" s="114"/>
      <c r="N1147" s="114"/>
      <c r="O1147" s="114"/>
    </row>
    <row r="1148" spans="1:15" ht="15.75" customHeight="1" x14ac:dyDescent="0.3">
      <c r="A1148" s="124"/>
      <c r="B1148" s="114"/>
      <c r="C1148" s="125"/>
      <c r="D1148" s="114"/>
      <c r="E1148" s="114"/>
      <c r="F1148" s="114"/>
      <c r="G1148" s="114"/>
      <c r="H1148" s="114"/>
      <c r="I1148" s="114"/>
      <c r="J1148" s="114"/>
      <c r="K1148" s="117"/>
      <c r="L1148" s="117"/>
      <c r="M1148" s="114"/>
      <c r="N1148" s="114"/>
      <c r="O1148" s="114"/>
    </row>
    <row r="1149" spans="1:15" ht="15.75" customHeight="1" x14ac:dyDescent="0.3">
      <c r="A1149" s="124"/>
      <c r="B1149" s="114"/>
      <c r="C1149" s="125"/>
      <c r="D1149" s="114"/>
      <c r="E1149" s="114"/>
      <c r="F1149" s="114"/>
      <c r="G1149" s="114"/>
      <c r="H1149" s="114"/>
      <c r="I1149" s="114"/>
      <c r="J1149" s="114"/>
      <c r="K1149" s="117"/>
      <c r="L1149" s="117"/>
      <c r="M1149" s="114"/>
      <c r="N1149" s="114"/>
      <c r="O1149" s="114"/>
    </row>
    <row r="1150" spans="1:15" ht="15.75" customHeight="1" x14ac:dyDescent="0.3">
      <c r="A1150" s="124"/>
      <c r="B1150" s="114"/>
      <c r="C1150" s="125"/>
      <c r="D1150" s="114"/>
      <c r="E1150" s="114"/>
      <c r="F1150" s="114"/>
      <c r="G1150" s="114"/>
      <c r="H1150" s="114"/>
      <c r="I1150" s="114"/>
      <c r="J1150" s="114"/>
      <c r="K1150" s="117"/>
      <c r="L1150" s="117"/>
      <c r="M1150" s="114"/>
      <c r="N1150" s="114"/>
      <c r="O1150" s="114"/>
    </row>
    <row r="1151" spans="1:15" ht="15.75" customHeight="1" x14ac:dyDescent="0.3">
      <c r="A1151" s="124"/>
      <c r="B1151" s="114"/>
      <c r="C1151" s="125"/>
      <c r="D1151" s="114"/>
      <c r="E1151" s="114"/>
      <c r="F1151" s="114"/>
      <c r="G1151" s="114"/>
      <c r="H1151" s="114"/>
      <c r="I1151" s="114"/>
      <c r="J1151" s="114"/>
      <c r="K1151" s="117"/>
      <c r="L1151" s="117"/>
      <c r="M1151" s="114"/>
      <c r="N1151" s="114"/>
      <c r="O1151" s="114"/>
    </row>
    <row r="1152" spans="1:15" ht="15.75" customHeight="1" x14ac:dyDescent="0.3">
      <c r="A1152" s="124"/>
      <c r="B1152" s="114"/>
      <c r="C1152" s="125"/>
      <c r="D1152" s="114"/>
      <c r="E1152" s="114"/>
      <c r="F1152" s="114"/>
      <c r="G1152" s="114"/>
      <c r="H1152" s="114"/>
      <c r="I1152" s="114"/>
      <c r="J1152" s="114"/>
      <c r="K1152" s="117"/>
      <c r="L1152" s="117"/>
      <c r="M1152" s="114"/>
      <c r="N1152" s="114"/>
      <c r="O1152" s="114"/>
    </row>
    <row r="1153" spans="1:15" ht="15.75" customHeight="1" x14ac:dyDescent="0.3">
      <c r="A1153" s="124"/>
      <c r="B1153" s="114"/>
      <c r="C1153" s="125"/>
      <c r="D1153" s="114"/>
      <c r="E1153" s="114"/>
      <c r="F1153" s="114"/>
      <c r="G1153" s="114"/>
      <c r="H1153" s="114"/>
      <c r="I1153" s="114"/>
      <c r="J1153" s="114"/>
      <c r="K1153" s="117"/>
      <c r="L1153" s="117"/>
      <c r="M1153" s="114"/>
      <c r="N1153" s="114"/>
      <c r="O1153" s="114"/>
    </row>
    <row r="1154" spans="1:15" ht="15.75" customHeight="1" x14ac:dyDescent="0.3">
      <c r="A1154" s="124"/>
      <c r="B1154" s="114"/>
      <c r="C1154" s="125"/>
      <c r="D1154" s="114"/>
      <c r="E1154" s="114"/>
      <c r="F1154" s="114"/>
      <c r="G1154" s="114"/>
      <c r="H1154" s="114"/>
      <c r="I1154" s="114"/>
      <c r="J1154" s="114"/>
      <c r="K1154" s="117"/>
      <c r="L1154" s="117"/>
      <c r="M1154" s="114"/>
      <c r="N1154" s="114"/>
      <c r="O1154" s="114"/>
    </row>
    <row r="1155" spans="1:15" ht="15.75" customHeight="1" x14ac:dyDescent="0.3">
      <c r="A1155" s="124"/>
      <c r="B1155" s="114"/>
      <c r="C1155" s="125"/>
      <c r="D1155" s="114"/>
      <c r="E1155" s="114"/>
      <c r="F1155" s="114"/>
      <c r="G1155" s="114"/>
      <c r="H1155" s="114"/>
      <c r="I1155" s="114"/>
      <c r="J1155" s="114"/>
      <c r="K1155" s="117"/>
      <c r="L1155" s="117"/>
      <c r="M1155" s="114"/>
      <c r="N1155" s="114"/>
      <c r="O1155" s="114"/>
    </row>
    <row r="1156" spans="1:15" ht="15.75" customHeight="1" x14ac:dyDescent="0.3">
      <c r="A1156" s="124"/>
      <c r="B1156" s="114"/>
      <c r="C1156" s="125"/>
      <c r="D1156" s="114"/>
      <c r="E1156" s="114"/>
      <c r="F1156" s="114"/>
      <c r="G1156" s="114"/>
      <c r="H1156" s="114"/>
      <c r="I1156" s="114"/>
      <c r="J1156" s="114"/>
      <c r="K1156" s="117"/>
      <c r="L1156" s="117"/>
      <c r="M1156" s="114"/>
      <c r="N1156" s="114"/>
      <c r="O1156" s="114"/>
    </row>
    <row r="1157" spans="1:15" ht="15.75" customHeight="1" x14ac:dyDescent="0.3">
      <c r="A1157" s="124"/>
      <c r="B1157" s="114"/>
      <c r="C1157" s="125"/>
      <c r="D1157" s="114"/>
      <c r="E1157" s="114"/>
      <c r="F1157" s="114"/>
      <c r="G1157" s="114"/>
      <c r="H1157" s="114"/>
      <c r="I1157" s="114"/>
      <c r="J1157" s="114"/>
      <c r="K1157" s="117"/>
      <c r="L1157" s="117"/>
      <c r="M1157" s="114"/>
      <c r="N1157" s="114"/>
      <c r="O1157" s="114"/>
    </row>
    <row r="1158" spans="1:15" ht="15.75" customHeight="1" x14ac:dyDescent="0.3">
      <c r="A1158" s="124"/>
      <c r="B1158" s="114"/>
      <c r="C1158" s="125"/>
      <c r="D1158" s="114"/>
      <c r="E1158" s="114"/>
      <c r="F1158" s="114"/>
      <c r="G1158" s="114"/>
      <c r="H1158" s="114"/>
      <c r="I1158" s="114"/>
      <c r="J1158" s="114"/>
      <c r="K1158" s="117"/>
      <c r="L1158" s="117"/>
      <c r="M1158" s="114"/>
      <c r="N1158" s="114"/>
      <c r="O1158" s="114"/>
    </row>
    <row r="1159" spans="1:15" ht="15.75" customHeight="1" x14ac:dyDescent="0.3">
      <c r="A1159" s="124"/>
      <c r="B1159" s="114"/>
      <c r="C1159" s="125"/>
      <c r="D1159" s="114"/>
      <c r="E1159" s="114"/>
      <c r="F1159" s="114"/>
      <c r="G1159" s="114"/>
      <c r="H1159" s="114"/>
      <c r="I1159" s="114"/>
      <c r="J1159" s="114"/>
      <c r="K1159" s="117"/>
      <c r="L1159" s="117"/>
      <c r="M1159" s="114"/>
      <c r="N1159" s="114"/>
      <c r="O1159" s="114"/>
    </row>
    <row r="1160" spans="1:15" ht="15.75" customHeight="1" x14ac:dyDescent="0.3">
      <c r="A1160" s="124"/>
      <c r="B1160" s="114"/>
      <c r="C1160" s="125"/>
      <c r="D1160" s="114"/>
      <c r="E1160" s="114"/>
      <c r="F1160" s="114"/>
      <c r="G1160" s="114"/>
      <c r="H1160" s="114"/>
      <c r="I1160" s="114"/>
      <c r="J1160" s="114"/>
      <c r="K1160" s="117"/>
      <c r="L1160" s="117"/>
      <c r="M1160" s="114"/>
      <c r="N1160" s="114"/>
      <c r="O1160" s="114"/>
    </row>
    <row r="1161" spans="1:15" ht="15.75" customHeight="1" x14ac:dyDescent="0.3">
      <c r="A1161" s="124"/>
      <c r="B1161" s="114"/>
      <c r="C1161" s="125"/>
      <c r="D1161" s="114"/>
      <c r="E1161" s="114"/>
      <c r="F1161" s="114"/>
      <c r="G1161" s="114"/>
      <c r="H1161" s="114"/>
      <c r="I1161" s="114"/>
      <c r="J1161" s="114"/>
      <c r="K1161" s="117"/>
      <c r="L1161" s="117"/>
      <c r="M1161" s="114"/>
      <c r="N1161" s="114"/>
      <c r="O1161" s="114"/>
    </row>
    <row r="1162" spans="1:15" ht="15.75" customHeight="1" x14ac:dyDescent="0.3">
      <c r="A1162" s="124"/>
      <c r="B1162" s="114"/>
      <c r="C1162" s="125"/>
      <c r="D1162" s="114"/>
      <c r="E1162" s="114"/>
      <c r="F1162" s="114"/>
      <c r="G1162" s="114"/>
      <c r="H1162" s="114"/>
      <c r="I1162" s="114"/>
      <c r="J1162" s="114"/>
      <c r="K1162" s="117"/>
      <c r="L1162" s="117"/>
      <c r="M1162" s="114"/>
      <c r="N1162" s="114"/>
      <c r="O1162" s="114"/>
    </row>
    <row r="1163" spans="1:15" ht="15.75" customHeight="1" x14ac:dyDescent="0.3">
      <c r="A1163" s="124"/>
      <c r="B1163" s="114"/>
      <c r="C1163" s="125"/>
      <c r="D1163" s="114"/>
      <c r="E1163" s="114"/>
      <c r="F1163" s="114"/>
      <c r="G1163" s="114"/>
      <c r="H1163" s="114"/>
      <c r="I1163" s="114"/>
      <c r="J1163" s="114"/>
      <c r="K1163" s="117"/>
      <c r="L1163" s="117"/>
      <c r="M1163" s="114"/>
      <c r="N1163" s="114"/>
      <c r="O1163" s="114"/>
    </row>
    <row r="1164" spans="1:15" ht="15.75" customHeight="1" x14ac:dyDescent="0.3">
      <c r="A1164" s="124"/>
      <c r="B1164" s="114"/>
      <c r="C1164" s="125"/>
      <c r="D1164" s="114"/>
      <c r="E1164" s="114"/>
      <c r="F1164" s="114"/>
      <c r="G1164" s="114"/>
      <c r="H1164" s="114"/>
      <c r="I1164" s="114"/>
      <c r="J1164" s="114"/>
      <c r="K1164" s="117"/>
      <c r="L1164" s="117"/>
      <c r="M1164" s="114"/>
      <c r="N1164" s="114"/>
      <c r="O1164" s="114"/>
    </row>
    <row r="1165" spans="1:15" ht="15.75" customHeight="1" x14ac:dyDescent="0.3">
      <c r="A1165" s="124"/>
      <c r="B1165" s="114"/>
      <c r="C1165" s="125"/>
      <c r="D1165" s="114"/>
      <c r="E1165" s="114"/>
      <c r="F1165" s="114"/>
      <c r="G1165" s="114"/>
      <c r="H1165" s="114"/>
      <c r="I1165" s="114"/>
      <c r="J1165" s="114"/>
      <c r="K1165" s="117"/>
      <c r="L1165" s="117"/>
      <c r="M1165" s="114"/>
      <c r="N1165" s="114"/>
      <c r="O1165" s="114"/>
    </row>
    <row r="1166" spans="1:15" ht="15.75" customHeight="1" x14ac:dyDescent="0.3">
      <c r="A1166" s="124"/>
      <c r="B1166" s="114"/>
      <c r="C1166" s="125"/>
      <c r="D1166" s="114"/>
      <c r="E1166" s="114"/>
      <c r="F1166" s="114"/>
      <c r="G1166" s="114"/>
      <c r="H1166" s="114"/>
      <c r="I1166" s="114"/>
      <c r="J1166" s="114"/>
      <c r="K1166" s="117"/>
      <c r="L1166" s="117"/>
      <c r="M1166" s="114"/>
      <c r="N1166" s="114"/>
      <c r="O1166" s="114"/>
    </row>
    <row r="1167" spans="1:15" ht="15.75" customHeight="1" x14ac:dyDescent="0.3">
      <c r="A1167" s="124"/>
      <c r="B1167" s="114"/>
      <c r="C1167" s="125"/>
      <c r="D1167" s="114"/>
      <c r="E1167" s="114"/>
      <c r="F1167" s="114"/>
      <c r="G1167" s="114"/>
      <c r="H1167" s="114"/>
      <c r="I1167" s="114"/>
      <c r="J1167" s="114"/>
      <c r="K1167" s="117"/>
      <c r="L1167" s="117"/>
      <c r="M1167" s="114"/>
      <c r="N1167" s="114"/>
      <c r="O1167" s="114"/>
    </row>
    <row r="1168" spans="1:15" ht="15.75" customHeight="1" x14ac:dyDescent="0.3">
      <c r="A1168" s="124"/>
      <c r="B1168" s="114"/>
      <c r="C1168" s="125"/>
      <c r="D1168" s="114"/>
      <c r="E1168" s="114"/>
      <c r="F1168" s="114"/>
      <c r="G1168" s="114"/>
      <c r="H1168" s="114"/>
      <c r="I1168" s="114"/>
      <c r="J1168" s="114"/>
      <c r="K1168" s="117"/>
      <c r="L1168" s="117"/>
      <c r="M1168" s="114"/>
      <c r="N1168" s="114"/>
      <c r="O1168" s="114"/>
    </row>
    <row r="1169" spans="1:15" ht="15.75" customHeight="1" x14ac:dyDescent="0.3">
      <c r="A1169" s="124"/>
      <c r="B1169" s="114"/>
      <c r="C1169" s="125"/>
      <c r="D1169" s="114"/>
      <c r="E1169" s="114"/>
      <c r="F1169" s="114"/>
      <c r="G1169" s="114"/>
      <c r="H1169" s="114"/>
      <c r="I1169" s="114"/>
      <c r="J1169" s="114"/>
      <c r="K1169" s="117"/>
      <c r="L1169" s="117"/>
      <c r="M1169" s="114"/>
      <c r="N1169" s="114"/>
      <c r="O1169" s="114"/>
    </row>
    <row r="1170" spans="1:15" ht="15.75" customHeight="1" x14ac:dyDescent="0.3">
      <c r="A1170" s="124"/>
      <c r="B1170" s="114"/>
      <c r="C1170" s="125"/>
      <c r="D1170" s="114"/>
      <c r="E1170" s="114"/>
      <c r="F1170" s="114"/>
      <c r="G1170" s="114"/>
      <c r="H1170" s="114"/>
      <c r="I1170" s="114"/>
      <c r="J1170" s="114"/>
      <c r="K1170" s="117"/>
      <c r="L1170" s="117"/>
      <c r="M1170" s="114"/>
      <c r="N1170" s="114"/>
      <c r="O1170" s="114"/>
    </row>
    <row r="1171" spans="1:15" ht="15.75" customHeight="1" x14ac:dyDescent="0.3">
      <c r="A1171" s="124"/>
      <c r="B1171" s="114"/>
      <c r="C1171" s="125"/>
      <c r="D1171" s="114"/>
      <c r="E1171" s="114"/>
      <c r="F1171" s="114"/>
      <c r="G1171" s="114"/>
      <c r="H1171" s="114"/>
      <c r="I1171" s="114"/>
      <c r="J1171" s="114"/>
      <c r="K1171" s="117"/>
      <c r="L1171" s="117"/>
      <c r="M1171" s="114"/>
      <c r="N1171" s="114"/>
      <c r="O1171" s="114"/>
    </row>
    <row r="1172" spans="1:15" ht="15.75" customHeight="1" x14ac:dyDescent="0.3">
      <c r="A1172" s="124"/>
      <c r="B1172" s="114"/>
      <c r="C1172" s="125"/>
      <c r="D1172" s="114"/>
      <c r="E1172" s="114"/>
      <c r="F1172" s="114"/>
      <c r="G1172" s="114"/>
      <c r="H1172" s="114"/>
      <c r="I1172" s="114"/>
      <c r="J1172" s="114"/>
      <c r="K1172" s="117"/>
      <c r="L1172" s="117"/>
      <c r="M1172" s="114"/>
      <c r="N1172" s="114"/>
      <c r="O1172" s="114"/>
    </row>
    <row r="1173" spans="1:15" ht="15.75" customHeight="1" x14ac:dyDescent="0.3">
      <c r="A1173" s="124"/>
      <c r="B1173" s="114"/>
      <c r="C1173" s="125"/>
      <c r="D1173" s="114"/>
      <c r="E1173" s="114"/>
      <c r="F1173" s="114"/>
      <c r="G1173" s="114"/>
      <c r="H1173" s="114"/>
      <c r="I1173" s="114"/>
      <c r="J1173" s="114"/>
      <c r="K1173" s="117"/>
      <c r="L1173" s="117"/>
      <c r="M1173" s="114"/>
      <c r="N1173" s="114"/>
      <c r="O1173" s="114"/>
    </row>
    <row r="1174" spans="1:15" ht="15.75" customHeight="1" x14ac:dyDescent="0.3">
      <c r="A1174" s="124"/>
      <c r="B1174" s="114"/>
      <c r="C1174" s="125"/>
      <c r="D1174" s="114"/>
      <c r="E1174" s="114"/>
      <c r="F1174" s="114"/>
      <c r="G1174" s="114"/>
      <c r="H1174" s="114"/>
      <c r="I1174" s="114"/>
      <c r="J1174" s="114"/>
      <c r="K1174" s="117"/>
      <c r="L1174" s="117"/>
      <c r="M1174" s="114"/>
      <c r="N1174" s="114"/>
      <c r="O1174" s="114"/>
    </row>
    <row r="1175" spans="1:15" ht="15.75" customHeight="1" x14ac:dyDescent="0.3">
      <c r="A1175" s="124"/>
      <c r="B1175" s="114"/>
      <c r="C1175" s="125"/>
      <c r="D1175" s="114"/>
      <c r="E1175" s="114"/>
      <c r="F1175" s="114"/>
      <c r="G1175" s="114"/>
      <c r="H1175" s="114"/>
      <c r="I1175" s="114"/>
      <c r="J1175" s="114"/>
      <c r="K1175" s="117"/>
      <c r="L1175" s="117"/>
      <c r="M1175" s="114"/>
      <c r="N1175" s="114"/>
      <c r="O1175" s="114"/>
    </row>
    <row r="1176" spans="1:15" ht="15.75" customHeight="1" x14ac:dyDescent="0.3">
      <c r="A1176" s="124"/>
      <c r="B1176" s="114"/>
      <c r="C1176" s="125"/>
      <c r="D1176" s="114"/>
      <c r="E1176" s="114"/>
      <c r="F1176" s="114"/>
      <c r="G1176" s="114"/>
      <c r="H1176" s="114"/>
      <c r="I1176" s="114"/>
      <c r="J1176" s="114"/>
      <c r="K1176" s="117"/>
      <c r="L1176" s="117"/>
      <c r="M1176" s="114"/>
      <c r="N1176" s="114"/>
      <c r="O1176" s="114"/>
    </row>
    <row r="1177" spans="1:15" ht="15.75" customHeight="1" x14ac:dyDescent="0.3">
      <c r="A1177" s="124"/>
      <c r="B1177" s="114"/>
      <c r="C1177" s="125"/>
      <c r="D1177" s="114"/>
      <c r="E1177" s="114"/>
      <c r="F1177" s="114"/>
      <c r="G1177" s="114"/>
      <c r="H1177" s="114"/>
      <c r="I1177" s="114"/>
      <c r="J1177" s="114"/>
      <c r="K1177" s="117"/>
      <c r="L1177" s="117"/>
      <c r="M1177" s="114"/>
      <c r="N1177" s="114"/>
      <c r="O1177" s="114"/>
    </row>
    <row r="1178" spans="1:15" ht="15.75" customHeight="1" x14ac:dyDescent="0.3">
      <c r="A1178" s="124"/>
      <c r="B1178" s="114"/>
      <c r="C1178" s="125"/>
      <c r="D1178" s="114"/>
      <c r="E1178" s="114"/>
      <c r="F1178" s="114"/>
      <c r="G1178" s="114"/>
      <c r="H1178" s="114"/>
      <c r="I1178" s="114"/>
      <c r="J1178" s="114"/>
      <c r="K1178" s="117"/>
      <c r="L1178" s="117"/>
      <c r="M1178" s="114"/>
      <c r="N1178" s="114"/>
      <c r="O1178" s="114"/>
    </row>
    <row r="1179" spans="1:15" ht="15.75" customHeight="1" x14ac:dyDescent="0.3">
      <c r="A1179" s="124"/>
      <c r="B1179" s="114"/>
      <c r="C1179" s="125"/>
      <c r="D1179" s="114"/>
      <c r="E1179" s="114"/>
      <c r="F1179" s="114"/>
      <c r="G1179" s="114"/>
      <c r="H1179" s="114"/>
      <c r="I1179" s="114"/>
      <c r="J1179" s="114"/>
      <c r="K1179" s="117"/>
      <c r="L1179" s="117"/>
      <c r="M1179" s="114"/>
      <c r="N1179" s="114"/>
      <c r="O1179" s="114"/>
    </row>
    <row r="1180" spans="1:15" ht="15.75" customHeight="1" x14ac:dyDescent="0.3">
      <c r="A1180" s="124"/>
      <c r="B1180" s="114"/>
      <c r="C1180" s="125"/>
      <c r="D1180" s="114"/>
      <c r="E1180" s="114"/>
      <c r="F1180" s="114"/>
      <c r="G1180" s="114"/>
      <c r="H1180" s="114"/>
      <c r="I1180" s="114"/>
      <c r="J1180" s="114"/>
      <c r="K1180" s="117"/>
      <c r="L1180" s="117"/>
      <c r="M1180" s="114"/>
      <c r="N1180" s="114"/>
      <c r="O1180" s="114"/>
    </row>
    <row r="1181" spans="1:15" ht="15.75" customHeight="1" x14ac:dyDescent="0.3">
      <c r="A1181" s="124"/>
      <c r="B1181" s="114"/>
      <c r="C1181" s="125"/>
      <c r="D1181" s="114"/>
      <c r="E1181" s="114"/>
      <c r="F1181" s="114"/>
      <c r="G1181" s="114"/>
      <c r="H1181" s="114"/>
      <c r="I1181" s="114"/>
      <c r="J1181" s="114"/>
      <c r="K1181" s="117"/>
      <c r="L1181" s="117"/>
      <c r="M1181" s="114"/>
      <c r="N1181" s="114"/>
      <c r="O1181" s="114"/>
    </row>
    <row r="1182" spans="1:15" ht="15.75" customHeight="1" x14ac:dyDescent="0.3">
      <c r="A1182" s="124"/>
      <c r="B1182" s="114"/>
      <c r="C1182" s="125"/>
      <c r="D1182" s="114"/>
      <c r="E1182" s="114"/>
      <c r="F1182" s="114"/>
      <c r="G1182" s="114"/>
      <c r="H1182" s="114"/>
      <c r="I1182" s="114"/>
      <c r="J1182" s="114"/>
      <c r="K1182" s="117"/>
      <c r="L1182" s="117"/>
      <c r="M1182" s="114"/>
      <c r="N1182" s="114"/>
      <c r="O1182" s="114"/>
    </row>
    <row r="1183" spans="1:15" ht="15.75" customHeight="1" x14ac:dyDescent="0.3">
      <c r="A1183" s="124"/>
      <c r="B1183" s="114"/>
      <c r="C1183" s="125"/>
      <c r="D1183" s="114"/>
      <c r="E1183" s="114"/>
      <c r="F1183" s="114"/>
      <c r="G1183" s="114"/>
      <c r="H1183" s="114"/>
      <c r="I1183" s="114"/>
      <c r="J1183" s="114"/>
      <c r="K1183" s="117"/>
      <c r="L1183" s="117"/>
      <c r="M1183" s="114"/>
      <c r="N1183" s="114"/>
      <c r="O1183" s="114"/>
    </row>
    <row r="1184" spans="1:15" ht="15.75" customHeight="1" x14ac:dyDescent="0.3">
      <c r="A1184" s="124"/>
      <c r="B1184" s="114"/>
      <c r="C1184" s="125"/>
      <c r="D1184" s="114"/>
      <c r="E1184" s="114"/>
      <c r="F1184" s="114"/>
      <c r="G1184" s="114"/>
      <c r="H1184" s="114"/>
      <c r="I1184" s="114"/>
      <c r="J1184" s="114"/>
      <c r="K1184" s="117"/>
      <c r="L1184" s="117"/>
      <c r="M1184" s="114"/>
      <c r="N1184" s="114"/>
      <c r="O1184" s="114"/>
    </row>
    <row r="1185" spans="1:15" ht="15.75" customHeight="1" x14ac:dyDescent="0.3">
      <c r="A1185" s="124"/>
      <c r="B1185" s="114"/>
      <c r="C1185" s="125"/>
      <c r="D1185" s="114"/>
      <c r="E1185" s="114"/>
      <c r="F1185" s="114"/>
      <c r="G1185" s="114"/>
      <c r="H1185" s="114"/>
      <c r="I1185" s="114"/>
      <c r="J1185" s="114"/>
      <c r="K1185" s="117"/>
      <c r="L1185" s="117"/>
      <c r="M1185" s="114"/>
      <c r="N1185" s="114"/>
      <c r="O1185" s="114"/>
    </row>
    <row r="1186" spans="1:15" ht="15.75" customHeight="1" x14ac:dyDescent="0.3">
      <c r="A1186" s="124"/>
      <c r="B1186" s="114"/>
      <c r="C1186" s="125"/>
      <c r="D1186" s="114"/>
      <c r="E1186" s="114"/>
      <c r="F1186" s="114"/>
      <c r="G1186" s="114"/>
      <c r="H1186" s="114"/>
      <c r="I1186" s="114"/>
      <c r="J1186" s="114"/>
      <c r="K1186" s="117"/>
      <c r="L1186" s="117"/>
      <c r="M1186" s="114"/>
      <c r="N1186" s="114"/>
      <c r="O1186" s="114"/>
    </row>
    <row r="1187" spans="1:15" ht="15.75" customHeight="1" x14ac:dyDescent="0.3">
      <c r="A1187" s="124"/>
      <c r="B1187" s="114"/>
      <c r="C1187" s="125"/>
      <c r="D1187" s="114"/>
      <c r="E1187" s="114"/>
      <c r="F1187" s="114"/>
      <c r="G1187" s="114"/>
      <c r="H1187" s="114"/>
      <c r="I1187" s="114"/>
      <c r="J1187" s="114"/>
      <c r="K1187" s="117"/>
      <c r="L1187" s="117"/>
      <c r="M1187" s="114"/>
      <c r="N1187" s="114"/>
      <c r="O1187" s="114"/>
    </row>
    <row r="1188" spans="1:15" ht="15.75" customHeight="1" x14ac:dyDescent="0.3">
      <c r="A1188" s="124"/>
      <c r="B1188" s="114"/>
      <c r="C1188" s="125"/>
      <c r="D1188" s="114"/>
      <c r="E1188" s="114"/>
      <c r="F1188" s="114"/>
      <c r="G1188" s="114"/>
      <c r="H1188" s="114"/>
      <c r="I1188" s="114"/>
      <c r="J1188" s="114"/>
      <c r="K1188" s="117"/>
      <c r="L1188" s="117"/>
      <c r="M1188" s="114"/>
      <c r="N1188" s="114"/>
      <c r="O1188" s="114"/>
    </row>
    <row r="1189" spans="1:15" ht="15.75" customHeight="1" x14ac:dyDescent="0.3">
      <c r="A1189" s="124"/>
      <c r="B1189" s="114"/>
      <c r="C1189" s="125"/>
      <c r="D1189" s="114"/>
      <c r="E1189" s="114"/>
      <c r="F1189" s="114"/>
      <c r="G1189" s="114"/>
      <c r="H1189" s="114"/>
      <c r="I1189" s="114"/>
      <c r="J1189" s="114"/>
      <c r="K1189" s="117"/>
      <c r="L1189" s="117"/>
      <c r="M1189" s="114"/>
      <c r="N1189" s="114"/>
      <c r="O1189" s="114"/>
    </row>
    <row r="1190" spans="1:15" ht="15.75" customHeight="1" x14ac:dyDescent="0.3">
      <c r="A1190" s="124"/>
      <c r="B1190" s="114"/>
      <c r="C1190" s="125"/>
      <c r="D1190" s="114"/>
      <c r="E1190" s="114"/>
      <c r="F1190" s="114"/>
      <c r="G1190" s="114"/>
      <c r="H1190" s="114"/>
      <c r="I1190" s="114"/>
      <c r="J1190" s="114"/>
      <c r="K1190" s="117"/>
      <c r="L1190" s="117"/>
      <c r="M1190" s="114"/>
      <c r="N1190" s="114"/>
      <c r="O1190" s="114"/>
    </row>
    <row r="1191" spans="1:15" ht="15.75" customHeight="1" x14ac:dyDescent="0.3">
      <c r="A1191" s="124"/>
      <c r="B1191" s="114"/>
      <c r="C1191" s="125"/>
      <c r="D1191" s="114"/>
      <c r="E1191" s="114"/>
      <c r="F1191" s="114"/>
      <c r="G1191" s="114"/>
      <c r="H1191" s="114"/>
      <c r="I1191" s="114"/>
      <c r="J1191" s="114"/>
      <c r="K1191" s="117"/>
      <c r="L1191" s="117"/>
      <c r="M1191" s="114"/>
      <c r="N1191" s="114"/>
      <c r="O1191" s="114"/>
    </row>
    <row r="1192" spans="1:15" ht="15.75" customHeight="1" x14ac:dyDescent="0.3">
      <c r="A1192" s="124"/>
      <c r="B1192" s="114"/>
      <c r="C1192" s="125"/>
      <c r="D1192" s="114"/>
      <c r="E1192" s="114"/>
      <c r="F1192" s="114"/>
      <c r="G1192" s="114"/>
      <c r="H1192" s="114"/>
      <c r="I1192" s="114"/>
      <c r="J1192" s="114"/>
      <c r="K1192" s="117"/>
      <c r="L1192" s="117"/>
      <c r="M1192" s="114"/>
      <c r="N1192" s="114"/>
      <c r="O1192" s="114"/>
    </row>
    <row r="1193" spans="1:15" ht="15.75" customHeight="1" x14ac:dyDescent="0.3">
      <c r="A1193" s="124"/>
      <c r="B1193" s="114"/>
      <c r="C1193" s="125"/>
      <c r="D1193" s="114"/>
      <c r="E1193" s="114"/>
      <c r="F1193" s="114"/>
      <c r="G1193" s="114"/>
      <c r="H1193" s="114"/>
      <c r="I1193" s="114"/>
      <c r="J1193" s="114"/>
      <c r="K1193" s="117"/>
      <c r="L1193" s="117"/>
      <c r="M1193" s="114"/>
      <c r="N1193" s="114"/>
      <c r="O1193" s="114"/>
    </row>
    <row r="1194" spans="1:15" ht="15.75" customHeight="1" x14ac:dyDescent="0.3">
      <c r="A1194" s="124"/>
      <c r="B1194" s="114"/>
      <c r="C1194" s="125"/>
      <c r="D1194" s="114"/>
      <c r="E1194" s="114"/>
      <c r="F1194" s="114"/>
      <c r="G1194" s="114"/>
      <c r="H1194" s="114"/>
      <c r="I1194" s="114"/>
      <c r="J1194" s="114"/>
      <c r="K1194" s="117"/>
      <c r="L1194" s="117"/>
      <c r="M1194" s="114"/>
      <c r="N1194" s="114"/>
      <c r="O1194" s="114"/>
    </row>
    <row r="1195" spans="1:15" ht="15.75" customHeight="1" x14ac:dyDescent="0.3">
      <c r="A1195" s="124"/>
      <c r="B1195" s="114"/>
      <c r="C1195" s="125"/>
      <c r="D1195" s="114"/>
      <c r="E1195" s="114"/>
      <c r="F1195" s="114"/>
      <c r="G1195" s="114"/>
      <c r="H1195" s="114"/>
      <c r="I1195" s="114"/>
      <c r="J1195" s="114"/>
      <c r="K1195" s="117"/>
      <c r="L1195" s="117"/>
      <c r="M1195" s="114"/>
      <c r="N1195" s="114"/>
      <c r="O1195" s="114"/>
    </row>
    <row r="1196" spans="1:15" ht="15.75" customHeight="1" x14ac:dyDescent="0.3">
      <c r="A1196" s="124"/>
      <c r="B1196" s="114"/>
      <c r="C1196" s="125"/>
      <c r="D1196" s="114"/>
      <c r="E1196" s="114"/>
      <c r="F1196" s="114"/>
      <c r="G1196" s="114"/>
      <c r="H1196" s="114"/>
      <c r="I1196" s="114"/>
      <c r="J1196" s="114"/>
      <c r="K1196" s="117"/>
      <c r="L1196" s="117"/>
      <c r="M1196" s="114"/>
      <c r="N1196" s="114"/>
      <c r="O1196" s="114"/>
    </row>
    <row r="1197" spans="1:15" ht="15.75" customHeight="1" x14ac:dyDescent="0.3">
      <c r="A1197" s="124"/>
      <c r="B1197" s="114"/>
      <c r="C1197" s="125"/>
      <c r="D1197" s="114"/>
      <c r="E1197" s="114"/>
      <c r="F1197" s="114"/>
      <c r="G1197" s="114"/>
      <c r="H1197" s="114"/>
      <c r="I1197" s="114"/>
      <c r="J1197" s="114"/>
      <c r="K1197" s="117"/>
      <c r="L1197" s="117"/>
      <c r="M1197" s="114"/>
      <c r="N1197" s="114"/>
      <c r="O1197" s="114"/>
    </row>
    <row r="1198" spans="1:15" ht="15.75" customHeight="1" x14ac:dyDescent="0.3">
      <c r="A1198" s="124"/>
      <c r="B1198" s="114"/>
      <c r="C1198" s="125"/>
      <c r="D1198" s="114"/>
      <c r="E1198" s="114"/>
      <c r="F1198" s="114"/>
      <c r="G1198" s="114"/>
      <c r="H1198" s="114"/>
      <c r="I1198" s="114"/>
      <c r="J1198" s="114"/>
      <c r="K1198" s="117"/>
      <c r="L1198" s="117"/>
      <c r="M1198" s="114"/>
      <c r="N1198" s="114"/>
      <c r="O1198" s="114"/>
    </row>
    <row r="1199" spans="1:15" ht="15.75" customHeight="1" x14ac:dyDescent="0.3">
      <c r="A1199" s="124"/>
      <c r="B1199" s="114"/>
      <c r="C1199" s="125"/>
      <c r="D1199" s="114"/>
      <c r="E1199" s="114"/>
      <c r="F1199" s="114"/>
      <c r="G1199" s="114"/>
      <c r="H1199" s="114"/>
      <c r="I1199" s="114"/>
      <c r="J1199" s="114"/>
      <c r="K1199" s="117"/>
      <c r="L1199" s="117"/>
      <c r="M1199" s="114"/>
      <c r="N1199" s="114"/>
      <c r="O1199" s="114"/>
    </row>
    <row r="1200" spans="1:15" ht="15.75" customHeight="1" x14ac:dyDescent="0.3">
      <c r="A1200" s="124"/>
      <c r="B1200" s="114"/>
      <c r="C1200" s="125"/>
      <c r="D1200" s="114"/>
      <c r="E1200" s="114"/>
      <c r="F1200" s="114"/>
      <c r="G1200" s="114"/>
      <c r="H1200" s="114"/>
      <c r="I1200" s="114"/>
      <c r="J1200" s="114"/>
      <c r="K1200" s="117"/>
      <c r="L1200" s="117"/>
      <c r="M1200" s="114"/>
      <c r="N1200" s="114"/>
      <c r="O1200" s="114"/>
    </row>
    <row r="1201" spans="1:15" ht="15.75" customHeight="1" x14ac:dyDescent="0.3">
      <c r="A1201" s="124"/>
      <c r="B1201" s="114"/>
      <c r="C1201" s="125"/>
      <c r="D1201" s="114"/>
      <c r="E1201" s="114"/>
      <c r="F1201" s="114"/>
      <c r="G1201" s="114"/>
      <c r="H1201" s="114"/>
      <c r="I1201" s="114"/>
      <c r="J1201" s="114"/>
      <c r="K1201" s="117"/>
      <c r="L1201" s="117"/>
      <c r="M1201" s="114"/>
      <c r="N1201" s="114"/>
      <c r="O1201" s="114"/>
    </row>
    <row r="1202" spans="1:15" ht="15.75" customHeight="1" x14ac:dyDescent="0.3">
      <c r="A1202" s="124"/>
      <c r="B1202" s="114"/>
      <c r="C1202" s="125"/>
      <c r="D1202" s="114"/>
      <c r="E1202" s="114"/>
      <c r="F1202" s="114"/>
      <c r="G1202" s="114"/>
      <c r="H1202" s="114"/>
      <c r="I1202" s="114"/>
      <c r="J1202" s="114"/>
      <c r="K1202" s="117"/>
      <c r="L1202" s="117"/>
      <c r="M1202" s="114"/>
      <c r="N1202" s="114"/>
      <c r="O1202" s="114"/>
    </row>
    <row r="1203" spans="1:15" ht="15.75" customHeight="1" x14ac:dyDescent="0.3">
      <c r="A1203" s="124"/>
      <c r="B1203" s="114"/>
      <c r="C1203" s="125"/>
      <c r="D1203" s="114"/>
      <c r="E1203" s="114"/>
      <c r="F1203" s="114"/>
      <c r="G1203" s="114"/>
      <c r="H1203" s="114"/>
      <c r="I1203" s="114"/>
      <c r="J1203" s="114"/>
      <c r="K1203" s="117"/>
      <c r="L1203" s="117"/>
      <c r="M1203" s="114"/>
      <c r="N1203" s="114"/>
      <c r="O1203" s="114"/>
    </row>
    <row r="1204" spans="1:15" ht="15.75" customHeight="1" x14ac:dyDescent="0.3">
      <c r="A1204" s="124"/>
      <c r="B1204" s="114"/>
      <c r="C1204" s="125"/>
      <c r="D1204" s="114"/>
      <c r="E1204" s="114"/>
      <c r="F1204" s="114"/>
      <c r="G1204" s="114"/>
      <c r="H1204" s="114"/>
      <c r="I1204" s="114"/>
      <c r="J1204" s="114"/>
      <c r="K1204" s="117"/>
      <c r="L1204" s="117"/>
      <c r="M1204" s="114"/>
      <c r="N1204" s="114"/>
      <c r="O1204" s="114"/>
    </row>
    <row r="1205" spans="1:15" ht="15.75" customHeight="1" x14ac:dyDescent="0.3">
      <c r="A1205" s="124"/>
      <c r="B1205" s="114"/>
      <c r="C1205" s="125"/>
      <c r="D1205" s="114"/>
      <c r="E1205" s="114"/>
      <c r="F1205" s="114"/>
      <c r="G1205" s="114"/>
      <c r="H1205" s="114"/>
      <c r="I1205" s="114"/>
      <c r="J1205" s="114"/>
      <c r="K1205" s="117"/>
      <c r="L1205" s="117"/>
      <c r="M1205" s="114"/>
      <c r="N1205" s="114"/>
      <c r="O1205" s="114"/>
    </row>
    <row r="1206" spans="1:15" ht="15.75" customHeight="1" x14ac:dyDescent="0.3">
      <c r="A1206" s="124"/>
      <c r="B1206" s="114"/>
      <c r="C1206" s="125"/>
      <c r="D1206" s="114"/>
      <c r="E1206" s="114"/>
      <c r="F1206" s="114"/>
      <c r="G1206" s="114"/>
      <c r="H1206" s="114"/>
      <c r="I1206" s="114"/>
      <c r="J1206" s="114"/>
      <c r="K1206" s="117"/>
      <c r="L1206" s="117"/>
      <c r="M1206" s="114"/>
      <c r="N1206" s="114"/>
      <c r="O1206" s="114"/>
    </row>
    <row r="1207" spans="1:15" ht="15.75" customHeight="1" x14ac:dyDescent="0.3">
      <c r="A1207" s="124"/>
      <c r="B1207" s="114"/>
      <c r="C1207" s="125"/>
      <c r="D1207" s="114"/>
      <c r="E1207" s="114"/>
      <c r="F1207" s="114"/>
      <c r="G1207" s="114"/>
      <c r="H1207" s="114"/>
      <c r="I1207" s="114"/>
      <c r="J1207" s="114"/>
      <c r="K1207" s="117"/>
      <c r="L1207" s="117"/>
      <c r="M1207" s="114"/>
      <c r="N1207" s="114"/>
      <c r="O1207" s="114"/>
    </row>
    <row r="1208" spans="1:15" ht="15.75" customHeight="1" x14ac:dyDescent="0.3">
      <c r="A1208" s="124"/>
      <c r="B1208" s="114"/>
      <c r="C1208" s="125"/>
      <c r="D1208" s="114"/>
      <c r="E1208" s="114"/>
      <c r="F1208" s="114"/>
      <c r="G1208" s="114"/>
      <c r="H1208" s="114"/>
      <c r="I1208" s="114"/>
      <c r="J1208" s="114"/>
      <c r="K1208" s="117"/>
      <c r="L1208" s="117"/>
      <c r="M1208" s="114"/>
      <c r="N1208" s="114"/>
      <c r="O1208" s="114"/>
    </row>
    <row r="1209" spans="1:15" ht="15.75" customHeight="1" x14ac:dyDescent="0.3">
      <c r="A1209" s="124"/>
      <c r="B1209" s="114"/>
      <c r="C1209" s="125"/>
      <c r="D1209" s="114"/>
      <c r="E1209" s="114"/>
      <c r="F1209" s="114"/>
      <c r="G1209" s="114"/>
      <c r="H1209" s="114"/>
      <c r="I1209" s="114"/>
      <c r="J1209" s="114"/>
      <c r="K1209" s="117"/>
      <c r="L1209" s="117"/>
      <c r="M1209" s="114"/>
      <c r="N1209" s="114"/>
      <c r="O1209" s="114"/>
    </row>
    <row r="1210" spans="1:15" ht="15.75" customHeight="1" x14ac:dyDescent="0.3">
      <c r="A1210" s="124"/>
      <c r="B1210" s="114"/>
      <c r="C1210" s="125"/>
      <c r="D1210" s="114"/>
      <c r="E1210" s="114"/>
      <c r="F1210" s="114"/>
      <c r="G1210" s="114"/>
      <c r="H1210" s="114"/>
      <c r="I1210" s="114"/>
      <c r="J1210" s="114"/>
      <c r="K1210" s="117"/>
      <c r="L1210" s="117"/>
      <c r="M1210" s="114"/>
      <c r="N1210" s="114"/>
      <c r="O1210" s="114"/>
    </row>
    <row r="1211" spans="1:15" ht="15.75" customHeight="1" x14ac:dyDescent="0.3">
      <c r="A1211" s="124"/>
      <c r="B1211" s="114"/>
      <c r="C1211" s="125"/>
      <c r="D1211" s="114"/>
      <c r="E1211" s="114"/>
      <c r="F1211" s="114"/>
      <c r="G1211" s="114"/>
      <c r="H1211" s="114"/>
      <c r="I1211" s="114"/>
      <c r="J1211" s="114"/>
      <c r="K1211" s="117"/>
      <c r="L1211" s="117"/>
      <c r="M1211" s="114"/>
      <c r="N1211" s="114"/>
      <c r="O1211" s="114"/>
    </row>
    <row r="1212" spans="1:15" ht="15.75" customHeight="1" x14ac:dyDescent="0.3">
      <c r="A1212" s="124"/>
      <c r="B1212" s="114"/>
      <c r="C1212" s="125"/>
      <c r="D1212" s="114"/>
      <c r="E1212" s="114"/>
      <c r="F1212" s="114"/>
      <c r="G1212" s="114"/>
      <c r="H1212" s="114"/>
      <c r="I1212" s="114"/>
      <c r="J1212" s="114"/>
      <c r="K1212" s="117"/>
      <c r="L1212" s="117"/>
      <c r="M1212" s="114"/>
      <c r="N1212" s="114"/>
      <c r="O1212" s="114"/>
    </row>
    <row r="1213" spans="1:15" ht="15.75" customHeight="1" x14ac:dyDescent="0.3">
      <c r="A1213" s="124"/>
      <c r="B1213" s="114"/>
      <c r="C1213" s="125"/>
      <c r="D1213" s="114"/>
      <c r="E1213" s="114"/>
      <c r="F1213" s="114"/>
      <c r="G1213" s="114"/>
      <c r="H1213" s="114"/>
      <c r="I1213" s="114"/>
      <c r="J1213" s="114"/>
      <c r="K1213" s="117"/>
      <c r="L1213" s="117"/>
      <c r="M1213" s="114"/>
      <c r="N1213" s="114"/>
      <c r="O1213" s="114"/>
    </row>
    <row r="1214" spans="1:15" ht="15.75" customHeight="1" x14ac:dyDescent="0.3">
      <c r="A1214" s="124"/>
      <c r="B1214" s="114"/>
      <c r="C1214" s="125"/>
      <c r="D1214" s="114"/>
      <c r="E1214" s="114"/>
      <c r="F1214" s="114"/>
      <c r="G1214" s="114"/>
      <c r="H1214" s="114"/>
      <c r="I1214" s="114"/>
      <c r="J1214" s="114"/>
      <c r="K1214" s="117"/>
      <c r="L1214" s="117"/>
      <c r="M1214" s="114"/>
      <c r="N1214" s="114"/>
      <c r="O1214" s="114"/>
    </row>
    <row r="1215" spans="1:15" ht="15.75" customHeight="1" x14ac:dyDescent="0.3">
      <c r="A1215" s="124"/>
      <c r="B1215" s="114"/>
      <c r="C1215" s="125"/>
      <c r="D1215" s="114"/>
      <c r="E1215" s="114"/>
      <c r="F1215" s="114"/>
      <c r="G1215" s="114"/>
      <c r="H1215" s="114"/>
      <c r="I1215" s="114"/>
      <c r="J1215" s="114"/>
      <c r="K1215" s="117"/>
      <c r="L1215" s="117"/>
      <c r="M1215" s="114"/>
      <c r="N1215" s="114"/>
      <c r="O1215" s="114"/>
    </row>
    <row r="1216" spans="1:15" ht="15.75" customHeight="1" x14ac:dyDescent="0.3">
      <c r="A1216" s="124"/>
      <c r="B1216" s="114"/>
      <c r="C1216" s="125"/>
      <c r="D1216" s="114"/>
      <c r="E1216" s="114"/>
      <c r="F1216" s="114"/>
      <c r="G1216" s="114"/>
      <c r="H1216" s="114"/>
      <c r="I1216" s="114"/>
      <c r="J1216" s="114"/>
      <c r="K1216" s="117"/>
      <c r="L1216" s="117"/>
      <c r="M1216" s="114"/>
      <c r="N1216" s="114"/>
      <c r="O1216" s="114"/>
    </row>
    <row r="1217" spans="1:15" ht="15.75" customHeight="1" x14ac:dyDescent="0.3">
      <c r="A1217" s="124"/>
      <c r="B1217" s="114"/>
      <c r="C1217" s="125"/>
      <c r="D1217" s="114"/>
      <c r="E1217" s="114"/>
      <c r="F1217" s="114"/>
      <c r="G1217" s="114"/>
      <c r="H1217" s="114"/>
      <c r="I1217" s="114"/>
      <c r="J1217" s="114"/>
      <c r="K1217" s="117"/>
      <c r="L1217" s="117"/>
      <c r="M1217" s="114"/>
      <c r="N1217" s="114"/>
      <c r="O1217" s="114"/>
    </row>
    <row r="1218" spans="1:15" ht="15.75" customHeight="1" x14ac:dyDescent="0.3">
      <c r="A1218" s="124"/>
      <c r="B1218" s="114"/>
      <c r="C1218" s="125"/>
      <c r="D1218" s="114"/>
      <c r="E1218" s="114"/>
      <c r="F1218" s="114"/>
      <c r="G1218" s="114"/>
      <c r="H1218" s="114"/>
      <c r="I1218" s="114"/>
      <c r="J1218" s="114"/>
      <c r="K1218" s="117"/>
      <c r="L1218" s="117"/>
      <c r="M1218" s="114"/>
      <c r="N1218" s="114"/>
      <c r="O1218" s="114"/>
    </row>
    <row r="1219" spans="1:15" ht="15.75" customHeight="1" x14ac:dyDescent="0.3">
      <c r="A1219" s="124"/>
      <c r="B1219" s="114"/>
      <c r="C1219" s="125"/>
      <c r="D1219" s="114"/>
      <c r="E1219" s="114"/>
      <c r="F1219" s="114"/>
      <c r="G1219" s="114"/>
      <c r="H1219" s="114"/>
      <c r="I1219" s="114"/>
      <c r="J1219" s="114"/>
      <c r="K1219" s="117"/>
      <c r="L1219" s="117"/>
      <c r="M1219" s="114"/>
      <c r="N1219" s="114"/>
      <c r="O1219" s="114"/>
    </row>
    <row r="1220" spans="1:15" ht="15.75" customHeight="1" x14ac:dyDescent="0.3">
      <c r="A1220" s="124"/>
      <c r="B1220" s="114"/>
      <c r="C1220" s="125"/>
      <c r="D1220" s="114"/>
      <c r="E1220" s="114"/>
      <c r="F1220" s="114"/>
      <c r="G1220" s="114"/>
      <c r="H1220" s="114"/>
      <c r="I1220" s="114"/>
      <c r="J1220" s="114"/>
      <c r="K1220" s="117"/>
      <c r="L1220" s="117"/>
      <c r="M1220" s="114"/>
      <c r="N1220" s="114"/>
      <c r="O1220" s="114"/>
    </row>
    <row r="1221" spans="1:15" ht="15.75" customHeight="1" x14ac:dyDescent="0.3">
      <c r="A1221" s="124"/>
      <c r="B1221" s="114"/>
      <c r="C1221" s="125"/>
      <c r="D1221" s="114"/>
      <c r="E1221" s="114"/>
      <c r="F1221" s="114"/>
      <c r="G1221" s="114"/>
      <c r="H1221" s="114"/>
      <c r="I1221" s="114"/>
      <c r="J1221" s="114"/>
      <c r="K1221" s="117"/>
      <c r="L1221" s="117"/>
      <c r="M1221" s="114"/>
      <c r="N1221" s="114"/>
      <c r="O1221" s="114"/>
    </row>
    <row r="1222" spans="1:15" ht="15.75" customHeight="1" x14ac:dyDescent="0.3">
      <c r="A1222" s="124"/>
      <c r="B1222" s="114"/>
      <c r="C1222" s="125"/>
      <c r="D1222" s="114"/>
      <c r="E1222" s="114"/>
      <c r="F1222" s="114"/>
      <c r="G1222" s="114"/>
      <c r="H1222" s="114"/>
      <c r="I1222" s="114"/>
      <c r="J1222" s="114"/>
      <c r="K1222" s="117"/>
      <c r="L1222" s="117"/>
      <c r="M1222" s="114"/>
      <c r="N1222" s="114"/>
      <c r="O1222" s="114"/>
    </row>
    <row r="1223" spans="1:15" ht="15.75" customHeight="1" x14ac:dyDescent="0.3">
      <c r="A1223" s="124"/>
      <c r="B1223" s="114"/>
      <c r="C1223" s="125"/>
      <c r="D1223" s="114"/>
      <c r="E1223" s="114"/>
      <c r="F1223" s="114"/>
      <c r="G1223" s="114"/>
      <c r="H1223" s="114"/>
      <c r="I1223" s="114"/>
      <c r="J1223" s="114"/>
      <c r="K1223" s="117"/>
      <c r="L1223" s="117"/>
      <c r="M1223" s="114"/>
      <c r="N1223" s="114"/>
      <c r="O1223" s="114"/>
    </row>
    <row r="1224" spans="1:15" ht="15.75" customHeight="1" x14ac:dyDescent="0.3">
      <c r="A1224" s="124"/>
      <c r="B1224" s="114"/>
      <c r="C1224" s="125"/>
      <c r="D1224" s="114"/>
      <c r="E1224" s="114"/>
      <c r="F1224" s="114"/>
      <c r="G1224" s="114"/>
      <c r="H1224" s="114"/>
      <c r="I1224" s="114"/>
      <c r="J1224" s="114"/>
      <c r="K1224" s="117"/>
      <c r="L1224" s="117"/>
      <c r="M1224" s="114"/>
      <c r="N1224" s="114"/>
      <c r="O1224" s="114"/>
    </row>
    <row r="1225" spans="1:15" ht="15.75" customHeight="1" x14ac:dyDescent="0.3">
      <c r="A1225" s="124"/>
      <c r="B1225" s="114"/>
      <c r="C1225" s="125"/>
      <c r="D1225" s="114"/>
      <c r="E1225" s="114"/>
      <c r="F1225" s="114"/>
      <c r="G1225" s="114"/>
      <c r="H1225" s="114"/>
      <c r="I1225" s="114"/>
      <c r="J1225" s="114"/>
      <c r="K1225" s="117"/>
      <c r="L1225" s="117"/>
      <c r="M1225" s="114"/>
      <c r="N1225" s="114"/>
      <c r="O1225" s="114"/>
    </row>
    <row r="1226" spans="1:15" ht="15.75" customHeight="1" x14ac:dyDescent="0.3">
      <c r="A1226" s="124"/>
      <c r="B1226" s="114"/>
      <c r="C1226" s="125"/>
      <c r="D1226" s="114"/>
      <c r="E1226" s="114"/>
      <c r="F1226" s="114"/>
      <c r="G1226" s="114"/>
      <c r="H1226" s="114"/>
      <c r="I1226" s="114"/>
      <c r="J1226" s="114"/>
      <c r="K1226" s="117"/>
      <c r="L1226" s="117"/>
      <c r="M1226" s="114"/>
      <c r="N1226" s="114"/>
      <c r="O1226" s="114"/>
    </row>
    <row r="1227" spans="1:15" ht="15.75" customHeight="1" x14ac:dyDescent="0.3">
      <c r="A1227" s="124"/>
      <c r="B1227" s="114"/>
      <c r="C1227" s="125"/>
      <c r="D1227" s="114"/>
      <c r="E1227" s="114"/>
      <c r="F1227" s="114"/>
      <c r="G1227" s="114"/>
      <c r="H1227" s="114"/>
      <c r="I1227" s="114"/>
      <c r="J1227" s="114"/>
      <c r="K1227" s="117"/>
      <c r="L1227" s="117"/>
      <c r="M1227" s="114"/>
      <c r="N1227" s="114"/>
      <c r="O1227" s="114"/>
    </row>
    <row r="1228" spans="1:15" ht="15.75" customHeight="1" x14ac:dyDescent="0.3">
      <c r="A1228" s="124"/>
      <c r="B1228" s="114"/>
      <c r="C1228" s="125"/>
      <c r="D1228" s="114"/>
      <c r="E1228" s="114"/>
      <c r="F1228" s="114"/>
      <c r="G1228" s="114"/>
      <c r="H1228" s="114"/>
      <c r="I1228" s="114"/>
      <c r="J1228" s="114"/>
      <c r="K1228" s="117"/>
      <c r="L1228" s="117"/>
      <c r="M1228" s="114"/>
      <c r="N1228" s="114"/>
      <c r="O1228" s="114"/>
    </row>
    <row r="1229" spans="1:15" ht="15.75" customHeight="1" x14ac:dyDescent="0.3">
      <c r="A1229" s="124"/>
      <c r="B1229" s="114"/>
      <c r="C1229" s="125"/>
      <c r="D1229" s="114"/>
      <c r="E1229" s="114"/>
      <c r="F1229" s="114"/>
      <c r="G1229" s="114"/>
      <c r="H1229" s="114"/>
      <c r="I1229" s="114"/>
      <c r="J1229" s="114"/>
      <c r="K1229" s="117"/>
      <c r="L1229" s="117"/>
      <c r="M1229" s="114"/>
      <c r="N1229" s="114"/>
      <c r="O1229" s="114"/>
    </row>
    <row r="1230" spans="1:15" ht="15.75" customHeight="1" x14ac:dyDescent="0.3">
      <c r="A1230" s="124"/>
      <c r="B1230" s="114"/>
      <c r="C1230" s="125"/>
      <c r="D1230" s="114"/>
      <c r="E1230" s="114"/>
      <c r="F1230" s="114"/>
      <c r="G1230" s="114"/>
      <c r="H1230" s="114"/>
      <c r="I1230" s="114"/>
      <c r="J1230" s="114"/>
      <c r="K1230" s="117"/>
      <c r="L1230" s="117"/>
      <c r="M1230" s="114"/>
      <c r="N1230" s="114"/>
      <c r="O1230" s="114"/>
    </row>
    <row r="1231" spans="1:15" ht="15.75" customHeight="1" x14ac:dyDescent="0.3">
      <c r="A1231" s="124"/>
      <c r="B1231" s="114"/>
      <c r="C1231" s="125"/>
      <c r="D1231" s="114"/>
      <c r="E1231" s="114"/>
      <c r="F1231" s="114"/>
      <c r="G1231" s="114"/>
      <c r="H1231" s="114"/>
      <c r="I1231" s="114"/>
      <c r="J1231" s="114"/>
      <c r="K1231" s="117"/>
      <c r="L1231" s="117"/>
      <c r="M1231" s="114"/>
      <c r="N1231" s="114"/>
      <c r="O1231" s="114"/>
    </row>
    <row r="1232" spans="1:15" ht="15.75" customHeight="1" x14ac:dyDescent="0.3">
      <c r="A1232" s="124"/>
      <c r="B1232" s="114"/>
      <c r="C1232" s="125"/>
      <c r="D1232" s="114"/>
      <c r="E1232" s="114"/>
      <c r="F1232" s="114"/>
      <c r="G1232" s="114"/>
      <c r="H1232" s="114"/>
      <c r="I1232" s="114"/>
      <c r="J1232" s="114"/>
      <c r="K1232" s="117"/>
      <c r="L1232" s="117"/>
      <c r="M1232" s="114"/>
      <c r="N1232" s="114"/>
      <c r="O1232" s="114"/>
    </row>
    <row r="1233" spans="1:15" ht="15.75" customHeight="1" x14ac:dyDescent="0.3">
      <c r="A1233" s="124"/>
      <c r="B1233" s="114"/>
      <c r="C1233" s="125"/>
      <c r="D1233" s="114"/>
      <c r="E1233" s="114"/>
      <c r="F1233" s="114"/>
      <c r="G1233" s="114"/>
      <c r="H1233" s="114"/>
      <c r="I1233" s="114"/>
      <c r="J1233" s="114"/>
      <c r="K1233" s="117"/>
      <c r="L1233" s="117"/>
      <c r="M1233" s="114"/>
      <c r="N1233" s="114"/>
      <c r="O1233" s="114"/>
    </row>
    <row r="1234" spans="1:15" ht="15.75" customHeight="1" x14ac:dyDescent="0.3">
      <c r="A1234" s="124"/>
      <c r="B1234" s="114"/>
      <c r="C1234" s="125"/>
      <c r="D1234" s="114"/>
      <c r="E1234" s="114"/>
      <c r="F1234" s="114"/>
      <c r="G1234" s="114"/>
      <c r="H1234" s="114"/>
      <c r="I1234" s="114"/>
      <c r="J1234" s="114"/>
      <c r="K1234" s="117"/>
      <c r="L1234" s="117"/>
      <c r="M1234" s="114"/>
      <c r="N1234" s="114"/>
      <c r="O1234" s="114"/>
    </row>
    <row r="1235" spans="1:15" ht="15.75" customHeight="1" x14ac:dyDescent="0.3">
      <c r="A1235" s="124"/>
      <c r="B1235" s="114"/>
      <c r="C1235" s="125"/>
      <c r="D1235" s="114"/>
      <c r="E1235" s="114"/>
      <c r="F1235" s="114"/>
      <c r="G1235" s="114"/>
      <c r="H1235" s="114"/>
      <c r="I1235" s="114"/>
      <c r="J1235" s="114"/>
      <c r="K1235" s="117"/>
      <c r="L1235" s="117"/>
      <c r="M1235" s="114"/>
      <c r="N1235" s="114"/>
      <c r="O1235" s="114"/>
    </row>
    <row r="1236" spans="1:15" ht="15.75" customHeight="1" x14ac:dyDescent="0.3">
      <c r="A1236" s="124"/>
      <c r="B1236" s="114"/>
      <c r="C1236" s="125"/>
      <c r="D1236" s="114"/>
      <c r="E1236" s="114"/>
      <c r="F1236" s="114"/>
      <c r="G1236" s="114"/>
      <c r="H1236" s="114"/>
      <c r="I1236" s="114"/>
      <c r="J1236" s="114"/>
      <c r="K1236" s="117"/>
      <c r="L1236" s="117"/>
      <c r="M1236" s="114"/>
      <c r="N1236" s="114"/>
      <c r="O1236" s="114"/>
    </row>
    <row r="1237" spans="1:15" ht="15.75" customHeight="1" x14ac:dyDescent="0.3">
      <c r="A1237" s="124"/>
      <c r="B1237" s="114"/>
      <c r="C1237" s="125"/>
      <c r="D1237" s="114"/>
      <c r="E1237" s="114"/>
      <c r="F1237" s="114"/>
      <c r="G1237" s="114"/>
      <c r="H1237" s="114"/>
      <c r="I1237" s="114"/>
      <c r="J1237" s="114"/>
      <c r="K1237" s="117"/>
      <c r="L1237" s="117"/>
      <c r="M1237" s="114"/>
      <c r="N1237" s="114"/>
      <c r="O1237" s="114"/>
    </row>
    <row r="1238" spans="1:15" ht="15.75" customHeight="1" x14ac:dyDescent="0.3">
      <c r="A1238" s="124"/>
      <c r="B1238" s="114"/>
      <c r="C1238" s="125"/>
      <c r="D1238" s="114"/>
      <c r="E1238" s="114"/>
      <c r="F1238" s="114"/>
      <c r="G1238" s="114"/>
      <c r="H1238" s="114"/>
      <c r="I1238" s="114"/>
      <c r="J1238" s="114"/>
      <c r="K1238" s="117"/>
      <c r="L1238" s="117"/>
      <c r="M1238" s="114"/>
      <c r="N1238" s="114"/>
      <c r="O1238" s="114"/>
    </row>
    <row r="1239" spans="1:15" ht="15.75" customHeight="1" x14ac:dyDescent="0.3">
      <c r="A1239" s="124"/>
      <c r="B1239" s="114"/>
      <c r="C1239" s="125"/>
      <c r="D1239" s="114"/>
      <c r="E1239" s="114"/>
      <c r="F1239" s="114"/>
      <c r="G1239" s="114"/>
      <c r="H1239" s="114"/>
      <c r="I1239" s="114"/>
      <c r="J1239" s="114"/>
      <c r="K1239" s="117"/>
      <c r="L1239" s="117"/>
      <c r="M1239" s="114"/>
      <c r="N1239" s="114"/>
      <c r="O1239" s="114"/>
    </row>
    <row r="1240" spans="1:15" ht="15.75" customHeight="1" x14ac:dyDescent="0.3">
      <c r="A1240" s="124"/>
      <c r="B1240" s="114"/>
      <c r="C1240" s="125"/>
      <c r="D1240" s="114"/>
      <c r="E1240" s="114"/>
      <c r="F1240" s="114"/>
      <c r="G1240" s="114"/>
      <c r="H1240" s="114"/>
      <c r="I1240" s="114"/>
      <c r="J1240" s="114"/>
      <c r="K1240" s="117"/>
      <c r="L1240" s="117"/>
      <c r="M1240" s="114"/>
      <c r="N1240" s="114"/>
      <c r="O1240" s="114"/>
    </row>
    <row r="1241" spans="1:15" ht="15.75" customHeight="1" x14ac:dyDescent="0.3">
      <c r="A1241" s="124"/>
      <c r="B1241" s="114"/>
      <c r="C1241" s="125"/>
      <c r="D1241" s="114"/>
      <c r="E1241" s="114"/>
      <c r="F1241" s="114"/>
      <c r="G1241" s="114"/>
      <c r="H1241" s="114"/>
      <c r="I1241" s="114"/>
      <c r="J1241" s="114"/>
      <c r="K1241" s="117"/>
      <c r="L1241" s="117"/>
      <c r="M1241" s="114"/>
      <c r="N1241" s="114"/>
      <c r="O1241" s="114"/>
    </row>
    <row r="1242" spans="1:15" ht="15.75" customHeight="1" x14ac:dyDescent="0.3">
      <c r="A1242" s="124"/>
      <c r="B1242" s="114"/>
      <c r="C1242" s="125"/>
      <c r="D1242" s="114"/>
      <c r="E1242" s="114"/>
      <c r="F1242" s="114"/>
      <c r="G1242" s="114"/>
      <c r="H1242" s="114"/>
      <c r="I1242" s="114"/>
      <c r="J1242" s="114"/>
      <c r="K1242" s="117"/>
      <c r="L1242" s="117"/>
      <c r="M1242" s="114"/>
      <c r="N1242" s="114"/>
      <c r="O1242" s="114"/>
    </row>
    <row r="1243" spans="1:15" ht="15.75" customHeight="1" x14ac:dyDescent="0.3">
      <c r="A1243" s="124"/>
      <c r="B1243" s="114"/>
      <c r="C1243" s="125"/>
      <c r="D1243" s="114"/>
      <c r="E1243" s="114"/>
      <c r="F1243" s="114"/>
      <c r="G1243" s="114"/>
      <c r="H1243" s="114"/>
      <c r="I1243" s="114"/>
      <c r="J1243" s="114"/>
      <c r="K1243" s="117"/>
      <c r="L1243" s="117"/>
      <c r="M1243" s="114"/>
      <c r="N1243" s="114"/>
      <c r="O1243" s="114"/>
    </row>
    <row r="1244" spans="1:15" ht="15.75" customHeight="1" x14ac:dyDescent="0.3">
      <c r="A1244" s="124"/>
      <c r="B1244" s="114"/>
      <c r="C1244" s="125"/>
      <c r="D1244" s="114"/>
      <c r="E1244" s="114"/>
      <c r="F1244" s="114"/>
      <c r="G1244" s="114"/>
      <c r="H1244" s="114"/>
      <c r="I1244" s="114"/>
      <c r="J1244" s="114"/>
      <c r="K1244" s="117"/>
      <c r="L1244" s="117"/>
      <c r="M1244" s="114"/>
      <c r="N1244" s="114"/>
      <c r="O1244" s="114"/>
    </row>
    <row r="1245" spans="1:15" ht="15.75" customHeight="1" x14ac:dyDescent="0.3">
      <c r="A1245" s="124"/>
      <c r="B1245" s="114"/>
      <c r="C1245" s="125"/>
      <c r="D1245" s="114"/>
      <c r="E1245" s="114"/>
      <c r="F1245" s="114"/>
      <c r="G1245" s="114"/>
      <c r="H1245" s="114"/>
      <c r="I1245" s="114"/>
      <c r="J1245" s="114"/>
      <c r="K1245" s="117"/>
      <c r="L1245" s="117"/>
      <c r="M1245" s="114"/>
      <c r="N1245" s="114"/>
      <c r="O1245" s="114"/>
    </row>
    <row r="1246" spans="1:15" ht="15.75" customHeight="1" x14ac:dyDescent="0.3">
      <c r="A1246" s="124"/>
      <c r="B1246" s="114"/>
      <c r="C1246" s="125"/>
      <c r="D1246" s="114"/>
      <c r="E1246" s="114"/>
      <c r="F1246" s="114"/>
      <c r="G1246" s="114"/>
      <c r="H1246" s="114"/>
      <c r="I1246" s="114"/>
      <c r="J1246" s="114"/>
      <c r="K1246" s="117"/>
      <c r="L1246" s="117"/>
      <c r="M1246" s="114"/>
      <c r="N1246" s="114"/>
      <c r="O1246" s="114"/>
    </row>
    <row r="1247" spans="1:15" ht="15.75" customHeight="1" x14ac:dyDescent="0.3">
      <c r="A1247" s="124"/>
      <c r="B1247" s="114"/>
      <c r="C1247" s="125"/>
      <c r="D1247" s="114"/>
      <c r="E1247" s="114"/>
      <c r="F1247" s="114"/>
      <c r="G1247" s="114"/>
      <c r="H1247" s="114"/>
      <c r="I1247" s="114"/>
      <c r="J1247" s="114"/>
      <c r="K1247" s="117"/>
      <c r="L1247" s="117"/>
      <c r="M1247" s="114"/>
      <c r="N1247" s="114"/>
      <c r="O1247" s="114"/>
    </row>
    <row r="1248" spans="1:15" ht="15.75" customHeight="1" x14ac:dyDescent="0.3">
      <c r="A1248" s="124"/>
      <c r="B1248" s="114"/>
      <c r="C1248" s="125"/>
      <c r="D1248" s="114"/>
      <c r="E1248" s="114"/>
      <c r="F1248" s="114"/>
      <c r="G1248" s="114"/>
      <c r="H1248" s="114"/>
      <c r="I1248" s="114"/>
      <c r="J1248" s="114"/>
      <c r="K1248" s="117"/>
      <c r="L1248" s="117"/>
      <c r="M1248" s="114"/>
      <c r="N1248" s="114"/>
      <c r="O1248" s="114"/>
    </row>
    <row r="1249" spans="1:15" ht="15.75" customHeight="1" x14ac:dyDescent="0.3">
      <c r="A1249" s="124"/>
      <c r="B1249" s="114"/>
      <c r="C1249" s="125"/>
      <c r="D1249" s="114"/>
      <c r="E1249" s="114"/>
      <c r="F1249" s="114"/>
      <c r="G1249" s="114"/>
      <c r="H1249" s="114"/>
      <c r="I1249" s="114"/>
      <c r="J1249" s="114"/>
      <c r="K1249" s="117"/>
      <c r="L1249" s="117"/>
      <c r="M1249" s="114"/>
      <c r="N1249" s="114"/>
      <c r="O1249" s="114"/>
    </row>
    <row r="1250" spans="1:15" ht="15.75" customHeight="1" x14ac:dyDescent="0.3">
      <c r="A1250" s="124"/>
      <c r="B1250" s="114"/>
      <c r="C1250" s="125"/>
      <c r="D1250" s="114"/>
      <c r="E1250" s="114"/>
      <c r="F1250" s="114"/>
      <c r="G1250" s="114"/>
      <c r="H1250" s="114"/>
      <c r="I1250" s="114"/>
      <c r="J1250" s="114"/>
      <c r="K1250" s="117"/>
      <c r="L1250" s="117"/>
      <c r="M1250" s="114"/>
      <c r="N1250" s="114"/>
      <c r="O1250" s="114"/>
    </row>
    <row r="1251" spans="1:15" ht="15.75" customHeight="1" x14ac:dyDescent="0.3">
      <c r="A1251" s="124"/>
      <c r="B1251" s="114"/>
      <c r="C1251" s="125"/>
      <c r="D1251" s="114"/>
      <c r="E1251" s="114"/>
      <c r="F1251" s="114"/>
      <c r="G1251" s="114"/>
      <c r="H1251" s="114"/>
      <c r="I1251" s="114"/>
      <c r="J1251" s="114"/>
      <c r="K1251" s="117"/>
      <c r="L1251" s="117"/>
      <c r="M1251" s="114"/>
      <c r="N1251" s="114"/>
      <c r="O1251" s="114"/>
    </row>
    <row r="1252" spans="1:15" ht="15.75" customHeight="1" x14ac:dyDescent="0.3">
      <c r="A1252" s="124"/>
      <c r="B1252" s="114"/>
      <c r="C1252" s="125"/>
      <c r="D1252" s="114"/>
      <c r="E1252" s="114"/>
      <c r="F1252" s="114"/>
      <c r="G1252" s="114"/>
      <c r="H1252" s="114"/>
      <c r="I1252" s="114"/>
      <c r="J1252" s="114"/>
      <c r="K1252" s="117"/>
      <c r="L1252" s="117"/>
      <c r="M1252" s="114"/>
      <c r="N1252" s="114"/>
      <c r="O1252" s="114"/>
    </row>
    <row r="1253" spans="1:15" ht="15.75" customHeight="1" x14ac:dyDescent="0.3">
      <c r="A1253" s="124"/>
      <c r="B1253" s="114"/>
      <c r="C1253" s="125"/>
      <c r="D1253" s="114"/>
      <c r="E1253" s="114"/>
      <c r="F1253" s="114"/>
      <c r="G1253" s="114"/>
      <c r="H1253" s="114"/>
      <c r="I1253" s="114"/>
      <c r="J1253" s="114"/>
      <c r="K1253" s="117"/>
      <c r="L1253" s="117"/>
      <c r="M1253" s="114"/>
      <c r="N1253" s="114"/>
      <c r="O1253" s="114"/>
    </row>
    <row r="1254" spans="1:15" ht="15.75" customHeight="1" x14ac:dyDescent="0.3">
      <c r="A1254" s="124"/>
      <c r="B1254" s="114"/>
      <c r="C1254" s="125"/>
      <c r="D1254" s="114"/>
      <c r="E1254" s="114"/>
      <c r="F1254" s="114"/>
      <c r="G1254" s="114"/>
      <c r="H1254" s="114"/>
      <c r="I1254" s="114"/>
      <c r="J1254" s="114"/>
      <c r="K1254" s="117"/>
      <c r="L1254" s="117"/>
      <c r="M1254" s="114"/>
      <c r="N1254" s="114"/>
      <c r="O1254" s="114"/>
    </row>
    <row r="1255" spans="1:15" ht="15.75" customHeight="1" x14ac:dyDescent="0.3">
      <c r="A1255" s="124"/>
      <c r="B1255" s="114"/>
      <c r="C1255" s="125"/>
      <c r="D1255" s="114"/>
      <c r="E1255" s="114"/>
      <c r="F1255" s="114"/>
      <c r="G1255" s="114"/>
      <c r="H1255" s="114"/>
      <c r="I1255" s="114"/>
      <c r="J1255" s="114"/>
      <c r="K1255" s="117"/>
      <c r="L1255" s="117"/>
      <c r="M1255" s="114"/>
      <c r="N1255" s="114"/>
      <c r="O1255" s="114"/>
    </row>
    <row r="1256" spans="1:15" ht="15.75" customHeight="1" x14ac:dyDescent="0.3">
      <c r="A1256" s="124"/>
      <c r="B1256" s="114"/>
      <c r="C1256" s="125"/>
      <c r="D1256" s="114"/>
      <c r="E1256" s="114"/>
      <c r="F1256" s="114"/>
      <c r="G1256" s="114"/>
      <c r="H1256" s="114"/>
      <c r="I1256" s="114"/>
      <c r="J1256" s="114"/>
      <c r="K1256" s="117"/>
      <c r="L1256" s="117"/>
      <c r="M1256" s="114"/>
      <c r="N1256" s="114"/>
      <c r="O1256" s="114"/>
    </row>
    <row r="1257" spans="1:15" ht="15.75" customHeight="1" x14ac:dyDescent="0.3">
      <c r="A1257" s="124"/>
      <c r="B1257" s="114"/>
      <c r="C1257" s="125"/>
      <c r="D1257" s="114"/>
      <c r="E1257" s="114"/>
      <c r="F1257" s="114"/>
      <c r="G1257" s="114"/>
      <c r="H1257" s="114"/>
      <c r="I1257" s="114"/>
      <c r="J1257" s="114"/>
      <c r="K1257" s="117"/>
      <c r="L1257" s="117"/>
      <c r="M1257" s="114"/>
      <c r="N1257" s="114"/>
      <c r="O1257" s="114"/>
    </row>
    <row r="1258" spans="1:15" ht="15.75" customHeight="1" x14ac:dyDescent="0.3">
      <c r="A1258" s="124"/>
      <c r="B1258" s="114"/>
      <c r="C1258" s="125"/>
      <c r="D1258" s="114"/>
      <c r="E1258" s="114"/>
      <c r="F1258" s="114"/>
      <c r="G1258" s="114"/>
      <c r="H1258" s="114"/>
      <c r="I1258" s="114"/>
      <c r="J1258" s="114"/>
      <c r="K1258" s="117"/>
      <c r="L1258" s="117"/>
      <c r="M1258" s="114"/>
      <c r="N1258" s="114"/>
      <c r="O1258" s="114"/>
    </row>
    <row r="1259" spans="1:15" ht="15.75" customHeight="1" x14ac:dyDescent="0.3">
      <c r="A1259" s="124"/>
      <c r="B1259" s="114"/>
      <c r="C1259" s="125"/>
      <c r="D1259" s="114"/>
      <c r="E1259" s="114"/>
      <c r="F1259" s="114"/>
      <c r="G1259" s="114"/>
      <c r="H1259" s="114"/>
      <c r="I1259" s="114"/>
      <c r="J1259" s="114"/>
      <c r="K1259" s="117"/>
      <c r="L1259" s="117"/>
      <c r="M1259" s="114"/>
      <c r="N1259" s="114"/>
      <c r="O1259" s="114"/>
    </row>
    <row r="1260" spans="1:15" ht="15.75" customHeight="1" x14ac:dyDescent="0.3">
      <c r="A1260" s="124"/>
      <c r="B1260" s="114"/>
      <c r="C1260" s="125"/>
      <c r="D1260" s="114"/>
      <c r="E1260" s="114"/>
      <c r="F1260" s="114"/>
      <c r="G1260" s="114"/>
      <c r="H1260" s="114"/>
      <c r="I1260" s="114"/>
      <c r="J1260" s="114"/>
      <c r="K1260" s="117"/>
      <c r="L1260" s="117"/>
      <c r="M1260" s="114"/>
      <c r="N1260" s="114"/>
      <c r="O1260" s="114"/>
    </row>
    <row r="1261" spans="1:15" ht="15.75" customHeight="1" x14ac:dyDescent="0.3">
      <c r="A1261" s="124"/>
      <c r="B1261" s="114"/>
      <c r="C1261" s="125"/>
      <c r="D1261" s="114"/>
      <c r="E1261" s="114"/>
      <c r="F1261" s="114"/>
      <c r="G1261" s="114"/>
      <c r="H1261" s="114"/>
      <c r="I1261" s="114"/>
      <c r="J1261" s="114"/>
      <c r="K1261" s="117"/>
      <c r="L1261" s="117"/>
      <c r="M1261" s="114"/>
      <c r="N1261" s="114"/>
      <c r="O1261" s="114"/>
    </row>
    <row r="1262" spans="1:15" ht="15.75" customHeight="1" x14ac:dyDescent="0.3">
      <c r="A1262" s="124"/>
      <c r="B1262" s="114"/>
      <c r="C1262" s="125"/>
      <c r="D1262" s="114"/>
      <c r="E1262" s="114"/>
      <c r="F1262" s="114"/>
      <c r="G1262" s="114"/>
      <c r="H1262" s="114"/>
      <c r="I1262" s="114"/>
      <c r="J1262" s="114"/>
      <c r="K1262" s="117"/>
      <c r="L1262" s="117"/>
      <c r="M1262" s="114"/>
      <c r="N1262" s="114"/>
      <c r="O1262" s="114"/>
    </row>
    <row r="1263" spans="1:15" ht="15.75" customHeight="1" x14ac:dyDescent="0.3">
      <c r="A1263" s="124"/>
      <c r="B1263" s="114"/>
      <c r="C1263" s="125"/>
      <c r="D1263" s="114"/>
      <c r="E1263" s="114"/>
      <c r="F1263" s="114"/>
      <c r="G1263" s="114"/>
      <c r="H1263" s="114"/>
      <c r="I1263" s="114"/>
      <c r="J1263" s="114"/>
      <c r="K1263" s="117"/>
      <c r="L1263" s="117"/>
      <c r="M1263" s="114"/>
      <c r="N1263" s="114"/>
      <c r="O1263" s="114"/>
    </row>
    <row r="1264" spans="1:15" ht="15.75" customHeight="1" x14ac:dyDescent="0.3">
      <c r="A1264" s="124"/>
      <c r="B1264" s="114"/>
      <c r="C1264" s="125"/>
      <c r="D1264" s="114"/>
      <c r="E1264" s="114"/>
      <c r="F1264" s="114"/>
      <c r="G1264" s="114"/>
      <c r="H1264" s="114"/>
      <c r="I1264" s="114"/>
      <c r="J1264" s="114"/>
      <c r="K1264" s="117"/>
      <c r="L1264" s="117"/>
      <c r="M1264" s="114"/>
      <c r="N1264" s="114"/>
      <c r="O1264" s="114"/>
    </row>
    <row r="1265" spans="1:15" ht="15.75" customHeight="1" x14ac:dyDescent="0.3">
      <c r="A1265" s="124"/>
      <c r="B1265" s="114"/>
      <c r="C1265" s="125"/>
      <c r="D1265" s="114"/>
      <c r="E1265" s="114"/>
      <c r="F1265" s="114"/>
      <c r="G1265" s="114"/>
      <c r="H1265" s="114"/>
      <c r="I1265" s="114"/>
      <c r="J1265" s="114"/>
      <c r="K1265" s="117"/>
      <c r="L1265" s="117"/>
      <c r="M1265" s="114"/>
      <c r="N1265" s="114"/>
      <c r="O1265" s="114"/>
    </row>
    <row r="1266" spans="1:15" ht="15.75" customHeight="1" x14ac:dyDescent="0.3">
      <c r="A1266" s="124"/>
      <c r="B1266" s="114"/>
      <c r="C1266" s="125"/>
      <c r="D1266" s="114"/>
      <c r="E1266" s="114"/>
      <c r="F1266" s="114"/>
      <c r="G1266" s="114"/>
      <c r="H1266" s="114"/>
      <c r="I1266" s="114"/>
      <c r="J1266" s="114"/>
      <c r="K1266" s="117"/>
      <c r="L1266" s="117"/>
      <c r="M1266" s="114"/>
      <c r="N1266" s="114"/>
      <c r="O1266" s="114"/>
    </row>
    <row r="1267" spans="1:15" ht="15.75" customHeight="1" x14ac:dyDescent="0.3">
      <c r="A1267" s="124"/>
      <c r="B1267" s="114"/>
      <c r="C1267" s="125"/>
      <c r="D1267" s="114"/>
      <c r="E1267" s="114"/>
      <c r="F1267" s="114"/>
      <c r="G1267" s="114"/>
      <c r="H1267" s="114"/>
      <c r="I1267" s="114"/>
      <c r="J1267" s="114"/>
      <c r="K1267" s="117"/>
      <c r="L1267" s="117"/>
      <c r="M1267" s="114"/>
      <c r="N1267" s="114"/>
      <c r="O1267" s="114"/>
    </row>
    <row r="1268" spans="1:15" ht="15.75" customHeight="1" x14ac:dyDescent="0.3">
      <c r="A1268" s="124"/>
      <c r="B1268" s="114"/>
      <c r="C1268" s="125"/>
      <c r="D1268" s="114"/>
      <c r="E1268" s="114"/>
      <c r="F1268" s="114"/>
      <c r="G1268" s="114"/>
      <c r="H1268" s="114"/>
      <c r="I1268" s="114"/>
      <c r="J1268" s="114"/>
      <c r="K1268" s="117"/>
      <c r="L1268" s="117"/>
      <c r="M1268" s="114"/>
      <c r="N1268" s="114"/>
      <c r="O1268" s="114"/>
    </row>
    <row r="1269" spans="1:15" ht="15.75" customHeight="1" x14ac:dyDescent="0.3">
      <c r="A1269" s="124"/>
      <c r="B1269" s="114"/>
      <c r="C1269" s="125"/>
      <c r="D1269" s="114"/>
      <c r="E1269" s="114"/>
      <c r="F1269" s="114"/>
      <c r="G1269" s="114"/>
      <c r="H1269" s="114"/>
      <c r="I1269" s="114"/>
      <c r="J1269" s="114"/>
      <c r="K1269" s="117"/>
      <c r="L1269" s="117"/>
      <c r="M1269" s="114"/>
      <c r="N1269" s="114"/>
      <c r="O1269" s="114"/>
    </row>
    <row r="1270" spans="1:15" ht="15.75" customHeight="1" x14ac:dyDescent="0.3">
      <c r="A1270" s="124"/>
      <c r="B1270" s="114"/>
      <c r="C1270" s="125"/>
      <c r="D1270" s="114"/>
      <c r="E1270" s="114"/>
      <c r="F1270" s="114"/>
      <c r="G1270" s="114"/>
      <c r="H1270" s="114"/>
      <c r="I1270" s="114"/>
      <c r="J1270" s="114"/>
      <c r="K1270" s="117"/>
      <c r="L1270" s="117"/>
      <c r="M1270" s="114"/>
      <c r="N1270" s="114"/>
      <c r="O1270" s="114"/>
    </row>
    <row r="1271" spans="1:15" ht="15.75" customHeight="1" x14ac:dyDescent="0.3">
      <c r="A1271" s="124"/>
      <c r="B1271" s="114"/>
      <c r="C1271" s="125"/>
      <c r="D1271" s="114"/>
      <c r="E1271" s="114"/>
      <c r="F1271" s="114"/>
      <c r="G1271" s="114"/>
      <c r="H1271" s="114"/>
      <c r="I1271" s="114"/>
      <c r="J1271" s="114"/>
      <c r="K1271" s="117"/>
      <c r="L1271" s="117"/>
      <c r="M1271" s="114"/>
      <c r="N1271" s="114"/>
      <c r="O1271" s="114"/>
    </row>
    <row r="1272" spans="1:15" ht="15.75" customHeight="1" x14ac:dyDescent="0.3">
      <c r="A1272" s="124"/>
      <c r="B1272" s="114"/>
      <c r="C1272" s="125"/>
      <c r="D1272" s="114"/>
      <c r="E1272" s="114"/>
      <c r="F1272" s="114"/>
      <c r="G1272" s="114"/>
      <c r="H1272" s="114"/>
      <c r="I1272" s="114"/>
      <c r="J1272" s="114"/>
      <c r="K1272" s="117"/>
      <c r="L1272" s="117"/>
      <c r="M1272" s="114"/>
      <c r="N1272" s="114"/>
      <c r="O1272" s="114"/>
    </row>
    <row r="1273" spans="1:15" ht="15.75" customHeight="1" x14ac:dyDescent="0.3">
      <c r="A1273" s="124"/>
      <c r="B1273" s="114"/>
      <c r="C1273" s="125"/>
      <c r="D1273" s="114"/>
      <c r="E1273" s="114"/>
      <c r="F1273" s="114"/>
      <c r="G1273" s="114"/>
      <c r="H1273" s="114"/>
      <c r="I1273" s="114"/>
      <c r="J1273" s="114"/>
      <c r="K1273" s="117"/>
      <c r="L1273" s="117"/>
      <c r="M1273" s="114"/>
      <c r="N1273" s="114"/>
      <c r="O1273" s="114"/>
    </row>
    <row r="1274" spans="1:15" ht="15.75" customHeight="1" x14ac:dyDescent="0.3">
      <c r="A1274" s="124"/>
      <c r="B1274" s="114"/>
      <c r="C1274" s="125"/>
      <c r="D1274" s="114"/>
      <c r="E1274" s="114"/>
      <c r="F1274" s="114"/>
      <c r="G1274" s="114"/>
      <c r="H1274" s="114"/>
      <c r="I1274" s="114"/>
      <c r="J1274" s="114"/>
      <c r="K1274" s="117"/>
      <c r="L1274" s="117"/>
      <c r="M1274" s="114"/>
      <c r="N1274" s="114"/>
      <c r="O1274" s="114"/>
    </row>
    <row r="1275" spans="1:15" ht="15.75" customHeight="1" x14ac:dyDescent="0.3">
      <c r="A1275" s="124"/>
      <c r="B1275" s="114"/>
      <c r="C1275" s="125"/>
      <c r="D1275" s="114"/>
      <c r="E1275" s="114"/>
      <c r="F1275" s="114"/>
      <c r="G1275" s="114"/>
      <c r="H1275" s="114"/>
      <c r="I1275" s="114"/>
      <c r="J1275" s="114"/>
      <c r="K1275" s="117"/>
      <c r="L1275" s="117"/>
      <c r="M1275" s="114"/>
      <c r="N1275" s="114"/>
      <c r="O1275" s="114"/>
    </row>
    <row r="1276" spans="1:15" ht="15.75" customHeight="1" x14ac:dyDescent="0.3">
      <c r="A1276" s="124"/>
      <c r="B1276" s="114"/>
      <c r="C1276" s="125"/>
      <c r="D1276" s="114"/>
      <c r="E1276" s="114"/>
      <c r="F1276" s="114"/>
      <c r="G1276" s="114"/>
      <c r="H1276" s="114"/>
      <c r="I1276" s="114"/>
      <c r="J1276" s="114"/>
      <c r="K1276" s="117"/>
      <c r="L1276" s="117"/>
      <c r="M1276" s="114"/>
      <c r="N1276" s="114"/>
      <c r="O1276" s="114"/>
    </row>
    <row r="1277" spans="1:15" ht="15.75" customHeight="1" x14ac:dyDescent="0.3">
      <c r="A1277" s="124"/>
      <c r="B1277" s="114"/>
      <c r="C1277" s="125"/>
      <c r="D1277" s="114"/>
      <c r="E1277" s="114"/>
      <c r="F1277" s="114"/>
      <c r="G1277" s="114"/>
      <c r="H1277" s="114"/>
      <c r="I1277" s="114"/>
      <c r="J1277" s="114"/>
      <c r="K1277" s="117"/>
      <c r="L1277" s="117"/>
      <c r="M1277" s="114"/>
      <c r="N1277" s="114"/>
      <c r="O1277" s="114"/>
    </row>
    <row r="1278" spans="1:15" ht="15.75" customHeight="1" x14ac:dyDescent="0.3">
      <c r="A1278" s="124"/>
      <c r="B1278" s="114"/>
      <c r="C1278" s="125"/>
      <c r="D1278" s="114"/>
      <c r="E1278" s="114"/>
      <c r="F1278" s="114"/>
      <c r="G1278" s="114"/>
      <c r="H1278" s="114"/>
      <c r="I1278" s="114"/>
      <c r="J1278" s="114"/>
      <c r="K1278" s="117"/>
      <c r="L1278" s="117"/>
      <c r="M1278" s="114"/>
      <c r="N1278" s="114"/>
      <c r="O1278" s="114"/>
    </row>
    <row r="1279" spans="1:15" ht="15.75" customHeight="1" x14ac:dyDescent="0.3">
      <c r="A1279" s="124"/>
      <c r="B1279" s="114"/>
      <c r="C1279" s="125"/>
      <c r="D1279" s="114"/>
      <c r="E1279" s="114"/>
      <c r="F1279" s="114"/>
      <c r="G1279" s="114"/>
      <c r="H1279" s="114"/>
      <c r="I1279" s="114"/>
      <c r="J1279" s="114"/>
      <c r="K1279" s="117"/>
      <c r="L1279" s="117"/>
      <c r="M1279" s="114"/>
      <c r="N1279" s="114"/>
      <c r="O1279" s="114"/>
    </row>
    <row r="1280" spans="1:15" ht="15.75" customHeight="1" x14ac:dyDescent="0.3">
      <c r="A1280" s="124"/>
      <c r="B1280" s="114"/>
      <c r="C1280" s="125"/>
      <c r="D1280" s="114"/>
      <c r="E1280" s="114"/>
      <c r="F1280" s="114"/>
      <c r="G1280" s="114"/>
      <c r="H1280" s="114"/>
      <c r="I1280" s="114"/>
      <c r="J1280" s="114"/>
      <c r="K1280" s="117"/>
      <c r="L1280" s="117"/>
      <c r="M1280" s="114"/>
      <c r="N1280" s="114"/>
      <c r="O1280" s="114"/>
    </row>
    <row r="1281" spans="1:15" ht="15.75" customHeight="1" x14ac:dyDescent="0.3">
      <c r="A1281" s="124"/>
      <c r="B1281" s="114"/>
      <c r="C1281" s="125"/>
      <c r="D1281" s="114"/>
      <c r="E1281" s="114"/>
      <c r="F1281" s="114"/>
      <c r="G1281" s="114"/>
      <c r="H1281" s="114"/>
      <c r="I1281" s="114"/>
      <c r="J1281" s="114"/>
      <c r="K1281" s="117"/>
      <c r="L1281" s="117"/>
      <c r="M1281" s="114"/>
      <c r="N1281" s="114"/>
      <c r="O1281" s="114"/>
    </row>
    <row r="1282" spans="1:15" ht="15.75" customHeight="1" x14ac:dyDescent="0.3">
      <c r="A1282" s="124"/>
      <c r="B1282" s="114"/>
      <c r="C1282" s="125"/>
      <c r="D1282" s="114"/>
      <c r="E1282" s="114"/>
      <c r="F1282" s="114"/>
      <c r="G1282" s="114"/>
      <c r="H1282" s="114"/>
      <c r="I1282" s="114"/>
      <c r="J1282" s="114"/>
      <c r="K1282" s="117"/>
      <c r="L1282" s="117"/>
      <c r="M1282" s="114"/>
      <c r="N1282" s="114"/>
      <c r="O1282" s="114"/>
    </row>
    <row r="1283" spans="1:15" ht="15.75" customHeight="1" x14ac:dyDescent="0.3">
      <c r="A1283" s="124"/>
      <c r="B1283" s="114"/>
      <c r="C1283" s="125"/>
      <c r="D1283" s="114"/>
      <c r="E1283" s="114"/>
      <c r="F1283" s="114"/>
      <c r="G1283" s="114"/>
      <c r="H1283" s="114"/>
      <c r="I1283" s="114"/>
      <c r="J1283" s="114"/>
      <c r="K1283" s="117"/>
      <c r="L1283" s="117"/>
      <c r="M1283" s="114"/>
      <c r="N1283" s="114"/>
      <c r="O1283" s="114"/>
    </row>
    <row r="1284" spans="1:15" ht="15.75" customHeight="1" x14ac:dyDescent="0.3">
      <c r="A1284" s="124"/>
      <c r="B1284" s="114"/>
      <c r="C1284" s="125"/>
      <c r="D1284" s="114"/>
      <c r="E1284" s="114"/>
      <c r="F1284" s="114"/>
      <c r="G1284" s="114"/>
      <c r="H1284" s="114"/>
      <c r="I1284" s="114"/>
      <c r="J1284" s="114"/>
      <c r="K1284" s="117"/>
      <c r="L1284" s="117"/>
      <c r="M1284" s="114"/>
      <c r="N1284" s="114"/>
      <c r="O1284" s="114"/>
    </row>
    <row r="1285" spans="1:15" ht="15.75" customHeight="1" x14ac:dyDescent="0.3">
      <c r="A1285" s="124"/>
      <c r="B1285" s="114"/>
      <c r="C1285" s="125"/>
      <c r="D1285" s="114"/>
      <c r="E1285" s="114"/>
      <c r="F1285" s="114"/>
      <c r="G1285" s="114"/>
      <c r="H1285" s="114"/>
      <c r="I1285" s="114"/>
      <c r="J1285" s="114"/>
      <c r="K1285" s="117"/>
      <c r="L1285" s="117"/>
      <c r="M1285" s="114"/>
      <c r="N1285" s="114"/>
      <c r="O1285" s="114"/>
    </row>
    <row r="1286" spans="1:15" ht="15.75" customHeight="1" x14ac:dyDescent="0.3">
      <c r="A1286" s="124"/>
      <c r="B1286" s="114"/>
      <c r="C1286" s="125"/>
      <c r="D1286" s="114"/>
      <c r="E1286" s="114"/>
      <c r="F1286" s="114"/>
      <c r="G1286" s="114"/>
      <c r="H1286" s="114"/>
      <c r="I1286" s="114"/>
      <c r="J1286" s="114"/>
      <c r="K1286" s="117"/>
      <c r="L1286" s="117"/>
      <c r="M1286" s="114"/>
      <c r="N1286" s="114"/>
      <c r="O1286" s="114"/>
    </row>
    <row r="1287" spans="1:15" ht="15.75" customHeight="1" x14ac:dyDescent="0.3">
      <c r="A1287" s="124"/>
      <c r="B1287" s="114"/>
      <c r="C1287" s="125"/>
      <c r="D1287" s="114"/>
      <c r="E1287" s="114"/>
      <c r="F1287" s="114"/>
      <c r="G1287" s="114"/>
      <c r="H1287" s="114"/>
      <c r="I1287" s="114"/>
      <c r="J1287" s="114"/>
      <c r="K1287" s="117"/>
      <c r="L1287" s="117"/>
      <c r="M1287" s="114"/>
      <c r="N1287" s="114"/>
      <c r="O1287" s="114"/>
    </row>
    <row r="1288" spans="1:15" ht="15.75" customHeight="1" x14ac:dyDescent="0.3">
      <c r="A1288" s="124"/>
      <c r="B1288" s="114"/>
      <c r="C1288" s="125"/>
      <c r="D1288" s="114"/>
      <c r="E1288" s="114"/>
      <c r="F1288" s="114"/>
      <c r="G1288" s="114"/>
      <c r="H1288" s="114"/>
      <c r="I1288" s="114"/>
      <c r="J1288" s="114"/>
      <c r="K1288" s="117"/>
      <c r="L1288" s="117"/>
      <c r="M1288" s="114"/>
      <c r="N1288" s="114"/>
      <c r="O1288" s="114"/>
    </row>
    <row r="1289" spans="1:15" ht="15.75" customHeight="1" x14ac:dyDescent="0.3">
      <c r="A1289" s="124"/>
      <c r="B1289" s="114"/>
      <c r="C1289" s="125"/>
      <c r="D1289" s="114"/>
      <c r="E1289" s="114"/>
      <c r="F1289" s="114"/>
      <c r="G1289" s="114"/>
      <c r="H1289" s="114"/>
      <c r="I1289" s="114"/>
      <c r="J1289" s="114"/>
      <c r="K1289" s="117"/>
      <c r="L1289" s="117"/>
      <c r="M1289" s="114"/>
      <c r="N1289" s="114"/>
      <c r="O1289" s="114"/>
    </row>
    <row r="1290" spans="1:15" ht="15.75" customHeight="1" x14ac:dyDescent="0.3">
      <c r="A1290" s="124"/>
      <c r="B1290" s="114"/>
      <c r="C1290" s="125"/>
      <c r="D1290" s="114"/>
      <c r="E1290" s="114"/>
      <c r="F1290" s="114"/>
      <c r="G1290" s="114"/>
      <c r="H1290" s="114"/>
      <c r="I1290" s="114"/>
      <c r="J1290" s="114"/>
      <c r="K1290" s="117"/>
      <c r="L1290" s="117"/>
      <c r="M1290" s="114"/>
      <c r="N1290" s="114"/>
      <c r="O1290" s="114"/>
    </row>
    <row r="1291" spans="1:15" ht="15.75" customHeight="1" x14ac:dyDescent="0.3">
      <c r="A1291" s="124"/>
      <c r="B1291" s="114"/>
      <c r="C1291" s="125"/>
      <c r="D1291" s="114"/>
      <c r="E1291" s="114"/>
      <c r="F1291" s="114"/>
      <c r="G1291" s="114"/>
      <c r="H1291" s="114"/>
      <c r="I1291" s="114"/>
      <c r="J1291" s="114"/>
      <c r="K1291" s="117"/>
      <c r="L1291" s="117"/>
      <c r="M1291" s="114"/>
      <c r="N1291" s="114"/>
      <c r="O1291" s="114"/>
    </row>
    <row r="1292" spans="1:15" ht="15.75" customHeight="1" x14ac:dyDescent="0.3">
      <c r="A1292" s="124"/>
      <c r="B1292" s="114"/>
      <c r="C1292" s="125"/>
      <c r="D1292" s="114"/>
      <c r="E1292" s="114"/>
      <c r="F1292" s="114"/>
      <c r="G1292" s="114"/>
      <c r="H1292" s="114"/>
      <c r="I1292" s="114"/>
      <c r="J1292" s="114"/>
      <c r="K1292" s="117"/>
      <c r="L1292" s="117"/>
      <c r="M1292" s="114"/>
      <c r="N1292" s="114"/>
      <c r="O1292" s="114"/>
    </row>
    <row r="1293" spans="1:15" ht="15.75" customHeight="1" x14ac:dyDescent="0.3">
      <c r="A1293" s="124"/>
      <c r="B1293" s="114"/>
      <c r="C1293" s="125"/>
      <c r="D1293" s="114"/>
      <c r="E1293" s="114"/>
      <c r="F1293" s="114"/>
      <c r="G1293" s="114"/>
      <c r="H1293" s="114"/>
      <c r="I1293" s="114"/>
      <c r="J1293" s="114"/>
      <c r="K1293" s="117"/>
      <c r="L1293" s="117"/>
      <c r="M1293" s="114"/>
      <c r="N1293" s="114"/>
      <c r="O1293" s="114"/>
    </row>
    <row r="1294" spans="1:15" ht="15.75" customHeight="1" x14ac:dyDescent="0.3">
      <c r="A1294" s="124"/>
      <c r="B1294" s="114"/>
      <c r="C1294" s="125"/>
      <c r="D1294" s="114"/>
      <c r="E1294" s="114"/>
      <c r="F1294" s="114"/>
      <c r="G1294" s="114"/>
      <c r="H1294" s="114"/>
      <c r="I1294" s="114"/>
      <c r="J1294" s="114"/>
      <c r="K1294" s="117"/>
      <c r="L1294" s="117"/>
      <c r="M1294" s="114"/>
      <c r="N1294" s="114"/>
      <c r="O1294" s="114"/>
    </row>
    <row r="1295" spans="1:15" ht="15.75" customHeight="1" x14ac:dyDescent="0.3">
      <c r="A1295" s="124"/>
      <c r="B1295" s="114"/>
      <c r="C1295" s="125"/>
      <c r="D1295" s="114"/>
      <c r="E1295" s="114"/>
      <c r="F1295" s="114"/>
      <c r="G1295" s="114"/>
      <c r="H1295" s="114"/>
      <c r="I1295" s="114"/>
      <c r="J1295" s="114"/>
      <c r="K1295" s="117"/>
      <c r="L1295" s="117"/>
      <c r="M1295" s="114"/>
      <c r="N1295" s="114"/>
      <c r="O1295" s="114"/>
    </row>
    <row r="1296" spans="1:15" ht="15.75" customHeight="1" x14ac:dyDescent="0.3">
      <c r="A1296" s="124"/>
      <c r="B1296" s="114"/>
      <c r="C1296" s="125"/>
      <c r="D1296" s="114"/>
      <c r="E1296" s="114"/>
      <c r="F1296" s="114"/>
      <c r="G1296" s="114"/>
      <c r="H1296" s="114"/>
      <c r="I1296" s="114"/>
      <c r="J1296" s="114"/>
      <c r="K1296" s="117"/>
      <c r="L1296" s="117"/>
      <c r="M1296" s="114"/>
      <c r="N1296" s="114"/>
      <c r="O1296" s="114"/>
    </row>
    <row r="1297" spans="1:15" ht="15.75" customHeight="1" x14ac:dyDescent="0.3">
      <c r="A1297" s="124"/>
      <c r="B1297" s="114"/>
      <c r="C1297" s="125"/>
      <c r="D1297" s="114"/>
      <c r="E1297" s="114"/>
      <c r="F1297" s="114"/>
      <c r="G1297" s="114"/>
      <c r="H1297" s="114"/>
      <c r="I1297" s="114"/>
      <c r="J1297" s="114"/>
      <c r="K1297" s="117"/>
      <c r="L1297" s="117"/>
      <c r="M1297" s="114"/>
      <c r="N1297" s="114"/>
      <c r="O1297" s="114"/>
    </row>
    <row r="1298" spans="1:15" ht="15.75" customHeight="1" x14ac:dyDescent="0.3">
      <c r="A1298" s="124"/>
      <c r="B1298" s="114"/>
      <c r="C1298" s="125"/>
      <c r="D1298" s="114"/>
      <c r="E1298" s="114"/>
      <c r="F1298" s="114"/>
      <c r="G1298" s="114"/>
      <c r="H1298" s="114"/>
      <c r="I1298" s="114"/>
      <c r="J1298" s="114"/>
      <c r="K1298" s="117"/>
      <c r="L1298" s="117"/>
      <c r="M1298" s="114"/>
      <c r="N1298" s="114"/>
      <c r="O1298" s="114"/>
    </row>
    <row r="1299" spans="1:15" ht="15.75" customHeight="1" x14ac:dyDescent="0.3">
      <c r="A1299" s="124"/>
      <c r="B1299" s="114"/>
      <c r="C1299" s="125"/>
      <c r="D1299" s="114"/>
      <c r="E1299" s="114"/>
      <c r="F1299" s="114"/>
      <c r="G1299" s="114"/>
      <c r="H1299" s="114"/>
      <c r="I1299" s="114"/>
      <c r="J1299" s="114"/>
      <c r="K1299" s="117"/>
      <c r="L1299" s="117"/>
      <c r="M1299" s="114"/>
      <c r="N1299" s="114"/>
      <c r="O1299" s="114"/>
    </row>
    <row r="1300" spans="1:15" ht="15.75" customHeight="1" x14ac:dyDescent="0.3">
      <c r="A1300" s="124"/>
      <c r="B1300" s="114"/>
      <c r="C1300" s="125"/>
      <c r="D1300" s="114"/>
      <c r="E1300" s="114"/>
      <c r="F1300" s="114"/>
      <c r="G1300" s="114"/>
      <c r="H1300" s="114"/>
      <c r="I1300" s="114"/>
      <c r="J1300" s="114"/>
      <c r="K1300" s="117"/>
      <c r="L1300" s="117"/>
      <c r="M1300" s="114"/>
      <c r="N1300" s="114"/>
      <c r="O1300" s="114"/>
    </row>
    <row r="1301" spans="1:15" ht="15.75" customHeight="1" x14ac:dyDescent="0.3">
      <c r="A1301" s="124"/>
      <c r="B1301" s="114"/>
      <c r="C1301" s="125"/>
      <c r="D1301" s="114"/>
      <c r="E1301" s="114"/>
      <c r="F1301" s="114"/>
      <c r="G1301" s="114"/>
      <c r="H1301" s="114"/>
      <c r="I1301" s="114"/>
      <c r="J1301" s="114"/>
      <c r="K1301" s="117"/>
      <c r="L1301" s="117"/>
      <c r="M1301" s="114"/>
      <c r="N1301" s="114"/>
      <c r="O1301" s="114"/>
    </row>
    <row r="1302" spans="1:15" ht="15.75" customHeight="1" x14ac:dyDescent="0.3">
      <c r="A1302" s="124"/>
      <c r="B1302" s="114"/>
      <c r="C1302" s="125"/>
      <c r="D1302" s="114"/>
      <c r="E1302" s="114"/>
      <c r="F1302" s="114"/>
      <c r="G1302" s="114"/>
      <c r="H1302" s="114"/>
      <c r="I1302" s="114"/>
      <c r="J1302" s="114"/>
      <c r="K1302" s="117"/>
      <c r="L1302" s="117"/>
      <c r="M1302" s="114"/>
      <c r="N1302" s="114"/>
      <c r="O1302" s="114"/>
    </row>
    <row r="1303" spans="1:15" ht="15.75" customHeight="1" x14ac:dyDescent="0.3">
      <c r="A1303" s="124"/>
      <c r="B1303" s="114"/>
      <c r="C1303" s="125"/>
      <c r="D1303" s="114"/>
      <c r="E1303" s="114"/>
      <c r="F1303" s="114"/>
      <c r="G1303" s="114"/>
      <c r="H1303" s="114"/>
      <c r="I1303" s="114"/>
      <c r="J1303" s="114"/>
      <c r="K1303" s="117"/>
      <c r="L1303" s="117"/>
      <c r="M1303" s="114"/>
      <c r="N1303" s="114"/>
      <c r="O1303" s="114"/>
    </row>
    <row r="1304" spans="1:15" ht="15.75" customHeight="1" x14ac:dyDescent="0.3">
      <c r="A1304" s="124"/>
      <c r="B1304" s="114"/>
      <c r="C1304" s="125"/>
      <c r="D1304" s="114"/>
      <c r="E1304" s="114"/>
      <c r="F1304" s="114"/>
      <c r="G1304" s="114"/>
      <c r="H1304" s="114"/>
      <c r="I1304" s="114"/>
      <c r="J1304" s="114"/>
      <c r="K1304" s="117"/>
      <c r="L1304" s="117"/>
      <c r="M1304" s="114"/>
      <c r="N1304" s="114"/>
      <c r="O1304" s="114"/>
    </row>
    <row r="1305" spans="1:15" ht="15.75" customHeight="1" x14ac:dyDescent="0.3">
      <c r="A1305" s="124"/>
      <c r="B1305" s="114"/>
      <c r="C1305" s="125"/>
      <c r="D1305" s="114"/>
      <c r="E1305" s="114"/>
      <c r="F1305" s="114"/>
      <c r="G1305" s="114"/>
      <c r="H1305" s="114"/>
      <c r="I1305" s="114"/>
      <c r="J1305" s="114"/>
      <c r="K1305" s="117"/>
      <c r="L1305" s="117"/>
      <c r="M1305" s="114"/>
      <c r="N1305" s="114"/>
      <c r="O1305" s="114"/>
    </row>
    <row r="1306" spans="1:15" ht="15.75" customHeight="1" x14ac:dyDescent="0.3">
      <c r="A1306" s="124"/>
      <c r="B1306" s="114"/>
      <c r="C1306" s="125"/>
      <c r="D1306" s="114"/>
      <c r="E1306" s="114"/>
      <c r="F1306" s="114"/>
      <c r="G1306" s="114"/>
      <c r="H1306" s="114"/>
      <c r="I1306" s="114"/>
      <c r="J1306" s="114"/>
      <c r="K1306" s="117"/>
      <c r="L1306" s="117"/>
      <c r="M1306" s="114"/>
      <c r="N1306" s="114"/>
      <c r="O1306" s="114"/>
    </row>
    <row r="1307" spans="1:15" ht="15.75" customHeight="1" x14ac:dyDescent="0.3">
      <c r="A1307" s="124"/>
      <c r="B1307" s="114"/>
      <c r="C1307" s="125"/>
      <c r="D1307" s="114"/>
      <c r="E1307" s="114"/>
      <c r="F1307" s="114"/>
      <c r="G1307" s="114"/>
      <c r="H1307" s="114"/>
      <c r="I1307" s="114"/>
      <c r="J1307" s="114"/>
      <c r="K1307" s="117"/>
      <c r="L1307" s="117"/>
      <c r="M1307" s="114"/>
      <c r="N1307" s="114"/>
      <c r="O1307" s="114"/>
    </row>
    <row r="1308" spans="1:15" ht="15.75" customHeight="1" x14ac:dyDescent="0.3">
      <c r="A1308" s="124"/>
      <c r="B1308" s="114"/>
      <c r="C1308" s="125"/>
      <c r="D1308" s="114"/>
      <c r="E1308" s="114"/>
      <c r="F1308" s="114"/>
      <c r="G1308" s="114"/>
      <c r="H1308" s="114"/>
      <c r="I1308" s="114"/>
      <c r="J1308" s="114"/>
      <c r="K1308" s="117"/>
      <c r="L1308" s="117"/>
      <c r="M1308" s="114"/>
      <c r="N1308" s="114"/>
      <c r="O1308" s="114"/>
    </row>
    <row r="1309" spans="1:15" ht="15.75" customHeight="1" x14ac:dyDescent="0.3">
      <c r="A1309" s="124"/>
      <c r="B1309" s="114"/>
      <c r="C1309" s="125"/>
      <c r="D1309" s="114"/>
      <c r="E1309" s="114"/>
      <c r="F1309" s="114"/>
      <c r="G1309" s="114"/>
      <c r="H1309" s="114"/>
      <c r="I1309" s="114"/>
      <c r="J1309" s="114"/>
      <c r="K1309" s="117"/>
      <c r="L1309" s="117"/>
      <c r="M1309" s="114"/>
      <c r="N1309" s="114"/>
      <c r="O1309" s="114"/>
    </row>
    <row r="1310" spans="1:15" ht="15.75" customHeight="1" x14ac:dyDescent="0.3">
      <c r="A1310" s="124"/>
      <c r="B1310" s="114"/>
      <c r="C1310" s="125"/>
      <c r="D1310" s="114"/>
      <c r="E1310" s="114"/>
      <c r="F1310" s="114"/>
      <c r="G1310" s="114"/>
      <c r="H1310" s="114"/>
      <c r="I1310" s="114"/>
      <c r="J1310" s="114"/>
      <c r="K1310" s="117"/>
      <c r="L1310" s="117"/>
      <c r="M1310" s="114"/>
      <c r="N1310" s="114"/>
      <c r="O1310" s="114"/>
    </row>
    <row r="1311" spans="1:15" ht="15.75" customHeight="1" x14ac:dyDescent="0.3">
      <c r="A1311" s="124"/>
      <c r="B1311" s="114"/>
      <c r="C1311" s="125"/>
      <c r="D1311" s="114"/>
      <c r="E1311" s="114"/>
      <c r="F1311" s="114"/>
      <c r="G1311" s="114"/>
      <c r="H1311" s="114"/>
      <c r="I1311" s="114"/>
      <c r="J1311" s="114"/>
      <c r="K1311" s="117"/>
      <c r="L1311" s="117"/>
      <c r="M1311" s="114"/>
      <c r="N1311" s="114"/>
      <c r="O1311" s="114"/>
    </row>
    <row r="1312" spans="1:15" ht="15.75" customHeight="1" x14ac:dyDescent="0.3">
      <c r="A1312" s="124"/>
      <c r="B1312" s="114"/>
      <c r="C1312" s="125"/>
      <c r="D1312" s="114"/>
      <c r="E1312" s="114"/>
      <c r="F1312" s="114"/>
      <c r="G1312" s="114"/>
      <c r="H1312" s="114"/>
      <c r="I1312" s="114"/>
      <c r="J1312" s="114"/>
      <c r="K1312" s="117"/>
      <c r="L1312" s="117"/>
      <c r="M1312" s="114"/>
      <c r="N1312" s="114"/>
      <c r="O1312" s="114"/>
    </row>
    <row r="1313" spans="1:15" ht="15.75" customHeight="1" x14ac:dyDescent="0.3">
      <c r="A1313" s="124"/>
      <c r="B1313" s="114"/>
      <c r="C1313" s="125"/>
      <c r="D1313" s="114"/>
      <c r="E1313" s="114"/>
      <c r="F1313" s="114"/>
      <c r="G1313" s="114"/>
      <c r="H1313" s="114"/>
      <c r="I1313" s="114"/>
      <c r="J1313" s="114"/>
      <c r="K1313" s="117"/>
      <c r="L1313" s="117"/>
      <c r="M1313" s="114"/>
      <c r="N1313" s="114"/>
      <c r="O1313" s="114"/>
    </row>
    <row r="1314" spans="1:15" ht="15.75" customHeight="1" x14ac:dyDescent="0.3">
      <c r="A1314" s="124"/>
      <c r="B1314" s="114"/>
      <c r="C1314" s="125"/>
      <c r="D1314" s="114"/>
      <c r="E1314" s="114"/>
      <c r="F1314" s="114"/>
      <c r="G1314" s="114"/>
      <c r="H1314" s="114"/>
      <c r="I1314" s="114"/>
      <c r="J1314" s="114"/>
      <c r="K1314" s="117"/>
      <c r="L1314" s="117"/>
      <c r="M1314" s="114"/>
      <c r="N1314" s="114"/>
      <c r="O1314" s="114"/>
    </row>
    <row r="1315" spans="1:15" ht="15.75" customHeight="1" x14ac:dyDescent="0.3">
      <c r="A1315" s="124"/>
      <c r="B1315" s="114"/>
      <c r="C1315" s="125"/>
      <c r="D1315" s="114"/>
      <c r="E1315" s="114"/>
      <c r="F1315" s="114"/>
      <c r="G1315" s="114"/>
      <c r="H1315" s="114"/>
      <c r="I1315" s="114"/>
      <c r="J1315" s="114"/>
      <c r="K1315" s="117"/>
      <c r="L1315" s="117"/>
      <c r="M1315" s="114"/>
      <c r="N1315" s="114"/>
      <c r="O1315" s="114"/>
    </row>
    <row r="1316" spans="1:15" ht="15.75" customHeight="1" x14ac:dyDescent="0.3">
      <c r="A1316" s="124"/>
      <c r="B1316" s="114"/>
      <c r="C1316" s="125"/>
      <c r="D1316" s="114"/>
      <c r="E1316" s="114"/>
      <c r="F1316" s="114"/>
      <c r="G1316" s="114"/>
      <c r="H1316" s="114"/>
      <c r="I1316" s="114"/>
      <c r="J1316" s="114"/>
      <c r="K1316" s="117"/>
      <c r="L1316" s="117"/>
      <c r="M1316" s="114"/>
      <c r="N1316" s="114"/>
      <c r="O1316" s="114"/>
    </row>
    <row r="1317" spans="1:15" ht="15.75" customHeight="1" x14ac:dyDescent="0.3">
      <c r="A1317" s="124"/>
      <c r="B1317" s="114"/>
      <c r="C1317" s="125"/>
      <c r="D1317" s="114"/>
      <c r="E1317" s="114"/>
      <c r="F1317" s="114"/>
      <c r="G1317" s="114"/>
      <c r="H1317" s="114"/>
      <c r="I1317" s="114"/>
      <c r="J1317" s="114"/>
      <c r="K1317" s="117"/>
      <c r="L1317" s="117"/>
      <c r="M1317" s="114"/>
      <c r="N1317" s="114"/>
      <c r="O1317" s="114"/>
    </row>
    <row r="1318" spans="1:15" ht="15.75" customHeight="1" x14ac:dyDescent="0.3">
      <c r="A1318" s="124"/>
      <c r="B1318" s="114"/>
      <c r="C1318" s="125"/>
      <c r="D1318" s="114"/>
      <c r="E1318" s="114"/>
      <c r="F1318" s="114"/>
      <c r="G1318" s="114"/>
      <c r="H1318" s="114"/>
      <c r="I1318" s="114"/>
      <c r="J1318" s="114"/>
      <c r="K1318" s="117"/>
      <c r="L1318" s="117"/>
      <c r="M1318" s="114"/>
      <c r="N1318" s="114"/>
      <c r="O1318" s="114"/>
    </row>
    <row r="1319" spans="1:15" ht="15.75" customHeight="1" x14ac:dyDescent="0.3">
      <c r="A1319" s="124"/>
      <c r="B1319" s="114"/>
      <c r="C1319" s="125"/>
      <c r="D1319" s="114"/>
      <c r="E1319" s="114"/>
      <c r="F1319" s="114"/>
      <c r="G1319" s="114"/>
      <c r="H1319" s="114"/>
      <c r="I1319" s="114"/>
      <c r="J1319" s="114"/>
      <c r="K1319" s="117"/>
      <c r="L1319" s="117"/>
      <c r="M1319" s="114"/>
      <c r="N1319" s="114"/>
      <c r="O1319" s="114"/>
    </row>
    <row r="1320" spans="1:15" ht="15.75" customHeight="1" x14ac:dyDescent="0.3">
      <c r="A1320" s="124"/>
      <c r="B1320" s="114"/>
      <c r="C1320" s="125"/>
      <c r="D1320" s="114"/>
      <c r="E1320" s="114"/>
      <c r="F1320" s="114"/>
      <c r="G1320" s="114"/>
      <c r="H1320" s="114"/>
      <c r="I1320" s="114"/>
      <c r="J1320" s="114"/>
      <c r="K1320" s="117"/>
      <c r="L1320" s="117"/>
      <c r="M1320" s="114"/>
      <c r="N1320" s="114"/>
      <c r="O1320" s="114"/>
    </row>
    <row r="1321" spans="1:15" ht="15.75" customHeight="1" x14ac:dyDescent="0.3">
      <c r="A1321" s="124"/>
      <c r="B1321" s="114"/>
      <c r="C1321" s="125"/>
      <c r="D1321" s="114"/>
      <c r="E1321" s="114"/>
      <c r="F1321" s="114"/>
      <c r="G1321" s="114"/>
      <c r="H1321" s="114"/>
      <c r="I1321" s="114"/>
      <c r="J1321" s="114"/>
      <c r="K1321" s="117"/>
      <c r="L1321" s="117"/>
      <c r="M1321" s="114"/>
      <c r="N1321" s="114"/>
      <c r="O1321" s="114"/>
    </row>
    <row r="1322" spans="1:15" ht="15.75" customHeight="1" x14ac:dyDescent="0.3">
      <c r="A1322" s="124"/>
      <c r="B1322" s="114"/>
      <c r="C1322" s="125"/>
      <c r="D1322" s="114"/>
      <c r="E1322" s="114"/>
      <c r="F1322" s="114"/>
      <c r="G1322" s="114"/>
      <c r="H1322" s="114"/>
      <c r="I1322" s="114"/>
      <c r="J1322" s="114"/>
      <c r="K1322" s="117"/>
      <c r="L1322" s="117"/>
      <c r="M1322" s="114"/>
      <c r="N1322" s="114"/>
      <c r="O1322" s="114"/>
    </row>
    <row r="1323" spans="1:15" ht="15.75" customHeight="1" x14ac:dyDescent="0.3">
      <c r="A1323" s="124"/>
      <c r="B1323" s="114"/>
      <c r="C1323" s="125"/>
      <c r="D1323" s="114"/>
      <c r="E1323" s="114"/>
      <c r="F1323" s="114"/>
      <c r="G1323" s="114"/>
      <c r="H1323" s="114"/>
      <c r="I1323" s="114"/>
      <c r="J1323" s="114"/>
      <c r="K1323" s="117"/>
      <c r="L1323" s="117"/>
      <c r="M1323" s="114"/>
      <c r="N1323" s="114"/>
      <c r="O1323" s="114"/>
    </row>
    <row r="1324" spans="1:15" ht="15.75" customHeight="1" x14ac:dyDescent="0.3">
      <c r="A1324" s="124"/>
      <c r="B1324" s="114"/>
      <c r="C1324" s="125"/>
      <c r="D1324" s="114"/>
      <c r="E1324" s="114"/>
      <c r="F1324" s="114"/>
      <c r="G1324" s="114"/>
      <c r="H1324" s="114"/>
      <c r="I1324" s="114"/>
      <c r="J1324" s="114"/>
      <c r="K1324" s="117"/>
      <c r="L1324" s="117"/>
      <c r="M1324" s="114"/>
      <c r="N1324" s="114"/>
      <c r="O1324" s="114"/>
    </row>
    <row r="1325" spans="1:15" ht="15.75" customHeight="1" x14ac:dyDescent="0.3">
      <c r="A1325" s="124"/>
      <c r="B1325" s="114"/>
      <c r="C1325" s="125"/>
      <c r="D1325" s="114"/>
      <c r="E1325" s="114"/>
      <c r="F1325" s="114"/>
      <c r="G1325" s="114"/>
      <c r="H1325" s="114"/>
      <c r="I1325" s="114"/>
      <c r="J1325" s="114"/>
      <c r="K1325" s="117"/>
      <c r="L1325" s="117"/>
      <c r="M1325" s="114"/>
      <c r="N1325" s="114"/>
      <c r="O1325" s="114"/>
    </row>
    <row r="1326" spans="1:15" ht="15.75" customHeight="1" x14ac:dyDescent="0.3">
      <c r="A1326" s="124"/>
      <c r="B1326" s="114"/>
      <c r="C1326" s="125"/>
      <c r="D1326" s="114"/>
      <c r="E1326" s="114"/>
      <c r="F1326" s="114"/>
      <c r="G1326" s="114"/>
      <c r="H1326" s="114"/>
      <c r="I1326" s="114"/>
      <c r="J1326" s="114"/>
      <c r="K1326" s="117"/>
      <c r="L1326" s="117"/>
      <c r="M1326" s="114"/>
      <c r="N1326" s="114"/>
      <c r="O1326" s="114"/>
    </row>
    <row r="1327" spans="1:15" ht="15.75" customHeight="1" x14ac:dyDescent="0.3">
      <c r="A1327" s="124"/>
      <c r="B1327" s="114"/>
      <c r="C1327" s="125"/>
      <c r="D1327" s="114"/>
      <c r="E1327" s="114"/>
      <c r="F1327" s="114"/>
      <c r="G1327" s="114"/>
      <c r="H1327" s="114"/>
      <c r="I1327" s="114"/>
      <c r="J1327" s="114"/>
      <c r="K1327" s="117"/>
      <c r="L1327" s="117"/>
      <c r="M1327" s="114"/>
      <c r="N1327" s="114"/>
      <c r="O1327" s="114"/>
    </row>
    <row r="1328" spans="1:15" ht="15.75" customHeight="1" x14ac:dyDescent="0.3">
      <c r="A1328" s="124"/>
      <c r="B1328" s="114"/>
      <c r="C1328" s="125"/>
      <c r="D1328" s="114"/>
      <c r="E1328" s="114"/>
      <c r="F1328" s="114"/>
      <c r="G1328" s="114"/>
      <c r="H1328" s="114"/>
      <c r="I1328" s="114"/>
      <c r="J1328" s="114"/>
      <c r="K1328" s="117"/>
      <c r="L1328" s="117"/>
      <c r="M1328" s="114"/>
      <c r="N1328" s="114"/>
      <c r="O1328" s="114"/>
    </row>
    <row r="1329" spans="1:15" ht="15.75" customHeight="1" x14ac:dyDescent="0.3">
      <c r="A1329" s="124"/>
      <c r="B1329" s="114"/>
      <c r="C1329" s="125"/>
      <c r="D1329" s="114"/>
      <c r="E1329" s="114"/>
      <c r="F1329" s="114"/>
      <c r="G1329" s="114"/>
      <c r="H1329" s="114"/>
      <c r="I1329" s="114"/>
      <c r="J1329" s="114"/>
      <c r="K1329" s="117"/>
      <c r="L1329" s="117"/>
      <c r="M1329" s="114"/>
      <c r="N1329" s="114"/>
      <c r="O1329" s="114"/>
    </row>
    <row r="1330" spans="1:15" ht="15.75" customHeight="1" x14ac:dyDescent="0.3">
      <c r="A1330" s="124"/>
      <c r="B1330" s="114"/>
      <c r="C1330" s="125"/>
      <c r="D1330" s="114"/>
      <c r="E1330" s="114"/>
      <c r="F1330" s="114"/>
      <c r="G1330" s="114"/>
      <c r="H1330" s="114"/>
      <c r="I1330" s="114"/>
      <c r="J1330" s="114"/>
      <c r="K1330" s="117"/>
      <c r="L1330" s="117"/>
      <c r="M1330" s="114"/>
      <c r="N1330" s="114"/>
      <c r="O1330" s="114"/>
    </row>
    <row r="1331" spans="1:15" ht="15.75" customHeight="1" x14ac:dyDescent="0.3">
      <c r="A1331" s="124"/>
      <c r="B1331" s="114"/>
      <c r="C1331" s="125"/>
      <c r="D1331" s="114"/>
      <c r="E1331" s="114"/>
      <c r="F1331" s="114"/>
      <c r="G1331" s="114"/>
      <c r="H1331" s="114"/>
      <c r="I1331" s="114"/>
      <c r="J1331" s="114"/>
      <c r="K1331" s="117"/>
      <c r="L1331" s="117"/>
      <c r="M1331" s="114"/>
      <c r="N1331" s="114"/>
      <c r="O1331" s="114"/>
    </row>
    <row r="1332" spans="1:15" ht="15.75" customHeight="1" x14ac:dyDescent="0.3">
      <c r="A1332" s="124"/>
      <c r="B1332" s="114"/>
      <c r="C1332" s="125"/>
      <c r="D1332" s="114"/>
      <c r="E1332" s="114"/>
      <c r="F1332" s="114"/>
      <c r="G1332" s="114"/>
      <c r="H1332" s="114"/>
      <c r="I1332" s="114"/>
      <c r="J1332" s="114"/>
      <c r="K1332" s="117"/>
      <c r="L1332" s="117"/>
      <c r="M1332" s="114"/>
      <c r="N1332" s="114"/>
      <c r="O1332" s="114"/>
    </row>
    <row r="1333" spans="1:15" ht="15.75" customHeight="1" x14ac:dyDescent="0.3">
      <c r="A1333" s="124"/>
      <c r="B1333" s="114"/>
      <c r="C1333" s="125"/>
      <c r="D1333" s="114"/>
      <c r="E1333" s="114"/>
      <c r="F1333" s="114"/>
      <c r="G1333" s="114"/>
      <c r="H1333" s="114"/>
      <c r="I1333" s="114"/>
      <c r="J1333" s="114"/>
      <c r="K1333" s="117"/>
      <c r="L1333" s="117"/>
      <c r="M1333" s="114"/>
      <c r="N1333" s="114"/>
      <c r="O1333" s="114"/>
    </row>
    <row r="1334" spans="1:15" ht="15.75" customHeight="1" x14ac:dyDescent="0.3">
      <c r="A1334" s="124"/>
      <c r="B1334" s="114"/>
      <c r="C1334" s="125"/>
      <c r="D1334" s="114"/>
      <c r="E1334" s="114"/>
      <c r="F1334" s="114"/>
      <c r="G1334" s="114"/>
      <c r="H1334" s="114"/>
      <c r="I1334" s="114"/>
      <c r="J1334" s="114"/>
      <c r="K1334" s="117"/>
      <c r="L1334" s="117"/>
      <c r="M1334" s="114"/>
      <c r="N1334" s="114"/>
      <c r="O1334" s="114"/>
    </row>
    <row r="1335" spans="1:15" ht="15.75" customHeight="1" x14ac:dyDescent="0.3">
      <c r="A1335" s="124"/>
      <c r="B1335" s="114"/>
      <c r="C1335" s="125"/>
      <c r="D1335" s="114"/>
      <c r="E1335" s="114"/>
      <c r="F1335" s="114"/>
      <c r="G1335" s="114"/>
      <c r="H1335" s="114"/>
      <c r="I1335" s="114"/>
      <c r="J1335" s="114"/>
      <c r="K1335" s="117"/>
      <c r="L1335" s="117"/>
      <c r="M1335" s="114"/>
      <c r="N1335" s="114"/>
      <c r="O1335" s="114"/>
    </row>
    <row r="1336" spans="1:15" ht="15.75" customHeight="1" x14ac:dyDescent="0.3">
      <c r="A1336" s="124"/>
      <c r="B1336" s="114"/>
      <c r="C1336" s="125"/>
      <c r="D1336" s="114"/>
      <c r="E1336" s="114"/>
      <c r="F1336" s="114"/>
      <c r="G1336" s="114"/>
      <c r="H1336" s="114"/>
      <c r="I1336" s="114"/>
      <c r="J1336" s="114"/>
      <c r="K1336" s="117"/>
      <c r="L1336" s="117"/>
      <c r="M1336" s="114"/>
      <c r="N1336" s="114"/>
      <c r="O1336" s="114"/>
    </row>
    <row r="1337" spans="1:15" ht="15.75" customHeight="1" x14ac:dyDescent="0.3">
      <c r="A1337" s="124"/>
      <c r="B1337" s="114"/>
      <c r="C1337" s="125"/>
      <c r="D1337" s="114"/>
      <c r="E1337" s="114"/>
      <c r="F1337" s="114"/>
      <c r="G1337" s="114"/>
      <c r="H1337" s="114"/>
      <c r="I1337" s="114"/>
      <c r="J1337" s="114"/>
      <c r="K1337" s="117"/>
      <c r="L1337" s="117"/>
      <c r="M1337" s="114"/>
      <c r="N1337" s="114"/>
      <c r="O1337" s="114"/>
    </row>
    <row r="1338" spans="1:15" ht="15.75" customHeight="1" x14ac:dyDescent="0.3">
      <c r="A1338" s="124"/>
      <c r="B1338" s="114"/>
      <c r="C1338" s="125"/>
      <c r="D1338" s="114"/>
      <c r="E1338" s="114"/>
      <c r="F1338" s="114"/>
      <c r="G1338" s="114"/>
      <c r="H1338" s="114"/>
      <c r="I1338" s="114"/>
      <c r="J1338" s="114"/>
      <c r="K1338" s="117"/>
      <c r="L1338" s="117"/>
      <c r="M1338" s="114"/>
      <c r="N1338" s="114"/>
      <c r="O1338" s="114"/>
    </row>
    <row r="1339" spans="1:15" ht="15.75" customHeight="1" x14ac:dyDescent="0.3">
      <c r="A1339" s="124"/>
      <c r="B1339" s="114"/>
      <c r="C1339" s="125"/>
      <c r="D1339" s="114"/>
      <c r="E1339" s="114"/>
      <c r="F1339" s="114"/>
      <c r="G1339" s="114"/>
      <c r="H1339" s="114"/>
      <c r="I1339" s="114"/>
      <c r="J1339" s="114"/>
      <c r="K1339" s="117"/>
      <c r="L1339" s="117"/>
      <c r="M1339" s="114"/>
      <c r="N1339" s="114"/>
      <c r="O1339" s="114"/>
    </row>
    <row r="1340" spans="1:15" ht="15.75" customHeight="1" x14ac:dyDescent="0.3">
      <c r="A1340" s="124"/>
      <c r="B1340" s="114"/>
      <c r="C1340" s="125"/>
      <c r="D1340" s="114"/>
      <c r="E1340" s="114"/>
      <c r="F1340" s="114"/>
      <c r="G1340" s="114"/>
      <c r="H1340" s="114"/>
      <c r="I1340" s="114"/>
      <c r="J1340" s="114"/>
      <c r="K1340" s="117"/>
      <c r="L1340" s="117"/>
      <c r="M1340" s="114"/>
      <c r="N1340" s="114"/>
      <c r="O1340" s="114"/>
    </row>
    <row r="1341" spans="1:15" ht="15.75" customHeight="1" x14ac:dyDescent="0.3">
      <c r="A1341" s="124"/>
      <c r="B1341" s="114"/>
      <c r="C1341" s="125"/>
      <c r="D1341" s="114"/>
      <c r="E1341" s="114"/>
      <c r="F1341" s="114"/>
      <c r="G1341" s="114"/>
      <c r="H1341" s="114"/>
      <c r="I1341" s="114"/>
      <c r="J1341" s="114"/>
      <c r="K1341" s="117"/>
      <c r="L1341" s="117"/>
      <c r="M1341" s="114"/>
      <c r="N1341" s="114"/>
      <c r="O1341" s="114"/>
    </row>
    <row r="1342" spans="1:15" ht="15.75" customHeight="1" x14ac:dyDescent="0.3">
      <c r="A1342" s="124"/>
      <c r="B1342" s="114"/>
      <c r="C1342" s="125"/>
      <c r="D1342" s="114"/>
      <c r="E1342" s="114"/>
      <c r="F1342" s="114"/>
      <c r="G1342" s="114"/>
      <c r="H1342" s="114"/>
      <c r="I1342" s="114"/>
      <c r="J1342" s="114"/>
      <c r="K1342" s="117"/>
      <c r="L1342" s="117"/>
      <c r="M1342" s="114"/>
      <c r="N1342" s="114"/>
      <c r="O1342" s="114"/>
    </row>
    <row r="1343" spans="1:15" ht="15.75" customHeight="1" x14ac:dyDescent="0.3">
      <c r="A1343" s="124"/>
      <c r="B1343" s="114"/>
      <c r="C1343" s="125"/>
      <c r="D1343" s="114"/>
      <c r="E1343" s="114"/>
      <c r="F1343" s="114"/>
      <c r="G1343" s="114"/>
      <c r="H1343" s="114"/>
      <c r="I1343" s="114"/>
      <c r="J1343" s="114"/>
      <c r="K1343" s="117"/>
      <c r="L1343" s="117"/>
      <c r="M1343" s="114"/>
      <c r="N1343" s="114"/>
      <c r="O1343" s="114"/>
    </row>
    <row r="1344" spans="1:15" ht="15.75" customHeight="1" x14ac:dyDescent="0.3">
      <c r="A1344" s="124"/>
      <c r="B1344" s="114"/>
      <c r="C1344" s="125"/>
      <c r="D1344" s="114"/>
      <c r="E1344" s="114"/>
      <c r="F1344" s="114"/>
      <c r="G1344" s="114"/>
      <c r="H1344" s="114"/>
      <c r="I1344" s="114"/>
      <c r="J1344" s="114"/>
      <c r="K1344" s="117"/>
      <c r="L1344" s="117"/>
      <c r="M1344" s="114"/>
      <c r="N1344" s="114"/>
      <c r="O1344" s="114"/>
    </row>
    <row r="1345" spans="1:15" ht="15.75" customHeight="1" x14ac:dyDescent="0.3">
      <c r="A1345" s="124"/>
      <c r="B1345" s="114"/>
      <c r="C1345" s="125"/>
      <c r="D1345" s="114"/>
      <c r="E1345" s="114"/>
      <c r="F1345" s="114"/>
      <c r="G1345" s="114"/>
      <c r="H1345" s="114"/>
      <c r="I1345" s="114"/>
      <c r="J1345" s="114"/>
      <c r="K1345" s="117"/>
      <c r="L1345" s="117"/>
      <c r="M1345" s="114"/>
      <c r="N1345" s="114"/>
      <c r="O1345" s="114"/>
    </row>
    <row r="1346" spans="1:15" ht="15.75" customHeight="1" x14ac:dyDescent="0.3">
      <c r="A1346" s="124"/>
      <c r="B1346" s="114"/>
      <c r="C1346" s="125"/>
      <c r="D1346" s="114"/>
      <c r="E1346" s="114"/>
      <c r="F1346" s="114"/>
      <c r="G1346" s="114"/>
      <c r="H1346" s="114"/>
      <c r="I1346" s="114"/>
      <c r="J1346" s="114"/>
      <c r="K1346" s="117"/>
      <c r="L1346" s="117"/>
      <c r="M1346" s="114"/>
      <c r="N1346" s="114"/>
      <c r="O1346" s="114"/>
    </row>
    <row r="1347" spans="1:15" ht="15.75" customHeight="1" x14ac:dyDescent="0.3">
      <c r="A1347" s="124"/>
      <c r="B1347" s="114"/>
      <c r="C1347" s="125"/>
      <c r="D1347" s="114"/>
      <c r="E1347" s="114"/>
      <c r="F1347" s="114"/>
      <c r="G1347" s="114"/>
      <c r="H1347" s="114"/>
      <c r="I1347" s="114"/>
      <c r="J1347" s="114"/>
      <c r="K1347" s="117"/>
      <c r="L1347" s="117"/>
      <c r="M1347" s="114"/>
      <c r="N1347" s="114"/>
      <c r="O1347" s="114"/>
    </row>
    <row r="1348" spans="1:15" ht="15.75" customHeight="1" x14ac:dyDescent="0.3">
      <c r="A1348" s="124"/>
      <c r="B1348" s="114"/>
      <c r="C1348" s="125"/>
      <c r="D1348" s="114"/>
      <c r="E1348" s="114"/>
      <c r="F1348" s="114"/>
      <c r="G1348" s="114"/>
      <c r="H1348" s="114"/>
      <c r="I1348" s="114"/>
      <c r="J1348" s="114"/>
      <c r="K1348" s="117"/>
      <c r="L1348" s="117"/>
      <c r="M1348" s="114"/>
      <c r="N1348" s="114"/>
      <c r="O1348" s="114"/>
    </row>
    <row r="1349" spans="1:15" ht="15.75" customHeight="1" x14ac:dyDescent="0.3">
      <c r="A1349" s="124"/>
      <c r="B1349" s="114"/>
      <c r="C1349" s="125"/>
      <c r="D1349" s="114"/>
      <c r="E1349" s="114"/>
      <c r="F1349" s="114"/>
      <c r="G1349" s="114"/>
      <c r="H1349" s="114"/>
      <c r="I1349" s="114"/>
      <c r="J1349" s="114"/>
      <c r="K1349" s="117"/>
      <c r="L1349" s="117"/>
      <c r="M1349" s="114"/>
      <c r="N1349" s="114"/>
      <c r="O1349" s="114"/>
    </row>
    <row r="1350" spans="1:15" ht="15.75" customHeight="1" x14ac:dyDescent="0.3">
      <c r="A1350" s="124"/>
      <c r="B1350" s="114"/>
      <c r="C1350" s="125"/>
      <c r="D1350" s="114"/>
      <c r="E1350" s="114"/>
      <c r="F1350" s="114"/>
      <c r="G1350" s="114"/>
      <c r="H1350" s="114"/>
      <c r="I1350" s="114"/>
      <c r="J1350" s="114"/>
      <c r="K1350" s="117"/>
      <c r="L1350" s="117"/>
      <c r="M1350" s="114"/>
      <c r="N1350" s="114"/>
      <c r="O1350" s="114"/>
    </row>
    <row r="1351" spans="1:15" ht="15.75" customHeight="1" x14ac:dyDescent="0.3">
      <c r="A1351" s="124"/>
      <c r="B1351" s="114"/>
      <c r="C1351" s="125"/>
      <c r="D1351" s="114"/>
      <c r="E1351" s="114"/>
      <c r="F1351" s="114"/>
      <c r="G1351" s="114"/>
      <c r="H1351" s="114"/>
      <c r="I1351" s="114"/>
      <c r="J1351" s="114"/>
      <c r="K1351" s="117"/>
      <c r="L1351" s="117"/>
      <c r="M1351" s="114"/>
      <c r="N1351" s="114"/>
      <c r="O1351" s="114"/>
    </row>
    <row r="1352" spans="1:15" ht="15.75" customHeight="1" x14ac:dyDescent="0.3">
      <c r="A1352" s="124"/>
      <c r="B1352" s="114"/>
      <c r="C1352" s="125"/>
      <c r="D1352" s="114"/>
      <c r="E1352" s="114"/>
      <c r="F1352" s="114"/>
      <c r="G1352" s="114"/>
      <c r="H1352" s="114"/>
      <c r="I1352" s="114"/>
      <c r="J1352" s="114"/>
      <c r="K1352" s="117"/>
      <c r="L1352" s="117"/>
      <c r="M1352" s="114"/>
      <c r="N1352" s="114"/>
      <c r="O1352" s="114"/>
    </row>
    <row r="1353" spans="1:15" ht="15.75" customHeight="1" x14ac:dyDescent="0.3">
      <c r="A1353" s="124"/>
      <c r="B1353" s="114"/>
      <c r="C1353" s="125"/>
      <c r="D1353" s="114"/>
      <c r="E1353" s="114"/>
      <c r="F1353" s="114"/>
      <c r="G1353" s="114"/>
      <c r="H1353" s="114"/>
      <c r="I1353" s="114"/>
      <c r="J1353" s="114"/>
      <c r="K1353" s="117"/>
      <c r="L1353" s="117"/>
      <c r="M1353" s="114"/>
      <c r="N1353" s="114"/>
      <c r="O1353" s="114"/>
    </row>
    <row r="1354" spans="1:15" ht="15.75" customHeight="1" x14ac:dyDescent="0.3">
      <c r="A1354" s="124"/>
      <c r="B1354" s="114"/>
      <c r="C1354" s="125"/>
      <c r="D1354" s="114"/>
      <c r="E1354" s="114"/>
      <c r="F1354" s="114"/>
      <c r="G1354" s="114"/>
      <c r="H1354" s="114"/>
      <c r="I1354" s="114"/>
      <c r="J1354" s="114"/>
      <c r="K1354" s="117"/>
      <c r="L1354" s="117"/>
      <c r="M1354" s="114"/>
      <c r="N1354" s="114"/>
      <c r="O1354" s="114"/>
    </row>
    <row r="1355" spans="1:15" ht="15.75" customHeight="1" x14ac:dyDescent="0.3">
      <c r="A1355" s="124"/>
      <c r="B1355" s="114"/>
      <c r="C1355" s="125"/>
      <c r="D1355" s="114"/>
      <c r="E1355" s="114"/>
      <c r="F1355" s="114"/>
      <c r="G1355" s="114"/>
      <c r="H1355" s="114"/>
      <c r="I1355" s="114"/>
      <c r="J1355" s="114"/>
      <c r="K1355" s="117"/>
      <c r="L1355" s="117"/>
      <c r="M1355" s="114"/>
      <c r="N1355" s="114"/>
      <c r="O1355" s="114"/>
    </row>
    <row r="1356" spans="1:15" ht="15.75" customHeight="1" x14ac:dyDescent="0.3">
      <c r="A1356" s="124"/>
      <c r="B1356" s="114"/>
      <c r="C1356" s="125"/>
      <c r="D1356" s="114"/>
      <c r="E1356" s="114"/>
      <c r="F1356" s="114"/>
      <c r="G1356" s="114"/>
      <c r="H1356" s="114"/>
      <c r="I1356" s="114"/>
      <c r="J1356" s="114"/>
      <c r="K1356" s="117"/>
      <c r="L1356" s="117"/>
      <c r="M1356" s="114"/>
      <c r="N1356" s="114"/>
      <c r="O1356" s="114"/>
    </row>
    <row r="1357" spans="1:15" ht="15.75" customHeight="1" x14ac:dyDescent="0.3">
      <c r="A1357" s="124"/>
      <c r="B1357" s="114"/>
      <c r="C1357" s="125"/>
      <c r="D1357" s="114"/>
      <c r="E1357" s="114"/>
      <c r="F1357" s="114"/>
      <c r="G1357" s="114"/>
      <c r="H1357" s="114"/>
      <c r="I1357" s="114"/>
      <c r="J1357" s="114"/>
      <c r="K1357" s="117"/>
      <c r="L1357" s="117"/>
      <c r="M1357" s="114"/>
      <c r="N1357" s="114"/>
      <c r="O1357" s="114"/>
    </row>
    <row r="1358" spans="1:15" ht="15.75" customHeight="1" x14ac:dyDescent="0.3">
      <c r="A1358" s="124"/>
      <c r="B1358" s="114"/>
      <c r="C1358" s="125"/>
      <c r="D1358" s="114"/>
      <c r="E1358" s="114"/>
      <c r="F1358" s="114"/>
      <c r="G1358" s="114"/>
      <c r="H1358" s="114"/>
      <c r="I1358" s="114"/>
      <c r="J1358" s="114"/>
      <c r="K1358" s="117"/>
      <c r="L1358" s="117"/>
      <c r="M1358" s="114"/>
      <c r="N1358" s="114"/>
      <c r="O1358" s="114"/>
    </row>
    <row r="1359" spans="1:15" ht="15.75" customHeight="1" x14ac:dyDescent="0.3">
      <c r="A1359" s="124"/>
      <c r="B1359" s="114"/>
      <c r="C1359" s="125"/>
      <c r="D1359" s="114"/>
      <c r="E1359" s="114"/>
      <c r="F1359" s="114"/>
      <c r="G1359" s="114"/>
      <c r="H1359" s="114"/>
      <c r="I1359" s="114"/>
      <c r="J1359" s="114"/>
      <c r="K1359" s="117"/>
      <c r="L1359" s="117"/>
      <c r="M1359" s="114"/>
      <c r="N1359" s="114"/>
      <c r="O1359" s="114"/>
    </row>
    <row r="1360" spans="1:15" ht="15.75" customHeight="1" x14ac:dyDescent="0.3">
      <c r="A1360" s="124"/>
      <c r="B1360" s="114"/>
      <c r="C1360" s="125"/>
      <c r="D1360" s="114"/>
      <c r="E1360" s="114"/>
      <c r="F1360" s="114"/>
      <c r="G1360" s="114"/>
      <c r="H1360" s="114"/>
      <c r="I1360" s="114"/>
      <c r="J1360" s="114"/>
      <c r="K1360" s="117"/>
      <c r="L1360" s="117"/>
      <c r="M1360" s="114"/>
      <c r="N1360" s="114"/>
      <c r="O1360" s="114"/>
    </row>
    <row r="1361" spans="1:15" ht="15.75" customHeight="1" x14ac:dyDescent="0.3">
      <c r="A1361" s="124"/>
      <c r="B1361" s="114"/>
      <c r="C1361" s="125"/>
      <c r="D1361" s="114"/>
      <c r="E1361" s="114"/>
      <c r="F1361" s="114"/>
      <c r="G1361" s="114"/>
      <c r="H1361" s="114"/>
      <c r="I1361" s="114"/>
      <c r="J1361" s="114"/>
      <c r="K1361" s="117"/>
      <c r="L1361" s="117"/>
      <c r="M1361" s="114"/>
      <c r="N1361" s="114"/>
      <c r="O1361" s="114"/>
    </row>
    <row r="1362" spans="1:15" ht="15.75" customHeight="1" x14ac:dyDescent="0.3">
      <c r="A1362" s="124"/>
      <c r="B1362" s="114"/>
      <c r="C1362" s="125"/>
      <c r="D1362" s="114"/>
      <c r="E1362" s="114"/>
      <c r="F1362" s="114"/>
      <c r="G1362" s="114"/>
      <c r="H1362" s="114"/>
      <c r="I1362" s="114"/>
      <c r="J1362" s="114"/>
      <c r="K1362" s="117"/>
      <c r="L1362" s="117"/>
      <c r="M1362" s="114"/>
      <c r="N1362" s="114"/>
      <c r="O1362" s="114"/>
    </row>
    <row r="1363" spans="1:15" ht="15.75" customHeight="1" x14ac:dyDescent="0.3">
      <c r="A1363" s="124"/>
      <c r="B1363" s="114"/>
      <c r="C1363" s="125"/>
      <c r="D1363" s="114"/>
      <c r="E1363" s="114"/>
      <c r="F1363" s="114"/>
      <c r="G1363" s="114"/>
      <c r="H1363" s="114"/>
      <c r="I1363" s="114"/>
      <c r="J1363" s="114"/>
      <c r="K1363" s="117"/>
      <c r="L1363" s="117"/>
      <c r="M1363" s="114"/>
      <c r="N1363" s="114"/>
      <c r="O1363" s="114"/>
    </row>
    <row r="1364" spans="1:15" ht="15.75" customHeight="1" x14ac:dyDescent="0.3">
      <c r="A1364" s="124"/>
      <c r="B1364" s="114"/>
      <c r="C1364" s="125"/>
      <c r="D1364" s="114"/>
      <c r="E1364" s="114"/>
      <c r="F1364" s="114"/>
      <c r="G1364" s="114"/>
      <c r="H1364" s="114"/>
      <c r="I1364" s="114"/>
      <c r="J1364" s="114"/>
      <c r="K1364" s="117"/>
      <c r="L1364" s="117"/>
      <c r="M1364" s="114"/>
      <c r="N1364" s="114"/>
      <c r="O1364" s="114"/>
    </row>
    <row r="1365" spans="1:15" ht="15.75" customHeight="1" x14ac:dyDescent="0.3">
      <c r="A1365" s="124"/>
      <c r="B1365" s="114"/>
      <c r="C1365" s="125"/>
      <c r="D1365" s="114"/>
      <c r="E1365" s="114"/>
      <c r="F1365" s="114"/>
      <c r="G1365" s="114"/>
      <c r="H1365" s="114"/>
      <c r="I1365" s="114"/>
      <c r="J1365" s="114"/>
      <c r="K1365" s="117"/>
      <c r="L1365" s="117"/>
      <c r="M1365" s="114"/>
      <c r="N1365" s="114"/>
      <c r="O1365" s="114"/>
    </row>
    <row r="1366" spans="1:15" ht="15.75" customHeight="1" x14ac:dyDescent="0.3">
      <c r="A1366" s="124"/>
      <c r="B1366" s="114"/>
      <c r="C1366" s="125"/>
      <c r="D1366" s="114"/>
      <c r="E1366" s="114"/>
      <c r="F1366" s="114"/>
      <c r="G1366" s="114"/>
      <c r="H1366" s="114"/>
      <c r="I1366" s="114"/>
      <c r="J1366" s="114"/>
      <c r="K1366" s="117"/>
      <c r="L1366" s="117"/>
      <c r="M1366" s="114"/>
      <c r="N1366" s="114"/>
      <c r="O1366" s="114"/>
    </row>
    <row r="1367" spans="1:15" ht="15.75" customHeight="1" x14ac:dyDescent="0.3">
      <c r="A1367" s="124"/>
      <c r="B1367" s="114"/>
      <c r="C1367" s="125"/>
      <c r="D1367" s="114"/>
      <c r="E1367" s="114"/>
      <c r="F1367" s="114"/>
      <c r="G1367" s="114"/>
      <c r="H1367" s="114"/>
      <c r="I1367" s="114"/>
      <c r="J1367" s="114"/>
      <c r="K1367" s="117"/>
      <c r="L1367" s="117"/>
      <c r="M1367" s="114"/>
      <c r="N1367" s="114"/>
      <c r="O1367" s="114"/>
    </row>
    <row r="1368" spans="1:15" ht="15.75" customHeight="1" x14ac:dyDescent="0.3">
      <c r="A1368" s="124"/>
      <c r="B1368" s="114"/>
      <c r="C1368" s="125"/>
      <c r="D1368" s="114"/>
      <c r="E1368" s="114"/>
      <c r="F1368" s="114"/>
      <c r="G1368" s="114"/>
      <c r="H1368" s="114"/>
      <c r="I1368" s="114"/>
      <c r="J1368" s="114"/>
      <c r="K1368" s="117"/>
      <c r="L1368" s="117"/>
      <c r="M1368" s="114"/>
      <c r="N1368" s="114"/>
      <c r="O1368" s="114"/>
    </row>
    <row r="1369" spans="1:15" ht="15.75" customHeight="1" x14ac:dyDescent="0.3">
      <c r="A1369" s="124"/>
      <c r="B1369" s="114"/>
      <c r="C1369" s="125"/>
      <c r="D1369" s="114"/>
      <c r="E1369" s="114"/>
      <c r="F1369" s="114"/>
      <c r="G1369" s="114"/>
      <c r="H1369" s="114"/>
      <c r="I1369" s="114"/>
      <c r="J1369" s="114"/>
      <c r="K1369" s="117"/>
      <c r="L1369" s="117"/>
      <c r="M1369" s="114"/>
      <c r="N1369" s="114"/>
      <c r="O1369" s="114"/>
    </row>
    <row r="1370" spans="1:15" ht="15.75" customHeight="1" x14ac:dyDescent="0.3">
      <c r="A1370" s="124"/>
      <c r="B1370" s="114"/>
      <c r="C1370" s="125"/>
      <c r="D1370" s="114"/>
      <c r="E1370" s="114"/>
      <c r="F1370" s="114"/>
      <c r="G1370" s="114"/>
      <c r="H1370" s="114"/>
      <c r="I1370" s="114"/>
      <c r="J1370" s="114"/>
      <c r="K1370" s="117"/>
      <c r="L1370" s="117"/>
      <c r="M1370" s="114"/>
      <c r="N1370" s="114"/>
      <c r="O1370" s="114"/>
    </row>
    <row r="1371" spans="1:15" ht="15.75" customHeight="1" x14ac:dyDescent="0.3">
      <c r="A1371" s="124"/>
      <c r="B1371" s="114"/>
      <c r="C1371" s="125"/>
      <c r="D1371" s="114"/>
      <c r="E1371" s="114"/>
      <c r="F1371" s="114"/>
      <c r="G1371" s="114"/>
      <c r="H1371" s="114"/>
      <c r="I1371" s="114"/>
      <c r="J1371" s="114"/>
      <c r="K1371" s="117"/>
      <c r="L1371" s="117"/>
      <c r="M1371" s="114"/>
      <c r="N1371" s="114"/>
      <c r="O1371" s="114"/>
    </row>
    <row r="1372" spans="1:15" ht="15.75" customHeight="1" x14ac:dyDescent="0.3">
      <c r="A1372" s="124"/>
      <c r="B1372" s="114"/>
      <c r="C1372" s="125"/>
      <c r="D1372" s="114"/>
      <c r="E1372" s="114"/>
      <c r="F1372" s="114"/>
      <c r="G1372" s="114"/>
      <c r="H1372" s="114"/>
      <c r="I1372" s="114"/>
      <c r="J1372" s="114"/>
      <c r="K1372" s="117"/>
      <c r="L1372" s="117"/>
      <c r="M1372" s="114"/>
      <c r="N1372" s="114"/>
      <c r="O1372" s="114"/>
    </row>
    <row r="1373" spans="1:15" ht="15.75" customHeight="1" x14ac:dyDescent="0.3">
      <c r="A1373" s="124"/>
      <c r="B1373" s="114"/>
      <c r="C1373" s="125"/>
      <c r="D1373" s="114"/>
      <c r="E1373" s="114"/>
      <c r="F1373" s="114"/>
      <c r="G1373" s="114"/>
      <c r="H1373" s="114"/>
      <c r="I1373" s="114"/>
      <c r="J1373" s="114"/>
      <c r="K1373" s="117"/>
      <c r="L1373" s="117"/>
      <c r="M1373" s="114"/>
      <c r="N1373" s="114"/>
      <c r="O1373" s="114"/>
    </row>
    <row r="1374" spans="1:15" ht="15.75" customHeight="1" x14ac:dyDescent="0.3">
      <c r="A1374" s="124"/>
      <c r="B1374" s="114"/>
      <c r="C1374" s="125"/>
      <c r="D1374" s="114"/>
      <c r="E1374" s="114"/>
      <c r="F1374" s="114"/>
      <c r="G1374" s="114"/>
      <c r="H1374" s="114"/>
      <c r="I1374" s="114"/>
      <c r="J1374" s="114"/>
      <c r="K1374" s="117"/>
      <c r="L1374" s="117"/>
      <c r="M1374" s="114"/>
      <c r="N1374" s="114"/>
      <c r="O1374" s="114"/>
    </row>
    <row r="1375" spans="1:15" ht="15.75" customHeight="1" x14ac:dyDescent="0.3">
      <c r="A1375" s="124"/>
      <c r="B1375" s="114"/>
      <c r="C1375" s="125"/>
      <c r="D1375" s="114"/>
      <c r="E1375" s="114"/>
      <c r="F1375" s="114"/>
      <c r="G1375" s="114"/>
      <c r="H1375" s="114"/>
      <c r="I1375" s="114"/>
      <c r="J1375" s="114"/>
      <c r="K1375" s="117"/>
      <c r="L1375" s="117"/>
      <c r="M1375" s="114"/>
      <c r="N1375" s="114"/>
      <c r="O1375" s="114"/>
    </row>
    <row r="1376" spans="1:15" ht="15.75" customHeight="1" x14ac:dyDescent="0.3">
      <c r="A1376" s="124"/>
      <c r="B1376" s="114"/>
      <c r="C1376" s="125"/>
      <c r="D1376" s="114"/>
      <c r="E1376" s="114"/>
      <c r="F1376" s="114"/>
      <c r="G1376" s="114"/>
      <c r="H1376" s="114"/>
      <c r="I1376" s="114"/>
      <c r="J1376" s="114"/>
      <c r="K1376" s="117"/>
      <c r="L1376" s="117"/>
      <c r="M1376" s="114"/>
      <c r="N1376" s="114"/>
      <c r="O1376" s="114"/>
    </row>
    <row r="1377" spans="1:15" ht="15.75" customHeight="1" x14ac:dyDescent="0.3">
      <c r="A1377" s="124"/>
      <c r="B1377" s="114"/>
      <c r="C1377" s="125"/>
      <c r="D1377" s="114"/>
      <c r="E1377" s="114"/>
      <c r="F1377" s="114"/>
      <c r="G1377" s="114"/>
      <c r="H1377" s="114"/>
      <c r="I1377" s="114"/>
      <c r="J1377" s="114"/>
      <c r="K1377" s="117"/>
      <c r="L1377" s="117"/>
      <c r="M1377" s="114"/>
      <c r="N1377" s="114"/>
      <c r="O1377" s="114"/>
    </row>
    <row r="1378" spans="1:15" ht="15.75" customHeight="1" x14ac:dyDescent="0.3">
      <c r="A1378" s="124"/>
      <c r="B1378" s="114"/>
      <c r="C1378" s="125"/>
      <c r="D1378" s="114"/>
      <c r="E1378" s="114"/>
      <c r="F1378" s="114"/>
      <c r="G1378" s="114"/>
      <c r="H1378" s="114"/>
      <c r="I1378" s="114"/>
      <c r="J1378" s="114"/>
      <c r="K1378" s="117"/>
      <c r="L1378" s="117"/>
      <c r="M1378" s="114"/>
      <c r="N1378" s="114"/>
      <c r="O1378" s="114"/>
    </row>
    <row r="1379" spans="1:15" ht="15.75" customHeight="1" x14ac:dyDescent="0.3">
      <c r="A1379" s="124"/>
      <c r="B1379" s="114"/>
      <c r="C1379" s="125"/>
      <c r="D1379" s="114"/>
      <c r="E1379" s="114"/>
      <c r="F1379" s="114"/>
      <c r="G1379" s="114"/>
      <c r="H1379" s="114"/>
      <c r="I1379" s="114"/>
      <c r="J1379" s="114"/>
      <c r="K1379" s="117"/>
      <c r="L1379" s="117"/>
      <c r="M1379" s="114"/>
      <c r="N1379" s="114"/>
      <c r="O1379" s="114"/>
    </row>
    <row r="1380" spans="1:15" ht="15.75" customHeight="1" x14ac:dyDescent="0.3">
      <c r="A1380" s="124"/>
      <c r="B1380" s="114"/>
      <c r="C1380" s="125"/>
      <c r="D1380" s="114"/>
      <c r="E1380" s="114"/>
      <c r="F1380" s="114"/>
      <c r="G1380" s="114"/>
      <c r="H1380" s="114"/>
      <c r="I1380" s="114"/>
      <c r="J1380" s="114"/>
      <c r="K1380" s="117"/>
      <c r="L1380" s="117"/>
      <c r="M1380" s="114"/>
      <c r="N1380" s="114"/>
      <c r="O1380" s="114"/>
    </row>
    <row r="1381" spans="1:15" ht="15.75" customHeight="1" x14ac:dyDescent="0.3">
      <c r="A1381" s="124"/>
      <c r="B1381" s="114"/>
      <c r="C1381" s="125"/>
      <c r="D1381" s="114"/>
      <c r="E1381" s="114"/>
      <c r="F1381" s="114"/>
      <c r="G1381" s="114"/>
      <c r="H1381" s="114"/>
      <c r="I1381" s="114"/>
      <c r="J1381" s="114"/>
      <c r="K1381" s="117"/>
      <c r="L1381" s="117"/>
      <c r="M1381" s="114"/>
      <c r="N1381" s="114"/>
      <c r="O1381" s="114"/>
    </row>
    <row r="1382" spans="1:15" ht="15.75" customHeight="1" x14ac:dyDescent="0.3">
      <c r="A1382" s="124"/>
      <c r="B1382" s="114"/>
      <c r="C1382" s="125"/>
      <c r="D1382" s="114"/>
      <c r="E1382" s="114"/>
      <c r="F1382" s="114"/>
      <c r="G1382" s="114"/>
      <c r="H1382" s="114"/>
      <c r="I1382" s="114"/>
      <c r="J1382" s="114"/>
      <c r="K1382" s="117"/>
      <c r="L1382" s="117"/>
      <c r="M1382" s="114"/>
      <c r="N1382" s="114"/>
      <c r="O1382" s="114"/>
    </row>
    <row r="1383" spans="1:15" ht="15.75" customHeight="1" x14ac:dyDescent="0.3">
      <c r="A1383" s="124"/>
      <c r="B1383" s="114"/>
      <c r="C1383" s="125"/>
      <c r="D1383" s="114"/>
      <c r="E1383" s="114"/>
      <c r="F1383" s="114"/>
      <c r="G1383" s="114"/>
      <c r="H1383" s="114"/>
      <c r="I1383" s="114"/>
      <c r="J1383" s="114"/>
      <c r="K1383" s="117"/>
      <c r="L1383" s="117"/>
      <c r="M1383" s="114"/>
      <c r="N1383" s="114"/>
      <c r="O1383" s="114"/>
    </row>
    <row r="1384" spans="1:15" ht="15.75" customHeight="1" x14ac:dyDescent="0.3">
      <c r="A1384" s="124"/>
      <c r="B1384" s="114"/>
      <c r="C1384" s="125"/>
      <c r="D1384" s="114"/>
      <c r="E1384" s="114"/>
      <c r="F1384" s="114"/>
      <c r="G1384" s="114"/>
      <c r="H1384" s="114"/>
      <c r="I1384" s="114"/>
      <c r="J1384" s="114"/>
      <c r="K1384" s="117"/>
      <c r="L1384" s="117"/>
      <c r="M1384" s="114"/>
      <c r="N1384" s="114"/>
      <c r="O1384" s="114"/>
    </row>
    <row r="1385" spans="1:15" ht="15.75" customHeight="1" x14ac:dyDescent="0.3">
      <c r="A1385" s="124"/>
      <c r="B1385" s="114"/>
      <c r="C1385" s="125"/>
      <c r="D1385" s="114"/>
      <c r="E1385" s="114"/>
      <c r="F1385" s="114"/>
      <c r="G1385" s="114"/>
      <c r="H1385" s="114"/>
      <c r="I1385" s="114"/>
      <c r="J1385" s="114"/>
      <c r="K1385" s="117"/>
      <c r="L1385" s="117"/>
      <c r="M1385" s="114"/>
      <c r="N1385" s="114"/>
      <c r="O1385" s="114"/>
    </row>
    <row r="1386" spans="1:15" ht="15.75" customHeight="1" x14ac:dyDescent="0.3">
      <c r="A1386" s="124"/>
      <c r="B1386" s="114"/>
      <c r="C1386" s="125"/>
      <c r="D1386" s="114"/>
      <c r="E1386" s="114"/>
      <c r="F1386" s="114"/>
      <c r="G1386" s="114"/>
      <c r="H1386" s="114"/>
      <c r="I1386" s="114"/>
      <c r="J1386" s="114"/>
      <c r="K1386" s="117"/>
      <c r="L1386" s="117"/>
      <c r="M1386" s="114"/>
      <c r="N1386" s="114"/>
      <c r="O1386" s="114"/>
    </row>
    <row r="1387" spans="1:15" ht="15.75" customHeight="1" x14ac:dyDescent="0.3">
      <c r="A1387" s="124"/>
      <c r="B1387" s="114"/>
      <c r="C1387" s="125"/>
      <c r="D1387" s="114"/>
      <c r="E1387" s="114"/>
      <c r="F1387" s="114"/>
      <c r="G1387" s="114"/>
      <c r="H1387" s="114"/>
      <c r="I1387" s="114"/>
      <c r="J1387" s="114"/>
      <c r="K1387" s="117"/>
      <c r="L1387" s="117"/>
      <c r="M1387" s="114"/>
      <c r="N1387" s="114"/>
      <c r="O1387" s="114"/>
    </row>
    <row r="1388" spans="1:15" ht="15.75" customHeight="1" x14ac:dyDescent="0.3">
      <c r="A1388" s="124"/>
      <c r="B1388" s="114"/>
      <c r="C1388" s="125"/>
      <c r="D1388" s="114"/>
      <c r="E1388" s="114"/>
      <c r="F1388" s="114"/>
      <c r="G1388" s="114"/>
      <c r="H1388" s="114"/>
      <c r="I1388" s="114"/>
      <c r="J1388" s="114"/>
      <c r="K1388" s="117"/>
      <c r="L1388" s="117"/>
      <c r="M1388" s="114"/>
      <c r="N1388" s="114"/>
      <c r="O1388" s="114"/>
    </row>
    <row r="1389" spans="1:15" ht="15.75" customHeight="1" x14ac:dyDescent="0.3">
      <c r="A1389" s="124"/>
      <c r="B1389" s="114"/>
      <c r="C1389" s="125"/>
      <c r="D1389" s="114"/>
      <c r="E1389" s="114"/>
      <c r="F1389" s="114"/>
      <c r="G1389" s="114"/>
      <c r="H1389" s="114"/>
      <c r="I1389" s="114"/>
      <c r="J1389" s="114"/>
      <c r="K1389" s="117"/>
      <c r="L1389" s="117"/>
      <c r="M1389" s="114"/>
      <c r="N1389" s="114"/>
      <c r="O1389" s="114"/>
    </row>
    <row r="1390" spans="1:15" ht="15.75" customHeight="1" x14ac:dyDescent="0.3">
      <c r="A1390" s="124"/>
      <c r="B1390" s="114"/>
      <c r="C1390" s="125"/>
      <c r="D1390" s="114"/>
      <c r="E1390" s="114"/>
      <c r="F1390" s="114"/>
      <c r="G1390" s="114"/>
      <c r="H1390" s="114"/>
      <c r="I1390" s="114"/>
      <c r="J1390" s="114"/>
      <c r="K1390" s="117"/>
      <c r="L1390" s="117"/>
      <c r="M1390" s="114"/>
      <c r="N1390" s="114"/>
      <c r="O1390" s="114"/>
    </row>
    <row r="1391" spans="1:15" ht="15.75" customHeight="1" x14ac:dyDescent="0.3">
      <c r="A1391" s="124"/>
      <c r="B1391" s="114"/>
      <c r="C1391" s="125"/>
      <c r="D1391" s="114"/>
      <c r="E1391" s="114"/>
      <c r="F1391" s="114"/>
      <c r="G1391" s="114"/>
      <c r="H1391" s="114"/>
      <c r="I1391" s="114"/>
      <c r="J1391" s="114"/>
      <c r="K1391" s="117"/>
      <c r="L1391" s="117"/>
      <c r="M1391" s="114"/>
      <c r="N1391" s="114"/>
      <c r="O1391" s="114"/>
    </row>
    <row r="1392" spans="1:15" ht="15.75" customHeight="1" x14ac:dyDescent="0.3">
      <c r="A1392" s="124"/>
      <c r="B1392" s="114"/>
      <c r="C1392" s="125"/>
      <c r="D1392" s="114"/>
      <c r="E1392" s="114"/>
      <c r="F1392" s="114"/>
      <c r="G1392" s="114"/>
      <c r="H1392" s="114"/>
      <c r="I1392" s="114"/>
      <c r="J1392" s="114"/>
      <c r="K1392" s="117"/>
      <c r="L1392" s="117"/>
      <c r="M1392" s="114"/>
      <c r="N1392" s="114"/>
      <c r="O1392" s="114"/>
    </row>
    <row r="1393" spans="1:15" ht="15.75" customHeight="1" x14ac:dyDescent="0.3">
      <c r="A1393" s="124"/>
      <c r="B1393" s="114"/>
      <c r="C1393" s="125"/>
      <c r="D1393" s="114"/>
      <c r="E1393" s="114"/>
      <c r="F1393" s="114"/>
      <c r="G1393" s="114"/>
      <c r="H1393" s="114"/>
      <c r="I1393" s="114"/>
      <c r="J1393" s="114"/>
      <c r="K1393" s="117"/>
      <c r="L1393" s="117"/>
      <c r="M1393" s="114"/>
      <c r="N1393" s="114"/>
      <c r="O1393" s="114"/>
    </row>
    <row r="1394" spans="1:15" ht="15.75" customHeight="1" x14ac:dyDescent="0.3">
      <c r="A1394" s="124"/>
      <c r="B1394" s="114"/>
      <c r="C1394" s="125"/>
      <c r="D1394" s="114"/>
      <c r="E1394" s="114"/>
      <c r="F1394" s="114"/>
      <c r="G1394" s="114"/>
      <c r="H1394" s="114"/>
      <c r="I1394" s="114"/>
      <c r="J1394" s="114"/>
      <c r="K1394" s="117"/>
      <c r="L1394" s="117"/>
      <c r="M1394" s="114"/>
      <c r="N1394" s="114"/>
      <c r="O1394" s="114"/>
    </row>
    <row r="1395" spans="1:15" ht="15.75" customHeight="1" x14ac:dyDescent="0.3">
      <c r="A1395" s="124"/>
      <c r="B1395" s="114"/>
      <c r="C1395" s="125"/>
      <c r="D1395" s="114"/>
      <c r="E1395" s="114"/>
      <c r="F1395" s="114"/>
      <c r="G1395" s="114"/>
      <c r="H1395" s="114"/>
      <c r="I1395" s="114"/>
      <c r="J1395" s="114"/>
      <c r="K1395" s="117"/>
      <c r="L1395" s="117"/>
      <c r="M1395" s="114"/>
      <c r="N1395" s="114"/>
      <c r="O1395" s="114"/>
    </row>
    <row r="1396" spans="1:15" ht="15.75" customHeight="1" x14ac:dyDescent="0.3">
      <c r="A1396" s="124"/>
      <c r="B1396" s="114"/>
      <c r="C1396" s="125"/>
      <c r="D1396" s="114"/>
      <c r="E1396" s="114"/>
      <c r="F1396" s="114"/>
      <c r="G1396" s="114"/>
      <c r="H1396" s="114"/>
      <c r="I1396" s="114"/>
      <c r="J1396" s="114"/>
      <c r="K1396" s="117"/>
      <c r="L1396" s="117"/>
      <c r="M1396" s="114"/>
      <c r="N1396" s="114"/>
      <c r="O1396" s="114"/>
    </row>
    <row r="1397" spans="1:15" ht="15.75" customHeight="1" x14ac:dyDescent="0.3">
      <c r="A1397" s="124"/>
      <c r="B1397" s="114"/>
      <c r="C1397" s="125"/>
      <c r="D1397" s="114"/>
      <c r="E1397" s="114"/>
      <c r="F1397" s="114"/>
      <c r="G1397" s="114"/>
      <c r="H1397" s="114"/>
      <c r="I1397" s="114"/>
      <c r="J1397" s="114"/>
      <c r="K1397" s="117"/>
      <c r="L1397" s="117"/>
      <c r="M1397" s="114"/>
      <c r="N1397" s="114"/>
      <c r="O1397" s="114"/>
    </row>
    <row r="1398" spans="1:15" ht="15.75" customHeight="1" x14ac:dyDescent="0.3">
      <c r="A1398" s="124"/>
      <c r="B1398" s="114"/>
      <c r="C1398" s="125"/>
      <c r="D1398" s="114"/>
      <c r="E1398" s="114"/>
      <c r="F1398" s="114"/>
      <c r="G1398" s="114"/>
      <c r="H1398" s="114"/>
      <c r="I1398" s="114"/>
      <c r="J1398" s="114"/>
      <c r="K1398" s="117"/>
      <c r="L1398" s="117"/>
      <c r="M1398" s="114"/>
      <c r="N1398" s="114"/>
      <c r="O1398" s="114"/>
    </row>
    <row r="1399" spans="1:15" ht="15.75" customHeight="1" x14ac:dyDescent="0.3">
      <c r="A1399" s="124"/>
      <c r="B1399" s="114"/>
      <c r="C1399" s="125"/>
      <c r="D1399" s="114"/>
      <c r="E1399" s="114"/>
      <c r="F1399" s="114"/>
      <c r="G1399" s="114"/>
      <c r="H1399" s="114"/>
      <c r="I1399" s="114"/>
      <c r="J1399" s="114"/>
      <c r="K1399" s="117"/>
      <c r="L1399" s="117"/>
      <c r="M1399" s="114"/>
      <c r="N1399" s="114"/>
      <c r="O1399" s="114"/>
    </row>
    <row r="1400" spans="1:15" ht="15.75" customHeight="1" x14ac:dyDescent="0.3">
      <c r="A1400" s="124"/>
      <c r="B1400" s="114"/>
      <c r="C1400" s="125"/>
      <c r="D1400" s="114"/>
      <c r="E1400" s="114"/>
      <c r="F1400" s="114"/>
      <c r="G1400" s="114"/>
      <c r="H1400" s="114"/>
      <c r="I1400" s="114"/>
      <c r="J1400" s="114"/>
      <c r="K1400" s="117"/>
      <c r="L1400" s="117"/>
      <c r="M1400" s="114"/>
      <c r="N1400" s="114"/>
      <c r="O1400" s="114"/>
    </row>
    <row r="1401" spans="1:15" ht="15.75" customHeight="1" x14ac:dyDescent="0.3">
      <c r="A1401" s="124"/>
      <c r="B1401" s="114"/>
      <c r="C1401" s="125"/>
      <c r="D1401" s="114"/>
      <c r="E1401" s="114"/>
      <c r="F1401" s="114"/>
      <c r="G1401" s="114"/>
      <c r="H1401" s="114"/>
      <c r="I1401" s="114"/>
      <c r="J1401" s="114"/>
      <c r="K1401" s="117"/>
      <c r="L1401" s="117"/>
      <c r="M1401" s="114"/>
      <c r="N1401" s="114"/>
      <c r="O1401" s="114"/>
    </row>
    <row r="1402" spans="1:15" ht="15.75" customHeight="1" x14ac:dyDescent="0.3">
      <c r="A1402" s="124"/>
      <c r="B1402" s="114"/>
      <c r="C1402" s="125"/>
      <c r="D1402" s="114"/>
      <c r="E1402" s="114"/>
      <c r="F1402" s="114"/>
      <c r="G1402" s="114"/>
      <c r="H1402" s="114"/>
      <c r="I1402" s="114"/>
      <c r="J1402" s="114"/>
      <c r="K1402" s="117"/>
      <c r="L1402" s="117"/>
      <c r="M1402" s="114"/>
      <c r="N1402" s="114"/>
      <c r="O1402" s="114"/>
    </row>
    <row r="1403" spans="1:15" ht="15.75" customHeight="1" x14ac:dyDescent="0.3">
      <c r="A1403" s="124"/>
      <c r="B1403" s="114"/>
      <c r="C1403" s="125"/>
      <c r="D1403" s="114"/>
      <c r="E1403" s="114"/>
      <c r="F1403" s="114"/>
      <c r="G1403" s="114"/>
      <c r="H1403" s="114"/>
      <c r="I1403" s="114"/>
      <c r="J1403" s="114"/>
      <c r="K1403" s="117"/>
      <c r="L1403" s="117"/>
      <c r="M1403" s="114"/>
      <c r="N1403" s="114"/>
      <c r="O1403" s="114"/>
    </row>
    <row r="1404" spans="1:15" ht="15.75" customHeight="1" x14ac:dyDescent="0.3">
      <c r="A1404" s="124"/>
      <c r="B1404" s="114"/>
      <c r="C1404" s="125"/>
      <c r="D1404" s="114"/>
      <c r="E1404" s="114"/>
      <c r="F1404" s="114"/>
      <c r="G1404" s="114"/>
      <c r="H1404" s="114"/>
      <c r="I1404" s="114"/>
      <c r="J1404" s="114"/>
      <c r="K1404" s="117"/>
      <c r="L1404" s="117"/>
      <c r="M1404" s="114"/>
      <c r="N1404" s="114"/>
      <c r="O1404" s="114"/>
    </row>
    <row r="1405" spans="1:15" ht="15.75" customHeight="1" x14ac:dyDescent="0.3">
      <c r="A1405" s="124"/>
      <c r="B1405" s="114"/>
      <c r="C1405" s="125"/>
      <c r="D1405" s="114"/>
      <c r="E1405" s="114"/>
      <c r="F1405" s="114"/>
      <c r="G1405" s="114"/>
      <c r="H1405" s="114"/>
      <c r="I1405" s="114"/>
      <c r="J1405" s="114"/>
      <c r="K1405" s="117"/>
      <c r="L1405" s="117"/>
      <c r="M1405" s="114"/>
      <c r="N1405" s="114"/>
      <c r="O1405" s="114"/>
    </row>
    <row r="1406" spans="1:15" ht="15.75" customHeight="1" x14ac:dyDescent="0.3">
      <c r="A1406" s="124"/>
      <c r="B1406" s="114"/>
      <c r="C1406" s="125"/>
      <c r="D1406" s="114"/>
      <c r="E1406" s="114"/>
      <c r="F1406" s="114"/>
      <c r="G1406" s="114"/>
      <c r="H1406" s="114"/>
      <c r="I1406" s="114"/>
      <c r="J1406" s="114"/>
      <c r="K1406" s="117"/>
      <c r="L1406" s="117"/>
      <c r="M1406" s="114"/>
      <c r="N1406" s="114"/>
      <c r="O1406" s="114"/>
    </row>
    <row r="1407" spans="1:15" ht="15.75" customHeight="1" x14ac:dyDescent="0.3">
      <c r="A1407" s="124"/>
      <c r="B1407" s="114"/>
      <c r="C1407" s="125"/>
      <c r="D1407" s="114"/>
      <c r="E1407" s="114"/>
      <c r="F1407" s="114"/>
      <c r="G1407" s="114"/>
      <c r="H1407" s="114"/>
      <c r="I1407" s="114"/>
      <c r="J1407" s="114"/>
      <c r="K1407" s="117"/>
      <c r="L1407" s="117"/>
      <c r="M1407" s="114"/>
      <c r="N1407" s="114"/>
      <c r="O1407" s="114"/>
    </row>
    <row r="1408" spans="1:15" ht="15.75" customHeight="1" x14ac:dyDescent="0.3">
      <c r="A1408" s="124"/>
      <c r="B1408" s="114"/>
      <c r="C1408" s="125"/>
      <c r="D1408" s="114"/>
      <c r="E1408" s="114"/>
      <c r="F1408" s="114"/>
      <c r="G1408" s="114"/>
      <c r="H1408" s="114"/>
      <c r="I1408" s="114"/>
      <c r="J1408" s="114"/>
      <c r="K1408" s="117"/>
      <c r="L1408" s="117"/>
      <c r="M1408" s="114"/>
      <c r="N1408" s="114"/>
      <c r="O1408" s="114"/>
    </row>
    <row r="1409" spans="1:15" ht="15.75" customHeight="1" x14ac:dyDescent="0.3">
      <c r="A1409" s="124"/>
      <c r="B1409" s="114"/>
      <c r="C1409" s="125"/>
      <c r="D1409" s="114"/>
      <c r="E1409" s="114"/>
      <c r="F1409" s="114"/>
      <c r="G1409" s="114"/>
      <c r="H1409" s="114"/>
      <c r="I1409" s="114"/>
      <c r="J1409" s="114"/>
      <c r="K1409" s="117"/>
      <c r="L1409" s="117"/>
      <c r="M1409" s="114"/>
      <c r="N1409" s="114"/>
      <c r="O1409" s="114"/>
    </row>
    <row r="1410" spans="1:15" ht="15.75" customHeight="1" x14ac:dyDescent="0.3">
      <c r="A1410" s="124"/>
      <c r="B1410" s="114"/>
      <c r="C1410" s="125"/>
      <c r="D1410" s="114"/>
      <c r="E1410" s="114"/>
      <c r="F1410" s="114"/>
      <c r="G1410" s="114"/>
      <c r="H1410" s="114"/>
      <c r="I1410" s="114"/>
      <c r="J1410" s="114"/>
      <c r="K1410" s="117"/>
      <c r="L1410" s="117"/>
      <c r="M1410" s="114"/>
      <c r="N1410" s="114"/>
      <c r="O1410" s="114"/>
    </row>
    <row r="1411" spans="1:15" ht="15.75" customHeight="1" x14ac:dyDescent="0.3">
      <c r="A1411" s="124"/>
      <c r="B1411" s="114"/>
      <c r="C1411" s="125"/>
      <c r="D1411" s="114"/>
      <c r="E1411" s="114"/>
      <c r="F1411" s="114"/>
      <c r="G1411" s="114"/>
      <c r="H1411" s="114"/>
      <c r="I1411" s="114"/>
      <c r="J1411" s="114"/>
      <c r="K1411" s="117"/>
      <c r="L1411" s="117"/>
      <c r="M1411" s="114"/>
      <c r="N1411" s="114"/>
      <c r="O1411" s="114"/>
    </row>
    <row r="1412" spans="1:15" ht="15.75" customHeight="1" x14ac:dyDescent="0.3">
      <c r="A1412" s="124"/>
      <c r="B1412" s="114"/>
      <c r="C1412" s="125"/>
      <c r="D1412" s="114"/>
      <c r="E1412" s="114"/>
      <c r="F1412" s="114"/>
      <c r="G1412" s="114"/>
      <c r="H1412" s="114"/>
      <c r="I1412" s="114"/>
      <c r="J1412" s="114"/>
      <c r="K1412" s="117"/>
      <c r="L1412" s="117"/>
      <c r="M1412" s="114"/>
      <c r="N1412" s="114"/>
      <c r="O1412" s="114"/>
    </row>
    <row r="1413" spans="1:15" ht="15.75" customHeight="1" x14ac:dyDescent="0.3">
      <c r="A1413" s="124"/>
      <c r="B1413" s="114"/>
      <c r="C1413" s="125"/>
      <c r="D1413" s="114"/>
      <c r="E1413" s="114"/>
      <c r="F1413" s="114"/>
      <c r="G1413" s="114"/>
      <c r="H1413" s="114"/>
      <c r="I1413" s="114"/>
      <c r="J1413" s="114"/>
      <c r="K1413" s="117"/>
      <c r="L1413" s="117"/>
      <c r="M1413" s="114"/>
      <c r="N1413" s="114"/>
      <c r="O1413" s="114"/>
    </row>
    <row r="1414" spans="1:15" ht="15.75" customHeight="1" x14ac:dyDescent="0.3">
      <c r="A1414" s="124"/>
      <c r="B1414" s="114"/>
      <c r="C1414" s="125"/>
      <c r="D1414" s="114"/>
      <c r="E1414" s="114"/>
      <c r="F1414" s="114"/>
      <c r="G1414" s="114"/>
      <c r="H1414" s="114"/>
      <c r="I1414" s="114"/>
      <c r="J1414" s="114"/>
      <c r="K1414" s="117"/>
      <c r="L1414" s="117"/>
      <c r="M1414" s="114"/>
      <c r="N1414" s="114"/>
      <c r="O1414" s="114"/>
    </row>
    <row r="1415" spans="1:15" ht="15.75" customHeight="1" x14ac:dyDescent="0.3">
      <c r="A1415" s="124"/>
      <c r="B1415" s="114"/>
      <c r="C1415" s="125"/>
      <c r="D1415" s="114"/>
      <c r="E1415" s="114"/>
      <c r="F1415" s="114"/>
      <c r="G1415" s="114"/>
      <c r="H1415" s="114"/>
      <c r="I1415" s="114"/>
      <c r="J1415" s="114"/>
      <c r="K1415" s="117"/>
      <c r="L1415" s="117"/>
      <c r="M1415" s="114"/>
      <c r="N1415" s="114"/>
      <c r="O1415" s="114"/>
    </row>
    <row r="1416" spans="1:15" ht="15.75" customHeight="1" x14ac:dyDescent="0.3">
      <c r="A1416" s="124"/>
      <c r="B1416" s="114"/>
      <c r="C1416" s="125"/>
      <c r="D1416" s="114"/>
      <c r="E1416" s="114"/>
      <c r="F1416" s="114"/>
      <c r="G1416" s="114"/>
      <c r="H1416" s="114"/>
      <c r="I1416" s="114"/>
      <c r="J1416" s="114"/>
      <c r="K1416" s="117"/>
      <c r="L1416" s="117"/>
      <c r="M1416" s="114"/>
      <c r="N1416" s="114"/>
      <c r="O1416" s="114"/>
    </row>
    <row r="1417" spans="1:15" ht="15.75" customHeight="1" x14ac:dyDescent="0.3">
      <c r="A1417" s="124"/>
      <c r="B1417" s="114"/>
      <c r="C1417" s="125"/>
      <c r="D1417" s="114"/>
      <c r="E1417" s="114"/>
      <c r="F1417" s="114"/>
      <c r="G1417" s="114"/>
      <c r="H1417" s="114"/>
      <c r="I1417" s="114"/>
      <c r="J1417" s="114"/>
      <c r="K1417" s="117"/>
      <c r="L1417" s="117"/>
      <c r="M1417" s="114"/>
      <c r="N1417" s="114"/>
      <c r="O1417" s="114"/>
    </row>
    <row r="1418" spans="1:15" ht="15.75" customHeight="1" x14ac:dyDescent="0.3">
      <c r="A1418" s="124"/>
      <c r="B1418" s="114"/>
      <c r="C1418" s="125"/>
      <c r="D1418" s="114"/>
      <c r="E1418" s="114"/>
      <c r="F1418" s="114"/>
      <c r="G1418" s="114"/>
      <c r="H1418" s="114"/>
      <c r="I1418" s="114"/>
      <c r="J1418" s="114"/>
      <c r="K1418" s="117"/>
      <c r="L1418" s="117"/>
      <c r="M1418" s="114"/>
      <c r="N1418" s="114"/>
      <c r="O1418" s="114"/>
    </row>
    <row r="1419" spans="1:15" ht="15.75" customHeight="1" x14ac:dyDescent="0.3">
      <c r="A1419" s="124"/>
      <c r="B1419" s="114"/>
      <c r="C1419" s="125"/>
      <c r="D1419" s="114"/>
      <c r="E1419" s="114"/>
      <c r="F1419" s="114"/>
      <c r="G1419" s="114"/>
      <c r="H1419" s="114"/>
      <c r="I1419" s="114"/>
      <c r="J1419" s="114"/>
      <c r="K1419" s="117"/>
      <c r="L1419" s="117"/>
      <c r="M1419" s="114"/>
      <c r="N1419" s="114"/>
      <c r="O1419" s="114"/>
    </row>
    <row r="1420" spans="1:15" ht="15.75" customHeight="1" x14ac:dyDescent="0.3">
      <c r="A1420" s="124"/>
      <c r="B1420" s="114"/>
      <c r="C1420" s="125"/>
      <c r="D1420" s="114"/>
      <c r="E1420" s="114"/>
      <c r="F1420" s="114"/>
      <c r="G1420" s="114"/>
      <c r="H1420" s="114"/>
      <c r="I1420" s="114"/>
      <c r="J1420" s="114"/>
      <c r="K1420" s="117"/>
      <c r="L1420" s="117"/>
      <c r="M1420" s="114"/>
      <c r="N1420" s="114"/>
      <c r="O1420" s="114"/>
    </row>
    <row r="1421" spans="1:15" ht="15.75" customHeight="1" x14ac:dyDescent="0.3">
      <c r="A1421" s="124"/>
      <c r="B1421" s="114"/>
      <c r="C1421" s="125"/>
      <c r="D1421" s="114"/>
      <c r="E1421" s="114"/>
      <c r="F1421" s="114"/>
      <c r="G1421" s="114"/>
      <c r="H1421" s="114"/>
      <c r="I1421" s="114"/>
      <c r="J1421" s="114"/>
      <c r="K1421" s="117"/>
      <c r="L1421" s="117"/>
      <c r="M1421" s="114"/>
      <c r="N1421" s="114"/>
      <c r="O1421" s="114"/>
    </row>
    <row r="1422" spans="1:15" ht="15.75" customHeight="1" x14ac:dyDescent="0.3">
      <c r="A1422" s="124"/>
      <c r="B1422" s="114"/>
      <c r="C1422" s="125"/>
      <c r="D1422" s="114"/>
      <c r="E1422" s="114"/>
      <c r="F1422" s="114"/>
      <c r="G1422" s="114"/>
      <c r="H1422" s="114"/>
      <c r="I1422" s="114"/>
      <c r="J1422" s="114"/>
      <c r="K1422" s="117"/>
      <c r="L1422" s="117"/>
      <c r="M1422" s="114"/>
      <c r="N1422" s="114"/>
      <c r="O1422" s="114"/>
    </row>
    <row r="1423" spans="1:15" ht="15.75" customHeight="1" x14ac:dyDescent="0.3">
      <c r="A1423" s="124"/>
      <c r="B1423" s="114"/>
      <c r="C1423" s="125"/>
      <c r="D1423" s="114"/>
      <c r="E1423" s="114"/>
      <c r="F1423" s="114"/>
      <c r="G1423" s="114"/>
      <c r="H1423" s="114"/>
      <c r="I1423" s="114"/>
      <c r="J1423" s="114"/>
      <c r="K1423" s="117"/>
      <c r="L1423" s="117"/>
      <c r="M1423" s="114"/>
      <c r="N1423" s="114"/>
      <c r="O1423" s="114"/>
    </row>
    <row r="1424" spans="1:15" ht="15.75" customHeight="1" x14ac:dyDescent="0.3">
      <c r="A1424" s="124"/>
      <c r="B1424" s="114"/>
      <c r="C1424" s="125"/>
      <c r="D1424" s="114"/>
      <c r="E1424" s="114"/>
      <c r="F1424" s="114"/>
      <c r="G1424" s="114"/>
      <c r="H1424" s="114"/>
      <c r="I1424" s="114"/>
      <c r="J1424" s="114"/>
      <c r="K1424" s="117"/>
      <c r="L1424" s="117"/>
      <c r="M1424" s="114"/>
      <c r="N1424" s="114"/>
      <c r="O1424" s="114"/>
    </row>
    <row r="1425" spans="1:15" ht="15.75" customHeight="1" x14ac:dyDescent="0.3">
      <c r="A1425" s="124"/>
      <c r="B1425" s="114"/>
      <c r="C1425" s="125"/>
      <c r="D1425" s="114"/>
      <c r="E1425" s="114"/>
      <c r="F1425" s="114"/>
      <c r="G1425" s="114"/>
      <c r="H1425" s="114"/>
      <c r="I1425" s="114"/>
      <c r="J1425" s="114"/>
      <c r="K1425" s="117"/>
      <c r="L1425" s="117"/>
      <c r="M1425" s="114"/>
      <c r="N1425" s="114"/>
      <c r="O1425" s="114"/>
    </row>
    <row r="1426" spans="1:15" ht="15.75" customHeight="1" x14ac:dyDescent="0.3">
      <c r="A1426" s="124"/>
      <c r="B1426" s="114"/>
      <c r="C1426" s="125"/>
      <c r="D1426" s="114"/>
      <c r="E1426" s="114"/>
      <c r="F1426" s="114"/>
      <c r="G1426" s="114"/>
      <c r="H1426" s="114"/>
      <c r="I1426" s="114"/>
      <c r="J1426" s="114"/>
      <c r="K1426" s="117"/>
      <c r="L1426" s="117"/>
      <c r="M1426" s="114"/>
      <c r="N1426" s="114"/>
      <c r="O1426" s="114"/>
    </row>
    <row r="1427" spans="1:15" ht="15.75" customHeight="1" x14ac:dyDescent="0.3">
      <c r="A1427" s="124"/>
      <c r="B1427" s="114"/>
      <c r="C1427" s="125"/>
      <c r="D1427" s="114"/>
      <c r="E1427" s="114"/>
      <c r="F1427" s="114"/>
      <c r="G1427" s="114"/>
      <c r="H1427" s="114"/>
      <c r="I1427" s="114"/>
      <c r="J1427" s="114"/>
      <c r="K1427" s="117"/>
      <c r="L1427" s="117"/>
      <c r="M1427" s="114"/>
      <c r="N1427" s="114"/>
      <c r="O1427" s="114"/>
    </row>
    <row r="1428" spans="1:15" ht="15.75" customHeight="1" x14ac:dyDescent="0.3">
      <c r="A1428" s="124"/>
      <c r="B1428" s="114"/>
      <c r="C1428" s="125"/>
      <c r="D1428" s="114"/>
      <c r="E1428" s="114"/>
      <c r="F1428" s="114"/>
      <c r="G1428" s="114"/>
      <c r="H1428" s="114"/>
      <c r="I1428" s="114"/>
      <c r="J1428" s="114"/>
      <c r="K1428" s="117"/>
      <c r="L1428" s="117"/>
      <c r="M1428" s="114"/>
      <c r="N1428" s="114"/>
      <c r="O1428" s="114"/>
    </row>
    <row r="1429" spans="1:15" ht="15.75" customHeight="1" x14ac:dyDescent="0.3">
      <c r="A1429" s="124"/>
      <c r="B1429" s="114"/>
      <c r="C1429" s="125"/>
      <c r="D1429" s="114"/>
      <c r="E1429" s="114"/>
      <c r="F1429" s="114"/>
      <c r="G1429" s="114"/>
      <c r="H1429" s="114"/>
      <c r="I1429" s="114"/>
      <c r="J1429" s="114"/>
      <c r="K1429" s="117"/>
      <c r="L1429" s="117"/>
      <c r="M1429" s="114"/>
      <c r="N1429" s="114"/>
      <c r="O1429" s="114"/>
    </row>
    <row r="1430" spans="1:15" ht="15.75" customHeight="1" x14ac:dyDescent="0.3">
      <c r="A1430" s="124"/>
      <c r="B1430" s="114"/>
      <c r="C1430" s="125"/>
      <c r="D1430" s="114"/>
      <c r="E1430" s="114"/>
      <c r="F1430" s="114"/>
      <c r="G1430" s="114"/>
      <c r="H1430" s="114"/>
      <c r="I1430" s="114"/>
      <c r="J1430" s="114"/>
      <c r="K1430" s="117"/>
      <c r="L1430" s="117"/>
      <c r="M1430" s="114"/>
      <c r="N1430" s="114"/>
      <c r="O1430" s="114"/>
    </row>
    <row r="1431" spans="1:15" ht="15.75" customHeight="1" x14ac:dyDescent="0.3">
      <c r="A1431" s="124"/>
      <c r="B1431" s="114"/>
      <c r="C1431" s="125"/>
      <c r="D1431" s="114"/>
      <c r="E1431" s="114"/>
      <c r="F1431" s="114"/>
      <c r="G1431" s="114"/>
      <c r="H1431" s="114"/>
      <c r="I1431" s="114"/>
      <c r="J1431" s="114"/>
      <c r="K1431" s="117"/>
      <c r="L1431" s="117"/>
      <c r="M1431" s="114"/>
      <c r="N1431" s="114"/>
      <c r="O1431" s="114"/>
    </row>
    <row r="1432" spans="1:15" ht="15.75" customHeight="1" x14ac:dyDescent="0.3">
      <c r="A1432" s="124"/>
      <c r="B1432" s="114"/>
      <c r="C1432" s="125"/>
      <c r="D1432" s="114"/>
      <c r="E1432" s="114"/>
      <c r="F1432" s="114"/>
      <c r="G1432" s="114"/>
      <c r="H1432" s="114"/>
      <c r="I1432" s="114"/>
      <c r="J1432" s="114"/>
      <c r="K1432" s="117"/>
      <c r="L1432" s="117"/>
      <c r="M1432" s="114"/>
      <c r="N1432" s="114"/>
      <c r="O1432" s="114"/>
    </row>
    <row r="1433" spans="1:15" ht="15.75" customHeight="1" x14ac:dyDescent="0.3">
      <c r="A1433" s="124"/>
      <c r="B1433" s="114"/>
      <c r="C1433" s="125"/>
      <c r="D1433" s="114"/>
      <c r="E1433" s="114"/>
      <c r="F1433" s="114"/>
      <c r="G1433" s="114"/>
      <c r="H1433" s="114"/>
      <c r="I1433" s="114"/>
      <c r="J1433" s="114"/>
      <c r="K1433" s="117"/>
      <c r="L1433" s="117"/>
      <c r="M1433" s="114"/>
      <c r="N1433" s="114"/>
      <c r="O1433" s="114"/>
    </row>
    <row r="1434" spans="1:15" ht="15.75" customHeight="1" x14ac:dyDescent="0.3">
      <c r="A1434" s="124"/>
      <c r="B1434" s="114"/>
      <c r="C1434" s="125"/>
      <c r="D1434" s="114"/>
      <c r="E1434" s="114"/>
      <c r="F1434" s="114"/>
      <c r="G1434" s="114"/>
      <c r="H1434" s="114"/>
      <c r="I1434" s="114"/>
      <c r="J1434" s="114"/>
      <c r="K1434" s="117"/>
      <c r="L1434" s="117"/>
      <c r="M1434" s="114"/>
      <c r="N1434" s="114"/>
      <c r="O1434" s="114"/>
    </row>
    <row r="1435" spans="1:15" ht="15.75" customHeight="1" x14ac:dyDescent="0.3">
      <c r="A1435" s="124"/>
      <c r="B1435" s="114"/>
      <c r="C1435" s="125"/>
      <c r="D1435" s="114"/>
      <c r="E1435" s="114"/>
      <c r="F1435" s="114"/>
      <c r="G1435" s="114"/>
      <c r="H1435" s="114"/>
      <c r="I1435" s="114"/>
      <c r="J1435" s="114"/>
      <c r="K1435" s="117"/>
      <c r="L1435" s="117"/>
      <c r="M1435" s="114"/>
      <c r="N1435" s="114"/>
      <c r="O1435" s="114"/>
    </row>
    <row r="1436" spans="1:15" ht="15.75" customHeight="1" x14ac:dyDescent="0.3">
      <c r="A1436" s="124"/>
      <c r="B1436" s="114"/>
      <c r="C1436" s="125"/>
      <c r="D1436" s="114"/>
      <c r="E1436" s="114"/>
      <c r="F1436" s="114"/>
      <c r="G1436" s="114"/>
      <c r="H1436" s="114"/>
      <c r="I1436" s="114"/>
      <c r="J1436" s="114"/>
      <c r="K1436" s="117"/>
      <c r="L1436" s="117"/>
      <c r="M1436" s="114"/>
      <c r="N1436" s="114"/>
      <c r="O1436" s="114"/>
    </row>
    <row r="1437" spans="1:15" ht="15.75" customHeight="1" x14ac:dyDescent="0.3">
      <c r="A1437" s="124"/>
      <c r="B1437" s="114"/>
      <c r="C1437" s="125"/>
      <c r="D1437" s="114"/>
      <c r="E1437" s="114"/>
      <c r="F1437" s="114"/>
      <c r="G1437" s="114"/>
      <c r="H1437" s="114"/>
      <c r="I1437" s="114"/>
      <c r="J1437" s="114"/>
      <c r="K1437" s="117"/>
      <c r="L1437" s="117"/>
      <c r="M1437" s="114"/>
      <c r="N1437" s="114"/>
      <c r="O1437" s="114"/>
    </row>
    <row r="1438" spans="1:15" ht="15.75" customHeight="1" x14ac:dyDescent="0.3">
      <c r="A1438" s="124"/>
      <c r="B1438" s="114"/>
      <c r="C1438" s="125"/>
      <c r="D1438" s="114"/>
      <c r="E1438" s="114"/>
      <c r="F1438" s="114"/>
      <c r="G1438" s="114"/>
      <c r="H1438" s="114"/>
      <c r="I1438" s="114"/>
      <c r="J1438" s="114"/>
      <c r="K1438" s="117"/>
      <c r="L1438" s="117"/>
      <c r="M1438" s="114"/>
      <c r="N1438" s="114"/>
      <c r="O1438" s="114"/>
    </row>
    <row r="1439" spans="1:15" ht="15.75" customHeight="1" x14ac:dyDescent="0.3">
      <c r="A1439" s="124"/>
      <c r="B1439" s="114"/>
      <c r="C1439" s="125"/>
      <c r="D1439" s="114"/>
      <c r="E1439" s="114"/>
      <c r="F1439" s="114"/>
      <c r="G1439" s="114"/>
      <c r="H1439" s="114"/>
      <c r="I1439" s="114"/>
      <c r="J1439" s="114"/>
      <c r="K1439" s="117"/>
      <c r="L1439" s="117"/>
      <c r="M1439" s="114"/>
      <c r="N1439" s="114"/>
      <c r="O1439" s="114"/>
    </row>
    <row r="1440" spans="1:15" ht="15.75" customHeight="1" x14ac:dyDescent="0.3">
      <c r="A1440" s="124"/>
      <c r="B1440" s="114"/>
      <c r="C1440" s="125"/>
      <c r="D1440" s="114"/>
      <c r="E1440" s="114"/>
      <c r="F1440" s="114"/>
      <c r="G1440" s="114"/>
      <c r="H1440" s="114"/>
      <c r="I1440" s="114"/>
      <c r="J1440" s="114"/>
      <c r="K1440" s="117"/>
      <c r="L1440" s="117"/>
      <c r="M1440" s="114"/>
      <c r="N1440" s="114"/>
      <c r="O1440" s="114"/>
    </row>
    <row r="1441" spans="1:15" ht="15.75" customHeight="1" x14ac:dyDescent="0.3">
      <c r="A1441" s="124"/>
      <c r="B1441" s="114"/>
      <c r="C1441" s="125"/>
      <c r="D1441" s="114"/>
      <c r="E1441" s="114"/>
      <c r="F1441" s="114"/>
      <c r="G1441" s="114"/>
      <c r="H1441" s="114"/>
      <c r="I1441" s="114"/>
      <c r="J1441" s="114"/>
      <c r="K1441" s="117"/>
      <c r="L1441" s="117"/>
      <c r="M1441" s="114"/>
      <c r="N1441" s="114"/>
      <c r="O1441" s="114"/>
    </row>
    <row r="1442" spans="1:15" ht="15.75" customHeight="1" x14ac:dyDescent="0.3">
      <c r="A1442" s="124"/>
      <c r="B1442" s="114"/>
      <c r="C1442" s="125"/>
      <c r="D1442" s="114"/>
      <c r="E1442" s="114"/>
      <c r="F1442" s="114"/>
      <c r="G1442" s="114"/>
      <c r="H1442" s="114"/>
      <c r="I1442" s="114"/>
      <c r="J1442" s="114"/>
      <c r="K1442" s="117"/>
      <c r="L1442" s="117"/>
      <c r="M1442" s="114"/>
      <c r="N1442" s="114"/>
      <c r="O1442" s="114"/>
    </row>
    <row r="1443" spans="1:15" ht="15.75" customHeight="1" x14ac:dyDescent="0.3">
      <c r="A1443" s="124"/>
      <c r="B1443" s="114"/>
      <c r="C1443" s="125"/>
      <c r="D1443" s="114"/>
      <c r="E1443" s="114"/>
      <c r="F1443" s="114"/>
      <c r="G1443" s="114"/>
      <c r="H1443" s="114"/>
      <c r="I1443" s="114"/>
      <c r="J1443" s="114"/>
      <c r="K1443" s="117"/>
      <c r="L1443" s="117"/>
      <c r="M1443" s="114"/>
      <c r="N1443" s="114"/>
      <c r="O1443" s="114"/>
    </row>
    <row r="1444" spans="1:15" ht="15.75" customHeight="1" x14ac:dyDescent="0.3">
      <c r="A1444" s="124"/>
      <c r="B1444" s="114"/>
      <c r="C1444" s="125"/>
      <c r="D1444" s="114"/>
      <c r="E1444" s="114"/>
      <c r="F1444" s="114"/>
      <c r="G1444" s="114"/>
      <c r="H1444" s="114"/>
      <c r="I1444" s="114"/>
      <c r="J1444" s="114"/>
      <c r="K1444" s="117"/>
      <c r="L1444" s="117"/>
      <c r="M1444" s="114"/>
      <c r="N1444" s="114"/>
      <c r="O1444" s="114"/>
    </row>
    <row r="1445" spans="1:15" ht="15.75" customHeight="1" x14ac:dyDescent="0.3">
      <c r="A1445" s="124"/>
      <c r="B1445" s="114"/>
      <c r="C1445" s="125"/>
      <c r="D1445" s="114"/>
      <c r="E1445" s="114"/>
      <c r="F1445" s="114"/>
      <c r="G1445" s="114"/>
      <c r="H1445" s="114"/>
      <c r="I1445" s="114"/>
      <c r="J1445" s="114"/>
      <c r="K1445" s="117"/>
      <c r="L1445" s="117"/>
      <c r="M1445" s="114"/>
      <c r="N1445" s="114"/>
      <c r="O1445" s="114"/>
    </row>
    <row r="1446" spans="1:15" ht="15.75" customHeight="1" x14ac:dyDescent="0.3">
      <c r="A1446" s="124"/>
      <c r="B1446" s="114"/>
      <c r="C1446" s="125"/>
      <c r="D1446" s="114"/>
      <c r="E1446" s="114"/>
      <c r="F1446" s="114"/>
      <c r="G1446" s="114"/>
      <c r="H1446" s="114"/>
      <c r="I1446" s="114"/>
      <c r="J1446" s="114"/>
      <c r="K1446" s="117"/>
      <c r="L1446" s="117"/>
      <c r="M1446" s="114"/>
      <c r="N1446" s="114"/>
      <c r="O1446" s="114"/>
    </row>
    <row r="1447" spans="1:15" ht="15.75" customHeight="1" x14ac:dyDescent="0.3">
      <c r="A1447" s="124"/>
      <c r="B1447" s="114"/>
      <c r="C1447" s="125"/>
      <c r="D1447" s="114"/>
      <c r="E1447" s="114"/>
      <c r="F1447" s="114"/>
      <c r="G1447" s="114"/>
      <c r="H1447" s="114"/>
      <c r="I1447" s="114"/>
      <c r="J1447" s="114"/>
      <c r="K1447" s="117"/>
      <c r="L1447" s="117"/>
      <c r="M1447" s="114"/>
      <c r="N1447" s="114"/>
      <c r="O1447" s="114"/>
    </row>
    <row r="1448" spans="1:15" ht="15.75" customHeight="1" x14ac:dyDescent="0.3">
      <c r="A1448" s="124"/>
      <c r="B1448" s="114"/>
      <c r="C1448" s="125"/>
      <c r="D1448" s="114"/>
      <c r="E1448" s="114"/>
      <c r="F1448" s="114"/>
      <c r="G1448" s="114"/>
      <c r="H1448" s="114"/>
      <c r="I1448" s="114"/>
      <c r="J1448" s="114"/>
      <c r="K1448" s="117"/>
      <c r="L1448" s="117"/>
      <c r="M1448" s="114"/>
      <c r="N1448" s="114"/>
      <c r="O1448" s="114"/>
    </row>
    <row r="1449" spans="1:15" ht="15.75" customHeight="1" x14ac:dyDescent="0.3">
      <c r="A1449" s="124"/>
      <c r="B1449" s="114"/>
      <c r="C1449" s="125"/>
      <c r="D1449" s="114"/>
      <c r="E1449" s="114"/>
      <c r="F1449" s="114"/>
      <c r="G1449" s="114"/>
      <c r="H1449" s="114"/>
      <c r="I1449" s="114"/>
      <c r="J1449" s="114"/>
      <c r="K1449" s="117"/>
      <c r="L1449" s="117"/>
      <c r="M1449" s="114"/>
      <c r="N1449" s="114"/>
      <c r="O1449" s="114"/>
    </row>
    <row r="1450" spans="1:15" ht="15.75" customHeight="1" x14ac:dyDescent="0.3">
      <c r="A1450" s="124"/>
      <c r="B1450" s="114"/>
      <c r="C1450" s="125"/>
      <c r="D1450" s="114"/>
      <c r="E1450" s="114"/>
      <c r="F1450" s="114"/>
      <c r="G1450" s="114"/>
      <c r="H1450" s="114"/>
      <c r="I1450" s="114"/>
      <c r="J1450" s="114"/>
      <c r="K1450" s="117"/>
      <c r="L1450" s="117"/>
      <c r="M1450" s="114"/>
      <c r="N1450" s="114"/>
      <c r="O1450" s="114"/>
    </row>
    <row r="1451" spans="1:15" ht="15.75" customHeight="1" x14ac:dyDescent="0.3">
      <c r="A1451" s="124"/>
      <c r="B1451" s="114"/>
      <c r="C1451" s="125"/>
      <c r="D1451" s="114"/>
      <c r="E1451" s="114"/>
      <c r="F1451" s="114"/>
      <c r="G1451" s="114"/>
      <c r="H1451" s="114"/>
      <c r="I1451" s="114"/>
      <c r="J1451" s="114"/>
      <c r="K1451" s="117"/>
      <c r="L1451" s="117"/>
      <c r="M1451" s="114"/>
      <c r="N1451" s="114"/>
      <c r="O1451" s="114"/>
    </row>
    <row r="1452" spans="1:15" ht="15.75" customHeight="1" x14ac:dyDescent="0.3">
      <c r="A1452" s="124"/>
      <c r="B1452" s="114"/>
      <c r="C1452" s="125"/>
      <c r="D1452" s="114"/>
      <c r="E1452" s="114"/>
      <c r="F1452" s="114"/>
      <c r="G1452" s="114"/>
      <c r="H1452" s="114"/>
      <c r="I1452" s="114"/>
      <c r="J1452" s="114"/>
      <c r="K1452" s="117"/>
      <c r="L1452" s="117"/>
      <c r="M1452" s="114"/>
      <c r="N1452" s="114"/>
      <c r="O1452" s="114"/>
    </row>
    <row r="1453" spans="1:15" ht="15.75" customHeight="1" x14ac:dyDescent="0.3">
      <c r="A1453" s="124"/>
      <c r="B1453" s="114"/>
      <c r="C1453" s="125"/>
      <c r="D1453" s="114"/>
      <c r="E1453" s="114"/>
      <c r="F1453" s="114"/>
      <c r="G1453" s="114"/>
      <c r="H1453" s="114"/>
      <c r="I1453" s="114"/>
      <c r="J1453" s="114"/>
      <c r="K1453" s="117"/>
      <c r="L1453" s="117"/>
      <c r="M1453" s="114"/>
      <c r="N1453" s="114"/>
      <c r="O1453" s="114"/>
    </row>
    <row r="1454" spans="1:15" ht="15.75" customHeight="1" x14ac:dyDescent="0.3">
      <c r="A1454" s="124"/>
      <c r="B1454" s="114"/>
      <c r="C1454" s="125"/>
      <c r="D1454" s="114"/>
      <c r="E1454" s="114"/>
      <c r="F1454" s="114"/>
      <c r="G1454" s="114"/>
      <c r="H1454" s="114"/>
      <c r="I1454" s="114"/>
      <c r="J1454" s="114"/>
      <c r="K1454" s="117"/>
      <c r="L1454" s="117"/>
      <c r="M1454" s="114"/>
      <c r="N1454" s="114"/>
      <c r="O1454" s="114"/>
    </row>
    <row r="1455" spans="1:15" ht="15.75" customHeight="1" x14ac:dyDescent="0.3">
      <c r="A1455" s="124"/>
      <c r="B1455" s="114"/>
      <c r="C1455" s="125"/>
      <c r="D1455" s="114"/>
      <c r="E1455" s="114"/>
      <c r="F1455" s="114"/>
      <c r="G1455" s="114"/>
      <c r="H1455" s="114"/>
      <c r="I1455" s="114"/>
      <c r="J1455" s="114"/>
      <c r="K1455" s="117"/>
      <c r="L1455" s="117"/>
      <c r="M1455" s="114"/>
      <c r="N1455" s="114"/>
      <c r="O1455" s="114"/>
    </row>
    <row r="1456" spans="1:15" ht="15.75" customHeight="1" x14ac:dyDescent="0.3">
      <c r="A1456" s="124"/>
      <c r="B1456" s="114"/>
      <c r="C1456" s="125"/>
      <c r="D1456" s="114"/>
      <c r="E1456" s="114"/>
      <c r="F1456" s="114"/>
      <c r="G1456" s="114"/>
      <c r="H1456" s="114"/>
      <c r="I1456" s="114"/>
      <c r="J1456" s="114"/>
      <c r="K1456" s="117"/>
      <c r="L1456" s="117"/>
      <c r="M1456" s="114"/>
      <c r="N1456" s="114"/>
      <c r="O1456" s="114"/>
    </row>
    <row r="1457" spans="1:15" ht="15.75" customHeight="1" x14ac:dyDescent="0.3">
      <c r="A1457" s="124"/>
      <c r="B1457" s="114"/>
      <c r="C1457" s="125"/>
      <c r="D1457" s="114"/>
      <c r="E1457" s="114"/>
      <c r="F1457" s="114"/>
      <c r="G1457" s="114"/>
      <c r="H1457" s="114"/>
      <c r="I1457" s="114"/>
      <c r="J1457" s="114"/>
      <c r="K1457" s="117"/>
      <c r="L1457" s="117"/>
      <c r="M1457" s="114"/>
      <c r="N1457" s="114"/>
      <c r="O1457" s="114"/>
    </row>
    <row r="1458" spans="1:15" ht="15.75" customHeight="1" x14ac:dyDescent="0.3">
      <c r="A1458" s="124"/>
      <c r="B1458" s="114"/>
      <c r="C1458" s="125"/>
      <c r="D1458" s="114"/>
      <c r="E1458" s="114"/>
      <c r="F1458" s="114"/>
      <c r="G1458" s="114"/>
      <c r="H1458" s="114"/>
      <c r="I1458" s="114"/>
      <c r="J1458" s="114"/>
      <c r="K1458" s="117"/>
      <c r="L1458" s="117"/>
      <c r="M1458" s="114"/>
      <c r="N1458" s="114"/>
      <c r="O1458" s="114"/>
    </row>
    <row r="1459" spans="1:15" ht="15.75" customHeight="1" x14ac:dyDescent="0.3">
      <c r="A1459" s="124"/>
      <c r="B1459" s="114"/>
      <c r="C1459" s="125"/>
      <c r="D1459" s="114"/>
      <c r="E1459" s="114"/>
      <c r="F1459" s="114"/>
      <c r="G1459" s="114"/>
      <c r="H1459" s="114"/>
      <c r="I1459" s="114"/>
      <c r="J1459" s="114"/>
      <c r="K1459" s="117"/>
      <c r="L1459" s="117"/>
      <c r="M1459" s="114"/>
      <c r="N1459" s="114"/>
      <c r="O1459" s="114"/>
    </row>
    <row r="1460" spans="1:15" ht="15.75" customHeight="1" x14ac:dyDescent="0.3">
      <c r="A1460" s="124"/>
      <c r="B1460" s="114"/>
      <c r="C1460" s="125"/>
      <c r="D1460" s="114"/>
      <c r="E1460" s="114"/>
      <c r="F1460" s="114"/>
      <c r="G1460" s="114"/>
      <c r="H1460" s="114"/>
      <c r="I1460" s="114"/>
      <c r="J1460" s="114"/>
      <c r="K1460" s="117"/>
      <c r="L1460" s="117"/>
      <c r="M1460" s="114"/>
      <c r="N1460" s="114"/>
      <c r="O1460" s="114"/>
    </row>
    <row r="1461" spans="1:15" ht="15.75" customHeight="1" x14ac:dyDescent="0.3">
      <c r="A1461" s="124"/>
      <c r="B1461" s="114"/>
      <c r="C1461" s="125"/>
      <c r="D1461" s="114"/>
      <c r="E1461" s="114"/>
      <c r="F1461" s="114"/>
      <c r="G1461" s="114"/>
      <c r="H1461" s="114"/>
      <c r="I1461" s="114"/>
      <c r="J1461" s="114"/>
      <c r="K1461" s="117"/>
      <c r="L1461" s="117"/>
      <c r="M1461" s="114"/>
      <c r="N1461" s="114"/>
      <c r="O1461" s="114"/>
    </row>
    <row r="1462" spans="1:15" ht="15.75" customHeight="1" x14ac:dyDescent="0.3">
      <c r="A1462" s="124"/>
      <c r="B1462" s="114"/>
      <c r="C1462" s="125"/>
      <c r="D1462" s="114"/>
      <c r="E1462" s="114"/>
      <c r="F1462" s="114"/>
      <c r="G1462" s="114"/>
      <c r="H1462" s="114"/>
      <c r="I1462" s="114"/>
      <c r="J1462" s="114"/>
      <c r="K1462" s="117"/>
      <c r="L1462" s="117"/>
      <c r="M1462" s="114"/>
      <c r="N1462" s="114"/>
      <c r="O1462" s="114"/>
    </row>
    <row r="1463" spans="1:15" ht="15.75" customHeight="1" x14ac:dyDescent="0.3">
      <c r="A1463" s="124"/>
      <c r="B1463" s="114"/>
      <c r="C1463" s="125"/>
      <c r="D1463" s="114"/>
      <c r="E1463" s="114"/>
      <c r="F1463" s="114"/>
      <c r="G1463" s="114"/>
      <c r="H1463" s="114"/>
      <c r="I1463" s="114"/>
      <c r="J1463" s="114"/>
      <c r="K1463" s="117"/>
      <c r="L1463" s="117"/>
      <c r="M1463" s="114"/>
      <c r="N1463" s="114"/>
      <c r="O1463" s="114"/>
    </row>
    <row r="1464" spans="1:15" ht="15.75" customHeight="1" x14ac:dyDescent="0.3">
      <c r="A1464" s="124"/>
      <c r="B1464" s="114"/>
      <c r="C1464" s="125"/>
      <c r="D1464" s="114"/>
      <c r="E1464" s="114"/>
      <c r="F1464" s="114"/>
      <c r="G1464" s="114"/>
      <c r="H1464" s="114"/>
      <c r="I1464" s="114"/>
      <c r="J1464" s="114"/>
      <c r="K1464" s="117"/>
      <c r="L1464" s="117"/>
      <c r="M1464" s="114"/>
      <c r="N1464" s="114"/>
      <c r="O1464" s="114"/>
    </row>
    <row r="1465" spans="1:15" ht="15.75" customHeight="1" x14ac:dyDescent="0.3">
      <c r="A1465" s="124"/>
      <c r="B1465" s="114"/>
      <c r="C1465" s="125"/>
      <c r="D1465" s="114"/>
      <c r="E1465" s="114"/>
      <c r="F1465" s="114"/>
      <c r="G1465" s="114"/>
      <c r="H1465" s="114"/>
      <c r="I1465" s="114"/>
      <c r="J1465" s="114"/>
      <c r="K1465" s="117"/>
      <c r="L1465" s="117"/>
      <c r="M1465" s="114"/>
      <c r="N1465" s="114"/>
      <c r="O1465" s="114"/>
    </row>
    <row r="1466" spans="1:15" ht="15.75" customHeight="1" x14ac:dyDescent="0.3">
      <c r="A1466" s="124"/>
      <c r="B1466" s="114"/>
      <c r="C1466" s="125"/>
      <c r="D1466" s="114"/>
      <c r="E1466" s="114"/>
      <c r="F1466" s="114"/>
      <c r="G1466" s="114"/>
      <c r="H1466" s="114"/>
      <c r="I1466" s="114"/>
      <c r="J1466" s="114"/>
      <c r="K1466" s="117"/>
      <c r="L1466" s="117"/>
      <c r="M1466" s="114"/>
      <c r="N1466" s="114"/>
      <c r="O1466" s="114"/>
    </row>
    <row r="1467" spans="1:15" ht="15.75" customHeight="1" x14ac:dyDescent="0.3">
      <c r="A1467" s="124"/>
      <c r="B1467" s="114"/>
      <c r="C1467" s="125"/>
      <c r="D1467" s="114"/>
      <c r="E1467" s="114"/>
      <c r="F1467" s="114"/>
      <c r="G1467" s="114"/>
      <c r="H1467" s="114"/>
      <c r="I1467" s="114"/>
      <c r="J1467" s="114"/>
      <c r="K1467" s="117"/>
      <c r="L1467" s="117"/>
      <c r="M1467" s="114"/>
      <c r="N1467" s="114"/>
      <c r="O1467" s="114"/>
    </row>
    <row r="1468" spans="1:15" ht="15.75" customHeight="1" x14ac:dyDescent="0.3">
      <c r="A1468" s="124"/>
      <c r="B1468" s="114"/>
      <c r="C1468" s="125"/>
      <c r="D1468" s="114"/>
      <c r="E1468" s="114"/>
      <c r="F1468" s="114"/>
      <c r="G1468" s="114"/>
      <c r="H1468" s="114"/>
      <c r="I1468" s="114"/>
      <c r="J1468" s="114"/>
      <c r="K1468" s="117"/>
      <c r="L1468" s="117"/>
      <c r="M1468" s="114"/>
      <c r="N1468" s="114"/>
      <c r="O1468" s="114"/>
    </row>
    <row r="1469" spans="1:15" ht="15.75" customHeight="1" x14ac:dyDescent="0.3">
      <c r="A1469" s="124"/>
      <c r="B1469" s="114"/>
      <c r="C1469" s="125"/>
      <c r="D1469" s="114"/>
      <c r="E1469" s="114"/>
      <c r="F1469" s="114"/>
      <c r="G1469" s="114"/>
      <c r="H1469" s="114"/>
      <c r="I1469" s="114"/>
      <c r="J1469" s="114"/>
      <c r="K1469" s="117"/>
      <c r="L1469" s="117"/>
      <c r="M1469" s="114"/>
      <c r="N1469" s="114"/>
      <c r="O1469" s="114"/>
    </row>
    <row r="1470" spans="1:15" ht="15.75" customHeight="1" x14ac:dyDescent="0.3">
      <c r="A1470" s="124"/>
      <c r="B1470" s="114"/>
      <c r="C1470" s="125"/>
      <c r="D1470" s="114"/>
      <c r="E1470" s="114"/>
      <c r="F1470" s="114"/>
      <c r="G1470" s="114"/>
      <c r="H1470" s="114"/>
      <c r="I1470" s="114"/>
      <c r="J1470" s="114"/>
      <c r="K1470" s="117"/>
      <c r="L1470" s="117"/>
      <c r="M1470" s="114"/>
      <c r="N1470" s="114"/>
      <c r="O1470" s="114"/>
    </row>
    <row r="1471" spans="1:15" ht="15.75" customHeight="1" x14ac:dyDescent="0.3">
      <c r="A1471" s="124"/>
      <c r="B1471" s="114"/>
      <c r="C1471" s="125"/>
      <c r="D1471" s="114"/>
      <c r="E1471" s="114"/>
      <c r="F1471" s="114"/>
      <c r="G1471" s="114"/>
      <c r="H1471" s="114"/>
      <c r="I1471" s="114"/>
      <c r="J1471" s="114"/>
      <c r="K1471" s="117"/>
      <c r="L1471" s="117"/>
      <c r="M1471" s="114"/>
      <c r="N1471" s="114"/>
      <c r="O1471" s="114"/>
    </row>
    <row r="1472" spans="1:15" ht="15.75" customHeight="1" x14ac:dyDescent="0.3">
      <c r="A1472" s="124"/>
      <c r="B1472" s="114"/>
      <c r="C1472" s="125"/>
      <c r="D1472" s="114"/>
      <c r="E1472" s="114"/>
      <c r="F1472" s="114"/>
      <c r="G1472" s="114"/>
      <c r="H1472" s="114"/>
      <c r="I1472" s="114"/>
      <c r="J1472" s="114"/>
      <c r="K1472" s="117"/>
      <c r="L1472" s="117"/>
      <c r="M1472" s="114"/>
      <c r="N1472" s="114"/>
      <c r="O1472" s="114"/>
    </row>
    <row r="1473" spans="1:15" ht="15.75" customHeight="1" x14ac:dyDescent="0.3">
      <c r="A1473" s="124"/>
      <c r="B1473" s="114"/>
      <c r="C1473" s="125"/>
      <c r="D1473" s="114"/>
      <c r="E1473" s="114"/>
      <c r="F1473" s="114"/>
      <c r="G1473" s="114"/>
      <c r="H1473" s="114"/>
      <c r="I1473" s="114"/>
      <c r="J1473" s="114"/>
      <c r="K1473" s="117"/>
      <c r="L1473" s="117"/>
      <c r="M1473" s="114"/>
      <c r="N1473" s="114"/>
      <c r="O1473" s="114"/>
    </row>
    <row r="1474" spans="1:15" ht="15.75" customHeight="1" x14ac:dyDescent="0.3">
      <c r="A1474" s="124"/>
      <c r="B1474" s="114"/>
      <c r="C1474" s="125"/>
      <c r="D1474" s="114"/>
      <c r="E1474" s="114"/>
      <c r="F1474" s="114"/>
      <c r="G1474" s="114"/>
      <c r="H1474" s="114"/>
      <c r="I1474" s="114"/>
      <c r="J1474" s="114"/>
      <c r="K1474" s="117"/>
      <c r="L1474" s="117"/>
      <c r="M1474" s="114"/>
      <c r="N1474" s="114"/>
      <c r="O1474" s="114"/>
    </row>
    <row r="1475" spans="1:15" ht="15.75" customHeight="1" x14ac:dyDescent="0.3">
      <c r="A1475" s="124"/>
      <c r="B1475" s="114"/>
      <c r="C1475" s="125"/>
      <c r="D1475" s="114"/>
      <c r="E1475" s="114"/>
      <c r="F1475" s="114"/>
      <c r="G1475" s="114"/>
      <c r="H1475" s="114"/>
      <c r="I1475" s="114"/>
      <c r="J1475" s="114"/>
      <c r="K1475" s="117"/>
      <c r="L1475" s="117"/>
      <c r="M1475" s="114"/>
      <c r="N1475" s="114"/>
      <c r="O1475" s="114"/>
    </row>
    <row r="1476" spans="1:15" ht="15.75" customHeight="1" x14ac:dyDescent="0.3">
      <c r="A1476" s="124"/>
      <c r="B1476" s="114"/>
      <c r="C1476" s="125"/>
      <c r="D1476" s="114"/>
      <c r="E1476" s="114"/>
      <c r="F1476" s="114"/>
      <c r="G1476" s="114"/>
      <c r="H1476" s="114"/>
      <c r="I1476" s="114"/>
      <c r="J1476" s="114"/>
      <c r="K1476" s="117"/>
      <c r="L1476" s="117"/>
      <c r="M1476" s="114"/>
      <c r="N1476" s="114"/>
      <c r="O1476" s="114"/>
    </row>
    <row r="1477" spans="1:15" ht="15.75" customHeight="1" x14ac:dyDescent="0.3">
      <c r="A1477" s="124"/>
      <c r="B1477" s="114"/>
      <c r="C1477" s="125"/>
      <c r="D1477" s="114"/>
      <c r="E1477" s="114"/>
      <c r="F1477" s="114"/>
      <c r="G1477" s="114"/>
      <c r="H1477" s="114"/>
      <c r="I1477" s="114"/>
      <c r="J1477" s="114"/>
      <c r="K1477" s="117"/>
      <c r="L1477" s="117"/>
      <c r="M1477" s="114"/>
      <c r="N1477" s="114"/>
      <c r="O1477" s="114"/>
    </row>
    <row r="1478" spans="1:15" ht="15.75" customHeight="1" x14ac:dyDescent="0.3">
      <c r="A1478" s="124"/>
      <c r="B1478" s="114"/>
      <c r="C1478" s="125"/>
      <c r="D1478" s="114"/>
      <c r="E1478" s="114"/>
      <c r="F1478" s="114"/>
      <c r="G1478" s="114"/>
      <c r="H1478" s="114"/>
      <c r="I1478" s="114"/>
      <c r="J1478" s="114"/>
      <c r="K1478" s="117"/>
      <c r="L1478" s="117"/>
      <c r="M1478" s="114"/>
      <c r="N1478" s="114"/>
      <c r="O1478" s="114"/>
    </row>
    <row r="1479" spans="1:15" ht="15.75" customHeight="1" x14ac:dyDescent="0.3">
      <c r="A1479" s="124"/>
      <c r="B1479" s="114"/>
      <c r="C1479" s="125"/>
      <c r="D1479" s="114"/>
      <c r="E1479" s="114"/>
      <c r="F1479" s="114"/>
      <c r="G1479" s="114"/>
      <c r="H1479" s="114"/>
      <c r="I1479" s="114"/>
      <c r="J1479" s="114"/>
      <c r="K1479" s="117"/>
      <c r="L1479" s="117"/>
      <c r="M1479" s="114"/>
      <c r="N1479" s="114"/>
      <c r="O1479" s="114"/>
    </row>
    <row r="1480" spans="1:15" ht="15.75" customHeight="1" x14ac:dyDescent="0.3">
      <c r="A1480" s="124"/>
      <c r="B1480" s="114"/>
      <c r="C1480" s="125"/>
      <c r="D1480" s="114"/>
      <c r="E1480" s="114"/>
      <c r="F1480" s="114"/>
      <c r="G1480" s="114"/>
      <c r="H1480" s="114"/>
      <c r="I1480" s="114"/>
      <c r="J1480" s="114"/>
      <c r="K1480" s="117"/>
      <c r="L1480" s="117"/>
      <c r="M1480" s="114"/>
      <c r="N1480" s="114"/>
      <c r="O1480" s="114"/>
    </row>
    <row r="1481" spans="1:15" ht="15.75" customHeight="1" x14ac:dyDescent="0.3">
      <c r="A1481" s="124"/>
      <c r="B1481" s="114"/>
      <c r="C1481" s="125"/>
      <c r="D1481" s="114"/>
      <c r="E1481" s="114"/>
      <c r="F1481" s="114"/>
      <c r="G1481" s="114"/>
      <c r="H1481" s="114"/>
      <c r="I1481" s="114"/>
      <c r="J1481" s="114"/>
      <c r="K1481" s="117"/>
      <c r="L1481" s="117"/>
      <c r="M1481" s="114"/>
      <c r="N1481" s="114"/>
      <c r="O1481" s="114"/>
    </row>
    <row r="1482" spans="1:15" ht="15.75" customHeight="1" x14ac:dyDescent="0.3">
      <c r="A1482" s="124"/>
      <c r="B1482" s="114"/>
      <c r="C1482" s="125"/>
      <c r="D1482" s="114"/>
      <c r="E1482" s="114"/>
      <c r="F1482" s="114"/>
      <c r="G1482" s="114"/>
      <c r="H1482" s="114"/>
      <c r="I1482" s="114"/>
      <c r="J1482" s="114"/>
      <c r="K1482" s="117"/>
      <c r="L1482" s="117"/>
      <c r="M1482" s="114"/>
      <c r="N1482" s="114"/>
      <c r="O1482" s="114"/>
    </row>
    <row r="1483" spans="1:15" ht="15.75" customHeight="1" x14ac:dyDescent="0.3">
      <c r="A1483" s="124"/>
      <c r="B1483" s="114"/>
      <c r="C1483" s="125"/>
      <c r="D1483" s="114"/>
      <c r="E1483" s="114"/>
      <c r="F1483" s="114"/>
      <c r="G1483" s="114"/>
      <c r="H1483" s="114"/>
      <c r="I1483" s="114"/>
      <c r="J1483" s="114"/>
      <c r="K1483" s="117"/>
      <c r="L1483" s="117"/>
      <c r="M1483" s="114"/>
      <c r="N1483" s="114"/>
      <c r="O1483" s="114"/>
    </row>
    <row r="1484" spans="1:15" ht="15.75" customHeight="1" x14ac:dyDescent="0.3">
      <c r="A1484" s="124"/>
      <c r="B1484" s="114"/>
      <c r="C1484" s="125"/>
      <c r="D1484" s="114"/>
      <c r="E1484" s="114"/>
      <c r="F1484" s="114"/>
      <c r="G1484" s="114"/>
      <c r="H1484" s="114"/>
      <c r="I1484" s="114"/>
      <c r="J1484" s="114"/>
      <c r="K1484" s="117"/>
      <c r="L1484" s="117"/>
      <c r="M1484" s="114"/>
      <c r="N1484" s="114"/>
      <c r="O1484" s="114"/>
    </row>
    <row r="1485" spans="1:15" ht="15.75" customHeight="1" x14ac:dyDescent="0.3">
      <c r="A1485" s="124"/>
      <c r="B1485" s="114"/>
      <c r="C1485" s="125"/>
      <c r="D1485" s="114"/>
      <c r="E1485" s="114"/>
      <c r="F1485" s="114"/>
      <c r="G1485" s="114"/>
      <c r="H1485" s="114"/>
      <c r="I1485" s="114"/>
      <c r="J1485" s="114"/>
      <c r="K1485" s="117"/>
      <c r="L1485" s="117"/>
      <c r="M1485" s="114"/>
      <c r="N1485" s="114"/>
      <c r="O1485" s="114"/>
    </row>
    <row r="1486" spans="1:15" ht="15.75" customHeight="1" x14ac:dyDescent="0.3">
      <c r="A1486" s="124"/>
      <c r="B1486" s="114"/>
      <c r="C1486" s="125"/>
      <c r="D1486" s="114"/>
      <c r="E1486" s="114"/>
      <c r="F1486" s="114"/>
      <c r="G1486" s="114"/>
      <c r="H1486" s="114"/>
      <c r="I1486" s="114"/>
      <c r="J1486" s="114"/>
      <c r="K1486" s="117"/>
      <c r="L1486" s="117"/>
      <c r="M1486" s="114"/>
      <c r="N1486" s="114"/>
      <c r="O1486" s="114"/>
    </row>
    <row r="1487" spans="1:15" ht="15.75" customHeight="1" x14ac:dyDescent="0.3">
      <c r="A1487" s="124"/>
      <c r="B1487" s="114"/>
      <c r="C1487" s="125"/>
      <c r="D1487" s="114"/>
      <c r="E1487" s="114"/>
      <c r="F1487" s="114"/>
      <c r="G1487" s="114"/>
      <c r="H1487" s="114"/>
      <c r="I1487" s="114"/>
      <c r="J1487" s="114"/>
      <c r="K1487" s="117"/>
      <c r="L1487" s="117"/>
      <c r="M1487" s="114"/>
      <c r="N1487" s="114"/>
      <c r="O1487" s="114"/>
    </row>
    <row r="1488" spans="1:15" ht="15.75" customHeight="1" x14ac:dyDescent="0.3">
      <c r="A1488" s="124"/>
      <c r="B1488" s="114"/>
      <c r="C1488" s="125"/>
      <c r="D1488" s="114"/>
      <c r="E1488" s="114"/>
      <c r="F1488" s="114"/>
      <c r="G1488" s="114"/>
      <c r="H1488" s="114"/>
      <c r="I1488" s="114"/>
      <c r="J1488" s="114"/>
      <c r="K1488" s="117"/>
      <c r="L1488" s="117"/>
      <c r="M1488" s="114"/>
      <c r="N1488" s="114"/>
      <c r="O1488" s="114"/>
    </row>
    <row r="1489" spans="1:15" ht="15.75" customHeight="1" x14ac:dyDescent="0.3">
      <c r="A1489" s="124"/>
      <c r="B1489" s="114"/>
      <c r="C1489" s="125"/>
      <c r="D1489" s="114"/>
      <c r="E1489" s="114"/>
      <c r="F1489" s="114"/>
      <c r="G1489" s="114"/>
      <c r="H1489" s="114"/>
      <c r="I1489" s="114"/>
      <c r="J1489" s="114"/>
      <c r="K1489" s="117"/>
      <c r="L1489" s="117"/>
      <c r="M1489" s="114"/>
      <c r="N1489" s="114"/>
      <c r="O1489" s="114"/>
    </row>
    <row r="1490" spans="1:15" ht="15.75" customHeight="1" x14ac:dyDescent="0.3">
      <c r="A1490" s="124"/>
      <c r="B1490" s="114"/>
      <c r="C1490" s="125"/>
      <c r="D1490" s="114"/>
      <c r="E1490" s="114"/>
      <c r="F1490" s="114"/>
      <c r="G1490" s="114"/>
      <c r="H1490" s="114"/>
      <c r="I1490" s="114"/>
      <c r="J1490" s="114"/>
      <c r="K1490" s="117"/>
      <c r="L1490" s="117"/>
      <c r="M1490" s="114"/>
      <c r="N1490" s="114"/>
      <c r="O1490" s="114"/>
    </row>
    <row r="1491" spans="1:15" ht="15.75" customHeight="1" x14ac:dyDescent="0.3">
      <c r="A1491" s="124"/>
      <c r="B1491" s="114"/>
      <c r="C1491" s="125"/>
      <c r="D1491" s="114"/>
      <c r="E1491" s="114"/>
      <c r="F1491" s="114"/>
      <c r="G1491" s="114"/>
      <c r="H1491" s="114"/>
      <c r="I1491" s="114"/>
      <c r="J1491" s="114"/>
      <c r="K1491" s="117"/>
      <c r="L1491" s="117"/>
      <c r="M1491" s="114"/>
      <c r="N1491" s="114"/>
      <c r="O1491" s="114"/>
    </row>
    <row r="1492" spans="1:15" ht="15.75" customHeight="1" x14ac:dyDescent="0.3">
      <c r="A1492" s="124"/>
      <c r="B1492" s="114"/>
      <c r="C1492" s="125"/>
      <c r="D1492" s="114"/>
      <c r="E1492" s="114"/>
      <c r="F1492" s="114"/>
      <c r="G1492" s="114"/>
      <c r="H1492" s="114"/>
      <c r="I1492" s="114"/>
      <c r="J1492" s="114"/>
      <c r="K1492" s="117"/>
      <c r="L1492" s="117"/>
      <c r="M1492" s="114"/>
      <c r="N1492" s="114"/>
      <c r="O1492" s="114"/>
    </row>
    <row r="1493" spans="1:15" ht="15.75" customHeight="1" x14ac:dyDescent="0.3">
      <c r="A1493" s="124"/>
      <c r="B1493" s="114"/>
      <c r="C1493" s="125"/>
      <c r="D1493" s="114"/>
      <c r="E1493" s="114"/>
      <c r="F1493" s="114"/>
      <c r="G1493" s="114"/>
      <c r="H1493" s="114"/>
      <c r="I1493" s="114"/>
      <c r="J1493" s="114"/>
      <c r="K1493" s="117"/>
      <c r="L1493" s="117"/>
      <c r="M1493" s="114"/>
      <c r="N1493" s="114"/>
      <c r="O1493" s="114"/>
    </row>
    <row r="1494" spans="1:15" ht="15.75" customHeight="1" x14ac:dyDescent="0.3">
      <c r="A1494" s="124"/>
      <c r="B1494" s="114"/>
      <c r="C1494" s="125"/>
      <c r="D1494" s="114"/>
      <c r="E1494" s="114"/>
      <c r="F1494" s="114"/>
      <c r="G1494" s="114"/>
      <c r="H1494" s="114"/>
      <c r="I1494" s="114"/>
      <c r="J1494" s="114"/>
      <c r="K1494" s="117"/>
      <c r="L1494" s="117"/>
      <c r="M1494" s="114"/>
      <c r="N1494" s="114"/>
      <c r="O1494" s="114"/>
    </row>
    <row r="1495" spans="1:15" ht="15.75" customHeight="1" x14ac:dyDescent="0.3">
      <c r="A1495" s="124"/>
      <c r="B1495" s="114"/>
      <c r="C1495" s="125"/>
      <c r="D1495" s="114"/>
      <c r="E1495" s="114"/>
      <c r="F1495" s="114"/>
      <c r="G1495" s="114"/>
      <c r="H1495" s="114"/>
      <c r="I1495" s="114"/>
      <c r="J1495" s="114"/>
      <c r="K1495" s="117"/>
      <c r="L1495" s="117"/>
      <c r="M1495" s="114"/>
      <c r="N1495" s="114"/>
      <c r="O1495" s="114"/>
    </row>
    <row r="1496" spans="1:15" ht="15.75" customHeight="1" x14ac:dyDescent="0.3">
      <c r="A1496" s="124"/>
      <c r="B1496" s="114"/>
      <c r="C1496" s="125"/>
      <c r="D1496" s="114"/>
      <c r="E1496" s="114"/>
      <c r="F1496" s="114"/>
      <c r="G1496" s="114"/>
      <c r="H1496" s="114"/>
      <c r="I1496" s="114"/>
      <c r="J1496" s="114"/>
      <c r="K1496" s="117"/>
      <c r="L1496" s="117"/>
      <c r="M1496" s="114"/>
      <c r="N1496" s="114"/>
      <c r="O1496" s="114"/>
    </row>
    <row r="1497" spans="1:15" ht="15.75" customHeight="1" x14ac:dyDescent="0.3">
      <c r="A1497" s="124"/>
      <c r="B1497" s="114"/>
      <c r="C1497" s="125"/>
      <c r="D1497" s="114"/>
      <c r="E1497" s="114"/>
      <c r="F1497" s="114"/>
      <c r="G1497" s="114"/>
      <c r="H1497" s="114"/>
      <c r="I1497" s="114"/>
      <c r="J1497" s="114"/>
      <c r="K1497" s="117"/>
      <c r="L1497" s="117"/>
      <c r="M1497" s="114"/>
      <c r="N1497" s="114"/>
      <c r="O1497" s="114"/>
    </row>
    <row r="1498" spans="1:15" ht="15.75" customHeight="1" x14ac:dyDescent="0.3">
      <c r="A1498" s="124"/>
      <c r="B1498" s="114"/>
      <c r="C1498" s="125"/>
      <c r="D1498" s="114"/>
      <c r="E1498" s="114"/>
      <c r="F1498" s="114"/>
      <c r="G1498" s="114"/>
      <c r="H1498" s="114"/>
      <c r="I1498" s="114"/>
      <c r="J1498" s="114"/>
      <c r="K1498" s="117"/>
      <c r="L1498" s="117"/>
      <c r="M1498" s="114"/>
      <c r="N1498" s="114"/>
      <c r="O1498" s="114"/>
    </row>
    <row r="1499" spans="1:15" ht="15.75" customHeight="1" x14ac:dyDescent="0.3">
      <c r="A1499" s="124"/>
      <c r="B1499" s="114"/>
      <c r="C1499" s="125"/>
      <c r="D1499" s="114"/>
      <c r="E1499" s="114"/>
      <c r="F1499" s="114"/>
      <c r="G1499" s="114"/>
      <c r="H1499" s="114"/>
      <c r="I1499" s="114"/>
      <c r="J1499" s="114"/>
      <c r="K1499" s="117"/>
      <c r="L1499" s="117"/>
      <c r="M1499" s="114"/>
      <c r="N1499" s="114"/>
      <c r="O1499" s="114"/>
    </row>
    <row r="1500" spans="1:15" ht="15.75" customHeight="1" x14ac:dyDescent="0.3">
      <c r="A1500" s="124"/>
      <c r="B1500" s="114"/>
      <c r="C1500" s="125"/>
      <c r="D1500" s="114"/>
      <c r="E1500" s="114"/>
      <c r="F1500" s="114"/>
      <c r="G1500" s="114"/>
      <c r="H1500" s="114"/>
      <c r="I1500" s="114"/>
      <c r="J1500" s="114"/>
      <c r="K1500" s="117"/>
      <c r="L1500" s="117"/>
      <c r="M1500" s="114"/>
      <c r="N1500" s="114"/>
      <c r="O1500" s="114"/>
    </row>
    <row r="1501" spans="1:15" ht="15.75" customHeight="1" x14ac:dyDescent="0.3">
      <c r="A1501" s="124"/>
      <c r="B1501" s="114"/>
      <c r="C1501" s="125"/>
      <c r="D1501" s="114"/>
      <c r="E1501" s="114"/>
      <c r="F1501" s="114"/>
      <c r="G1501" s="114"/>
      <c r="H1501" s="114"/>
      <c r="I1501" s="114"/>
      <c r="J1501" s="114"/>
      <c r="K1501" s="117"/>
      <c r="L1501" s="117"/>
      <c r="M1501" s="114"/>
      <c r="N1501" s="114"/>
      <c r="O1501" s="114"/>
    </row>
    <row r="1502" spans="1:15" ht="15.75" customHeight="1" x14ac:dyDescent="0.3">
      <c r="A1502" s="124"/>
      <c r="B1502" s="114"/>
      <c r="C1502" s="125"/>
      <c r="D1502" s="114"/>
      <c r="E1502" s="114"/>
      <c r="F1502" s="114"/>
      <c r="G1502" s="114"/>
      <c r="H1502" s="114"/>
      <c r="I1502" s="114"/>
      <c r="J1502" s="114"/>
      <c r="K1502" s="117"/>
      <c r="L1502" s="117"/>
      <c r="M1502" s="114"/>
      <c r="N1502" s="114"/>
      <c r="O1502" s="114"/>
    </row>
    <row r="1503" spans="1:15" ht="15.75" customHeight="1" x14ac:dyDescent="0.3">
      <c r="A1503" s="124"/>
      <c r="B1503" s="114"/>
      <c r="C1503" s="125"/>
      <c r="D1503" s="114"/>
      <c r="E1503" s="114"/>
      <c r="F1503" s="114"/>
      <c r="G1503" s="114"/>
      <c r="H1503" s="114"/>
      <c r="I1503" s="114"/>
      <c r="J1503" s="114"/>
      <c r="K1503" s="117"/>
      <c r="L1503" s="117"/>
      <c r="M1503" s="114"/>
      <c r="N1503" s="114"/>
      <c r="O1503" s="114"/>
    </row>
    <row r="1504" spans="1:15" ht="15.75" customHeight="1" x14ac:dyDescent="0.3">
      <c r="A1504" s="124"/>
      <c r="B1504" s="114"/>
      <c r="C1504" s="125"/>
      <c r="D1504" s="114"/>
      <c r="E1504" s="114"/>
      <c r="F1504" s="114"/>
      <c r="G1504" s="114"/>
      <c r="H1504" s="114"/>
      <c r="I1504" s="114"/>
      <c r="J1504" s="114"/>
      <c r="K1504" s="117"/>
      <c r="L1504" s="117"/>
      <c r="M1504" s="114"/>
      <c r="N1504" s="114"/>
      <c r="O1504" s="114"/>
    </row>
    <row r="1505" spans="1:15" ht="15.75" customHeight="1" x14ac:dyDescent="0.3">
      <c r="A1505" s="124"/>
      <c r="B1505" s="114"/>
      <c r="C1505" s="125"/>
      <c r="D1505" s="114"/>
      <c r="E1505" s="114"/>
      <c r="F1505" s="114"/>
      <c r="G1505" s="114"/>
      <c r="H1505" s="114"/>
      <c r="I1505" s="114"/>
      <c r="J1505" s="114"/>
      <c r="K1505" s="117"/>
      <c r="L1505" s="117"/>
      <c r="M1505" s="114"/>
      <c r="N1505" s="114"/>
      <c r="O1505" s="114"/>
    </row>
    <row r="1506" spans="1:15" ht="15.75" customHeight="1" x14ac:dyDescent="0.3">
      <c r="A1506" s="124"/>
      <c r="B1506" s="114"/>
      <c r="C1506" s="125"/>
      <c r="D1506" s="114"/>
      <c r="E1506" s="114"/>
      <c r="F1506" s="114"/>
      <c r="G1506" s="114"/>
      <c r="H1506" s="114"/>
      <c r="I1506" s="114"/>
      <c r="J1506" s="114"/>
      <c r="K1506" s="117"/>
      <c r="L1506" s="117"/>
      <c r="M1506" s="114"/>
      <c r="N1506" s="114"/>
      <c r="O1506" s="114"/>
    </row>
    <row r="1507" spans="1:15" ht="15.75" customHeight="1" x14ac:dyDescent="0.3">
      <c r="A1507" s="124"/>
      <c r="B1507" s="114"/>
      <c r="C1507" s="125"/>
      <c r="D1507" s="114"/>
      <c r="E1507" s="114"/>
      <c r="F1507" s="114"/>
      <c r="G1507" s="114"/>
      <c r="H1507" s="114"/>
      <c r="I1507" s="114"/>
      <c r="J1507" s="114"/>
      <c r="K1507" s="117"/>
      <c r="L1507" s="117"/>
      <c r="M1507" s="114"/>
      <c r="N1507" s="114"/>
      <c r="O1507" s="114"/>
    </row>
    <row r="1508" spans="1:15" ht="15.75" customHeight="1" x14ac:dyDescent="0.3">
      <c r="A1508" s="124"/>
      <c r="B1508" s="114"/>
      <c r="C1508" s="125"/>
      <c r="D1508" s="114"/>
      <c r="E1508" s="114"/>
      <c r="F1508" s="114"/>
      <c r="G1508" s="114"/>
      <c r="H1508" s="114"/>
      <c r="I1508" s="114"/>
      <c r="J1508" s="114"/>
      <c r="K1508" s="117"/>
      <c r="L1508" s="117"/>
      <c r="M1508" s="114"/>
      <c r="N1508" s="114"/>
      <c r="O1508" s="114"/>
    </row>
    <row r="1509" spans="1:15" ht="15.75" customHeight="1" x14ac:dyDescent="0.3">
      <c r="A1509" s="124"/>
      <c r="B1509" s="114"/>
      <c r="C1509" s="125"/>
      <c r="D1509" s="114"/>
      <c r="E1509" s="114"/>
      <c r="F1509" s="114"/>
      <c r="G1509" s="114"/>
      <c r="H1509" s="114"/>
      <c r="I1509" s="114"/>
      <c r="J1509" s="114"/>
      <c r="K1509" s="117"/>
      <c r="L1509" s="117"/>
      <c r="M1509" s="114"/>
      <c r="N1509" s="114"/>
      <c r="O1509" s="114"/>
    </row>
    <row r="1510" spans="1:15" ht="15.75" customHeight="1" x14ac:dyDescent="0.3">
      <c r="A1510" s="124"/>
      <c r="B1510" s="114"/>
      <c r="C1510" s="125"/>
      <c r="D1510" s="114"/>
      <c r="E1510" s="114"/>
      <c r="F1510" s="114"/>
      <c r="G1510" s="114"/>
      <c r="H1510" s="114"/>
      <c r="I1510" s="114"/>
      <c r="J1510" s="114"/>
      <c r="K1510" s="117"/>
      <c r="L1510" s="117"/>
      <c r="M1510" s="114"/>
      <c r="N1510" s="114"/>
      <c r="O1510" s="114"/>
    </row>
    <row r="1511" spans="1:15" ht="15.75" customHeight="1" x14ac:dyDescent="0.3">
      <c r="A1511" s="124"/>
      <c r="B1511" s="114"/>
      <c r="C1511" s="125"/>
      <c r="D1511" s="114"/>
      <c r="E1511" s="114"/>
      <c r="F1511" s="114"/>
      <c r="G1511" s="114"/>
      <c r="H1511" s="114"/>
      <c r="I1511" s="114"/>
      <c r="J1511" s="114"/>
      <c r="K1511" s="117"/>
      <c r="L1511" s="117"/>
      <c r="M1511" s="114"/>
      <c r="N1511" s="114"/>
      <c r="O1511" s="114"/>
    </row>
    <row r="1512" spans="1:15" ht="15.75" customHeight="1" x14ac:dyDescent="0.3">
      <c r="A1512" s="124"/>
      <c r="B1512" s="114"/>
      <c r="C1512" s="125"/>
      <c r="D1512" s="114"/>
      <c r="E1512" s="114"/>
      <c r="F1512" s="114"/>
      <c r="G1512" s="114"/>
      <c r="H1512" s="114"/>
      <c r="I1512" s="114"/>
      <c r="J1512" s="114"/>
      <c r="K1512" s="117"/>
      <c r="L1512" s="117"/>
      <c r="M1512" s="114"/>
      <c r="N1512" s="114"/>
      <c r="O1512" s="114"/>
    </row>
    <row r="1513" spans="1:15" ht="15.75" customHeight="1" x14ac:dyDescent="0.3">
      <c r="A1513" s="124"/>
      <c r="B1513" s="114"/>
      <c r="C1513" s="125"/>
      <c r="D1513" s="114"/>
      <c r="E1513" s="114"/>
      <c r="F1513" s="114"/>
      <c r="G1513" s="114"/>
      <c r="H1513" s="114"/>
      <c r="I1513" s="114"/>
      <c r="J1513" s="114"/>
      <c r="K1513" s="117"/>
      <c r="L1513" s="117"/>
      <c r="M1513" s="114"/>
      <c r="N1513" s="114"/>
      <c r="O1513" s="114"/>
    </row>
    <row r="1514" spans="1:15" ht="15.75" customHeight="1" x14ac:dyDescent="0.3">
      <c r="A1514" s="124"/>
      <c r="B1514" s="114"/>
      <c r="C1514" s="125"/>
      <c r="D1514" s="114"/>
      <c r="E1514" s="114"/>
      <c r="F1514" s="114"/>
      <c r="G1514" s="114"/>
      <c r="H1514" s="114"/>
      <c r="I1514" s="114"/>
      <c r="J1514" s="114"/>
      <c r="K1514" s="117"/>
      <c r="L1514" s="117"/>
      <c r="M1514" s="114"/>
      <c r="N1514" s="114"/>
      <c r="O1514" s="114"/>
    </row>
    <row r="1515" spans="1:15" ht="15.75" customHeight="1" x14ac:dyDescent="0.3">
      <c r="A1515" s="124"/>
      <c r="B1515" s="114"/>
      <c r="C1515" s="125"/>
      <c r="D1515" s="114"/>
      <c r="E1515" s="114"/>
      <c r="F1515" s="114"/>
      <c r="G1515" s="114"/>
      <c r="H1515" s="114"/>
      <c r="I1515" s="114"/>
      <c r="J1515" s="114"/>
      <c r="K1515" s="117"/>
      <c r="L1515" s="117"/>
      <c r="M1515" s="114"/>
      <c r="N1515" s="114"/>
      <c r="O1515" s="114"/>
    </row>
    <row r="1516" spans="1:15" ht="15.75" customHeight="1" x14ac:dyDescent="0.3">
      <c r="A1516" s="124"/>
      <c r="B1516" s="114"/>
      <c r="C1516" s="125"/>
      <c r="D1516" s="114"/>
      <c r="E1516" s="114"/>
      <c r="F1516" s="114"/>
      <c r="G1516" s="114"/>
      <c r="H1516" s="114"/>
      <c r="I1516" s="114"/>
      <c r="J1516" s="114"/>
      <c r="K1516" s="117"/>
      <c r="L1516" s="117"/>
      <c r="M1516" s="114"/>
      <c r="N1516" s="114"/>
      <c r="O1516" s="114"/>
    </row>
    <row r="1517" spans="1:15" ht="15.75" customHeight="1" x14ac:dyDescent="0.3">
      <c r="A1517" s="124"/>
      <c r="B1517" s="114"/>
      <c r="C1517" s="125"/>
      <c r="D1517" s="114"/>
      <c r="E1517" s="114"/>
      <c r="F1517" s="114"/>
      <c r="G1517" s="114"/>
      <c r="H1517" s="114"/>
      <c r="I1517" s="114"/>
      <c r="J1517" s="114"/>
      <c r="K1517" s="117"/>
      <c r="L1517" s="117"/>
      <c r="M1517" s="114"/>
      <c r="N1517" s="114"/>
      <c r="O1517" s="114"/>
    </row>
    <row r="1518" spans="1:15" ht="15.75" customHeight="1" x14ac:dyDescent="0.3">
      <c r="A1518" s="124"/>
      <c r="B1518" s="114"/>
      <c r="C1518" s="125"/>
      <c r="D1518" s="114"/>
      <c r="E1518" s="114"/>
      <c r="F1518" s="114"/>
      <c r="G1518" s="114"/>
      <c r="H1518" s="114"/>
      <c r="I1518" s="114"/>
      <c r="J1518" s="114"/>
      <c r="K1518" s="117"/>
      <c r="L1518" s="117"/>
      <c r="M1518" s="114"/>
      <c r="N1518" s="114"/>
      <c r="O1518" s="114"/>
    </row>
    <row r="1519" spans="1:15" ht="15.75" customHeight="1" x14ac:dyDescent="0.3">
      <c r="A1519" s="124"/>
      <c r="B1519" s="114"/>
      <c r="C1519" s="125"/>
      <c r="D1519" s="114"/>
      <c r="E1519" s="114"/>
      <c r="F1519" s="114"/>
      <c r="G1519" s="114"/>
      <c r="H1519" s="114"/>
      <c r="I1519" s="114"/>
      <c r="J1519" s="114"/>
      <c r="K1519" s="117"/>
      <c r="L1519" s="117"/>
      <c r="M1519" s="114"/>
      <c r="N1519" s="114"/>
      <c r="O1519" s="114"/>
    </row>
    <row r="1520" spans="1:15" ht="15.75" customHeight="1" x14ac:dyDescent="0.3">
      <c r="A1520" s="124"/>
      <c r="B1520" s="114"/>
      <c r="C1520" s="125"/>
      <c r="D1520" s="114"/>
      <c r="E1520" s="114"/>
      <c r="F1520" s="114"/>
      <c r="G1520" s="114"/>
      <c r="H1520" s="114"/>
      <c r="I1520" s="114"/>
      <c r="J1520" s="114"/>
      <c r="K1520" s="117"/>
      <c r="L1520" s="117"/>
      <c r="M1520" s="114"/>
      <c r="N1520" s="114"/>
      <c r="O1520" s="114"/>
    </row>
    <row r="1521" spans="1:15" ht="15.75" customHeight="1" x14ac:dyDescent="0.3">
      <c r="A1521" s="124"/>
      <c r="B1521" s="114"/>
      <c r="C1521" s="125"/>
      <c r="D1521" s="114"/>
      <c r="E1521" s="114"/>
      <c r="F1521" s="114"/>
      <c r="G1521" s="114"/>
      <c r="H1521" s="114"/>
      <c r="I1521" s="114"/>
      <c r="J1521" s="114"/>
      <c r="K1521" s="117"/>
      <c r="L1521" s="117"/>
      <c r="M1521" s="114"/>
      <c r="N1521" s="114"/>
      <c r="O1521" s="114"/>
    </row>
    <row r="1522" spans="1:15" ht="15.75" customHeight="1" x14ac:dyDescent="0.3">
      <c r="A1522" s="124"/>
      <c r="B1522" s="114"/>
      <c r="C1522" s="125"/>
      <c r="D1522" s="114"/>
      <c r="E1522" s="114"/>
      <c r="F1522" s="114"/>
      <c r="G1522" s="114"/>
      <c r="H1522" s="114"/>
      <c r="I1522" s="114"/>
      <c r="J1522" s="114"/>
      <c r="K1522" s="117"/>
      <c r="L1522" s="117"/>
      <c r="M1522" s="114"/>
      <c r="N1522" s="114"/>
      <c r="O1522" s="114"/>
    </row>
  </sheetData>
  <autoFilter ref="A1:O964" xr:uid="{00000000-0009-0000-0000-00000D000000}">
    <filterColumn colId="0">
      <filters>
        <filter val="Rua Amancio Amaral, 1181"/>
      </filters>
    </filterColumn>
  </autoFilter>
  <pageMargins left="0.511811024" right="0.511811024" top="0.78740157499999996" bottom="0.78740157499999996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521"/>
  <sheetViews>
    <sheetView topLeftCell="A3" workbookViewId="0">
      <selection activeCell="A395" sqref="A4:H395"/>
    </sheetView>
  </sheetViews>
  <sheetFormatPr defaultColWidth="14.44140625" defaultRowHeight="15" customHeight="1" x14ac:dyDescent="0.3"/>
  <cols>
    <col min="1" max="1" width="10.6640625" bestFit="1" customWidth="1"/>
    <col min="2" max="2" width="12.6640625" bestFit="1" customWidth="1"/>
    <col min="3" max="3" width="13.44140625" customWidth="1"/>
    <col min="4" max="4" width="38.33203125" customWidth="1"/>
    <col min="5" max="5" width="11.109375" customWidth="1"/>
    <col min="6" max="6" width="8.6640625" customWidth="1"/>
    <col min="7" max="7" width="13.33203125" customWidth="1"/>
    <col min="8" max="8" width="13.5546875" customWidth="1"/>
    <col min="9" max="10" width="23.33203125" customWidth="1"/>
    <col min="11" max="11" width="26.5546875" customWidth="1"/>
    <col min="12" max="12" width="24.6640625" bestFit="1" customWidth="1"/>
    <col min="13" max="13" width="11.109375" bestFit="1" customWidth="1"/>
    <col min="14" max="24" width="8.6640625" customWidth="1"/>
  </cols>
  <sheetData>
    <row r="1" spans="1:24" ht="14.4" x14ac:dyDescent="0.3">
      <c r="A1" s="137" t="s">
        <v>641</v>
      </c>
      <c r="B1" t="s">
        <v>134</v>
      </c>
      <c r="D1" s="135"/>
    </row>
    <row r="2" spans="1:24" ht="14.4" x14ac:dyDescent="0.3">
      <c r="D2" s="135"/>
    </row>
    <row r="3" spans="1:24" ht="43.2" x14ac:dyDescent="0.3">
      <c r="A3" s="138" t="s">
        <v>642</v>
      </c>
      <c r="B3" s="138" t="s">
        <v>617</v>
      </c>
      <c r="C3" s="138" t="s">
        <v>96</v>
      </c>
      <c r="D3" s="138" t="s">
        <v>643</v>
      </c>
      <c r="E3" s="138" t="s">
        <v>644</v>
      </c>
      <c r="F3" s="138" t="s">
        <v>108</v>
      </c>
      <c r="G3" s="138" t="s">
        <v>109</v>
      </c>
      <c r="H3" s="138" t="s">
        <v>645</v>
      </c>
      <c r="I3" s="138" t="s">
        <v>57</v>
      </c>
      <c r="J3" s="138" t="s">
        <v>64</v>
      </c>
      <c r="K3" s="138" t="s">
        <v>646</v>
      </c>
      <c r="L3" s="138" t="s">
        <v>647</v>
      </c>
      <c r="M3" s="136" t="s">
        <v>650</v>
      </c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</row>
    <row r="4" spans="1:24" ht="14.4" x14ac:dyDescent="0.3">
      <c r="A4">
        <v>70</v>
      </c>
      <c r="B4" t="s">
        <v>129</v>
      </c>
      <c r="C4" t="s">
        <v>480</v>
      </c>
      <c r="D4" t="s">
        <v>482</v>
      </c>
      <c r="E4">
        <v>30</v>
      </c>
      <c r="F4" t="s">
        <v>150</v>
      </c>
      <c r="G4" t="s">
        <v>651</v>
      </c>
      <c r="H4" t="s">
        <v>651</v>
      </c>
      <c r="I4">
        <v>2</v>
      </c>
      <c r="J4">
        <v>0</v>
      </c>
      <c r="K4" t="s">
        <v>651</v>
      </c>
      <c r="M4">
        <v>1</v>
      </c>
    </row>
    <row r="5" spans="1:24" ht="14.4" x14ac:dyDescent="0.3">
      <c r="A5">
        <v>70</v>
      </c>
      <c r="B5" t="s">
        <v>129</v>
      </c>
      <c r="C5" t="s">
        <v>480</v>
      </c>
      <c r="D5" t="s">
        <v>482</v>
      </c>
      <c r="E5">
        <v>30</v>
      </c>
      <c r="F5" t="s">
        <v>150</v>
      </c>
      <c r="G5" t="s">
        <v>141</v>
      </c>
      <c r="H5" t="s">
        <v>651</v>
      </c>
      <c r="I5">
        <v>2</v>
      </c>
      <c r="J5">
        <v>0</v>
      </c>
      <c r="K5" t="s">
        <v>651</v>
      </c>
      <c r="M5">
        <v>1</v>
      </c>
    </row>
    <row r="6" spans="1:24" ht="14.4" x14ac:dyDescent="0.3">
      <c r="A6">
        <v>70</v>
      </c>
      <c r="B6" t="s">
        <v>129</v>
      </c>
      <c r="C6" t="s">
        <v>480</v>
      </c>
      <c r="D6" t="s">
        <v>482</v>
      </c>
      <c r="E6">
        <v>30</v>
      </c>
      <c r="F6" t="s">
        <v>141</v>
      </c>
      <c r="G6" t="s">
        <v>651</v>
      </c>
      <c r="H6" t="s">
        <v>651</v>
      </c>
      <c r="I6">
        <v>2</v>
      </c>
      <c r="J6">
        <v>0</v>
      </c>
      <c r="K6" t="s">
        <v>651</v>
      </c>
      <c r="M6">
        <v>1</v>
      </c>
    </row>
    <row r="7" spans="1:24" ht="14.4" x14ac:dyDescent="0.3">
      <c r="A7">
        <v>70</v>
      </c>
      <c r="B7" t="s">
        <v>129</v>
      </c>
      <c r="C7" t="s">
        <v>480</v>
      </c>
      <c r="D7" t="s">
        <v>482</v>
      </c>
      <c r="E7">
        <v>30</v>
      </c>
      <c r="F7" t="s">
        <v>138</v>
      </c>
      <c r="G7" t="s">
        <v>651</v>
      </c>
      <c r="H7" t="s">
        <v>651</v>
      </c>
      <c r="I7">
        <v>2</v>
      </c>
      <c r="J7">
        <v>0</v>
      </c>
      <c r="K7" t="s">
        <v>651</v>
      </c>
      <c r="M7">
        <v>1</v>
      </c>
    </row>
    <row r="8" spans="1:24" ht="14.4" x14ac:dyDescent="0.3">
      <c r="A8">
        <v>70</v>
      </c>
      <c r="B8" t="s">
        <v>129</v>
      </c>
      <c r="C8" t="s">
        <v>361</v>
      </c>
      <c r="D8" t="s">
        <v>367</v>
      </c>
      <c r="E8">
        <v>35</v>
      </c>
      <c r="F8" t="s">
        <v>150</v>
      </c>
      <c r="G8" t="s">
        <v>651</v>
      </c>
      <c r="H8" t="s">
        <v>651</v>
      </c>
      <c r="I8">
        <v>2</v>
      </c>
      <c r="J8">
        <v>0</v>
      </c>
      <c r="K8" t="s">
        <v>651</v>
      </c>
      <c r="M8">
        <v>1</v>
      </c>
    </row>
    <row r="9" spans="1:24" ht="14.4" x14ac:dyDescent="0.3">
      <c r="A9">
        <v>70</v>
      </c>
      <c r="B9" t="s">
        <v>129</v>
      </c>
      <c r="C9" t="s">
        <v>361</v>
      </c>
      <c r="D9" t="s">
        <v>367</v>
      </c>
      <c r="E9">
        <v>35</v>
      </c>
      <c r="F9" t="s">
        <v>150</v>
      </c>
      <c r="G9" t="s">
        <v>141</v>
      </c>
      <c r="H9" t="s">
        <v>651</v>
      </c>
      <c r="I9">
        <v>2</v>
      </c>
      <c r="J9">
        <v>0</v>
      </c>
      <c r="K9" t="s">
        <v>651</v>
      </c>
      <c r="M9">
        <v>1</v>
      </c>
    </row>
    <row r="10" spans="1:24" ht="14.4" x14ac:dyDescent="0.3">
      <c r="A10">
        <v>70</v>
      </c>
      <c r="B10" t="s">
        <v>129</v>
      </c>
      <c r="C10" t="s">
        <v>361</v>
      </c>
      <c r="D10" t="s">
        <v>367</v>
      </c>
      <c r="E10">
        <v>35</v>
      </c>
      <c r="F10" t="s">
        <v>141</v>
      </c>
      <c r="G10" t="s">
        <v>651</v>
      </c>
      <c r="H10" t="s">
        <v>651</v>
      </c>
      <c r="I10">
        <v>2</v>
      </c>
      <c r="J10">
        <v>0</v>
      </c>
      <c r="K10" t="s">
        <v>651</v>
      </c>
      <c r="M10">
        <v>1</v>
      </c>
    </row>
    <row r="11" spans="1:24" ht="14.4" x14ac:dyDescent="0.3">
      <c r="A11">
        <v>70</v>
      </c>
      <c r="B11" t="s">
        <v>129</v>
      </c>
      <c r="C11" t="s">
        <v>361</v>
      </c>
      <c r="D11" t="s">
        <v>367</v>
      </c>
      <c r="E11">
        <v>35</v>
      </c>
      <c r="F11" t="s">
        <v>138</v>
      </c>
      <c r="G11" t="s">
        <v>651</v>
      </c>
      <c r="H11" t="s">
        <v>651</v>
      </c>
      <c r="I11">
        <v>2</v>
      </c>
      <c r="J11">
        <v>0</v>
      </c>
      <c r="K11" t="s">
        <v>651</v>
      </c>
      <c r="M11">
        <v>1</v>
      </c>
    </row>
    <row r="12" spans="1:24" ht="14.4" x14ac:dyDescent="0.3">
      <c r="A12">
        <v>70</v>
      </c>
      <c r="B12" t="s">
        <v>129</v>
      </c>
      <c r="C12" t="s">
        <v>457</v>
      </c>
      <c r="D12" t="s">
        <v>459</v>
      </c>
      <c r="E12">
        <v>31</v>
      </c>
      <c r="F12" t="s">
        <v>150</v>
      </c>
      <c r="G12" t="s">
        <v>651</v>
      </c>
      <c r="H12" t="s">
        <v>651</v>
      </c>
      <c r="I12">
        <v>2</v>
      </c>
      <c r="J12">
        <v>0</v>
      </c>
      <c r="K12" t="s">
        <v>651</v>
      </c>
      <c r="M12">
        <v>1</v>
      </c>
    </row>
    <row r="13" spans="1:24" ht="14.4" x14ac:dyDescent="0.3">
      <c r="A13">
        <v>70</v>
      </c>
      <c r="B13" t="s">
        <v>129</v>
      </c>
      <c r="C13" t="s">
        <v>457</v>
      </c>
      <c r="D13" t="s">
        <v>459</v>
      </c>
      <c r="E13">
        <v>31</v>
      </c>
      <c r="F13" t="s">
        <v>150</v>
      </c>
      <c r="G13" t="s">
        <v>138</v>
      </c>
      <c r="H13" t="s">
        <v>651</v>
      </c>
      <c r="I13">
        <v>2</v>
      </c>
      <c r="J13">
        <v>0</v>
      </c>
      <c r="K13" t="s">
        <v>651</v>
      </c>
      <c r="M13">
        <v>1</v>
      </c>
    </row>
    <row r="14" spans="1:24" ht="14.4" x14ac:dyDescent="0.3">
      <c r="A14">
        <v>70</v>
      </c>
      <c r="B14" t="s">
        <v>129</v>
      </c>
      <c r="C14" t="s">
        <v>457</v>
      </c>
      <c r="D14" t="s">
        <v>459</v>
      </c>
      <c r="E14">
        <v>31</v>
      </c>
      <c r="F14" t="s">
        <v>138</v>
      </c>
      <c r="G14" t="s">
        <v>651</v>
      </c>
      <c r="H14" t="s">
        <v>651</v>
      </c>
      <c r="I14">
        <v>2</v>
      </c>
      <c r="J14">
        <v>0</v>
      </c>
      <c r="K14" t="s">
        <v>651</v>
      </c>
      <c r="M14">
        <v>1</v>
      </c>
    </row>
    <row r="15" spans="1:24" ht="14.4" x14ac:dyDescent="0.3">
      <c r="A15">
        <v>70</v>
      </c>
      <c r="B15" t="s">
        <v>129</v>
      </c>
      <c r="C15" t="s">
        <v>457</v>
      </c>
      <c r="D15" t="s">
        <v>461</v>
      </c>
      <c r="E15">
        <v>39</v>
      </c>
      <c r="F15" t="s">
        <v>141</v>
      </c>
      <c r="G15" t="s">
        <v>651</v>
      </c>
      <c r="H15" t="s">
        <v>651</v>
      </c>
      <c r="I15">
        <v>2</v>
      </c>
      <c r="J15">
        <v>0</v>
      </c>
      <c r="K15" t="s">
        <v>651</v>
      </c>
      <c r="M15">
        <v>1</v>
      </c>
    </row>
    <row r="16" spans="1:24" ht="14.4" x14ac:dyDescent="0.3">
      <c r="A16">
        <v>70</v>
      </c>
      <c r="B16" t="s">
        <v>137</v>
      </c>
      <c r="C16" t="s">
        <v>480</v>
      </c>
      <c r="D16" t="s">
        <v>482</v>
      </c>
      <c r="E16">
        <v>30</v>
      </c>
      <c r="F16" t="s">
        <v>150</v>
      </c>
      <c r="G16" t="s">
        <v>651</v>
      </c>
      <c r="H16" t="s">
        <v>651</v>
      </c>
      <c r="I16">
        <v>2</v>
      </c>
      <c r="J16">
        <v>0</v>
      </c>
      <c r="K16" t="s">
        <v>651</v>
      </c>
      <c r="M16">
        <v>2</v>
      </c>
    </row>
    <row r="17" spans="1:13" ht="14.4" x14ac:dyDescent="0.3">
      <c r="A17">
        <v>70</v>
      </c>
      <c r="B17" t="s">
        <v>137</v>
      </c>
      <c r="C17" t="s">
        <v>480</v>
      </c>
      <c r="D17" t="s">
        <v>484</v>
      </c>
      <c r="E17">
        <v>40</v>
      </c>
      <c r="F17" t="s">
        <v>141</v>
      </c>
      <c r="G17" t="s">
        <v>651</v>
      </c>
      <c r="H17" t="s">
        <v>651</v>
      </c>
      <c r="I17">
        <v>2</v>
      </c>
      <c r="J17">
        <v>0</v>
      </c>
      <c r="K17" t="s">
        <v>651</v>
      </c>
      <c r="M17">
        <v>2</v>
      </c>
    </row>
    <row r="18" spans="1:13" ht="14.4" x14ac:dyDescent="0.3">
      <c r="A18">
        <v>70</v>
      </c>
      <c r="B18" t="s">
        <v>137</v>
      </c>
      <c r="C18" t="s">
        <v>361</v>
      </c>
      <c r="D18" t="s">
        <v>365</v>
      </c>
      <c r="E18">
        <v>28</v>
      </c>
      <c r="F18" t="s">
        <v>150</v>
      </c>
      <c r="G18" t="s">
        <v>651</v>
      </c>
      <c r="H18" t="s">
        <v>651</v>
      </c>
      <c r="I18">
        <v>2</v>
      </c>
      <c r="J18">
        <v>0</v>
      </c>
      <c r="K18" t="s">
        <v>651</v>
      </c>
      <c r="M18">
        <v>1</v>
      </c>
    </row>
    <row r="19" spans="1:13" ht="14.4" x14ac:dyDescent="0.3">
      <c r="A19">
        <v>70</v>
      </c>
      <c r="B19" t="s">
        <v>137</v>
      </c>
      <c r="C19" t="s">
        <v>361</v>
      </c>
      <c r="D19" t="s">
        <v>367</v>
      </c>
      <c r="E19">
        <v>35</v>
      </c>
      <c r="F19" t="s">
        <v>150</v>
      </c>
      <c r="G19" t="s">
        <v>651</v>
      </c>
      <c r="H19" t="s">
        <v>651</v>
      </c>
      <c r="I19">
        <v>2</v>
      </c>
      <c r="J19">
        <v>0</v>
      </c>
      <c r="K19" t="s">
        <v>651</v>
      </c>
      <c r="M19">
        <v>1</v>
      </c>
    </row>
    <row r="20" spans="1:13" ht="14.4" x14ac:dyDescent="0.3">
      <c r="A20">
        <v>70</v>
      </c>
      <c r="B20" t="s">
        <v>137</v>
      </c>
      <c r="C20" t="s">
        <v>361</v>
      </c>
      <c r="D20" t="s">
        <v>369</v>
      </c>
      <c r="E20">
        <v>44</v>
      </c>
      <c r="F20" t="s">
        <v>141</v>
      </c>
      <c r="G20" t="s">
        <v>651</v>
      </c>
      <c r="H20" t="s">
        <v>651</v>
      </c>
      <c r="I20">
        <v>2</v>
      </c>
      <c r="J20">
        <v>0</v>
      </c>
      <c r="K20" t="s">
        <v>651</v>
      </c>
      <c r="M20">
        <v>1</v>
      </c>
    </row>
    <row r="21" spans="1:13" ht="15.75" customHeight="1" x14ac:dyDescent="0.3">
      <c r="A21">
        <v>70</v>
      </c>
      <c r="B21" t="s">
        <v>137</v>
      </c>
      <c r="C21" t="s">
        <v>361</v>
      </c>
      <c r="D21" t="s">
        <v>371</v>
      </c>
      <c r="E21">
        <v>52</v>
      </c>
      <c r="F21" t="s">
        <v>141</v>
      </c>
      <c r="G21" t="s">
        <v>651</v>
      </c>
      <c r="H21" t="s">
        <v>651</v>
      </c>
      <c r="I21">
        <v>2</v>
      </c>
      <c r="J21">
        <v>0</v>
      </c>
      <c r="K21" t="s">
        <v>651</v>
      </c>
      <c r="M21">
        <v>1</v>
      </c>
    </row>
    <row r="22" spans="1:13" ht="15.75" customHeight="1" x14ac:dyDescent="0.3">
      <c r="A22">
        <v>70</v>
      </c>
      <c r="B22" t="s">
        <v>137</v>
      </c>
      <c r="C22" t="s">
        <v>457</v>
      </c>
      <c r="D22" t="s">
        <v>459</v>
      </c>
      <c r="E22">
        <v>31</v>
      </c>
      <c r="F22" t="s">
        <v>150</v>
      </c>
      <c r="G22" t="s">
        <v>651</v>
      </c>
      <c r="H22" t="s">
        <v>651</v>
      </c>
      <c r="I22">
        <v>2</v>
      </c>
      <c r="J22">
        <v>0</v>
      </c>
      <c r="K22" t="s">
        <v>651</v>
      </c>
      <c r="M22">
        <v>2</v>
      </c>
    </row>
    <row r="23" spans="1:13" ht="15.75" customHeight="1" x14ac:dyDescent="0.3">
      <c r="A23">
        <v>70</v>
      </c>
      <c r="B23" t="s">
        <v>137</v>
      </c>
      <c r="C23" t="s">
        <v>457</v>
      </c>
      <c r="D23" t="s">
        <v>463</v>
      </c>
      <c r="E23">
        <v>50</v>
      </c>
      <c r="F23" t="s">
        <v>141</v>
      </c>
      <c r="G23" t="s">
        <v>651</v>
      </c>
      <c r="H23" t="s">
        <v>651</v>
      </c>
      <c r="I23">
        <v>2</v>
      </c>
      <c r="J23">
        <v>0</v>
      </c>
      <c r="K23" t="s">
        <v>651</v>
      </c>
      <c r="M23">
        <v>2</v>
      </c>
    </row>
    <row r="24" spans="1:13" ht="15.75" customHeight="1" x14ac:dyDescent="0.3">
      <c r="A24">
        <v>150</v>
      </c>
      <c r="B24" t="s">
        <v>129</v>
      </c>
      <c r="C24" t="s">
        <v>480</v>
      </c>
      <c r="D24" t="s">
        <v>482</v>
      </c>
      <c r="E24">
        <v>30</v>
      </c>
      <c r="F24" t="s">
        <v>141</v>
      </c>
      <c r="G24" t="s">
        <v>651</v>
      </c>
      <c r="H24" t="s">
        <v>651</v>
      </c>
      <c r="I24">
        <v>2</v>
      </c>
      <c r="J24">
        <v>0</v>
      </c>
      <c r="K24" t="s">
        <v>651</v>
      </c>
      <c r="M24">
        <v>13</v>
      </c>
    </row>
    <row r="25" spans="1:13" ht="15.75" customHeight="1" x14ac:dyDescent="0.3">
      <c r="A25">
        <v>150</v>
      </c>
      <c r="B25" t="s">
        <v>129</v>
      </c>
      <c r="C25" t="s">
        <v>480</v>
      </c>
      <c r="D25" t="s">
        <v>482</v>
      </c>
      <c r="E25">
        <v>30</v>
      </c>
      <c r="F25" t="s">
        <v>141</v>
      </c>
      <c r="I25">
        <v>4</v>
      </c>
      <c r="J25">
        <v>0</v>
      </c>
      <c r="K25" t="s">
        <v>651</v>
      </c>
      <c r="M25">
        <v>2</v>
      </c>
    </row>
    <row r="26" spans="1:13" ht="15.75" customHeight="1" x14ac:dyDescent="0.3">
      <c r="A26">
        <v>150</v>
      </c>
      <c r="B26" t="s">
        <v>129</v>
      </c>
      <c r="C26" t="s">
        <v>480</v>
      </c>
      <c r="D26" t="s">
        <v>482</v>
      </c>
      <c r="E26">
        <v>30</v>
      </c>
      <c r="F26" t="s">
        <v>141</v>
      </c>
      <c r="G26" t="s">
        <v>138</v>
      </c>
      <c r="H26" t="s">
        <v>651</v>
      </c>
      <c r="I26">
        <v>2</v>
      </c>
      <c r="J26">
        <v>0</v>
      </c>
      <c r="K26" t="s">
        <v>651</v>
      </c>
      <c r="M26">
        <v>1</v>
      </c>
    </row>
    <row r="27" spans="1:13" ht="15.75" customHeight="1" x14ac:dyDescent="0.3">
      <c r="A27">
        <v>150</v>
      </c>
      <c r="B27" t="s">
        <v>129</v>
      </c>
      <c r="C27" t="s">
        <v>480</v>
      </c>
      <c r="D27" t="s">
        <v>482</v>
      </c>
      <c r="E27">
        <v>30</v>
      </c>
      <c r="F27" t="s">
        <v>135</v>
      </c>
      <c r="G27" t="s">
        <v>651</v>
      </c>
      <c r="H27" t="s">
        <v>651</v>
      </c>
      <c r="I27">
        <v>2</v>
      </c>
      <c r="J27">
        <v>0</v>
      </c>
      <c r="K27" t="s">
        <v>651</v>
      </c>
      <c r="M27">
        <v>1</v>
      </c>
    </row>
    <row r="28" spans="1:13" ht="15.75" customHeight="1" x14ac:dyDescent="0.3">
      <c r="A28">
        <v>150</v>
      </c>
      <c r="B28" t="s">
        <v>129</v>
      </c>
      <c r="C28" t="s">
        <v>480</v>
      </c>
      <c r="D28" t="s">
        <v>482</v>
      </c>
      <c r="E28">
        <v>30</v>
      </c>
      <c r="F28" t="s">
        <v>147</v>
      </c>
      <c r="G28" t="s">
        <v>651</v>
      </c>
      <c r="H28" t="s">
        <v>651</v>
      </c>
      <c r="I28">
        <v>2</v>
      </c>
      <c r="J28">
        <v>0</v>
      </c>
      <c r="K28" t="s">
        <v>651</v>
      </c>
      <c r="M28">
        <v>1</v>
      </c>
    </row>
    <row r="29" spans="1:13" ht="15.75" customHeight="1" x14ac:dyDescent="0.3">
      <c r="A29">
        <v>150</v>
      </c>
      <c r="B29" t="s">
        <v>129</v>
      </c>
      <c r="C29" t="s">
        <v>480</v>
      </c>
      <c r="D29" t="s">
        <v>484</v>
      </c>
      <c r="E29">
        <v>40</v>
      </c>
      <c r="F29" t="s">
        <v>141</v>
      </c>
      <c r="G29" t="s">
        <v>651</v>
      </c>
      <c r="H29" t="s">
        <v>651</v>
      </c>
      <c r="I29">
        <v>2</v>
      </c>
      <c r="J29">
        <v>0</v>
      </c>
      <c r="K29" t="s">
        <v>651</v>
      </c>
      <c r="M29">
        <v>2</v>
      </c>
    </row>
    <row r="30" spans="1:13" ht="15.75" customHeight="1" x14ac:dyDescent="0.3">
      <c r="A30">
        <v>150</v>
      </c>
      <c r="B30" t="s">
        <v>129</v>
      </c>
      <c r="C30" t="s">
        <v>480</v>
      </c>
      <c r="D30" t="s">
        <v>484</v>
      </c>
      <c r="E30">
        <v>40</v>
      </c>
      <c r="F30" t="s">
        <v>141</v>
      </c>
      <c r="G30" t="s">
        <v>147</v>
      </c>
      <c r="H30" t="s">
        <v>651</v>
      </c>
      <c r="I30">
        <v>2</v>
      </c>
      <c r="J30">
        <v>0</v>
      </c>
      <c r="K30" t="s">
        <v>651</v>
      </c>
      <c r="M30">
        <v>1</v>
      </c>
    </row>
    <row r="31" spans="1:13" ht="15.75" customHeight="1" x14ac:dyDescent="0.3">
      <c r="A31">
        <v>150</v>
      </c>
      <c r="B31" t="s">
        <v>129</v>
      </c>
      <c r="C31" t="s">
        <v>480</v>
      </c>
      <c r="D31" t="s">
        <v>484</v>
      </c>
      <c r="E31">
        <v>40</v>
      </c>
      <c r="F31" t="s">
        <v>141</v>
      </c>
      <c r="G31" t="s">
        <v>150</v>
      </c>
      <c r="H31" t="s">
        <v>651</v>
      </c>
      <c r="I31">
        <v>4</v>
      </c>
      <c r="J31">
        <v>0</v>
      </c>
      <c r="K31" t="s">
        <v>651</v>
      </c>
      <c r="M31">
        <v>1</v>
      </c>
    </row>
    <row r="32" spans="1:13" ht="15.75" customHeight="1" x14ac:dyDescent="0.3">
      <c r="A32">
        <v>150</v>
      </c>
      <c r="B32" t="s">
        <v>129</v>
      </c>
      <c r="C32" t="s">
        <v>480</v>
      </c>
      <c r="D32" t="s">
        <v>486</v>
      </c>
      <c r="E32">
        <v>50</v>
      </c>
      <c r="F32" t="s">
        <v>141</v>
      </c>
      <c r="G32" t="s">
        <v>651</v>
      </c>
      <c r="H32" t="s">
        <v>651</v>
      </c>
      <c r="I32">
        <v>2</v>
      </c>
      <c r="J32">
        <v>0</v>
      </c>
      <c r="K32" t="s">
        <v>651</v>
      </c>
      <c r="M32">
        <v>1</v>
      </c>
    </row>
    <row r="33" spans="1:13" ht="15.75" customHeight="1" x14ac:dyDescent="0.3">
      <c r="A33">
        <v>150</v>
      </c>
      <c r="B33" t="s">
        <v>129</v>
      </c>
      <c r="C33" t="s">
        <v>480</v>
      </c>
      <c r="D33" t="s">
        <v>486</v>
      </c>
      <c r="E33">
        <v>50</v>
      </c>
      <c r="F33" t="s">
        <v>141</v>
      </c>
      <c r="G33" t="s">
        <v>147</v>
      </c>
      <c r="H33" t="s">
        <v>651</v>
      </c>
      <c r="I33">
        <v>2</v>
      </c>
      <c r="J33">
        <v>0</v>
      </c>
      <c r="K33" t="s">
        <v>651</v>
      </c>
      <c r="M33">
        <v>1</v>
      </c>
    </row>
    <row r="34" spans="1:13" ht="15.75" customHeight="1" x14ac:dyDescent="0.3">
      <c r="A34">
        <v>150</v>
      </c>
      <c r="B34" t="s">
        <v>129</v>
      </c>
      <c r="C34" t="s">
        <v>361</v>
      </c>
      <c r="D34" t="s">
        <v>365</v>
      </c>
      <c r="E34">
        <v>28</v>
      </c>
      <c r="F34" t="s">
        <v>141</v>
      </c>
      <c r="G34" t="s">
        <v>651</v>
      </c>
      <c r="H34" t="s">
        <v>651</v>
      </c>
      <c r="I34">
        <v>2</v>
      </c>
      <c r="J34">
        <v>0</v>
      </c>
      <c r="K34" t="s">
        <v>651</v>
      </c>
      <c r="M34">
        <v>8</v>
      </c>
    </row>
    <row r="35" spans="1:13" ht="15.75" customHeight="1" x14ac:dyDescent="0.3">
      <c r="A35">
        <v>150</v>
      </c>
      <c r="B35" t="s">
        <v>129</v>
      </c>
      <c r="C35" t="s">
        <v>361</v>
      </c>
      <c r="D35" t="s">
        <v>365</v>
      </c>
      <c r="E35">
        <v>28</v>
      </c>
      <c r="F35" t="s">
        <v>141</v>
      </c>
      <c r="I35">
        <v>4</v>
      </c>
      <c r="J35">
        <v>0</v>
      </c>
      <c r="K35" t="s">
        <v>651</v>
      </c>
      <c r="M35">
        <v>3</v>
      </c>
    </row>
    <row r="36" spans="1:13" ht="15.75" customHeight="1" x14ac:dyDescent="0.3">
      <c r="A36">
        <v>150</v>
      </c>
      <c r="B36" t="s">
        <v>129</v>
      </c>
      <c r="C36" t="s">
        <v>361</v>
      </c>
      <c r="D36" t="s">
        <v>365</v>
      </c>
      <c r="E36">
        <v>28</v>
      </c>
      <c r="F36" t="s">
        <v>147</v>
      </c>
      <c r="G36" t="s">
        <v>651</v>
      </c>
      <c r="H36" t="s">
        <v>651</v>
      </c>
      <c r="I36">
        <v>2</v>
      </c>
      <c r="J36">
        <v>0</v>
      </c>
      <c r="K36" t="s">
        <v>651</v>
      </c>
      <c r="M36">
        <v>1</v>
      </c>
    </row>
    <row r="37" spans="1:13" ht="15.75" customHeight="1" x14ac:dyDescent="0.3">
      <c r="A37">
        <v>150</v>
      </c>
      <c r="B37" t="s">
        <v>129</v>
      </c>
      <c r="C37" t="s">
        <v>361</v>
      </c>
      <c r="D37" t="s">
        <v>367</v>
      </c>
      <c r="E37">
        <v>35</v>
      </c>
      <c r="F37" t="s">
        <v>141</v>
      </c>
      <c r="G37" t="s">
        <v>651</v>
      </c>
      <c r="H37" t="s">
        <v>651</v>
      </c>
      <c r="I37">
        <v>2</v>
      </c>
      <c r="J37">
        <v>0</v>
      </c>
      <c r="K37" t="s">
        <v>651</v>
      </c>
      <c r="M37">
        <v>6</v>
      </c>
    </row>
    <row r="38" spans="1:13" ht="15.75" customHeight="1" x14ac:dyDescent="0.3">
      <c r="A38">
        <v>150</v>
      </c>
      <c r="B38" t="s">
        <v>129</v>
      </c>
      <c r="C38" t="s">
        <v>361</v>
      </c>
      <c r="D38" t="s">
        <v>367</v>
      </c>
      <c r="E38">
        <v>35</v>
      </c>
      <c r="F38" t="s">
        <v>141</v>
      </c>
      <c r="G38" t="s">
        <v>138</v>
      </c>
      <c r="H38" t="s">
        <v>651</v>
      </c>
      <c r="I38">
        <v>2</v>
      </c>
      <c r="J38">
        <v>0</v>
      </c>
      <c r="K38" t="s">
        <v>651</v>
      </c>
      <c r="M38">
        <v>1</v>
      </c>
    </row>
    <row r="39" spans="1:13" ht="15.75" customHeight="1" x14ac:dyDescent="0.3">
      <c r="A39">
        <v>150</v>
      </c>
      <c r="B39" t="s">
        <v>129</v>
      </c>
      <c r="C39" t="s">
        <v>361</v>
      </c>
      <c r="D39" t="s">
        <v>367</v>
      </c>
      <c r="E39">
        <v>35</v>
      </c>
      <c r="F39" t="s">
        <v>135</v>
      </c>
      <c r="G39" t="s">
        <v>651</v>
      </c>
      <c r="H39" t="s">
        <v>651</v>
      </c>
      <c r="I39">
        <v>2</v>
      </c>
      <c r="J39">
        <v>0</v>
      </c>
      <c r="K39" t="s">
        <v>651</v>
      </c>
      <c r="M39">
        <v>1</v>
      </c>
    </row>
    <row r="40" spans="1:13" ht="15.75" customHeight="1" x14ac:dyDescent="0.3">
      <c r="A40">
        <v>150</v>
      </c>
      <c r="B40" t="s">
        <v>129</v>
      </c>
      <c r="C40" t="s">
        <v>361</v>
      </c>
      <c r="D40" t="s">
        <v>369</v>
      </c>
      <c r="E40">
        <v>44</v>
      </c>
      <c r="F40" t="s">
        <v>141</v>
      </c>
      <c r="G40" t="s">
        <v>651</v>
      </c>
      <c r="H40" t="s">
        <v>651</v>
      </c>
      <c r="I40">
        <v>2</v>
      </c>
      <c r="J40">
        <v>0</v>
      </c>
      <c r="K40" t="s">
        <v>651</v>
      </c>
      <c r="M40">
        <v>4</v>
      </c>
    </row>
    <row r="41" spans="1:13" ht="15.75" customHeight="1" x14ac:dyDescent="0.3">
      <c r="A41">
        <v>150</v>
      </c>
      <c r="B41" t="s">
        <v>129</v>
      </c>
      <c r="C41" t="s">
        <v>457</v>
      </c>
      <c r="D41" t="s">
        <v>459</v>
      </c>
      <c r="E41">
        <v>31</v>
      </c>
      <c r="F41" t="s">
        <v>141</v>
      </c>
      <c r="G41" t="s">
        <v>651</v>
      </c>
      <c r="H41" t="s">
        <v>651</v>
      </c>
      <c r="I41">
        <v>2</v>
      </c>
      <c r="J41">
        <v>0</v>
      </c>
      <c r="K41" t="s">
        <v>651</v>
      </c>
      <c r="M41">
        <v>11</v>
      </c>
    </row>
    <row r="42" spans="1:13" ht="15.75" customHeight="1" x14ac:dyDescent="0.3">
      <c r="A42">
        <v>150</v>
      </c>
      <c r="B42" t="s">
        <v>129</v>
      </c>
      <c r="C42" t="s">
        <v>457</v>
      </c>
      <c r="D42" t="s">
        <v>459</v>
      </c>
      <c r="E42">
        <v>31</v>
      </c>
      <c r="F42" t="s">
        <v>141</v>
      </c>
      <c r="I42">
        <v>4</v>
      </c>
      <c r="J42">
        <v>0</v>
      </c>
      <c r="K42" t="s">
        <v>651</v>
      </c>
      <c r="M42">
        <v>1</v>
      </c>
    </row>
    <row r="43" spans="1:13" ht="15.75" customHeight="1" x14ac:dyDescent="0.3">
      <c r="A43">
        <v>150</v>
      </c>
      <c r="B43" t="s">
        <v>129</v>
      </c>
      <c r="C43" t="s">
        <v>457</v>
      </c>
      <c r="D43" t="s">
        <v>459</v>
      </c>
      <c r="E43">
        <v>31</v>
      </c>
      <c r="F43" t="s">
        <v>135</v>
      </c>
      <c r="G43" t="s">
        <v>651</v>
      </c>
      <c r="H43" t="s">
        <v>651</v>
      </c>
      <c r="I43">
        <v>2</v>
      </c>
      <c r="J43">
        <v>0</v>
      </c>
      <c r="K43" t="s">
        <v>651</v>
      </c>
      <c r="M43">
        <v>1</v>
      </c>
    </row>
    <row r="44" spans="1:13" ht="15.75" customHeight="1" x14ac:dyDescent="0.3">
      <c r="A44">
        <v>150</v>
      </c>
      <c r="B44" t="s">
        <v>129</v>
      </c>
      <c r="C44" t="s">
        <v>457</v>
      </c>
      <c r="D44" t="s">
        <v>459</v>
      </c>
      <c r="E44">
        <v>31</v>
      </c>
      <c r="F44" t="s">
        <v>147</v>
      </c>
      <c r="G44" t="s">
        <v>651</v>
      </c>
      <c r="H44" t="s">
        <v>651</v>
      </c>
      <c r="I44">
        <v>2</v>
      </c>
      <c r="J44">
        <v>0</v>
      </c>
      <c r="K44" t="s">
        <v>651</v>
      </c>
      <c r="M44">
        <v>1</v>
      </c>
    </row>
    <row r="45" spans="1:13" ht="15.75" customHeight="1" x14ac:dyDescent="0.3">
      <c r="A45">
        <v>150</v>
      </c>
      <c r="B45" t="s">
        <v>129</v>
      </c>
      <c r="C45" t="s">
        <v>457</v>
      </c>
      <c r="D45" t="s">
        <v>461</v>
      </c>
      <c r="E45">
        <v>39</v>
      </c>
      <c r="F45" t="s">
        <v>141</v>
      </c>
      <c r="G45" t="s">
        <v>651</v>
      </c>
      <c r="H45" t="s">
        <v>651</v>
      </c>
      <c r="I45">
        <v>2</v>
      </c>
      <c r="J45">
        <v>0</v>
      </c>
      <c r="K45" t="s">
        <v>651</v>
      </c>
      <c r="M45">
        <v>3</v>
      </c>
    </row>
    <row r="46" spans="1:13" ht="15.75" customHeight="1" x14ac:dyDescent="0.3">
      <c r="A46">
        <v>150</v>
      </c>
      <c r="B46" t="s">
        <v>129</v>
      </c>
      <c r="C46" t="s">
        <v>457</v>
      </c>
      <c r="D46" t="s">
        <v>461</v>
      </c>
      <c r="E46">
        <v>39</v>
      </c>
      <c r="F46" t="s">
        <v>141</v>
      </c>
      <c r="I46">
        <v>4</v>
      </c>
      <c r="J46">
        <v>0</v>
      </c>
      <c r="K46" t="s">
        <v>651</v>
      </c>
      <c r="M46">
        <v>1</v>
      </c>
    </row>
    <row r="47" spans="1:13" ht="15.75" customHeight="1" x14ac:dyDescent="0.3">
      <c r="A47">
        <v>150</v>
      </c>
      <c r="B47" t="s">
        <v>129</v>
      </c>
      <c r="C47" t="s">
        <v>457</v>
      </c>
      <c r="D47" t="s">
        <v>461</v>
      </c>
      <c r="E47">
        <v>39</v>
      </c>
      <c r="F47" t="s">
        <v>141</v>
      </c>
      <c r="G47" t="s">
        <v>138</v>
      </c>
      <c r="H47" t="s">
        <v>651</v>
      </c>
      <c r="I47">
        <v>2</v>
      </c>
      <c r="J47">
        <v>0</v>
      </c>
      <c r="K47" t="s">
        <v>651</v>
      </c>
      <c r="M47">
        <v>1</v>
      </c>
    </row>
    <row r="48" spans="1:13" ht="15.75" customHeight="1" x14ac:dyDescent="0.3">
      <c r="A48">
        <v>150</v>
      </c>
      <c r="B48" t="s">
        <v>129</v>
      </c>
      <c r="C48" t="s">
        <v>457</v>
      </c>
      <c r="D48" t="s">
        <v>463</v>
      </c>
      <c r="E48">
        <v>50</v>
      </c>
      <c r="F48" t="s">
        <v>141</v>
      </c>
      <c r="G48" t="s">
        <v>147</v>
      </c>
      <c r="H48" t="s">
        <v>651</v>
      </c>
      <c r="I48">
        <v>2</v>
      </c>
      <c r="J48">
        <v>0</v>
      </c>
      <c r="K48" t="s">
        <v>651</v>
      </c>
      <c r="M48">
        <v>1</v>
      </c>
    </row>
    <row r="49" spans="1:13" ht="15.75" customHeight="1" x14ac:dyDescent="0.3">
      <c r="A49">
        <v>150</v>
      </c>
      <c r="B49" t="s">
        <v>129</v>
      </c>
      <c r="C49" t="s">
        <v>457</v>
      </c>
      <c r="D49" t="s">
        <v>463</v>
      </c>
      <c r="E49">
        <v>50</v>
      </c>
      <c r="F49" t="s">
        <v>141</v>
      </c>
      <c r="G49" t="s">
        <v>140</v>
      </c>
      <c r="H49" t="s">
        <v>651</v>
      </c>
      <c r="I49">
        <v>2</v>
      </c>
      <c r="J49">
        <v>0</v>
      </c>
      <c r="K49" t="s">
        <v>651</v>
      </c>
      <c r="M49">
        <v>1</v>
      </c>
    </row>
    <row r="50" spans="1:13" ht="15.75" customHeight="1" x14ac:dyDescent="0.3">
      <c r="A50">
        <v>150</v>
      </c>
      <c r="B50" t="s">
        <v>129</v>
      </c>
      <c r="C50" t="s">
        <v>457</v>
      </c>
      <c r="D50" t="s">
        <v>456</v>
      </c>
      <c r="E50">
        <v>22.5</v>
      </c>
      <c r="F50" t="s">
        <v>141</v>
      </c>
      <c r="G50" t="s">
        <v>651</v>
      </c>
      <c r="H50" t="s">
        <v>651</v>
      </c>
      <c r="I50">
        <v>2</v>
      </c>
      <c r="J50">
        <v>0</v>
      </c>
      <c r="K50" t="s">
        <v>651</v>
      </c>
      <c r="M50">
        <v>2</v>
      </c>
    </row>
    <row r="51" spans="1:13" ht="15.75" customHeight="1" x14ac:dyDescent="0.3">
      <c r="A51">
        <v>150</v>
      </c>
      <c r="B51" t="s">
        <v>129</v>
      </c>
      <c r="C51" t="s">
        <v>457</v>
      </c>
      <c r="D51" t="s">
        <v>456</v>
      </c>
      <c r="E51">
        <v>22.5</v>
      </c>
      <c r="F51" t="s">
        <v>141</v>
      </c>
      <c r="I51">
        <v>4</v>
      </c>
      <c r="J51">
        <v>0</v>
      </c>
      <c r="K51" t="s">
        <v>651</v>
      </c>
      <c r="M51">
        <v>1</v>
      </c>
    </row>
    <row r="52" spans="1:13" ht="15.75" customHeight="1" x14ac:dyDescent="0.3">
      <c r="A52">
        <v>150</v>
      </c>
      <c r="B52" t="s">
        <v>137</v>
      </c>
      <c r="C52" t="s">
        <v>480</v>
      </c>
      <c r="D52" t="s">
        <v>482</v>
      </c>
      <c r="E52">
        <v>30</v>
      </c>
      <c r="F52" t="s">
        <v>141</v>
      </c>
      <c r="G52" t="s">
        <v>651</v>
      </c>
      <c r="H52" t="s">
        <v>651</v>
      </c>
      <c r="I52">
        <v>2</v>
      </c>
      <c r="J52">
        <v>0</v>
      </c>
      <c r="K52" t="s">
        <v>651</v>
      </c>
      <c r="M52">
        <v>2</v>
      </c>
    </row>
    <row r="53" spans="1:13" ht="15.75" customHeight="1" x14ac:dyDescent="0.3">
      <c r="A53">
        <v>150</v>
      </c>
      <c r="B53" t="s">
        <v>137</v>
      </c>
      <c r="C53" t="s">
        <v>480</v>
      </c>
      <c r="D53" t="s">
        <v>484</v>
      </c>
      <c r="E53">
        <v>40</v>
      </c>
      <c r="F53" t="s">
        <v>141</v>
      </c>
      <c r="G53" t="s">
        <v>651</v>
      </c>
      <c r="H53" t="s">
        <v>651</v>
      </c>
      <c r="I53">
        <v>2</v>
      </c>
      <c r="J53">
        <v>0</v>
      </c>
      <c r="K53" t="s">
        <v>651</v>
      </c>
      <c r="M53">
        <v>9</v>
      </c>
    </row>
    <row r="54" spans="1:13" ht="15.75" customHeight="1" x14ac:dyDescent="0.3">
      <c r="A54">
        <v>150</v>
      </c>
      <c r="B54" t="s">
        <v>137</v>
      </c>
      <c r="C54" t="s">
        <v>480</v>
      </c>
      <c r="D54" t="s">
        <v>484</v>
      </c>
      <c r="E54">
        <v>40</v>
      </c>
      <c r="F54" t="s">
        <v>141</v>
      </c>
      <c r="G54" t="s">
        <v>141</v>
      </c>
      <c r="H54" t="s">
        <v>651</v>
      </c>
      <c r="I54">
        <v>2</v>
      </c>
      <c r="J54">
        <v>0</v>
      </c>
      <c r="K54" t="s">
        <v>651</v>
      </c>
      <c r="M54">
        <v>1</v>
      </c>
    </row>
    <row r="55" spans="1:13" ht="15.75" customHeight="1" x14ac:dyDescent="0.3">
      <c r="A55">
        <v>150</v>
      </c>
      <c r="B55" t="s">
        <v>137</v>
      </c>
      <c r="C55" t="s">
        <v>480</v>
      </c>
      <c r="D55" t="s">
        <v>484</v>
      </c>
      <c r="E55">
        <v>40</v>
      </c>
      <c r="F55" t="s">
        <v>138</v>
      </c>
      <c r="G55" t="s">
        <v>651</v>
      </c>
      <c r="H55" t="s">
        <v>651</v>
      </c>
      <c r="I55">
        <v>2</v>
      </c>
      <c r="J55">
        <v>0</v>
      </c>
      <c r="K55" t="s">
        <v>651</v>
      </c>
      <c r="M55">
        <v>1</v>
      </c>
    </row>
    <row r="56" spans="1:13" ht="15.75" customHeight="1" x14ac:dyDescent="0.3">
      <c r="A56">
        <v>150</v>
      </c>
      <c r="B56" t="s">
        <v>137</v>
      </c>
      <c r="C56" t="s">
        <v>480</v>
      </c>
      <c r="D56" t="s">
        <v>486</v>
      </c>
      <c r="E56">
        <v>50</v>
      </c>
      <c r="F56" t="s">
        <v>141</v>
      </c>
      <c r="G56" t="s">
        <v>651</v>
      </c>
      <c r="H56" t="s">
        <v>651</v>
      </c>
      <c r="I56">
        <v>2</v>
      </c>
      <c r="J56">
        <v>0</v>
      </c>
      <c r="K56" t="s">
        <v>651</v>
      </c>
      <c r="M56">
        <v>5</v>
      </c>
    </row>
    <row r="57" spans="1:13" ht="15.75" customHeight="1" x14ac:dyDescent="0.3">
      <c r="A57">
        <v>150</v>
      </c>
      <c r="B57" t="s">
        <v>137</v>
      </c>
      <c r="C57" t="s">
        <v>480</v>
      </c>
      <c r="D57" t="s">
        <v>486</v>
      </c>
      <c r="E57">
        <v>50</v>
      </c>
      <c r="F57" t="s">
        <v>141</v>
      </c>
      <c r="G57" t="s">
        <v>135</v>
      </c>
      <c r="H57" t="s">
        <v>651</v>
      </c>
      <c r="I57">
        <v>2</v>
      </c>
      <c r="J57">
        <v>0</v>
      </c>
      <c r="K57" t="s">
        <v>651</v>
      </c>
      <c r="M57">
        <v>1</v>
      </c>
    </row>
    <row r="58" spans="1:13" ht="15.75" customHeight="1" x14ac:dyDescent="0.3">
      <c r="A58">
        <v>150</v>
      </c>
      <c r="B58" t="s">
        <v>137</v>
      </c>
      <c r="C58" t="s">
        <v>480</v>
      </c>
      <c r="D58" t="s">
        <v>486</v>
      </c>
      <c r="E58">
        <v>50</v>
      </c>
      <c r="F58" t="s">
        <v>141</v>
      </c>
      <c r="G58" t="s">
        <v>147</v>
      </c>
      <c r="H58" t="s">
        <v>651</v>
      </c>
      <c r="I58">
        <v>2</v>
      </c>
      <c r="J58">
        <v>0</v>
      </c>
      <c r="K58" t="s">
        <v>651</v>
      </c>
      <c r="M58">
        <v>1</v>
      </c>
    </row>
    <row r="59" spans="1:13" ht="15.75" customHeight="1" x14ac:dyDescent="0.3">
      <c r="A59">
        <v>150</v>
      </c>
      <c r="B59" t="s">
        <v>137</v>
      </c>
      <c r="C59" t="s">
        <v>480</v>
      </c>
      <c r="D59" t="s">
        <v>496</v>
      </c>
      <c r="E59">
        <v>100</v>
      </c>
      <c r="F59" t="s">
        <v>141</v>
      </c>
      <c r="G59" t="s">
        <v>651</v>
      </c>
      <c r="H59" t="s">
        <v>651</v>
      </c>
      <c r="I59">
        <v>2</v>
      </c>
      <c r="J59">
        <v>0</v>
      </c>
      <c r="K59" t="s">
        <v>651</v>
      </c>
      <c r="M59">
        <v>1</v>
      </c>
    </row>
    <row r="60" spans="1:13" ht="15.75" customHeight="1" x14ac:dyDescent="0.3">
      <c r="A60">
        <v>150</v>
      </c>
      <c r="B60" t="s">
        <v>137</v>
      </c>
      <c r="C60" t="s">
        <v>361</v>
      </c>
      <c r="D60" t="s">
        <v>367</v>
      </c>
      <c r="E60">
        <v>35</v>
      </c>
      <c r="F60" t="s">
        <v>141</v>
      </c>
      <c r="G60" t="s">
        <v>651</v>
      </c>
      <c r="H60" t="s">
        <v>651</v>
      </c>
      <c r="I60">
        <v>2</v>
      </c>
      <c r="J60">
        <v>0</v>
      </c>
      <c r="K60" t="s">
        <v>651</v>
      </c>
      <c r="M60">
        <v>5</v>
      </c>
    </row>
    <row r="61" spans="1:13" ht="15.75" customHeight="1" x14ac:dyDescent="0.3">
      <c r="A61">
        <v>150</v>
      </c>
      <c r="B61" t="s">
        <v>137</v>
      </c>
      <c r="C61" t="s">
        <v>361</v>
      </c>
      <c r="D61" t="s">
        <v>367</v>
      </c>
      <c r="E61">
        <v>35</v>
      </c>
      <c r="F61" t="s">
        <v>138</v>
      </c>
      <c r="G61" t="s">
        <v>651</v>
      </c>
      <c r="H61" t="s">
        <v>651</v>
      </c>
      <c r="I61">
        <v>2</v>
      </c>
      <c r="J61">
        <v>0</v>
      </c>
      <c r="K61" t="s">
        <v>651</v>
      </c>
      <c r="M61">
        <v>1</v>
      </c>
    </row>
    <row r="62" spans="1:13" ht="15.75" customHeight="1" x14ac:dyDescent="0.3">
      <c r="A62">
        <v>150</v>
      </c>
      <c r="B62" t="s">
        <v>137</v>
      </c>
      <c r="C62" t="s">
        <v>361</v>
      </c>
      <c r="D62" t="s">
        <v>369</v>
      </c>
      <c r="E62">
        <v>44</v>
      </c>
      <c r="F62" t="s">
        <v>141</v>
      </c>
      <c r="G62" t="s">
        <v>651</v>
      </c>
      <c r="H62" t="s">
        <v>651</v>
      </c>
      <c r="I62">
        <v>2</v>
      </c>
      <c r="J62">
        <v>0</v>
      </c>
      <c r="K62" t="s">
        <v>651</v>
      </c>
      <c r="M62">
        <v>6</v>
      </c>
    </row>
    <row r="63" spans="1:13" ht="15.75" customHeight="1" x14ac:dyDescent="0.3">
      <c r="A63">
        <v>150</v>
      </c>
      <c r="B63" t="s">
        <v>137</v>
      </c>
      <c r="C63" t="s">
        <v>361</v>
      </c>
      <c r="D63" t="s">
        <v>373</v>
      </c>
      <c r="E63">
        <v>65</v>
      </c>
      <c r="F63" t="s">
        <v>141</v>
      </c>
      <c r="G63" t="s">
        <v>651</v>
      </c>
      <c r="H63" t="s">
        <v>651</v>
      </c>
      <c r="I63">
        <v>2</v>
      </c>
      <c r="J63">
        <v>0</v>
      </c>
      <c r="K63" t="s">
        <v>651</v>
      </c>
      <c r="M63">
        <v>1</v>
      </c>
    </row>
    <row r="64" spans="1:13" ht="15.75" customHeight="1" x14ac:dyDescent="0.3">
      <c r="A64">
        <v>150</v>
      </c>
      <c r="B64" t="s">
        <v>137</v>
      </c>
      <c r="C64" t="s">
        <v>361</v>
      </c>
      <c r="D64" t="s">
        <v>371</v>
      </c>
      <c r="E64">
        <v>52</v>
      </c>
      <c r="F64" t="s">
        <v>141</v>
      </c>
      <c r="G64" t="s">
        <v>651</v>
      </c>
      <c r="H64" t="s">
        <v>651</v>
      </c>
      <c r="I64">
        <v>2</v>
      </c>
      <c r="J64">
        <v>0</v>
      </c>
      <c r="K64" t="s">
        <v>651</v>
      </c>
      <c r="M64">
        <v>8</v>
      </c>
    </row>
    <row r="65" spans="1:13" ht="15.75" customHeight="1" x14ac:dyDescent="0.3">
      <c r="A65">
        <v>150</v>
      </c>
      <c r="B65" t="s">
        <v>137</v>
      </c>
      <c r="C65" t="s">
        <v>457</v>
      </c>
      <c r="D65" t="s">
        <v>459</v>
      </c>
      <c r="E65">
        <v>31</v>
      </c>
      <c r="F65" t="s">
        <v>141</v>
      </c>
      <c r="G65" t="s">
        <v>651</v>
      </c>
      <c r="H65" t="s">
        <v>651</v>
      </c>
      <c r="I65">
        <v>2</v>
      </c>
      <c r="J65">
        <v>0</v>
      </c>
      <c r="K65" t="s">
        <v>651</v>
      </c>
      <c r="M65">
        <v>1</v>
      </c>
    </row>
    <row r="66" spans="1:13" ht="15.75" customHeight="1" x14ac:dyDescent="0.3">
      <c r="A66">
        <v>150</v>
      </c>
      <c r="B66" t="s">
        <v>137</v>
      </c>
      <c r="C66" t="s">
        <v>457</v>
      </c>
      <c r="D66" t="s">
        <v>461</v>
      </c>
      <c r="E66">
        <v>39</v>
      </c>
      <c r="F66" t="s">
        <v>141</v>
      </c>
      <c r="G66" t="s">
        <v>651</v>
      </c>
      <c r="H66" t="s">
        <v>651</v>
      </c>
      <c r="I66">
        <v>2</v>
      </c>
      <c r="J66">
        <v>0</v>
      </c>
      <c r="K66" t="s">
        <v>651</v>
      </c>
      <c r="M66">
        <v>8</v>
      </c>
    </row>
    <row r="67" spans="1:13" ht="15.75" customHeight="1" x14ac:dyDescent="0.3">
      <c r="A67">
        <v>150</v>
      </c>
      <c r="B67" t="s">
        <v>137</v>
      </c>
      <c r="C67" t="s">
        <v>457</v>
      </c>
      <c r="D67" t="s">
        <v>461</v>
      </c>
      <c r="E67">
        <v>39</v>
      </c>
      <c r="F67" t="s">
        <v>141</v>
      </c>
      <c r="H67" t="s">
        <v>304</v>
      </c>
      <c r="I67">
        <v>2</v>
      </c>
      <c r="J67">
        <v>0</v>
      </c>
      <c r="K67">
        <v>1</v>
      </c>
      <c r="M67">
        <v>1</v>
      </c>
    </row>
    <row r="68" spans="1:13" ht="15.75" customHeight="1" x14ac:dyDescent="0.3">
      <c r="A68">
        <v>150</v>
      </c>
      <c r="B68" t="s">
        <v>137</v>
      </c>
      <c r="C68" t="s">
        <v>457</v>
      </c>
      <c r="D68" t="s">
        <v>461</v>
      </c>
      <c r="E68">
        <v>39</v>
      </c>
      <c r="F68" t="s">
        <v>138</v>
      </c>
      <c r="G68" t="s">
        <v>651</v>
      </c>
      <c r="H68" t="s">
        <v>651</v>
      </c>
      <c r="I68">
        <v>2</v>
      </c>
      <c r="J68">
        <v>0</v>
      </c>
      <c r="K68" t="s">
        <v>651</v>
      </c>
      <c r="M68">
        <v>1</v>
      </c>
    </row>
    <row r="69" spans="1:13" ht="15.75" customHeight="1" x14ac:dyDescent="0.3">
      <c r="A69">
        <v>150</v>
      </c>
      <c r="B69" t="s">
        <v>137</v>
      </c>
      <c r="C69" t="s">
        <v>457</v>
      </c>
      <c r="D69" t="s">
        <v>463</v>
      </c>
      <c r="E69">
        <v>50</v>
      </c>
      <c r="F69" t="s">
        <v>141</v>
      </c>
      <c r="G69" t="s">
        <v>651</v>
      </c>
      <c r="H69" t="s">
        <v>651</v>
      </c>
      <c r="I69">
        <v>2</v>
      </c>
      <c r="J69">
        <v>0</v>
      </c>
      <c r="K69" t="s">
        <v>651</v>
      </c>
      <c r="M69">
        <v>9</v>
      </c>
    </row>
    <row r="70" spans="1:13" ht="15.75" customHeight="1" x14ac:dyDescent="0.3">
      <c r="A70">
        <v>150</v>
      </c>
      <c r="B70" t="s">
        <v>137</v>
      </c>
      <c r="C70" t="s">
        <v>457</v>
      </c>
      <c r="D70" t="s">
        <v>463</v>
      </c>
      <c r="E70">
        <v>50</v>
      </c>
      <c r="F70" t="s">
        <v>141</v>
      </c>
      <c r="G70" t="s">
        <v>135</v>
      </c>
      <c r="H70" t="s">
        <v>651</v>
      </c>
      <c r="I70">
        <v>2</v>
      </c>
      <c r="J70">
        <v>0</v>
      </c>
      <c r="K70" t="s">
        <v>651</v>
      </c>
      <c r="M70">
        <v>1</v>
      </c>
    </row>
    <row r="71" spans="1:13" ht="15.75" customHeight="1" x14ac:dyDescent="0.3">
      <c r="A71">
        <v>150</v>
      </c>
      <c r="B71" t="s">
        <v>144</v>
      </c>
      <c r="C71" t="s">
        <v>480</v>
      </c>
      <c r="D71" t="s">
        <v>482</v>
      </c>
      <c r="E71">
        <v>30</v>
      </c>
      <c r="F71" t="s">
        <v>141</v>
      </c>
      <c r="G71" t="s">
        <v>651</v>
      </c>
      <c r="H71" t="s">
        <v>651</v>
      </c>
      <c r="I71">
        <v>2</v>
      </c>
      <c r="J71">
        <v>0</v>
      </c>
      <c r="K71" t="s">
        <v>651</v>
      </c>
      <c r="M71">
        <v>1</v>
      </c>
    </row>
    <row r="72" spans="1:13" ht="15.75" customHeight="1" x14ac:dyDescent="0.3">
      <c r="A72">
        <v>150</v>
      </c>
      <c r="B72" t="s">
        <v>144</v>
      </c>
      <c r="C72" t="s">
        <v>480</v>
      </c>
      <c r="D72" t="s">
        <v>492</v>
      </c>
      <c r="E72">
        <v>80</v>
      </c>
      <c r="F72" t="s">
        <v>141</v>
      </c>
      <c r="G72" t="s">
        <v>651</v>
      </c>
      <c r="H72" t="s">
        <v>651</v>
      </c>
      <c r="I72">
        <v>3</v>
      </c>
      <c r="J72">
        <v>0</v>
      </c>
      <c r="K72" t="s">
        <v>651</v>
      </c>
      <c r="M72">
        <v>1</v>
      </c>
    </row>
    <row r="73" spans="1:13" ht="15.75" customHeight="1" x14ac:dyDescent="0.3">
      <c r="A73">
        <v>150</v>
      </c>
      <c r="B73" t="s">
        <v>144</v>
      </c>
      <c r="C73" t="s">
        <v>480</v>
      </c>
      <c r="D73" t="s">
        <v>494</v>
      </c>
      <c r="E73">
        <v>90</v>
      </c>
      <c r="F73" t="s">
        <v>141</v>
      </c>
      <c r="G73" t="s">
        <v>651</v>
      </c>
      <c r="H73" t="s">
        <v>304</v>
      </c>
      <c r="I73">
        <v>2</v>
      </c>
      <c r="J73">
        <v>0</v>
      </c>
      <c r="K73">
        <v>1</v>
      </c>
      <c r="M73">
        <v>1</v>
      </c>
    </row>
    <row r="74" spans="1:13" ht="15.75" customHeight="1" x14ac:dyDescent="0.3">
      <c r="A74">
        <v>150</v>
      </c>
      <c r="B74" t="s">
        <v>144</v>
      </c>
      <c r="C74" t="s">
        <v>480</v>
      </c>
      <c r="D74" t="s">
        <v>496</v>
      </c>
      <c r="E74">
        <v>100</v>
      </c>
      <c r="F74" t="s">
        <v>141</v>
      </c>
      <c r="G74" t="s">
        <v>651</v>
      </c>
      <c r="H74" t="s">
        <v>651</v>
      </c>
      <c r="I74">
        <v>4</v>
      </c>
      <c r="J74">
        <v>0</v>
      </c>
      <c r="K74" t="s">
        <v>651</v>
      </c>
      <c r="M74">
        <v>1</v>
      </c>
    </row>
    <row r="75" spans="1:13" ht="15.75" customHeight="1" x14ac:dyDescent="0.3">
      <c r="A75">
        <v>150</v>
      </c>
      <c r="B75" t="s">
        <v>144</v>
      </c>
      <c r="C75" t="s">
        <v>480</v>
      </c>
      <c r="D75" t="s">
        <v>496</v>
      </c>
      <c r="E75">
        <v>100</v>
      </c>
      <c r="F75" t="s">
        <v>141</v>
      </c>
      <c r="G75" t="s">
        <v>138</v>
      </c>
      <c r="H75" t="s">
        <v>317</v>
      </c>
      <c r="I75">
        <v>2</v>
      </c>
      <c r="J75">
        <v>0</v>
      </c>
      <c r="K75" t="s">
        <v>651</v>
      </c>
      <c r="L75">
        <v>2</v>
      </c>
      <c r="M75">
        <v>1</v>
      </c>
    </row>
    <row r="76" spans="1:13" ht="15.75" customHeight="1" x14ac:dyDescent="0.3">
      <c r="A76">
        <v>150</v>
      </c>
      <c r="B76" t="s">
        <v>144</v>
      </c>
      <c r="C76" t="s">
        <v>361</v>
      </c>
      <c r="D76" t="s">
        <v>367</v>
      </c>
      <c r="E76">
        <v>35</v>
      </c>
      <c r="F76" t="s">
        <v>141</v>
      </c>
      <c r="G76" t="s">
        <v>651</v>
      </c>
      <c r="H76" t="s">
        <v>651</v>
      </c>
      <c r="I76">
        <v>2</v>
      </c>
      <c r="J76">
        <v>0</v>
      </c>
      <c r="K76" t="s">
        <v>651</v>
      </c>
      <c r="M76">
        <v>1</v>
      </c>
    </row>
    <row r="77" spans="1:13" ht="15.75" customHeight="1" x14ac:dyDescent="0.3">
      <c r="A77">
        <v>150</v>
      </c>
      <c r="B77" t="s">
        <v>144</v>
      </c>
      <c r="C77" t="s">
        <v>361</v>
      </c>
      <c r="D77" t="s">
        <v>381</v>
      </c>
      <c r="E77">
        <v>120</v>
      </c>
      <c r="F77" t="s">
        <v>141</v>
      </c>
      <c r="G77" t="s">
        <v>651</v>
      </c>
      <c r="H77" t="s">
        <v>651</v>
      </c>
      <c r="I77">
        <v>4</v>
      </c>
      <c r="J77">
        <v>0</v>
      </c>
      <c r="K77" t="s">
        <v>651</v>
      </c>
      <c r="M77">
        <v>1</v>
      </c>
    </row>
    <row r="78" spans="1:13" ht="15.75" customHeight="1" x14ac:dyDescent="0.3">
      <c r="A78">
        <v>150</v>
      </c>
      <c r="B78" t="s">
        <v>144</v>
      </c>
      <c r="C78" t="s">
        <v>361</v>
      </c>
      <c r="D78" t="s">
        <v>379</v>
      </c>
      <c r="E78">
        <v>100</v>
      </c>
      <c r="F78" t="s">
        <v>141</v>
      </c>
      <c r="G78" t="s">
        <v>651</v>
      </c>
      <c r="H78" t="s">
        <v>304</v>
      </c>
      <c r="I78">
        <v>2</v>
      </c>
      <c r="J78">
        <v>0</v>
      </c>
      <c r="K78">
        <v>1</v>
      </c>
      <c r="M78">
        <v>1</v>
      </c>
    </row>
    <row r="79" spans="1:13" ht="15.75" customHeight="1" x14ac:dyDescent="0.3">
      <c r="A79">
        <v>150</v>
      </c>
      <c r="B79" t="s">
        <v>144</v>
      </c>
      <c r="C79" t="s">
        <v>361</v>
      </c>
      <c r="D79" t="s">
        <v>387</v>
      </c>
      <c r="E79">
        <v>170</v>
      </c>
      <c r="F79" t="s">
        <v>141</v>
      </c>
      <c r="G79" t="s">
        <v>651</v>
      </c>
      <c r="H79" t="s">
        <v>651</v>
      </c>
      <c r="I79">
        <v>2</v>
      </c>
      <c r="J79">
        <v>0</v>
      </c>
      <c r="K79" t="s">
        <v>651</v>
      </c>
      <c r="M79">
        <v>1</v>
      </c>
    </row>
    <row r="80" spans="1:13" ht="15.75" customHeight="1" x14ac:dyDescent="0.3">
      <c r="A80">
        <v>150</v>
      </c>
      <c r="B80" t="s">
        <v>144</v>
      </c>
      <c r="C80" t="s">
        <v>361</v>
      </c>
      <c r="D80" t="s">
        <v>377</v>
      </c>
      <c r="E80">
        <v>85</v>
      </c>
      <c r="F80" t="s">
        <v>141</v>
      </c>
      <c r="G80" t="s">
        <v>651</v>
      </c>
      <c r="H80" t="s">
        <v>651</v>
      </c>
      <c r="I80">
        <v>3</v>
      </c>
      <c r="J80">
        <v>0</v>
      </c>
      <c r="K80" t="s">
        <v>651</v>
      </c>
      <c r="M80">
        <v>1</v>
      </c>
    </row>
    <row r="81" spans="1:13" ht="15.75" customHeight="1" x14ac:dyDescent="0.3">
      <c r="A81">
        <v>150</v>
      </c>
      <c r="B81" t="s">
        <v>144</v>
      </c>
      <c r="C81" t="s">
        <v>457</v>
      </c>
      <c r="D81" t="s">
        <v>459</v>
      </c>
      <c r="E81">
        <v>31</v>
      </c>
      <c r="F81" t="s">
        <v>141</v>
      </c>
      <c r="G81" t="s">
        <v>651</v>
      </c>
      <c r="H81" t="s">
        <v>651</v>
      </c>
      <c r="I81">
        <v>2</v>
      </c>
      <c r="J81">
        <v>0</v>
      </c>
      <c r="K81" t="s">
        <v>651</v>
      </c>
      <c r="M81">
        <v>1</v>
      </c>
    </row>
    <row r="82" spans="1:13" ht="15.75" customHeight="1" x14ac:dyDescent="0.3">
      <c r="A82">
        <v>150</v>
      </c>
      <c r="B82" t="s">
        <v>144</v>
      </c>
      <c r="C82" t="s">
        <v>457</v>
      </c>
      <c r="D82" t="s">
        <v>467</v>
      </c>
      <c r="E82">
        <v>70</v>
      </c>
      <c r="F82" t="s">
        <v>141</v>
      </c>
      <c r="G82" t="s">
        <v>651</v>
      </c>
      <c r="H82" t="s">
        <v>651</v>
      </c>
      <c r="I82">
        <v>3</v>
      </c>
      <c r="J82">
        <v>0</v>
      </c>
      <c r="K82" t="s">
        <v>651</v>
      </c>
      <c r="M82">
        <v>1</v>
      </c>
    </row>
    <row r="83" spans="1:13" ht="15.75" customHeight="1" x14ac:dyDescent="0.3">
      <c r="A83">
        <v>150</v>
      </c>
      <c r="B83" t="s">
        <v>144</v>
      </c>
      <c r="C83" t="s">
        <v>457</v>
      </c>
      <c r="D83" t="s">
        <v>467</v>
      </c>
      <c r="E83">
        <v>70</v>
      </c>
      <c r="F83" t="s">
        <v>141</v>
      </c>
      <c r="H83" t="s">
        <v>304</v>
      </c>
      <c r="I83">
        <v>2</v>
      </c>
      <c r="J83">
        <v>0</v>
      </c>
      <c r="K83">
        <v>1</v>
      </c>
      <c r="M83">
        <v>1</v>
      </c>
    </row>
    <row r="84" spans="1:13" ht="15.75" customHeight="1" x14ac:dyDescent="0.3">
      <c r="A84">
        <v>150</v>
      </c>
      <c r="B84" t="s">
        <v>144</v>
      </c>
      <c r="C84" t="s">
        <v>457</v>
      </c>
      <c r="D84" t="s">
        <v>475</v>
      </c>
      <c r="E84">
        <v>137</v>
      </c>
      <c r="F84" t="s">
        <v>141</v>
      </c>
      <c r="G84" t="s">
        <v>138</v>
      </c>
      <c r="H84" t="s">
        <v>651</v>
      </c>
      <c r="I84">
        <v>2</v>
      </c>
      <c r="J84">
        <v>0</v>
      </c>
      <c r="K84" t="s">
        <v>651</v>
      </c>
      <c r="M84">
        <v>1</v>
      </c>
    </row>
    <row r="85" spans="1:13" ht="15.75" customHeight="1" x14ac:dyDescent="0.3">
      <c r="A85">
        <v>150</v>
      </c>
      <c r="B85" t="s">
        <v>144</v>
      </c>
      <c r="C85" t="s">
        <v>457</v>
      </c>
      <c r="D85" t="s">
        <v>469</v>
      </c>
      <c r="E85">
        <v>79</v>
      </c>
      <c r="F85" t="s">
        <v>141</v>
      </c>
      <c r="G85" t="s">
        <v>651</v>
      </c>
      <c r="H85" t="s">
        <v>651</v>
      </c>
      <c r="I85">
        <v>4</v>
      </c>
      <c r="J85">
        <v>0</v>
      </c>
      <c r="K85" t="s">
        <v>651</v>
      </c>
      <c r="M85">
        <v>1</v>
      </c>
    </row>
    <row r="86" spans="1:13" ht="15.75" customHeight="1" x14ac:dyDescent="0.3">
      <c r="A86">
        <v>150</v>
      </c>
      <c r="B86" t="s">
        <v>149</v>
      </c>
      <c r="C86" t="s">
        <v>480</v>
      </c>
      <c r="D86" t="s">
        <v>482</v>
      </c>
      <c r="E86">
        <v>30</v>
      </c>
      <c r="F86" t="s">
        <v>141</v>
      </c>
      <c r="G86" t="s">
        <v>651</v>
      </c>
      <c r="H86" t="s">
        <v>651</v>
      </c>
      <c r="I86">
        <v>4</v>
      </c>
      <c r="J86">
        <v>0</v>
      </c>
      <c r="K86" t="s">
        <v>651</v>
      </c>
      <c r="M86">
        <v>1</v>
      </c>
    </row>
    <row r="87" spans="1:13" ht="15.75" customHeight="1" x14ac:dyDescent="0.3">
      <c r="A87">
        <v>150</v>
      </c>
      <c r="B87" t="s">
        <v>149</v>
      </c>
      <c r="C87" t="s">
        <v>480</v>
      </c>
      <c r="D87" t="s">
        <v>482</v>
      </c>
      <c r="E87">
        <v>30</v>
      </c>
      <c r="F87" t="s">
        <v>135</v>
      </c>
      <c r="G87" t="s">
        <v>651</v>
      </c>
      <c r="H87" t="s">
        <v>651</v>
      </c>
      <c r="I87">
        <v>4</v>
      </c>
      <c r="J87">
        <v>0</v>
      </c>
      <c r="K87" t="s">
        <v>651</v>
      </c>
      <c r="M87">
        <v>1</v>
      </c>
    </row>
    <row r="88" spans="1:13" ht="15.75" customHeight="1" x14ac:dyDescent="0.3">
      <c r="A88">
        <v>150</v>
      </c>
      <c r="B88" t="s">
        <v>149</v>
      </c>
      <c r="C88" t="s">
        <v>480</v>
      </c>
      <c r="D88" t="s">
        <v>488</v>
      </c>
      <c r="E88">
        <v>60</v>
      </c>
      <c r="F88" t="s">
        <v>141</v>
      </c>
      <c r="G88" t="s">
        <v>651</v>
      </c>
      <c r="H88" t="s">
        <v>651</v>
      </c>
      <c r="I88">
        <v>4</v>
      </c>
      <c r="J88">
        <v>0</v>
      </c>
      <c r="K88" t="s">
        <v>651</v>
      </c>
      <c r="M88">
        <v>2</v>
      </c>
    </row>
    <row r="89" spans="1:13" ht="15.75" customHeight="1" x14ac:dyDescent="0.3">
      <c r="A89">
        <v>150</v>
      </c>
      <c r="B89" t="s">
        <v>149</v>
      </c>
      <c r="C89" t="s">
        <v>480</v>
      </c>
      <c r="D89" t="s">
        <v>486</v>
      </c>
      <c r="E89">
        <v>50</v>
      </c>
      <c r="F89" t="s">
        <v>141</v>
      </c>
      <c r="G89" t="s">
        <v>651</v>
      </c>
      <c r="H89" t="s">
        <v>651</v>
      </c>
      <c r="I89">
        <v>4</v>
      </c>
      <c r="J89">
        <v>0</v>
      </c>
      <c r="K89" t="s">
        <v>651</v>
      </c>
      <c r="M89">
        <v>1</v>
      </c>
    </row>
    <row r="90" spans="1:13" ht="15.75" customHeight="1" x14ac:dyDescent="0.3">
      <c r="A90">
        <v>150</v>
      </c>
      <c r="B90" t="s">
        <v>149</v>
      </c>
      <c r="C90" t="s">
        <v>480</v>
      </c>
      <c r="D90" t="s">
        <v>492</v>
      </c>
      <c r="E90">
        <v>80</v>
      </c>
      <c r="F90" t="s">
        <v>141</v>
      </c>
      <c r="G90" t="s">
        <v>651</v>
      </c>
      <c r="H90" t="s">
        <v>651</v>
      </c>
      <c r="I90">
        <v>4</v>
      </c>
      <c r="J90">
        <v>0</v>
      </c>
      <c r="K90" t="s">
        <v>651</v>
      </c>
      <c r="M90">
        <v>1</v>
      </c>
    </row>
    <row r="91" spans="1:13" ht="15.75" customHeight="1" x14ac:dyDescent="0.3">
      <c r="A91">
        <v>150</v>
      </c>
      <c r="B91" t="s">
        <v>149</v>
      </c>
      <c r="C91" t="s">
        <v>480</v>
      </c>
      <c r="D91" t="s">
        <v>492</v>
      </c>
      <c r="E91">
        <v>80</v>
      </c>
      <c r="F91" t="s">
        <v>147</v>
      </c>
      <c r="G91" t="s">
        <v>147</v>
      </c>
      <c r="H91" t="s">
        <v>651</v>
      </c>
      <c r="I91">
        <v>4</v>
      </c>
      <c r="J91">
        <v>0</v>
      </c>
      <c r="K91" t="s">
        <v>651</v>
      </c>
      <c r="M91">
        <v>1</v>
      </c>
    </row>
    <row r="92" spans="1:13" ht="15.75" customHeight="1" x14ac:dyDescent="0.3">
      <c r="A92">
        <v>150</v>
      </c>
      <c r="B92" t="s">
        <v>149</v>
      </c>
      <c r="C92" t="s">
        <v>480</v>
      </c>
      <c r="D92" t="s">
        <v>496</v>
      </c>
      <c r="E92">
        <v>100</v>
      </c>
      <c r="F92" t="s">
        <v>141</v>
      </c>
      <c r="G92" t="s">
        <v>651</v>
      </c>
      <c r="H92" t="s">
        <v>651</v>
      </c>
      <c r="I92">
        <v>0</v>
      </c>
      <c r="J92">
        <v>0</v>
      </c>
      <c r="K92" t="s">
        <v>651</v>
      </c>
      <c r="M92">
        <v>1</v>
      </c>
    </row>
    <row r="93" spans="1:13" ht="15.75" customHeight="1" x14ac:dyDescent="0.3">
      <c r="A93">
        <v>150</v>
      </c>
      <c r="B93" t="s">
        <v>149</v>
      </c>
      <c r="C93" t="s">
        <v>361</v>
      </c>
      <c r="D93" t="s">
        <v>365</v>
      </c>
      <c r="E93">
        <v>28</v>
      </c>
      <c r="F93" t="s">
        <v>141</v>
      </c>
      <c r="G93" t="s">
        <v>651</v>
      </c>
      <c r="H93" t="s">
        <v>651</v>
      </c>
      <c r="I93">
        <v>4</v>
      </c>
      <c r="J93">
        <v>0</v>
      </c>
      <c r="K93" t="s">
        <v>651</v>
      </c>
      <c r="M93">
        <v>1</v>
      </c>
    </row>
    <row r="94" spans="1:13" ht="15.75" customHeight="1" x14ac:dyDescent="0.3">
      <c r="A94">
        <v>150</v>
      </c>
      <c r="B94" t="s">
        <v>149</v>
      </c>
      <c r="C94" t="s">
        <v>361</v>
      </c>
      <c r="D94" t="s">
        <v>373</v>
      </c>
      <c r="E94">
        <v>65</v>
      </c>
      <c r="F94" t="s">
        <v>141</v>
      </c>
      <c r="G94" t="s">
        <v>651</v>
      </c>
      <c r="H94" t="s">
        <v>651</v>
      </c>
      <c r="I94">
        <v>4</v>
      </c>
      <c r="J94">
        <v>0</v>
      </c>
      <c r="K94" t="s">
        <v>651</v>
      </c>
      <c r="M94">
        <v>3</v>
      </c>
    </row>
    <row r="95" spans="1:13" ht="15.75" customHeight="1" x14ac:dyDescent="0.3">
      <c r="A95">
        <v>150</v>
      </c>
      <c r="B95" t="s">
        <v>149</v>
      </c>
      <c r="C95" t="s">
        <v>361</v>
      </c>
      <c r="D95" t="s">
        <v>359</v>
      </c>
      <c r="E95">
        <v>17</v>
      </c>
      <c r="F95" t="s">
        <v>135</v>
      </c>
      <c r="G95" t="s">
        <v>651</v>
      </c>
      <c r="H95" t="s">
        <v>651</v>
      </c>
      <c r="I95">
        <v>4</v>
      </c>
      <c r="J95">
        <v>0</v>
      </c>
      <c r="K95" t="s">
        <v>651</v>
      </c>
      <c r="M95">
        <v>1</v>
      </c>
    </row>
    <row r="96" spans="1:13" ht="15.75" customHeight="1" x14ac:dyDescent="0.3">
      <c r="A96">
        <v>150</v>
      </c>
      <c r="B96" t="s">
        <v>149</v>
      </c>
      <c r="C96" t="s">
        <v>361</v>
      </c>
      <c r="D96" t="s">
        <v>379</v>
      </c>
      <c r="E96">
        <v>100</v>
      </c>
      <c r="F96" t="s">
        <v>141</v>
      </c>
      <c r="G96" t="s">
        <v>140</v>
      </c>
      <c r="H96" t="s">
        <v>651</v>
      </c>
      <c r="I96">
        <v>0</v>
      </c>
      <c r="J96">
        <v>0</v>
      </c>
      <c r="K96" t="s">
        <v>651</v>
      </c>
      <c r="M96">
        <v>1</v>
      </c>
    </row>
    <row r="97" spans="1:13" ht="15.75" customHeight="1" x14ac:dyDescent="0.3">
      <c r="A97">
        <v>150</v>
      </c>
      <c r="B97" t="s">
        <v>149</v>
      </c>
      <c r="C97" t="s">
        <v>361</v>
      </c>
      <c r="D97" t="s">
        <v>377</v>
      </c>
      <c r="E97">
        <v>85</v>
      </c>
      <c r="F97" t="s">
        <v>141</v>
      </c>
      <c r="G97" t="s">
        <v>651</v>
      </c>
      <c r="H97" t="s">
        <v>651</v>
      </c>
      <c r="I97">
        <v>4</v>
      </c>
      <c r="J97">
        <v>0</v>
      </c>
      <c r="K97" t="s">
        <v>651</v>
      </c>
      <c r="M97">
        <v>1</v>
      </c>
    </row>
    <row r="98" spans="1:13" ht="15.75" customHeight="1" x14ac:dyDescent="0.3">
      <c r="A98">
        <v>150</v>
      </c>
      <c r="B98" t="s">
        <v>149</v>
      </c>
      <c r="C98" t="s">
        <v>361</v>
      </c>
      <c r="D98" t="s">
        <v>377</v>
      </c>
      <c r="E98">
        <v>85</v>
      </c>
      <c r="F98" t="s">
        <v>147</v>
      </c>
      <c r="G98" t="s">
        <v>140</v>
      </c>
      <c r="H98" t="s">
        <v>651</v>
      </c>
      <c r="I98">
        <v>4</v>
      </c>
      <c r="J98">
        <v>0</v>
      </c>
      <c r="K98" t="s">
        <v>651</v>
      </c>
      <c r="M98">
        <v>1</v>
      </c>
    </row>
    <row r="99" spans="1:13" ht="15.75" customHeight="1" x14ac:dyDescent="0.3">
      <c r="A99">
        <v>150</v>
      </c>
      <c r="B99" t="s">
        <v>149</v>
      </c>
      <c r="C99" t="s">
        <v>457</v>
      </c>
      <c r="D99" t="s">
        <v>459</v>
      </c>
      <c r="E99">
        <v>31</v>
      </c>
      <c r="F99" t="s">
        <v>141</v>
      </c>
      <c r="G99" t="s">
        <v>651</v>
      </c>
      <c r="H99" t="s">
        <v>651</v>
      </c>
      <c r="I99">
        <v>4</v>
      </c>
      <c r="J99">
        <v>0</v>
      </c>
      <c r="K99" t="s">
        <v>651</v>
      </c>
      <c r="M99">
        <v>1</v>
      </c>
    </row>
    <row r="100" spans="1:13" ht="15.75" customHeight="1" x14ac:dyDescent="0.3">
      <c r="A100">
        <v>150</v>
      </c>
      <c r="B100" t="s">
        <v>149</v>
      </c>
      <c r="C100" t="s">
        <v>457</v>
      </c>
      <c r="D100" t="s">
        <v>463</v>
      </c>
      <c r="E100">
        <v>50</v>
      </c>
      <c r="F100" t="s">
        <v>141</v>
      </c>
      <c r="G100" t="s">
        <v>651</v>
      </c>
      <c r="H100" t="s">
        <v>651</v>
      </c>
      <c r="I100">
        <v>4</v>
      </c>
      <c r="J100">
        <v>0</v>
      </c>
      <c r="K100" t="s">
        <v>651</v>
      </c>
      <c r="M100">
        <v>1</v>
      </c>
    </row>
    <row r="101" spans="1:13" ht="15.75" customHeight="1" x14ac:dyDescent="0.3">
      <c r="A101">
        <v>150</v>
      </c>
      <c r="B101" t="s">
        <v>149</v>
      </c>
      <c r="C101" t="s">
        <v>457</v>
      </c>
      <c r="D101" t="s">
        <v>456</v>
      </c>
      <c r="E101">
        <v>22.5</v>
      </c>
      <c r="F101" t="s">
        <v>135</v>
      </c>
      <c r="G101" t="s">
        <v>651</v>
      </c>
      <c r="H101" t="s">
        <v>651</v>
      </c>
      <c r="I101">
        <v>4</v>
      </c>
      <c r="J101">
        <v>0</v>
      </c>
      <c r="K101" t="s">
        <v>651</v>
      </c>
      <c r="M101">
        <v>1</v>
      </c>
    </row>
    <row r="102" spans="1:13" ht="15.75" customHeight="1" x14ac:dyDescent="0.3">
      <c r="A102">
        <v>150</v>
      </c>
      <c r="B102" t="s">
        <v>149</v>
      </c>
      <c r="C102" t="s">
        <v>457</v>
      </c>
      <c r="D102" t="s">
        <v>467</v>
      </c>
      <c r="E102">
        <v>70</v>
      </c>
      <c r="F102" t="s">
        <v>141</v>
      </c>
      <c r="G102" t="s">
        <v>651</v>
      </c>
      <c r="H102" t="s">
        <v>651</v>
      </c>
      <c r="I102">
        <v>4</v>
      </c>
      <c r="J102">
        <v>0</v>
      </c>
      <c r="K102" t="s">
        <v>651</v>
      </c>
      <c r="M102">
        <v>1</v>
      </c>
    </row>
    <row r="103" spans="1:13" ht="15.75" customHeight="1" x14ac:dyDescent="0.3">
      <c r="A103">
        <v>150</v>
      </c>
      <c r="B103" t="s">
        <v>149</v>
      </c>
      <c r="C103" t="s">
        <v>457</v>
      </c>
      <c r="D103" t="s">
        <v>465</v>
      </c>
      <c r="E103">
        <v>60</v>
      </c>
      <c r="F103" t="s">
        <v>141</v>
      </c>
      <c r="G103" t="s">
        <v>651</v>
      </c>
      <c r="H103" t="s">
        <v>651</v>
      </c>
      <c r="I103">
        <v>4</v>
      </c>
      <c r="J103">
        <v>0</v>
      </c>
      <c r="K103" t="s">
        <v>651</v>
      </c>
      <c r="M103">
        <v>2</v>
      </c>
    </row>
    <row r="104" spans="1:13" ht="15.75" customHeight="1" x14ac:dyDescent="0.3">
      <c r="A104">
        <v>150</v>
      </c>
      <c r="B104" t="s">
        <v>149</v>
      </c>
      <c r="C104" t="s">
        <v>457</v>
      </c>
      <c r="D104" t="s">
        <v>471</v>
      </c>
      <c r="E104">
        <v>90</v>
      </c>
      <c r="F104" t="s">
        <v>141</v>
      </c>
      <c r="G104" t="s">
        <v>651</v>
      </c>
      <c r="H104" t="s">
        <v>651</v>
      </c>
      <c r="I104">
        <v>0</v>
      </c>
      <c r="J104">
        <v>0</v>
      </c>
      <c r="K104" t="s">
        <v>651</v>
      </c>
      <c r="M104">
        <v>1</v>
      </c>
    </row>
    <row r="105" spans="1:13" ht="15.75" customHeight="1" x14ac:dyDescent="0.3">
      <c r="A105">
        <v>150</v>
      </c>
      <c r="B105" t="s">
        <v>149</v>
      </c>
      <c r="C105" t="s">
        <v>457</v>
      </c>
      <c r="D105" t="s">
        <v>469</v>
      </c>
      <c r="E105">
        <v>79</v>
      </c>
      <c r="F105" t="s">
        <v>147</v>
      </c>
      <c r="G105" t="s">
        <v>135</v>
      </c>
      <c r="H105" t="s">
        <v>651</v>
      </c>
      <c r="I105">
        <v>4</v>
      </c>
      <c r="J105">
        <v>0</v>
      </c>
      <c r="K105" t="s">
        <v>651</v>
      </c>
      <c r="M105">
        <v>1</v>
      </c>
    </row>
    <row r="106" spans="1:13" ht="15.75" customHeight="1" x14ac:dyDescent="0.3">
      <c r="A106">
        <v>250</v>
      </c>
      <c r="B106" t="s">
        <v>129</v>
      </c>
      <c r="C106" t="s">
        <v>480</v>
      </c>
      <c r="D106" t="s">
        <v>482</v>
      </c>
      <c r="E106">
        <v>30</v>
      </c>
      <c r="F106" t="s">
        <v>141</v>
      </c>
      <c r="G106" t="s">
        <v>651</v>
      </c>
      <c r="H106" t="s">
        <v>651</v>
      </c>
      <c r="I106">
        <v>2</v>
      </c>
      <c r="J106">
        <v>0</v>
      </c>
      <c r="K106" t="s">
        <v>651</v>
      </c>
      <c r="M106">
        <v>1</v>
      </c>
    </row>
    <row r="107" spans="1:13" ht="15.75" customHeight="1" x14ac:dyDescent="0.3">
      <c r="A107">
        <v>250</v>
      </c>
      <c r="B107" t="s">
        <v>129</v>
      </c>
      <c r="C107" t="s">
        <v>480</v>
      </c>
      <c r="D107" t="s">
        <v>482</v>
      </c>
      <c r="E107">
        <v>30</v>
      </c>
      <c r="F107" t="s">
        <v>141</v>
      </c>
      <c r="I107">
        <v>4</v>
      </c>
      <c r="J107">
        <v>0</v>
      </c>
      <c r="K107" t="s">
        <v>651</v>
      </c>
      <c r="M107">
        <v>2</v>
      </c>
    </row>
    <row r="108" spans="1:13" ht="15.75" customHeight="1" x14ac:dyDescent="0.3">
      <c r="A108">
        <v>250</v>
      </c>
      <c r="B108" t="s">
        <v>129</v>
      </c>
      <c r="C108" t="s">
        <v>480</v>
      </c>
      <c r="D108" t="s">
        <v>484</v>
      </c>
      <c r="E108">
        <v>40</v>
      </c>
      <c r="F108" t="s">
        <v>141</v>
      </c>
      <c r="G108" t="s">
        <v>651</v>
      </c>
      <c r="H108" t="s">
        <v>651</v>
      </c>
      <c r="I108">
        <v>4</v>
      </c>
      <c r="J108">
        <v>0</v>
      </c>
      <c r="K108" t="s">
        <v>651</v>
      </c>
      <c r="M108">
        <v>1</v>
      </c>
    </row>
    <row r="109" spans="1:13" ht="15.75" customHeight="1" x14ac:dyDescent="0.3">
      <c r="A109">
        <v>250</v>
      </c>
      <c r="B109" t="s">
        <v>129</v>
      </c>
      <c r="C109" t="s">
        <v>361</v>
      </c>
      <c r="D109" t="s">
        <v>365</v>
      </c>
      <c r="E109">
        <v>28</v>
      </c>
      <c r="F109" t="s">
        <v>141</v>
      </c>
      <c r="G109" t="s">
        <v>651</v>
      </c>
      <c r="H109" t="s">
        <v>651</v>
      </c>
      <c r="I109">
        <v>2</v>
      </c>
      <c r="J109">
        <v>0</v>
      </c>
      <c r="K109" t="s">
        <v>651</v>
      </c>
      <c r="M109">
        <v>1</v>
      </c>
    </row>
    <row r="110" spans="1:13" ht="15.75" customHeight="1" x14ac:dyDescent="0.3">
      <c r="A110">
        <v>250</v>
      </c>
      <c r="B110" t="s">
        <v>129</v>
      </c>
      <c r="C110" t="s">
        <v>361</v>
      </c>
      <c r="D110" t="s">
        <v>365</v>
      </c>
      <c r="E110">
        <v>28</v>
      </c>
      <c r="F110" t="s">
        <v>141</v>
      </c>
      <c r="I110">
        <v>4</v>
      </c>
      <c r="J110">
        <v>0</v>
      </c>
      <c r="K110" t="s">
        <v>651</v>
      </c>
      <c r="M110">
        <v>2</v>
      </c>
    </row>
    <row r="111" spans="1:13" ht="15.75" customHeight="1" x14ac:dyDescent="0.3">
      <c r="A111">
        <v>250</v>
      </c>
      <c r="B111" t="s">
        <v>129</v>
      </c>
      <c r="C111" t="s">
        <v>361</v>
      </c>
      <c r="D111" t="s">
        <v>367</v>
      </c>
      <c r="E111">
        <v>35</v>
      </c>
      <c r="F111" t="s">
        <v>141</v>
      </c>
      <c r="G111" t="s">
        <v>651</v>
      </c>
      <c r="H111" t="s">
        <v>651</v>
      </c>
      <c r="I111">
        <v>4</v>
      </c>
      <c r="J111">
        <v>0</v>
      </c>
      <c r="K111" t="s">
        <v>651</v>
      </c>
      <c r="M111">
        <v>1</v>
      </c>
    </row>
    <row r="112" spans="1:13" ht="15.75" customHeight="1" x14ac:dyDescent="0.3">
      <c r="A112">
        <v>250</v>
      </c>
      <c r="B112" t="s">
        <v>129</v>
      </c>
      <c r="C112" t="s">
        <v>457</v>
      </c>
      <c r="D112" t="s">
        <v>459</v>
      </c>
      <c r="E112">
        <v>31</v>
      </c>
      <c r="F112" t="s">
        <v>141</v>
      </c>
      <c r="G112" t="s">
        <v>651</v>
      </c>
      <c r="H112" t="s">
        <v>651</v>
      </c>
      <c r="I112">
        <v>2</v>
      </c>
      <c r="J112">
        <v>0</v>
      </c>
      <c r="K112" t="s">
        <v>651</v>
      </c>
      <c r="M112">
        <v>1</v>
      </c>
    </row>
    <row r="113" spans="1:13" ht="15.75" customHeight="1" x14ac:dyDescent="0.3">
      <c r="A113">
        <v>250</v>
      </c>
      <c r="B113" t="s">
        <v>129</v>
      </c>
      <c r="C113" t="s">
        <v>457</v>
      </c>
      <c r="D113" t="s">
        <v>461</v>
      </c>
      <c r="E113">
        <v>39</v>
      </c>
      <c r="F113" t="s">
        <v>141</v>
      </c>
      <c r="G113" t="s">
        <v>651</v>
      </c>
      <c r="H113" t="s">
        <v>651</v>
      </c>
      <c r="I113">
        <v>4</v>
      </c>
      <c r="J113">
        <v>0</v>
      </c>
      <c r="K113" t="s">
        <v>651</v>
      </c>
      <c r="M113">
        <v>1</v>
      </c>
    </row>
    <row r="114" spans="1:13" ht="15.75" customHeight="1" x14ac:dyDescent="0.3">
      <c r="A114">
        <v>250</v>
      </c>
      <c r="B114" t="s">
        <v>129</v>
      </c>
      <c r="C114" t="s">
        <v>457</v>
      </c>
      <c r="D114" t="s">
        <v>456</v>
      </c>
      <c r="E114">
        <v>22.5</v>
      </c>
      <c r="F114" t="s">
        <v>141</v>
      </c>
      <c r="G114" t="s">
        <v>651</v>
      </c>
      <c r="H114" t="s">
        <v>651</v>
      </c>
      <c r="I114">
        <v>4</v>
      </c>
      <c r="J114">
        <v>0</v>
      </c>
      <c r="K114" t="s">
        <v>651</v>
      </c>
      <c r="M114">
        <v>2</v>
      </c>
    </row>
    <row r="115" spans="1:13" ht="15.75" customHeight="1" x14ac:dyDescent="0.3">
      <c r="A115">
        <v>250</v>
      </c>
      <c r="B115" t="s">
        <v>137</v>
      </c>
      <c r="C115" t="s">
        <v>480</v>
      </c>
      <c r="D115" t="s">
        <v>482</v>
      </c>
      <c r="E115">
        <v>30</v>
      </c>
      <c r="F115" t="s">
        <v>150</v>
      </c>
      <c r="G115" t="s">
        <v>651</v>
      </c>
      <c r="H115" t="s">
        <v>651</v>
      </c>
      <c r="I115">
        <v>8</v>
      </c>
      <c r="J115">
        <v>0</v>
      </c>
      <c r="K115" t="s">
        <v>651</v>
      </c>
      <c r="M115">
        <v>1</v>
      </c>
    </row>
    <row r="116" spans="1:13" ht="15.75" customHeight="1" x14ac:dyDescent="0.3">
      <c r="A116">
        <v>250</v>
      </c>
      <c r="B116" t="s">
        <v>137</v>
      </c>
      <c r="C116" t="s">
        <v>480</v>
      </c>
      <c r="D116" t="s">
        <v>482</v>
      </c>
      <c r="E116">
        <v>30</v>
      </c>
      <c r="F116" t="s">
        <v>141</v>
      </c>
      <c r="G116" t="s">
        <v>651</v>
      </c>
      <c r="H116" t="s">
        <v>651</v>
      </c>
      <c r="I116">
        <v>2</v>
      </c>
      <c r="J116">
        <v>0</v>
      </c>
      <c r="K116" t="s">
        <v>651</v>
      </c>
      <c r="M116">
        <v>1</v>
      </c>
    </row>
    <row r="117" spans="1:13" ht="15.75" customHeight="1" x14ac:dyDescent="0.3">
      <c r="A117">
        <v>250</v>
      </c>
      <c r="B117" t="s">
        <v>137</v>
      </c>
      <c r="C117" t="s">
        <v>480</v>
      </c>
      <c r="D117" t="s">
        <v>482</v>
      </c>
      <c r="E117">
        <v>30</v>
      </c>
      <c r="F117" t="s">
        <v>135</v>
      </c>
      <c r="G117" t="s">
        <v>651</v>
      </c>
      <c r="H117" t="s">
        <v>651</v>
      </c>
      <c r="I117">
        <v>2</v>
      </c>
      <c r="J117">
        <v>0</v>
      </c>
      <c r="K117" t="s">
        <v>651</v>
      </c>
      <c r="M117">
        <v>1</v>
      </c>
    </row>
    <row r="118" spans="1:13" ht="15.75" customHeight="1" x14ac:dyDescent="0.3">
      <c r="A118">
        <v>250</v>
      </c>
      <c r="B118" t="s">
        <v>137</v>
      </c>
      <c r="C118" t="s">
        <v>480</v>
      </c>
      <c r="D118" t="s">
        <v>486</v>
      </c>
      <c r="E118">
        <v>50</v>
      </c>
      <c r="F118" t="s">
        <v>141</v>
      </c>
      <c r="G118" t="s">
        <v>651</v>
      </c>
      <c r="H118" t="s">
        <v>651</v>
      </c>
      <c r="I118">
        <v>3</v>
      </c>
      <c r="J118">
        <v>0</v>
      </c>
      <c r="K118" t="s">
        <v>651</v>
      </c>
      <c r="M118">
        <v>1</v>
      </c>
    </row>
    <row r="119" spans="1:13" ht="15.75" customHeight="1" x14ac:dyDescent="0.3">
      <c r="A119">
        <v>250</v>
      </c>
      <c r="B119" t="s">
        <v>137</v>
      </c>
      <c r="C119" t="s">
        <v>361</v>
      </c>
      <c r="D119" t="s">
        <v>365</v>
      </c>
      <c r="E119">
        <v>28</v>
      </c>
      <c r="F119" t="s">
        <v>150</v>
      </c>
      <c r="G119" t="s">
        <v>651</v>
      </c>
      <c r="H119" t="s">
        <v>651</v>
      </c>
      <c r="I119">
        <v>8</v>
      </c>
      <c r="J119">
        <v>0</v>
      </c>
      <c r="K119" t="s">
        <v>651</v>
      </c>
      <c r="M119">
        <v>1</v>
      </c>
    </row>
    <row r="120" spans="1:13" ht="15.75" customHeight="1" x14ac:dyDescent="0.3">
      <c r="A120">
        <v>250</v>
      </c>
      <c r="B120" t="s">
        <v>137</v>
      </c>
      <c r="C120" t="s">
        <v>361</v>
      </c>
      <c r="D120" t="s">
        <v>365</v>
      </c>
      <c r="E120">
        <v>28</v>
      </c>
      <c r="F120" t="s">
        <v>141</v>
      </c>
      <c r="G120" t="s">
        <v>651</v>
      </c>
      <c r="H120" t="s">
        <v>651</v>
      </c>
      <c r="I120">
        <v>2</v>
      </c>
      <c r="J120">
        <v>0</v>
      </c>
      <c r="K120" t="s">
        <v>651</v>
      </c>
      <c r="M120">
        <v>1</v>
      </c>
    </row>
    <row r="121" spans="1:13" ht="15.75" customHeight="1" x14ac:dyDescent="0.3">
      <c r="A121">
        <v>250</v>
      </c>
      <c r="B121" t="s">
        <v>137</v>
      </c>
      <c r="C121" t="s">
        <v>361</v>
      </c>
      <c r="D121" t="s">
        <v>365</v>
      </c>
      <c r="E121">
        <v>28</v>
      </c>
      <c r="F121" t="s">
        <v>135</v>
      </c>
      <c r="G121" t="s">
        <v>651</v>
      </c>
      <c r="H121" t="s">
        <v>651</v>
      </c>
      <c r="I121">
        <v>2</v>
      </c>
      <c r="J121">
        <v>0</v>
      </c>
      <c r="K121" t="s">
        <v>651</v>
      </c>
      <c r="M121">
        <v>1</v>
      </c>
    </row>
    <row r="122" spans="1:13" ht="15.75" customHeight="1" x14ac:dyDescent="0.3">
      <c r="A122">
        <v>250</v>
      </c>
      <c r="B122" t="s">
        <v>137</v>
      </c>
      <c r="C122" t="s">
        <v>361</v>
      </c>
      <c r="D122" t="s">
        <v>369</v>
      </c>
      <c r="E122">
        <v>44</v>
      </c>
      <c r="F122" t="s">
        <v>141</v>
      </c>
      <c r="G122" t="s">
        <v>651</v>
      </c>
      <c r="H122" t="s">
        <v>651</v>
      </c>
      <c r="I122">
        <v>3</v>
      </c>
      <c r="J122">
        <v>0</v>
      </c>
      <c r="K122" t="s">
        <v>651</v>
      </c>
      <c r="M122">
        <v>1</v>
      </c>
    </row>
    <row r="123" spans="1:13" ht="15.75" customHeight="1" x14ac:dyDescent="0.3">
      <c r="A123">
        <v>250</v>
      </c>
      <c r="B123" t="s">
        <v>137</v>
      </c>
      <c r="C123" t="s">
        <v>457</v>
      </c>
      <c r="D123" t="s">
        <v>459</v>
      </c>
      <c r="E123">
        <v>31</v>
      </c>
      <c r="F123" t="s">
        <v>141</v>
      </c>
      <c r="G123" t="s">
        <v>651</v>
      </c>
      <c r="H123" t="s">
        <v>651</v>
      </c>
      <c r="I123">
        <v>2</v>
      </c>
      <c r="J123">
        <v>0</v>
      </c>
      <c r="K123" t="s">
        <v>651</v>
      </c>
      <c r="M123">
        <v>1</v>
      </c>
    </row>
    <row r="124" spans="1:13" ht="15.75" customHeight="1" x14ac:dyDescent="0.3">
      <c r="A124">
        <v>250</v>
      </c>
      <c r="B124" t="s">
        <v>137</v>
      </c>
      <c r="C124" t="s">
        <v>457</v>
      </c>
      <c r="D124" t="s">
        <v>459</v>
      </c>
      <c r="E124">
        <v>31</v>
      </c>
      <c r="F124" t="s">
        <v>135</v>
      </c>
      <c r="G124" t="s">
        <v>651</v>
      </c>
      <c r="H124" t="s">
        <v>651</v>
      </c>
      <c r="I124">
        <v>2</v>
      </c>
      <c r="J124">
        <v>0</v>
      </c>
      <c r="K124" t="s">
        <v>651</v>
      </c>
      <c r="M124">
        <v>1</v>
      </c>
    </row>
    <row r="125" spans="1:13" ht="15.75" customHeight="1" x14ac:dyDescent="0.3">
      <c r="A125">
        <v>250</v>
      </c>
      <c r="B125" t="s">
        <v>137</v>
      </c>
      <c r="C125" t="s">
        <v>457</v>
      </c>
      <c r="D125" t="s">
        <v>461</v>
      </c>
      <c r="E125">
        <v>39</v>
      </c>
      <c r="F125" t="s">
        <v>141</v>
      </c>
      <c r="G125" t="s">
        <v>651</v>
      </c>
      <c r="H125" t="s">
        <v>651</v>
      </c>
      <c r="I125">
        <v>3</v>
      </c>
      <c r="J125">
        <v>0</v>
      </c>
      <c r="K125" t="s">
        <v>651</v>
      </c>
      <c r="M125">
        <v>1</v>
      </c>
    </row>
    <row r="126" spans="1:13" ht="15.75" customHeight="1" x14ac:dyDescent="0.3">
      <c r="A126">
        <v>250</v>
      </c>
      <c r="B126" t="s">
        <v>137</v>
      </c>
      <c r="C126" t="s">
        <v>457</v>
      </c>
      <c r="D126" t="s">
        <v>456</v>
      </c>
      <c r="E126">
        <v>22.5</v>
      </c>
      <c r="F126" t="s">
        <v>150</v>
      </c>
      <c r="G126" t="s">
        <v>651</v>
      </c>
      <c r="H126" t="s">
        <v>651</v>
      </c>
      <c r="I126">
        <v>8</v>
      </c>
      <c r="J126">
        <v>0</v>
      </c>
      <c r="K126" t="s">
        <v>651</v>
      </c>
      <c r="M126">
        <v>1</v>
      </c>
    </row>
    <row r="127" spans="1:13" ht="15.75" customHeight="1" x14ac:dyDescent="0.3">
      <c r="A127">
        <v>250</v>
      </c>
      <c r="B127" t="s">
        <v>144</v>
      </c>
      <c r="C127" t="s">
        <v>480</v>
      </c>
      <c r="D127" t="s">
        <v>490</v>
      </c>
      <c r="E127">
        <v>68</v>
      </c>
      <c r="F127" t="s">
        <v>150</v>
      </c>
      <c r="G127" t="s">
        <v>651</v>
      </c>
      <c r="H127" t="s">
        <v>651</v>
      </c>
      <c r="I127">
        <v>8</v>
      </c>
      <c r="J127">
        <v>0</v>
      </c>
      <c r="K127" t="s">
        <v>651</v>
      </c>
      <c r="M127">
        <v>1</v>
      </c>
    </row>
    <row r="128" spans="1:13" ht="15.75" customHeight="1" x14ac:dyDescent="0.3">
      <c r="A128">
        <v>250</v>
      </c>
      <c r="B128" t="s">
        <v>144</v>
      </c>
      <c r="C128" t="s">
        <v>480</v>
      </c>
      <c r="D128" t="s">
        <v>502</v>
      </c>
      <c r="E128">
        <v>183</v>
      </c>
      <c r="F128" t="s">
        <v>141</v>
      </c>
      <c r="G128" t="s">
        <v>651</v>
      </c>
      <c r="H128" t="s">
        <v>651</v>
      </c>
      <c r="I128">
        <v>4</v>
      </c>
      <c r="J128">
        <v>0</v>
      </c>
      <c r="K128" t="s">
        <v>651</v>
      </c>
      <c r="M128">
        <v>1</v>
      </c>
    </row>
    <row r="129" spans="1:13" ht="15.75" customHeight="1" x14ac:dyDescent="0.3">
      <c r="A129">
        <v>250</v>
      </c>
      <c r="B129" t="s">
        <v>144</v>
      </c>
      <c r="C129" t="s">
        <v>361</v>
      </c>
      <c r="D129" t="s">
        <v>373</v>
      </c>
      <c r="E129">
        <v>65</v>
      </c>
      <c r="F129" t="s">
        <v>150</v>
      </c>
      <c r="G129" t="s">
        <v>651</v>
      </c>
      <c r="H129" t="s">
        <v>651</v>
      </c>
      <c r="I129">
        <v>8</v>
      </c>
      <c r="J129">
        <v>0</v>
      </c>
      <c r="K129" t="s">
        <v>651</v>
      </c>
      <c r="M129">
        <v>1</v>
      </c>
    </row>
    <row r="130" spans="1:13" ht="15.75" customHeight="1" x14ac:dyDescent="0.3">
      <c r="A130">
        <v>250</v>
      </c>
      <c r="B130" t="s">
        <v>144</v>
      </c>
      <c r="C130" t="s">
        <v>361</v>
      </c>
      <c r="D130" t="s">
        <v>451</v>
      </c>
      <c r="E130">
        <v>215</v>
      </c>
      <c r="F130" t="s">
        <v>141</v>
      </c>
      <c r="G130" t="s">
        <v>651</v>
      </c>
      <c r="H130" t="s">
        <v>651</v>
      </c>
      <c r="I130">
        <v>4</v>
      </c>
      <c r="J130">
        <v>0</v>
      </c>
      <c r="K130" t="s">
        <v>651</v>
      </c>
      <c r="M130">
        <v>1</v>
      </c>
    </row>
    <row r="131" spans="1:13" ht="15.75" customHeight="1" x14ac:dyDescent="0.3">
      <c r="A131">
        <v>250</v>
      </c>
      <c r="B131" t="s">
        <v>144</v>
      </c>
      <c r="C131" t="s">
        <v>457</v>
      </c>
      <c r="D131" t="s">
        <v>467</v>
      </c>
      <c r="E131">
        <v>70</v>
      </c>
      <c r="F131" t="s">
        <v>150</v>
      </c>
      <c r="G131" t="s">
        <v>651</v>
      </c>
      <c r="H131" t="s">
        <v>651</v>
      </c>
      <c r="I131">
        <v>8</v>
      </c>
      <c r="J131">
        <v>0</v>
      </c>
      <c r="K131" t="s">
        <v>651</v>
      </c>
      <c r="M131">
        <v>1</v>
      </c>
    </row>
    <row r="132" spans="1:13" ht="15.75" customHeight="1" x14ac:dyDescent="0.3">
      <c r="A132">
        <v>250</v>
      </c>
      <c r="B132" t="s">
        <v>144</v>
      </c>
      <c r="C132" t="s">
        <v>457</v>
      </c>
      <c r="D132" t="s">
        <v>471</v>
      </c>
      <c r="E132">
        <v>90</v>
      </c>
      <c r="F132" t="s">
        <v>141</v>
      </c>
      <c r="G132" t="s">
        <v>651</v>
      </c>
      <c r="H132" t="s">
        <v>651</v>
      </c>
      <c r="I132">
        <v>4</v>
      </c>
      <c r="J132">
        <v>0</v>
      </c>
      <c r="K132" t="s">
        <v>651</v>
      </c>
      <c r="M132">
        <v>1</v>
      </c>
    </row>
    <row r="133" spans="1:13" ht="15.75" customHeight="1" x14ac:dyDescent="0.3">
      <c r="A133">
        <v>250</v>
      </c>
      <c r="B133" t="s">
        <v>149</v>
      </c>
      <c r="C133" t="s">
        <v>480</v>
      </c>
      <c r="D133" t="s">
        <v>486</v>
      </c>
      <c r="E133">
        <v>50</v>
      </c>
      <c r="F133" t="s">
        <v>138</v>
      </c>
      <c r="G133" t="s">
        <v>651</v>
      </c>
      <c r="H133" t="s">
        <v>651</v>
      </c>
      <c r="I133">
        <v>2</v>
      </c>
      <c r="J133">
        <v>0</v>
      </c>
      <c r="K133" t="s">
        <v>651</v>
      </c>
      <c r="M133">
        <v>1</v>
      </c>
    </row>
    <row r="134" spans="1:13" ht="15.75" customHeight="1" x14ac:dyDescent="0.3">
      <c r="A134">
        <v>250</v>
      </c>
      <c r="B134" t="s">
        <v>149</v>
      </c>
      <c r="C134" t="s">
        <v>480</v>
      </c>
      <c r="D134" t="s">
        <v>490</v>
      </c>
      <c r="E134">
        <v>68</v>
      </c>
      <c r="F134" t="s">
        <v>150</v>
      </c>
      <c r="G134" t="s">
        <v>651</v>
      </c>
      <c r="H134" t="s">
        <v>651</v>
      </c>
      <c r="I134">
        <v>8</v>
      </c>
      <c r="J134">
        <v>0</v>
      </c>
      <c r="K134" t="s">
        <v>651</v>
      </c>
      <c r="M134">
        <v>1</v>
      </c>
    </row>
    <row r="135" spans="1:13" ht="15.75" customHeight="1" x14ac:dyDescent="0.3">
      <c r="A135">
        <v>250</v>
      </c>
      <c r="B135" t="s">
        <v>149</v>
      </c>
      <c r="C135" t="s">
        <v>480</v>
      </c>
      <c r="D135" t="s">
        <v>498</v>
      </c>
      <c r="E135">
        <v>120</v>
      </c>
      <c r="F135" t="s">
        <v>141</v>
      </c>
      <c r="G135" t="s">
        <v>140</v>
      </c>
      <c r="H135" t="s">
        <v>651</v>
      </c>
      <c r="I135">
        <v>4</v>
      </c>
      <c r="J135">
        <v>0</v>
      </c>
      <c r="K135" t="s">
        <v>651</v>
      </c>
      <c r="M135">
        <v>1</v>
      </c>
    </row>
    <row r="136" spans="1:13" ht="15.75" customHeight="1" x14ac:dyDescent="0.3">
      <c r="A136">
        <v>250</v>
      </c>
      <c r="B136" t="s">
        <v>149</v>
      </c>
      <c r="C136" t="s">
        <v>480</v>
      </c>
      <c r="D136" t="s">
        <v>500</v>
      </c>
      <c r="E136">
        <v>150</v>
      </c>
      <c r="F136" t="s">
        <v>141</v>
      </c>
      <c r="G136" t="s">
        <v>651</v>
      </c>
      <c r="H136" t="s">
        <v>651</v>
      </c>
      <c r="I136">
        <v>2</v>
      </c>
      <c r="J136">
        <v>0</v>
      </c>
      <c r="K136" t="s">
        <v>651</v>
      </c>
      <c r="M136">
        <v>1</v>
      </c>
    </row>
    <row r="137" spans="1:13" ht="15.75" customHeight="1" x14ac:dyDescent="0.3">
      <c r="A137">
        <v>250</v>
      </c>
      <c r="B137" t="s">
        <v>149</v>
      </c>
      <c r="C137" t="s">
        <v>480</v>
      </c>
      <c r="D137" t="s">
        <v>500</v>
      </c>
      <c r="E137">
        <v>150</v>
      </c>
      <c r="F137" t="s">
        <v>135</v>
      </c>
      <c r="G137" t="s">
        <v>140</v>
      </c>
      <c r="H137" t="s">
        <v>304</v>
      </c>
      <c r="I137">
        <v>2</v>
      </c>
      <c r="J137">
        <v>0</v>
      </c>
      <c r="K137">
        <v>1</v>
      </c>
      <c r="M137">
        <v>1</v>
      </c>
    </row>
    <row r="138" spans="1:13" ht="15.75" customHeight="1" x14ac:dyDescent="0.3">
      <c r="A138">
        <v>250</v>
      </c>
      <c r="B138" t="s">
        <v>149</v>
      </c>
      <c r="C138" t="s">
        <v>361</v>
      </c>
      <c r="D138" t="s">
        <v>373</v>
      </c>
      <c r="E138">
        <v>65</v>
      </c>
      <c r="F138" t="s">
        <v>150</v>
      </c>
      <c r="G138" t="s">
        <v>651</v>
      </c>
      <c r="H138" t="s">
        <v>651</v>
      </c>
      <c r="I138">
        <v>8</v>
      </c>
      <c r="J138">
        <v>0</v>
      </c>
      <c r="K138" t="s">
        <v>651</v>
      </c>
      <c r="M138">
        <v>1</v>
      </c>
    </row>
    <row r="139" spans="1:13" ht="15.75" customHeight="1" x14ac:dyDescent="0.3">
      <c r="A139">
        <v>250</v>
      </c>
      <c r="B139" t="s">
        <v>149</v>
      </c>
      <c r="C139" t="s">
        <v>361</v>
      </c>
      <c r="D139" t="s">
        <v>371</v>
      </c>
      <c r="E139">
        <v>52</v>
      </c>
      <c r="F139" t="s">
        <v>138</v>
      </c>
      <c r="G139" t="s">
        <v>651</v>
      </c>
      <c r="H139" t="s">
        <v>651</v>
      </c>
      <c r="I139">
        <v>2</v>
      </c>
      <c r="J139">
        <v>0</v>
      </c>
      <c r="K139" t="s">
        <v>651</v>
      </c>
      <c r="M139">
        <v>1</v>
      </c>
    </row>
    <row r="140" spans="1:13" ht="15.75" customHeight="1" x14ac:dyDescent="0.3">
      <c r="A140">
        <v>250</v>
      </c>
      <c r="B140" t="s">
        <v>149</v>
      </c>
      <c r="C140" t="s">
        <v>361</v>
      </c>
      <c r="D140" t="s">
        <v>383</v>
      </c>
      <c r="E140">
        <v>140</v>
      </c>
      <c r="F140" t="s">
        <v>141</v>
      </c>
      <c r="G140" t="s">
        <v>651</v>
      </c>
      <c r="H140" t="s">
        <v>651</v>
      </c>
      <c r="I140">
        <v>2</v>
      </c>
      <c r="J140">
        <v>0</v>
      </c>
      <c r="K140" t="s">
        <v>651</v>
      </c>
      <c r="M140">
        <v>1</v>
      </c>
    </row>
    <row r="141" spans="1:13" ht="15.75" customHeight="1" x14ac:dyDescent="0.3">
      <c r="A141">
        <v>250</v>
      </c>
      <c r="B141" t="s">
        <v>149</v>
      </c>
      <c r="C141" t="s">
        <v>361</v>
      </c>
      <c r="D141" t="s">
        <v>389</v>
      </c>
      <c r="E141">
        <v>200</v>
      </c>
      <c r="F141" t="s">
        <v>135</v>
      </c>
      <c r="G141" t="s">
        <v>140</v>
      </c>
      <c r="H141" t="s">
        <v>651</v>
      </c>
      <c r="I141">
        <v>2</v>
      </c>
      <c r="J141">
        <v>0</v>
      </c>
      <c r="K141" t="s">
        <v>651</v>
      </c>
      <c r="M141">
        <v>1</v>
      </c>
    </row>
    <row r="142" spans="1:13" ht="15.75" customHeight="1" x14ac:dyDescent="0.3">
      <c r="A142">
        <v>250</v>
      </c>
      <c r="B142" t="s">
        <v>149</v>
      </c>
      <c r="C142" t="s">
        <v>361</v>
      </c>
      <c r="D142" t="s">
        <v>407</v>
      </c>
      <c r="E142">
        <v>105</v>
      </c>
      <c r="F142" t="s">
        <v>141</v>
      </c>
      <c r="G142" t="s">
        <v>140</v>
      </c>
      <c r="H142" t="s">
        <v>651</v>
      </c>
      <c r="I142">
        <v>4</v>
      </c>
      <c r="J142">
        <v>0</v>
      </c>
      <c r="K142" t="s">
        <v>651</v>
      </c>
      <c r="M142">
        <v>1</v>
      </c>
    </row>
    <row r="143" spans="1:13" ht="15.75" customHeight="1" x14ac:dyDescent="0.3">
      <c r="A143">
        <v>250</v>
      </c>
      <c r="B143" t="s">
        <v>149</v>
      </c>
      <c r="C143" t="s">
        <v>457</v>
      </c>
      <c r="D143" t="s">
        <v>463</v>
      </c>
      <c r="E143">
        <v>50</v>
      </c>
      <c r="F143" t="s">
        <v>138</v>
      </c>
      <c r="G143" t="s">
        <v>651</v>
      </c>
      <c r="H143" t="s">
        <v>651</v>
      </c>
      <c r="I143">
        <v>2</v>
      </c>
      <c r="J143">
        <v>0</v>
      </c>
      <c r="K143" t="s">
        <v>651</v>
      </c>
      <c r="M143">
        <v>1</v>
      </c>
    </row>
    <row r="144" spans="1:13" ht="15.75" customHeight="1" x14ac:dyDescent="0.3">
      <c r="A144">
        <v>250</v>
      </c>
      <c r="B144" t="s">
        <v>149</v>
      </c>
      <c r="C144" t="s">
        <v>457</v>
      </c>
      <c r="D144" t="s">
        <v>467</v>
      </c>
      <c r="E144">
        <v>70</v>
      </c>
      <c r="F144" t="s">
        <v>150</v>
      </c>
      <c r="G144" t="s">
        <v>651</v>
      </c>
      <c r="H144" t="s">
        <v>651</v>
      </c>
      <c r="I144">
        <v>8</v>
      </c>
      <c r="J144">
        <v>0</v>
      </c>
      <c r="K144" t="s">
        <v>651</v>
      </c>
      <c r="M144">
        <v>1</v>
      </c>
    </row>
    <row r="145" spans="1:13" ht="15.75" customHeight="1" x14ac:dyDescent="0.3">
      <c r="A145">
        <v>250</v>
      </c>
      <c r="B145" t="s">
        <v>149</v>
      </c>
      <c r="C145" t="s">
        <v>457</v>
      </c>
      <c r="D145" t="s">
        <v>473</v>
      </c>
      <c r="E145">
        <v>120</v>
      </c>
      <c r="F145" t="s">
        <v>135</v>
      </c>
      <c r="G145" t="s">
        <v>140</v>
      </c>
      <c r="H145" t="s">
        <v>304</v>
      </c>
      <c r="I145">
        <v>2</v>
      </c>
      <c r="J145">
        <v>0</v>
      </c>
      <c r="K145">
        <v>1</v>
      </c>
      <c r="M145">
        <v>1</v>
      </c>
    </row>
    <row r="146" spans="1:13" ht="15.75" customHeight="1" x14ac:dyDescent="0.3">
      <c r="A146">
        <v>250</v>
      </c>
      <c r="B146" t="s">
        <v>149</v>
      </c>
      <c r="C146" t="s">
        <v>457</v>
      </c>
      <c r="D146" t="s">
        <v>475</v>
      </c>
      <c r="E146">
        <v>137</v>
      </c>
      <c r="F146" t="s">
        <v>141</v>
      </c>
      <c r="G146" t="s">
        <v>651</v>
      </c>
      <c r="H146" t="s">
        <v>651</v>
      </c>
      <c r="I146">
        <v>2</v>
      </c>
      <c r="J146">
        <v>0</v>
      </c>
      <c r="K146" t="s">
        <v>651</v>
      </c>
      <c r="M146">
        <v>1</v>
      </c>
    </row>
    <row r="147" spans="1:13" ht="15.75" customHeight="1" x14ac:dyDescent="0.3">
      <c r="A147">
        <v>250</v>
      </c>
      <c r="B147" t="s">
        <v>149</v>
      </c>
      <c r="C147" t="s">
        <v>457</v>
      </c>
      <c r="D147" t="s">
        <v>471</v>
      </c>
      <c r="E147">
        <v>90</v>
      </c>
      <c r="F147" t="s">
        <v>141</v>
      </c>
      <c r="G147" t="s">
        <v>140</v>
      </c>
      <c r="H147" t="s">
        <v>651</v>
      </c>
      <c r="I147">
        <v>4</v>
      </c>
      <c r="J147">
        <v>0</v>
      </c>
      <c r="K147" t="s">
        <v>651</v>
      </c>
      <c r="M147">
        <v>1</v>
      </c>
    </row>
    <row r="148" spans="1:13" ht="15.75" customHeight="1" x14ac:dyDescent="0.3">
      <c r="A148">
        <v>99</v>
      </c>
      <c r="B148" t="s">
        <v>143</v>
      </c>
      <c r="C148" t="s">
        <v>480</v>
      </c>
      <c r="D148" t="s">
        <v>484</v>
      </c>
      <c r="E148">
        <v>40</v>
      </c>
      <c r="F148" t="s">
        <v>141</v>
      </c>
      <c r="G148" t="s">
        <v>651</v>
      </c>
      <c r="H148" t="s">
        <v>651</v>
      </c>
      <c r="I148">
        <v>3</v>
      </c>
      <c r="J148">
        <v>0</v>
      </c>
      <c r="K148" t="s">
        <v>651</v>
      </c>
      <c r="M148">
        <v>1</v>
      </c>
    </row>
    <row r="149" spans="1:13" ht="15.75" customHeight="1" x14ac:dyDescent="0.3">
      <c r="A149">
        <v>99</v>
      </c>
      <c r="B149" t="s">
        <v>143</v>
      </c>
      <c r="C149" t="s">
        <v>480</v>
      </c>
      <c r="D149" t="s">
        <v>484</v>
      </c>
      <c r="E149">
        <v>40</v>
      </c>
      <c r="F149" t="s">
        <v>135</v>
      </c>
      <c r="G149" t="s">
        <v>651</v>
      </c>
      <c r="H149" t="s">
        <v>651</v>
      </c>
      <c r="I149">
        <v>4</v>
      </c>
      <c r="J149">
        <v>0</v>
      </c>
      <c r="K149" t="s">
        <v>651</v>
      </c>
      <c r="M149">
        <v>1</v>
      </c>
    </row>
    <row r="150" spans="1:13" ht="15.75" customHeight="1" x14ac:dyDescent="0.3">
      <c r="A150">
        <v>99</v>
      </c>
      <c r="B150" t="s">
        <v>143</v>
      </c>
      <c r="C150" t="s">
        <v>480</v>
      </c>
      <c r="D150" t="s">
        <v>486</v>
      </c>
      <c r="E150">
        <v>50</v>
      </c>
      <c r="F150" t="s">
        <v>141</v>
      </c>
      <c r="G150" t="s">
        <v>651</v>
      </c>
      <c r="H150" t="s">
        <v>651</v>
      </c>
      <c r="I150">
        <v>2</v>
      </c>
      <c r="J150">
        <v>0</v>
      </c>
      <c r="K150" t="s">
        <v>651</v>
      </c>
      <c r="M150">
        <v>1</v>
      </c>
    </row>
    <row r="151" spans="1:13" ht="15.75" customHeight="1" x14ac:dyDescent="0.3">
      <c r="A151">
        <v>99</v>
      </c>
      <c r="B151" t="s">
        <v>143</v>
      </c>
      <c r="C151" t="s">
        <v>480</v>
      </c>
      <c r="D151" t="s">
        <v>490</v>
      </c>
      <c r="E151">
        <v>68</v>
      </c>
      <c r="F151" t="s">
        <v>150</v>
      </c>
      <c r="G151" t="s">
        <v>651</v>
      </c>
      <c r="H151" t="s">
        <v>651</v>
      </c>
      <c r="I151">
        <v>2</v>
      </c>
      <c r="J151">
        <v>0</v>
      </c>
      <c r="K151" t="s">
        <v>651</v>
      </c>
      <c r="M151">
        <v>1</v>
      </c>
    </row>
    <row r="152" spans="1:13" ht="15.75" customHeight="1" x14ac:dyDescent="0.3">
      <c r="A152">
        <v>99</v>
      </c>
      <c r="B152" t="s">
        <v>143</v>
      </c>
      <c r="C152" t="s">
        <v>361</v>
      </c>
      <c r="D152" t="s">
        <v>367</v>
      </c>
      <c r="E152">
        <v>35</v>
      </c>
      <c r="F152" t="s">
        <v>135</v>
      </c>
      <c r="G152" t="s">
        <v>651</v>
      </c>
      <c r="H152" t="s">
        <v>651</v>
      </c>
      <c r="I152">
        <v>4</v>
      </c>
      <c r="J152">
        <v>0</v>
      </c>
      <c r="K152" t="s">
        <v>651</v>
      </c>
      <c r="M152">
        <v>1</v>
      </c>
    </row>
    <row r="153" spans="1:13" ht="15.75" customHeight="1" x14ac:dyDescent="0.3">
      <c r="A153">
        <v>99</v>
      </c>
      <c r="B153" t="s">
        <v>143</v>
      </c>
      <c r="C153" t="s">
        <v>361</v>
      </c>
      <c r="D153" t="s">
        <v>369</v>
      </c>
      <c r="E153">
        <v>44</v>
      </c>
      <c r="F153" t="s">
        <v>141</v>
      </c>
      <c r="G153" t="s">
        <v>651</v>
      </c>
      <c r="H153" t="s">
        <v>651</v>
      </c>
      <c r="I153">
        <v>2</v>
      </c>
      <c r="J153">
        <v>0</v>
      </c>
      <c r="K153" t="s">
        <v>651</v>
      </c>
      <c r="M153">
        <v>1</v>
      </c>
    </row>
    <row r="154" spans="1:13" ht="15.75" customHeight="1" x14ac:dyDescent="0.3">
      <c r="A154">
        <v>99</v>
      </c>
      <c r="B154" t="s">
        <v>143</v>
      </c>
      <c r="C154" t="s">
        <v>361</v>
      </c>
      <c r="D154" t="s">
        <v>369</v>
      </c>
      <c r="E154">
        <v>44</v>
      </c>
      <c r="F154" t="s">
        <v>141</v>
      </c>
      <c r="I154">
        <v>3</v>
      </c>
      <c r="J154">
        <v>0</v>
      </c>
      <c r="K154" t="s">
        <v>651</v>
      </c>
      <c r="M154">
        <v>1</v>
      </c>
    </row>
    <row r="155" spans="1:13" ht="15.75" customHeight="1" x14ac:dyDescent="0.3">
      <c r="A155">
        <v>99</v>
      </c>
      <c r="B155" t="s">
        <v>143</v>
      </c>
      <c r="C155" t="s">
        <v>361</v>
      </c>
      <c r="D155" t="s">
        <v>373</v>
      </c>
      <c r="E155">
        <v>65</v>
      </c>
      <c r="F155" t="s">
        <v>150</v>
      </c>
      <c r="G155" t="s">
        <v>651</v>
      </c>
      <c r="H155" t="s">
        <v>651</v>
      </c>
      <c r="I155">
        <v>2</v>
      </c>
      <c r="J155">
        <v>0</v>
      </c>
      <c r="K155" t="s">
        <v>651</v>
      </c>
      <c r="M155">
        <v>1</v>
      </c>
    </row>
    <row r="156" spans="1:13" ht="15.75" customHeight="1" x14ac:dyDescent="0.3">
      <c r="A156">
        <v>99</v>
      </c>
      <c r="B156" t="s">
        <v>143</v>
      </c>
      <c r="C156" t="s">
        <v>457</v>
      </c>
      <c r="D156" t="s">
        <v>461</v>
      </c>
      <c r="E156">
        <v>39</v>
      </c>
      <c r="F156" t="s">
        <v>141</v>
      </c>
      <c r="G156" t="s">
        <v>651</v>
      </c>
      <c r="H156" t="s">
        <v>651</v>
      </c>
      <c r="I156">
        <v>3</v>
      </c>
      <c r="J156">
        <v>0</v>
      </c>
      <c r="K156" t="s">
        <v>651</v>
      </c>
      <c r="M156">
        <v>1</v>
      </c>
    </row>
    <row r="157" spans="1:13" ht="15.75" customHeight="1" x14ac:dyDescent="0.3">
      <c r="A157">
        <v>99</v>
      </c>
      <c r="B157" t="s">
        <v>143</v>
      </c>
      <c r="C157" t="s">
        <v>457</v>
      </c>
      <c r="D157" t="s">
        <v>461</v>
      </c>
      <c r="E157">
        <v>39</v>
      </c>
      <c r="F157" t="s">
        <v>135</v>
      </c>
      <c r="G157" t="s">
        <v>651</v>
      </c>
      <c r="H157" t="s">
        <v>651</v>
      </c>
      <c r="I157">
        <v>4</v>
      </c>
      <c r="J157">
        <v>0</v>
      </c>
      <c r="K157" t="s">
        <v>651</v>
      </c>
      <c r="M157">
        <v>1</v>
      </c>
    </row>
    <row r="158" spans="1:13" ht="15.75" customHeight="1" x14ac:dyDescent="0.3">
      <c r="A158">
        <v>99</v>
      </c>
      <c r="B158" t="s">
        <v>143</v>
      </c>
      <c r="C158" t="s">
        <v>457</v>
      </c>
      <c r="D158" t="s">
        <v>463</v>
      </c>
      <c r="E158">
        <v>50</v>
      </c>
      <c r="F158" t="s">
        <v>141</v>
      </c>
      <c r="G158" t="s">
        <v>651</v>
      </c>
      <c r="H158" t="s">
        <v>651</v>
      </c>
      <c r="I158">
        <v>2</v>
      </c>
      <c r="J158">
        <v>0</v>
      </c>
      <c r="K158" t="s">
        <v>651</v>
      </c>
      <c r="M158">
        <v>1</v>
      </c>
    </row>
    <row r="159" spans="1:13" ht="15.75" customHeight="1" x14ac:dyDescent="0.3">
      <c r="A159">
        <v>99</v>
      </c>
      <c r="B159" t="s">
        <v>143</v>
      </c>
      <c r="C159" t="s">
        <v>457</v>
      </c>
      <c r="D159" t="s">
        <v>467</v>
      </c>
      <c r="E159">
        <v>70</v>
      </c>
      <c r="F159" t="s">
        <v>150</v>
      </c>
      <c r="G159" t="s">
        <v>651</v>
      </c>
      <c r="H159" t="s">
        <v>651</v>
      </c>
      <c r="I159">
        <v>2</v>
      </c>
      <c r="J159">
        <v>0</v>
      </c>
      <c r="K159" t="s">
        <v>651</v>
      </c>
      <c r="M159">
        <v>1</v>
      </c>
    </row>
    <row r="160" spans="1:13" ht="15.75" customHeight="1" x14ac:dyDescent="0.3">
      <c r="A160">
        <v>99</v>
      </c>
      <c r="B160" t="s">
        <v>144</v>
      </c>
      <c r="C160" t="s">
        <v>480</v>
      </c>
      <c r="D160" t="s">
        <v>498</v>
      </c>
      <c r="E160">
        <v>120</v>
      </c>
      <c r="F160" t="s">
        <v>150</v>
      </c>
      <c r="G160" t="s">
        <v>140</v>
      </c>
      <c r="H160" t="s">
        <v>651</v>
      </c>
      <c r="I160">
        <v>3</v>
      </c>
      <c r="J160">
        <v>0</v>
      </c>
      <c r="K160" t="s">
        <v>651</v>
      </c>
      <c r="M160">
        <v>1</v>
      </c>
    </row>
    <row r="161" spans="1:13" ht="15.75" customHeight="1" x14ac:dyDescent="0.3">
      <c r="A161">
        <v>99</v>
      </c>
      <c r="B161" t="s">
        <v>144</v>
      </c>
      <c r="C161" t="s">
        <v>480</v>
      </c>
      <c r="D161" t="s">
        <v>498</v>
      </c>
      <c r="E161">
        <v>120</v>
      </c>
      <c r="F161" t="s">
        <v>135</v>
      </c>
      <c r="G161" t="s">
        <v>140</v>
      </c>
      <c r="H161" t="s">
        <v>651</v>
      </c>
      <c r="I161">
        <v>2</v>
      </c>
      <c r="J161">
        <v>0</v>
      </c>
      <c r="K161" t="s">
        <v>651</v>
      </c>
      <c r="M161">
        <v>1</v>
      </c>
    </row>
    <row r="162" spans="1:13" ht="15.75" customHeight="1" x14ac:dyDescent="0.3">
      <c r="A162">
        <v>99</v>
      </c>
      <c r="B162" t="s">
        <v>144</v>
      </c>
      <c r="C162" t="s">
        <v>361</v>
      </c>
      <c r="D162" t="s">
        <v>381</v>
      </c>
      <c r="E162">
        <v>120</v>
      </c>
      <c r="F162" t="s">
        <v>150</v>
      </c>
      <c r="G162" t="s">
        <v>140</v>
      </c>
      <c r="H162" t="s">
        <v>651</v>
      </c>
      <c r="I162">
        <v>3</v>
      </c>
      <c r="J162">
        <v>0</v>
      </c>
      <c r="K162" t="s">
        <v>651</v>
      </c>
      <c r="M162">
        <v>1</v>
      </c>
    </row>
    <row r="163" spans="1:13" ht="15.75" customHeight="1" x14ac:dyDescent="0.3">
      <c r="A163">
        <v>99</v>
      </c>
      <c r="B163" t="s">
        <v>144</v>
      </c>
      <c r="C163" t="s">
        <v>361</v>
      </c>
      <c r="D163" t="s">
        <v>381</v>
      </c>
      <c r="E163">
        <v>120</v>
      </c>
      <c r="F163" t="s">
        <v>135</v>
      </c>
      <c r="G163" t="s">
        <v>651</v>
      </c>
      <c r="H163" t="s">
        <v>651</v>
      </c>
      <c r="I163">
        <v>2</v>
      </c>
      <c r="J163">
        <v>0</v>
      </c>
      <c r="K163" t="s">
        <v>651</v>
      </c>
      <c r="M163">
        <v>1</v>
      </c>
    </row>
    <row r="164" spans="1:13" ht="15.75" customHeight="1" x14ac:dyDescent="0.3">
      <c r="A164">
        <v>99</v>
      </c>
      <c r="B164" t="s">
        <v>144</v>
      </c>
      <c r="C164" t="s">
        <v>457</v>
      </c>
      <c r="D164" t="s">
        <v>473</v>
      </c>
      <c r="E164">
        <v>120</v>
      </c>
      <c r="F164" t="s">
        <v>150</v>
      </c>
      <c r="G164" t="s">
        <v>147</v>
      </c>
      <c r="H164" t="s">
        <v>651</v>
      </c>
      <c r="I164">
        <v>3</v>
      </c>
      <c r="J164">
        <v>0</v>
      </c>
      <c r="K164" t="s">
        <v>651</v>
      </c>
      <c r="M164">
        <v>1</v>
      </c>
    </row>
    <row r="165" spans="1:13" ht="15.75" customHeight="1" x14ac:dyDescent="0.3">
      <c r="A165">
        <v>99</v>
      </c>
      <c r="B165" t="s">
        <v>144</v>
      </c>
      <c r="C165" t="s">
        <v>457</v>
      </c>
      <c r="D165" t="s">
        <v>473</v>
      </c>
      <c r="E165">
        <v>120</v>
      </c>
      <c r="F165" t="s">
        <v>135</v>
      </c>
      <c r="G165" t="s">
        <v>651</v>
      </c>
      <c r="H165" t="s">
        <v>651</v>
      </c>
      <c r="I165">
        <v>2</v>
      </c>
      <c r="J165">
        <v>0</v>
      </c>
      <c r="K165" t="s">
        <v>651</v>
      </c>
      <c r="M165">
        <v>1</v>
      </c>
    </row>
    <row r="166" spans="1:13" ht="15.75" customHeight="1" x14ac:dyDescent="0.3">
      <c r="A166">
        <v>99</v>
      </c>
      <c r="B166" t="s">
        <v>149</v>
      </c>
      <c r="C166" t="s">
        <v>480</v>
      </c>
      <c r="D166" t="s">
        <v>494</v>
      </c>
      <c r="E166">
        <v>90</v>
      </c>
      <c r="F166" t="s">
        <v>147</v>
      </c>
      <c r="G166" t="s">
        <v>651</v>
      </c>
      <c r="H166" t="s">
        <v>651</v>
      </c>
      <c r="I166">
        <v>4</v>
      </c>
      <c r="J166">
        <v>0</v>
      </c>
      <c r="K166" t="s">
        <v>651</v>
      </c>
      <c r="M166">
        <v>1</v>
      </c>
    </row>
    <row r="167" spans="1:13" ht="15.75" customHeight="1" x14ac:dyDescent="0.3">
      <c r="A167">
        <v>99</v>
      </c>
      <c r="B167" t="s">
        <v>149</v>
      </c>
      <c r="C167" t="s">
        <v>361</v>
      </c>
      <c r="D167" t="s">
        <v>375</v>
      </c>
      <c r="E167">
        <v>72</v>
      </c>
      <c r="F167" t="s">
        <v>147</v>
      </c>
      <c r="G167" t="s">
        <v>651</v>
      </c>
      <c r="H167" t="s">
        <v>651</v>
      </c>
      <c r="I167">
        <v>4</v>
      </c>
      <c r="J167">
        <v>0</v>
      </c>
      <c r="K167" t="s">
        <v>651</v>
      </c>
      <c r="M167">
        <v>1</v>
      </c>
    </row>
    <row r="168" spans="1:13" ht="15.75" customHeight="1" x14ac:dyDescent="0.3">
      <c r="A168">
        <v>99</v>
      </c>
      <c r="B168" t="s">
        <v>149</v>
      </c>
      <c r="C168" t="s">
        <v>457</v>
      </c>
      <c r="D168" t="s">
        <v>467</v>
      </c>
      <c r="E168">
        <v>70</v>
      </c>
      <c r="F168" t="s">
        <v>147</v>
      </c>
      <c r="G168" t="s">
        <v>651</v>
      </c>
      <c r="H168" t="s">
        <v>651</v>
      </c>
      <c r="I168">
        <v>4</v>
      </c>
      <c r="J168">
        <v>0</v>
      </c>
      <c r="K168" t="s">
        <v>651</v>
      </c>
      <c r="M168">
        <v>1</v>
      </c>
    </row>
    <row r="169" spans="1:13" ht="15.75" customHeight="1" x14ac:dyDescent="0.3">
      <c r="A169">
        <v>50</v>
      </c>
      <c r="B169" t="s">
        <v>129</v>
      </c>
      <c r="C169" t="s">
        <v>480</v>
      </c>
      <c r="D169" t="s">
        <v>482</v>
      </c>
      <c r="E169">
        <v>30</v>
      </c>
      <c r="F169" t="s">
        <v>150</v>
      </c>
      <c r="G169" t="s">
        <v>651</v>
      </c>
      <c r="H169" t="s">
        <v>651</v>
      </c>
      <c r="I169">
        <v>2</v>
      </c>
      <c r="J169">
        <v>0</v>
      </c>
      <c r="K169" t="s">
        <v>651</v>
      </c>
      <c r="M169">
        <v>1</v>
      </c>
    </row>
    <row r="170" spans="1:13" ht="15.75" customHeight="1" x14ac:dyDescent="0.3">
      <c r="A170">
        <v>50</v>
      </c>
      <c r="B170" t="s">
        <v>129</v>
      </c>
      <c r="C170" t="s">
        <v>480</v>
      </c>
      <c r="D170" t="s">
        <v>482</v>
      </c>
      <c r="E170">
        <v>30</v>
      </c>
      <c r="F170" t="s">
        <v>141</v>
      </c>
      <c r="G170" t="s">
        <v>651</v>
      </c>
      <c r="H170" t="s">
        <v>651</v>
      </c>
      <c r="I170">
        <v>2</v>
      </c>
      <c r="J170">
        <v>0</v>
      </c>
      <c r="K170" t="s">
        <v>651</v>
      </c>
      <c r="M170">
        <v>2</v>
      </c>
    </row>
    <row r="171" spans="1:13" ht="15.75" customHeight="1" x14ac:dyDescent="0.3">
      <c r="A171">
        <v>50</v>
      </c>
      <c r="B171" t="s">
        <v>129</v>
      </c>
      <c r="C171" t="s">
        <v>480</v>
      </c>
      <c r="D171" t="s">
        <v>482</v>
      </c>
      <c r="E171">
        <v>30</v>
      </c>
      <c r="F171" t="s">
        <v>138</v>
      </c>
      <c r="G171" t="s">
        <v>651</v>
      </c>
      <c r="H171" t="s">
        <v>651</v>
      </c>
      <c r="I171">
        <v>2</v>
      </c>
      <c r="J171">
        <v>0</v>
      </c>
      <c r="K171" t="s">
        <v>651</v>
      </c>
      <c r="M171">
        <v>1</v>
      </c>
    </row>
    <row r="172" spans="1:13" ht="15.75" customHeight="1" x14ac:dyDescent="0.3">
      <c r="A172">
        <v>50</v>
      </c>
      <c r="B172" t="s">
        <v>129</v>
      </c>
      <c r="C172" t="s">
        <v>480</v>
      </c>
      <c r="D172" t="s">
        <v>482</v>
      </c>
      <c r="E172">
        <v>30</v>
      </c>
      <c r="F172" t="s">
        <v>135</v>
      </c>
      <c r="G172" t="s">
        <v>651</v>
      </c>
      <c r="H172" t="s">
        <v>651</v>
      </c>
      <c r="I172">
        <v>2</v>
      </c>
      <c r="J172">
        <v>0</v>
      </c>
      <c r="K172" t="s">
        <v>651</v>
      </c>
      <c r="M172">
        <v>1</v>
      </c>
    </row>
    <row r="173" spans="1:13" ht="15.75" customHeight="1" x14ac:dyDescent="0.3">
      <c r="A173">
        <v>50</v>
      </c>
      <c r="B173" t="s">
        <v>129</v>
      </c>
      <c r="C173" t="s">
        <v>480</v>
      </c>
      <c r="D173" t="s">
        <v>482</v>
      </c>
      <c r="E173">
        <v>30</v>
      </c>
      <c r="F173" t="s">
        <v>147</v>
      </c>
      <c r="G173" t="s">
        <v>651</v>
      </c>
      <c r="H173" t="s">
        <v>651</v>
      </c>
      <c r="I173">
        <v>2</v>
      </c>
      <c r="J173">
        <v>0</v>
      </c>
      <c r="K173" t="s">
        <v>651</v>
      </c>
      <c r="M173">
        <v>1</v>
      </c>
    </row>
    <row r="174" spans="1:13" ht="15.75" customHeight="1" x14ac:dyDescent="0.3">
      <c r="A174">
        <v>50</v>
      </c>
      <c r="B174" t="s">
        <v>129</v>
      </c>
      <c r="C174" t="s">
        <v>480</v>
      </c>
      <c r="D174" t="s">
        <v>484</v>
      </c>
      <c r="E174">
        <v>40</v>
      </c>
      <c r="F174" t="s">
        <v>141</v>
      </c>
      <c r="G174" t="s">
        <v>651</v>
      </c>
      <c r="H174" t="s">
        <v>651</v>
      </c>
      <c r="I174">
        <v>2</v>
      </c>
      <c r="J174">
        <v>0</v>
      </c>
      <c r="K174" t="s">
        <v>651</v>
      </c>
      <c r="M174">
        <v>2</v>
      </c>
    </row>
    <row r="175" spans="1:13" ht="15.75" customHeight="1" x14ac:dyDescent="0.3">
      <c r="A175">
        <v>50</v>
      </c>
      <c r="B175" t="s">
        <v>129</v>
      </c>
      <c r="C175" t="s">
        <v>480</v>
      </c>
      <c r="D175" t="s">
        <v>484</v>
      </c>
      <c r="E175">
        <v>40</v>
      </c>
      <c r="F175" t="s">
        <v>141</v>
      </c>
      <c r="G175" t="s">
        <v>147</v>
      </c>
      <c r="H175" t="s">
        <v>651</v>
      </c>
      <c r="I175">
        <v>2</v>
      </c>
      <c r="J175">
        <v>0</v>
      </c>
      <c r="K175" t="s">
        <v>651</v>
      </c>
      <c r="M175">
        <v>1</v>
      </c>
    </row>
    <row r="176" spans="1:13" ht="15.75" customHeight="1" x14ac:dyDescent="0.3">
      <c r="A176">
        <v>50</v>
      </c>
      <c r="B176" t="s">
        <v>129</v>
      </c>
      <c r="C176" t="s">
        <v>480</v>
      </c>
      <c r="D176" t="s">
        <v>484</v>
      </c>
      <c r="E176">
        <v>40</v>
      </c>
      <c r="F176" t="s">
        <v>135</v>
      </c>
      <c r="G176" t="s">
        <v>140</v>
      </c>
      <c r="H176" t="s">
        <v>651</v>
      </c>
      <c r="I176">
        <v>2</v>
      </c>
      <c r="J176">
        <v>0</v>
      </c>
      <c r="K176" t="s">
        <v>651</v>
      </c>
      <c r="M176">
        <v>1</v>
      </c>
    </row>
    <row r="177" spans="1:13" ht="15.75" customHeight="1" x14ac:dyDescent="0.3">
      <c r="A177">
        <v>50</v>
      </c>
      <c r="B177" t="s">
        <v>129</v>
      </c>
      <c r="C177" t="s">
        <v>480</v>
      </c>
      <c r="D177" t="s">
        <v>488</v>
      </c>
      <c r="E177">
        <v>60</v>
      </c>
      <c r="F177" t="s">
        <v>147</v>
      </c>
      <c r="G177" t="s">
        <v>651</v>
      </c>
      <c r="H177" t="s">
        <v>651</v>
      </c>
      <c r="I177">
        <v>2</v>
      </c>
      <c r="J177">
        <v>0</v>
      </c>
      <c r="K177" t="s">
        <v>651</v>
      </c>
      <c r="M177">
        <v>1</v>
      </c>
    </row>
    <row r="178" spans="1:13" ht="15.75" customHeight="1" x14ac:dyDescent="0.3">
      <c r="A178">
        <v>50</v>
      </c>
      <c r="B178" t="s">
        <v>129</v>
      </c>
      <c r="C178" t="s">
        <v>361</v>
      </c>
      <c r="D178" t="s">
        <v>365</v>
      </c>
      <c r="E178">
        <v>28</v>
      </c>
      <c r="F178" t="s">
        <v>150</v>
      </c>
      <c r="G178" t="s">
        <v>651</v>
      </c>
      <c r="H178" t="s">
        <v>651</v>
      </c>
      <c r="I178">
        <v>2</v>
      </c>
      <c r="J178">
        <v>0</v>
      </c>
      <c r="K178" t="s">
        <v>651</v>
      </c>
      <c r="M178">
        <v>1</v>
      </c>
    </row>
    <row r="179" spans="1:13" ht="15.75" customHeight="1" x14ac:dyDescent="0.3">
      <c r="A179">
        <v>50</v>
      </c>
      <c r="B179" t="s">
        <v>129</v>
      </c>
      <c r="C179" t="s">
        <v>361</v>
      </c>
      <c r="D179" t="s">
        <v>365</v>
      </c>
      <c r="E179">
        <v>28</v>
      </c>
      <c r="F179" t="s">
        <v>141</v>
      </c>
      <c r="G179" t="s">
        <v>651</v>
      </c>
      <c r="H179" t="s">
        <v>651</v>
      </c>
      <c r="I179">
        <v>2</v>
      </c>
      <c r="J179">
        <v>0</v>
      </c>
      <c r="K179" t="s">
        <v>651</v>
      </c>
      <c r="M179">
        <v>2</v>
      </c>
    </row>
    <row r="180" spans="1:13" ht="15.75" customHeight="1" x14ac:dyDescent="0.3">
      <c r="A180">
        <v>50</v>
      </c>
      <c r="B180" t="s">
        <v>129</v>
      </c>
      <c r="C180" t="s">
        <v>361</v>
      </c>
      <c r="D180" t="s">
        <v>365</v>
      </c>
      <c r="E180">
        <v>28</v>
      </c>
      <c r="F180" t="s">
        <v>135</v>
      </c>
      <c r="G180" t="s">
        <v>651</v>
      </c>
      <c r="H180" t="s">
        <v>651</v>
      </c>
      <c r="I180">
        <v>2</v>
      </c>
      <c r="J180">
        <v>0</v>
      </c>
      <c r="K180" t="s">
        <v>651</v>
      </c>
      <c r="M180">
        <v>1</v>
      </c>
    </row>
    <row r="181" spans="1:13" ht="15.75" customHeight="1" x14ac:dyDescent="0.3">
      <c r="A181">
        <v>50</v>
      </c>
      <c r="B181" t="s">
        <v>129</v>
      </c>
      <c r="C181" t="s">
        <v>361</v>
      </c>
      <c r="D181" t="s">
        <v>367</v>
      </c>
      <c r="E181">
        <v>35</v>
      </c>
      <c r="F181" t="s">
        <v>141</v>
      </c>
      <c r="G181" t="s">
        <v>651</v>
      </c>
      <c r="H181" t="s">
        <v>651</v>
      </c>
      <c r="I181">
        <v>2</v>
      </c>
      <c r="J181">
        <v>0</v>
      </c>
      <c r="K181" t="s">
        <v>651</v>
      </c>
      <c r="M181">
        <v>1</v>
      </c>
    </row>
    <row r="182" spans="1:13" ht="15.75" customHeight="1" x14ac:dyDescent="0.3">
      <c r="A182">
        <v>50</v>
      </c>
      <c r="B182" t="s">
        <v>129</v>
      </c>
      <c r="C182" t="s">
        <v>361</v>
      </c>
      <c r="D182" t="s">
        <v>367</v>
      </c>
      <c r="E182">
        <v>35</v>
      </c>
      <c r="F182" t="s">
        <v>138</v>
      </c>
      <c r="G182" t="s">
        <v>651</v>
      </c>
      <c r="H182" t="s">
        <v>651</v>
      </c>
      <c r="I182">
        <v>2</v>
      </c>
      <c r="J182">
        <v>0</v>
      </c>
      <c r="K182" t="s">
        <v>651</v>
      </c>
      <c r="M182">
        <v>1</v>
      </c>
    </row>
    <row r="183" spans="1:13" ht="15.75" customHeight="1" x14ac:dyDescent="0.3">
      <c r="A183">
        <v>50</v>
      </c>
      <c r="B183" t="s">
        <v>129</v>
      </c>
      <c r="C183" t="s">
        <v>361</v>
      </c>
      <c r="D183" t="s">
        <v>369</v>
      </c>
      <c r="E183">
        <v>44</v>
      </c>
      <c r="F183" t="s">
        <v>141</v>
      </c>
      <c r="G183" t="s">
        <v>651</v>
      </c>
      <c r="H183" t="s">
        <v>651</v>
      </c>
      <c r="I183">
        <v>2</v>
      </c>
      <c r="J183">
        <v>0</v>
      </c>
      <c r="K183" t="s">
        <v>651</v>
      </c>
      <c r="M183">
        <v>2</v>
      </c>
    </row>
    <row r="184" spans="1:13" ht="15.75" customHeight="1" x14ac:dyDescent="0.3">
      <c r="A184">
        <v>50</v>
      </c>
      <c r="B184" t="s">
        <v>129</v>
      </c>
      <c r="C184" t="s">
        <v>361</v>
      </c>
      <c r="D184" t="s">
        <v>369</v>
      </c>
      <c r="E184">
        <v>44</v>
      </c>
      <c r="F184" t="s">
        <v>135</v>
      </c>
      <c r="G184" t="s">
        <v>651</v>
      </c>
      <c r="H184" t="s">
        <v>651</v>
      </c>
      <c r="I184">
        <v>2</v>
      </c>
      <c r="J184">
        <v>0</v>
      </c>
      <c r="K184" t="s">
        <v>651</v>
      </c>
      <c r="M184">
        <v>1</v>
      </c>
    </row>
    <row r="185" spans="1:13" ht="15.75" customHeight="1" x14ac:dyDescent="0.3">
      <c r="A185">
        <v>50</v>
      </c>
      <c r="B185" t="s">
        <v>129</v>
      </c>
      <c r="C185" t="s">
        <v>361</v>
      </c>
      <c r="D185" t="s">
        <v>371</v>
      </c>
      <c r="E185">
        <v>52</v>
      </c>
      <c r="F185" t="s">
        <v>147</v>
      </c>
      <c r="G185" t="s">
        <v>651</v>
      </c>
      <c r="H185" t="s">
        <v>651</v>
      </c>
      <c r="I185">
        <v>2</v>
      </c>
      <c r="J185">
        <v>0</v>
      </c>
      <c r="K185" t="s">
        <v>651</v>
      </c>
      <c r="M185">
        <v>1</v>
      </c>
    </row>
    <row r="186" spans="1:13" ht="15.75" customHeight="1" x14ac:dyDescent="0.3">
      <c r="A186">
        <v>50</v>
      </c>
      <c r="B186" t="s">
        <v>129</v>
      </c>
      <c r="C186" t="s">
        <v>361</v>
      </c>
      <c r="D186" t="s">
        <v>359</v>
      </c>
      <c r="E186">
        <v>17</v>
      </c>
      <c r="F186" t="s">
        <v>147</v>
      </c>
      <c r="G186" t="s">
        <v>651</v>
      </c>
      <c r="H186" t="s">
        <v>651</v>
      </c>
      <c r="I186">
        <v>2</v>
      </c>
      <c r="J186">
        <v>0</v>
      </c>
      <c r="K186" t="s">
        <v>651</v>
      </c>
      <c r="M186">
        <v>1</v>
      </c>
    </row>
    <row r="187" spans="1:13" ht="15.75" customHeight="1" x14ac:dyDescent="0.3">
      <c r="A187">
        <v>50</v>
      </c>
      <c r="B187" t="s">
        <v>129</v>
      </c>
      <c r="C187" t="s">
        <v>457</v>
      </c>
      <c r="D187" t="s">
        <v>459</v>
      </c>
      <c r="E187">
        <v>31</v>
      </c>
      <c r="F187" t="s">
        <v>150</v>
      </c>
      <c r="G187" t="s">
        <v>651</v>
      </c>
      <c r="H187" t="s">
        <v>651</v>
      </c>
      <c r="I187">
        <v>2</v>
      </c>
      <c r="J187">
        <v>0</v>
      </c>
      <c r="K187" t="s">
        <v>651</v>
      </c>
      <c r="M187">
        <v>1</v>
      </c>
    </row>
    <row r="188" spans="1:13" ht="15.75" customHeight="1" x14ac:dyDescent="0.3">
      <c r="A188">
        <v>50</v>
      </c>
      <c r="B188" t="s">
        <v>129</v>
      </c>
      <c r="C188" t="s">
        <v>457</v>
      </c>
      <c r="D188" t="s">
        <v>459</v>
      </c>
      <c r="E188">
        <v>31</v>
      </c>
      <c r="F188" t="s">
        <v>141</v>
      </c>
      <c r="G188" t="s">
        <v>651</v>
      </c>
      <c r="H188" t="s">
        <v>651</v>
      </c>
      <c r="I188">
        <v>2</v>
      </c>
      <c r="J188">
        <v>0</v>
      </c>
      <c r="K188" t="s">
        <v>651</v>
      </c>
      <c r="M188">
        <v>1</v>
      </c>
    </row>
    <row r="189" spans="1:13" ht="15.75" customHeight="1" x14ac:dyDescent="0.3">
      <c r="A189">
        <v>50</v>
      </c>
      <c r="B189" t="s">
        <v>129</v>
      </c>
      <c r="C189" t="s">
        <v>457</v>
      </c>
      <c r="D189" t="s">
        <v>459</v>
      </c>
      <c r="E189">
        <v>31</v>
      </c>
      <c r="F189" t="s">
        <v>138</v>
      </c>
      <c r="G189" t="s">
        <v>651</v>
      </c>
      <c r="H189" t="s">
        <v>651</v>
      </c>
      <c r="I189">
        <v>2</v>
      </c>
      <c r="J189">
        <v>0</v>
      </c>
      <c r="K189" t="s">
        <v>651</v>
      </c>
      <c r="M189">
        <v>1</v>
      </c>
    </row>
    <row r="190" spans="1:13" ht="15.75" customHeight="1" x14ac:dyDescent="0.3">
      <c r="A190">
        <v>50</v>
      </c>
      <c r="B190" t="s">
        <v>129</v>
      </c>
      <c r="C190" t="s">
        <v>457</v>
      </c>
      <c r="D190" t="s">
        <v>461</v>
      </c>
      <c r="E190">
        <v>39</v>
      </c>
      <c r="F190" t="s">
        <v>141</v>
      </c>
      <c r="G190" t="s">
        <v>651</v>
      </c>
      <c r="H190" t="s">
        <v>651</v>
      </c>
      <c r="I190">
        <v>2</v>
      </c>
      <c r="J190">
        <v>0</v>
      </c>
      <c r="K190" t="s">
        <v>651</v>
      </c>
      <c r="M190">
        <v>3</v>
      </c>
    </row>
    <row r="191" spans="1:13" ht="15.75" customHeight="1" x14ac:dyDescent="0.3">
      <c r="A191">
        <v>50</v>
      </c>
      <c r="B191" t="s">
        <v>129</v>
      </c>
      <c r="C191" t="s">
        <v>457</v>
      </c>
      <c r="D191" t="s">
        <v>461</v>
      </c>
      <c r="E191">
        <v>39</v>
      </c>
      <c r="F191" t="s">
        <v>135</v>
      </c>
      <c r="G191" t="s">
        <v>140</v>
      </c>
      <c r="H191" t="s">
        <v>651</v>
      </c>
      <c r="I191">
        <v>2</v>
      </c>
      <c r="J191">
        <v>0</v>
      </c>
      <c r="K191" t="s">
        <v>651</v>
      </c>
      <c r="M191">
        <v>1</v>
      </c>
    </row>
    <row r="192" spans="1:13" ht="15.75" customHeight="1" x14ac:dyDescent="0.3">
      <c r="A192">
        <v>50</v>
      </c>
      <c r="B192" t="s">
        <v>129</v>
      </c>
      <c r="C192" t="s">
        <v>457</v>
      </c>
      <c r="D192" t="s">
        <v>463</v>
      </c>
      <c r="E192">
        <v>50</v>
      </c>
      <c r="F192" t="s">
        <v>147</v>
      </c>
      <c r="G192" t="s">
        <v>651</v>
      </c>
      <c r="H192" t="s">
        <v>651</v>
      </c>
      <c r="I192">
        <v>2</v>
      </c>
      <c r="J192">
        <v>0</v>
      </c>
      <c r="K192" t="s">
        <v>651</v>
      </c>
      <c r="M192">
        <v>1</v>
      </c>
    </row>
    <row r="193" spans="1:13" ht="15.75" customHeight="1" x14ac:dyDescent="0.3">
      <c r="A193">
        <v>50</v>
      </c>
      <c r="B193" t="s">
        <v>129</v>
      </c>
      <c r="C193" t="s">
        <v>457</v>
      </c>
      <c r="D193" t="s">
        <v>456</v>
      </c>
      <c r="E193">
        <v>22.5</v>
      </c>
      <c r="F193" t="s">
        <v>141</v>
      </c>
      <c r="G193" t="s">
        <v>651</v>
      </c>
      <c r="H193" t="s">
        <v>651</v>
      </c>
      <c r="I193">
        <v>2</v>
      </c>
      <c r="J193">
        <v>0</v>
      </c>
      <c r="K193" t="s">
        <v>651</v>
      </c>
      <c r="M193">
        <v>1</v>
      </c>
    </row>
    <row r="194" spans="1:13" ht="15.75" customHeight="1" x14ac:dyDescent="0.3">
      <c r="A194">
        <v>50</v>
      </c>
      <c r="B194" t="s">
        <v>129</v>
      </c>
      <c r="C194" t="s">
        <v>457</v>
      </c>
      <c r="D194" t="s">
        <v>456</v>
      </c>
      <c r="E194">
        <v>22.5</v>
      </c>
      <c r="F194" t="s">
        <v>135</v>
      </c>
      <c r="G194" t="s">
        <v>651</v>
      </c>
      <c r="H194" t="s">
        <v>651</v>
      </c>
      <c r="I194">
        <v>2</v>
      </c>
      <c r="J194">
        <v>0</v>
      </c>
      <c r="K194" t="s">
        <v>651</v>
      </c>
      <c r="M194">
        <v>1</v>
      </c>
    </row>
    <row r="195" spans="1:13" ht="15.75" customHeight="1" x14ac:dyDescent="0.3">
      <c r="A195">
        <v>50</v>
      </c>
      <c r="B195" t="s">
        <v>129</v>
      </c>
      <c r="C195" t="s">
        <v>457</v>
      </c>
      <c r="D195" t="s">
        <v>456</v>
      </c>
      <c r="E195">
        <v>22.5</v>
      </c>
      <c r="F195" t="s">
        <v>147</v>
      </c>
      <c r="G195" t="s">
        <v>651</v>
      </c>
      <c r="H195" t="s">
        <v>651</v>
      </c>
      <c r="I195">
        <v>2</v>
      </c>
      <c r="J195">
        <v>0</v>
      </c>
      <c r="K195" t="s">
        <v>651</v>
      </c>
      <c r="M195">
        <v>1</v>
      </c>
    </row>
    <row r="196" spans="1:13" ht="15.75" customHeight="1" x14ac:dyDescent="0.3">
      <c r="A196">
        <v>50</v>
      </c>
      <c r="B196" t="s">
        <v>137</v>
      </c>
      <c r="C196" t="s">
        <v>480</v>
      </c>
      <c r="D196" t="s">
        <v>482</v>
      </c>
      <c r="E196">
        <v>30</v>
      </c>
      <c r="F196" t="s">
        <v>150</v>
      </c>
      <c r="G196" t="s">
        <v>651</v>
      </c>
      <c r="H196" t="s">
        <v>651</v>
      </c>
      <c r="I196">
        <v>6</v>
      </c>
      <c r="J196">
        <v>0</v>
      </c>
      <c r="K196" t="s">
        <v>651</v>
      </c>
      <c r="M196">
        <v>1</v>
      </c>
    </row>
    <row r="197" spans="1:13" ht="15.75" customHeight="1" x14ac:dyDescent="0.3">
      <c r="A197">
        <v>50</v>
      </c>
      <c r="B197" t="s">
        <v>137</v>
      </c>
      <c r="C197" t="s">
        <v>480</v>
      </c>
      <c r="D197" t="s">
        <v>482</v>
      </c>
      <c r="E197">
        <v>30</v>
      </c>
      <c r="F197" t="s">
        <v>141</v>
      </c>
      <c r="G197" t="s">
        <v>651</v>
      </c>
      <c r="H197" t="s">
        <v>651</v>
      </c>
      <c r="I197">
        <v>2</v>
      </c>
      <c r="J197">
        <v>0</v>
      </c>
      <c r="K197" t="s">
        <v>651</v>
      </c>
      <c r="M197">
        <v>1</v>
      </c>
    </row>
    <row r="198" spans="1:13" ht="15.75" customHeight="1" x14ac:dyDescent="0.3">
      <c r="A198">
        <v>50</v>
      </c>
      <c r="B198" t="s">
        <v>137</v>
      </c>
      <c r="C198" t="s">
        <v>480</v>
      </c>
      <c r="D198" t="s">
        <v>482</v>
      </c>
      <c r="E198">
        <v>30</v>
      </c>
      <c r="F198" t="s">
        <v>135</v>
      </c>
      <c r="G198" t="s">
        <v>651</v>
      </c>
      <c r="H198" t="s">
        <v>651</v>
      </c>
      <c r="I198">
        <v>2</v>
      </c>
      <c r="J198">
        <v>0</v>
      </c>
      <c r="K198" t="s">
        <v>651</v>
      </c>
      <c r="M198">
        <v>1</v>
      </c>
    </row>
    <row r="199" spans="1:13" ht="15.75" customHeight="1" x14ac:dyDescent="0.3">
      <c r="A199">
        <v>50</v>
      </c>
      <c r="B199" t="s">
        <v>137</v>
      </c>
      <c r="C199" t="s">
        <v>480</v>
      </c>
      <c r="D199" t="s">
        <v>484</v>
      </c>
      <c r="E199">
        <v>40</v>
      </c>
      <c r="F199" t="s">
        <v>141</v>
      </c>
      <c r="G199" t="s">
        <v>651</v>
      </c>
      <c r="H199" t="s">
        <v>651</v>
      </c>
      <c r="I199">
        <v>2</v>
      </c>
      <c r="J199">
        <v>0</v>
      </c>
      <c r="K199" t="s">
        <v>651</v>
      </c>
      <c r="M199">
        <v>6</v>
      </c>
    </row>
    <row r="200" spans="1:13" ht="15.75" customHeight="1" x14ac:dyDescent="0.3">
      <c r="A200">
        <v>50</v>
      </c>
      <c r="B200" t="s">
        <v>137</v>
      </c>
      <c r="C200" t="s">
        <v>480</v>
      </c>
      <c r="D200" t="s">
        <v>484</v>
      </c>
      <c r="E200">
        <v>40</v>
      </c>
      <c r="F200" t="s">
        <v>138</v>
      </c>
      <c r="G200" t="s">
        <v>651</v>
      </c>
      <c r="H200" t="s">
        <v>651</v>
      </c>
      <c r="I200">
        <v>2</v>
      </c>
      <c r="J200">
        <v>0</v>
      </c>
      <c r="K200" t="s">
        <v>651</v>
      </c>
      <c r="M200">
        <v>1</v>
      </c>
    </row>
    <row r="201" spans="1:13" ht="15.75" customHeight="1" x14ac:dyDescent="0.3">
      <c r="A201">
        <v>50</v>
      </c>
      <c r="B201" t="s">
        <v>137</v>
      </c>
      <c r="C201" t="s">
        <v>480</v>
      </c>
      <c r="D201" t="s">
        <v>484</v>
      </c>
      <c r="E201">
        <v>40</v>
      </c>
      <c r="F201" t="s">
        <v>135</v>
      </c>
      <c r="G201" t="s">
        <v>651</v>
      </c>
      <c r="H201" t="s">
        <v>651</v>
      </c>
      <c r="I201">
        <v>2</v>
      </c>
      <c r="J201">
        <v>0</v>
      </c>
      <c r="K201" t="s">
        <v>651</v>
      </c>
      <c r="M201">
        <v>1</v>
      </c>
    </row>
    <row r="202" spans="1:13" ht="15.75" customHeight="1" x14ac:dyDescent="0.3">
      <c r="A202">
        <v>50</v>
      </c>
      <c r="B202" t="s">
        <v>137</v>
      </c>
      <c r="C202" t="s">
        <v>480</v>
      </c>
      <c r="D202" t="s">
        <v>484</v>
      </c>
      <c r="E202">
        <v>40</v>
      </c>
      <c r="F202" t="s">
        <v>147</v>
      </c>
      <c r="G202" t="s">
        <v>651</v>
      </c>
      <c r="H202" t="s">
        <v>651</v>
      </c>
      <c r="I202">
        <v>2</v>
      </c>
      <c r="J202">
        <v>0</v>
      </c>
      <c r="K202" t="s">
        <v>651</v>
      </c>
      <c r="M202">
        <v>1</v>
      </c>
    </row>
    <row r="203" spans="1:13" ht="15.75" customHeight="1" x14ac:dyDescent="0.3">
      <c r="A203">
        <v>50</v>
      </c>
      <c r="B203" t="s">
        <v>137</v>
      </c>
      <c r="C203" t="s">
        <v>480</v>
      </c>
      <c r="D203" t="s">
        <v>488</v>
      </c>
      <c r="E203">
        <v>60</v>
      </c>
      <c r="F203" t="s">
        <v>135</v>
      </c>
      <c r="G203" t="s">
        <v>651</v>
      </c>
      <c r="H203" t="s">
        <v>651</v>
      </c>
      <c r="I203">
        <v>2</v>
      </c>
      <c r="J203">
        <v>0</v>
      </c>
      <c r="K203" t="s">
        <v>651</v>
      </c>
      <c r="M203">
        <v>1</v>
      </c>
    </row>
    <row r="204" spans="1:13" ht="15.75" customHeight="1" x14ac:dyDescent="0.3">
      <c r="A204">
        <v>50</v>
      </c>
      <c r="B204" t="s">
        <v>137</v>
      </c>
      <c r="C204" t="s">
        <v>480</v>
      </c>
      <c r="D204" t="s">
        <v>492</v>
      </c>
      <c r="E204">
        <v>80</v>
      </c>
      <c r="F204" t="s">
        <v>135</v>
      </c>
      <c r="G204" t="s">
        <v>651</v>
      </c>
      <c r="H204" t="s">
        <v>651</v>
      </c>
      <c r="I204">
        <v>4</v>
      </c>
      <c r="J204">
        <v>0</v>
      </c>
      <c r="K204" t="s">
        <v>651</v>
      </c>
      <c r="M204">
        <v>1</v>
      </c>
    </row>
    <row r="205" spans="1:13" ht="15.75" customHeight="1" x14ac:dyDescent="0.3">
      <c r="A205">
        <v>50</v>
      </c>
      <c r="B205" t="s">
        <v>137</v>
      </c>
      <c r="C205" t="s">
        <v>361</v>
      </c>
      <c r="D205" t="s">
        <v>365</v>
      </c>
      <c r="E205">
        <v>28</v>
      </c>
      <c r="F205" t="s">
        <v>150</v>
      </c>
      <c r="G205" t="s">
        <v>651</v>
      </c>
      <c r="H205" t="s">
        <v>651</v>
      </c>
      <c r="I205">
        <v>6</v>
      </c>
      <c r="J205">
        <v>0</v>
      </c>
      <c r="K205" t="s">
        <v>651</v>
      </c>
      <c r="M205">
        <v>1</v>
      </c>
    </row>
    <row r="206" spans="1:13" ht="15.75" customHeight="1" x14ac:dyDescent="0.3">
      <c r="A206">
        <v>50</v>
      </c>
      <c r="B206" t="s">
        <v>137</v>
      </c>
      <c r="C206" t="s">
        <v>361</v>
      </c>
      <c r="D206" t="s">
        <v>365</v>
      </c>
      <c r="E206">
        <v>28</v>
      </c>
      <c r="F206" t="s">
        <v>141</v>
      </c>
      <c r="G206" t="s">
        <v>651</v>
      </c>
      <c r="H206" t="s">
        <v>651</v>
      </c>
      <c r="I206">
        <v>2</v>
      </c>
      <c r="J206">
        <v>0</v>
      </c>
      <c r="K206" t="s">
        <v>651</v>
      </c>
      <c r="M206">
        <v>1</v>
      </c>
    </row>
    <row r="207" spans="1:13" ht="15.75" customHeight="1" x14ac:dyDescent="0.3">
      <c r="A207">
        <v>50</v>
      </c>
      <c r="B207" t="s">
        <v>137</v>
      </c>
      <c r="C207" t="s">
        <v>361</v>
      </c>
      <c r="D207" t="s">
        <v>367</v>
      </c>
      <c r="E207">
        <v>35</v>
      </c>
      <c r="F207" t="s">
        <v>141</v>
      </c>
      <c r="G207" t="s">
        <v>651</v>
      </c>
      <c r="H207" t="s">
        <v>651</v>
      </c>
      <c r="I207">
        <v>2</v>
      </c>
      <c r="J207">
        <v>0</v>
      </c>
      <c r="K207" t="s">
        <v>651</v>
      </c>
      <c r="M207">
        <v>1</v>
      </c>
    </row>
    <row r="208" spans="1:13" ht="15.75" customHeight="1" x14ac:dyDescent="0.3">
      <c r="A208">
        <v>50</v>
      </c>
      <c r="B208" t="s">
        <v>137</v>
      </c>
      <c r="C208" t="s">
        <v>361</v>
      </c>
      <c r="D208" t="s">
        <v>367</v>
      </c>
      <c r="E208">
        <v>35</v>
      </c>
      <c r="F208" t="s">
        <v>135</v>
      </c>
      <c r="G208" t="s">
        <v>651</v>
      </c>
      <c r="H208" t="s">
        <v>651</v>
      </c>
      <c r="I208">
        <v>2</v>
      </c>
      <c r="J208">
        <v>0</v>
      </c>
      <c r="K208" t="s">
        <v>651</v>
      </c>
      <c r="M208">
        <v>1</v>
      </c>
    </row>
    <row r="209" spans="1:13" ht="15.75" customHeight="1" x14ac:dyDescent="0.3">
      <c r="A209">
        <v>50</v>
      </c>
      <c r="B209" t="s">
        <v>137</v>
      </c>
      <c r="C209" t="s">
        <v>361</v>
      </c>
      <c r="D209" t="s">
        <v>369</v>
      </c>
      <c r="E209">
        <v>44</v>
      </c>
      <c r="F209" t="s">
        <v>141</v>
      </c>
      <c r="G209" t="s">
        <v>651</v>
      </c>
      <c r="H209" t="s">
        <v>651</v>
      </c>
      <c r="I209">
        <v>2</v>
      </c>
      <c r="J209">
        <v>0</v>
      </c>
      <c r="K209" t="s">
        <v>651</v>
      </c>
      <c r="M209">
        <v>4</v>
      </c>
    </row>
    <row r="210" spans="1:13" ht="15.75" customHeight="1" x14ac:dyDescent="0.3">
      <c r="A210">
        <v>50</v>
      </c>
      <c r="B210" t="s">
        <v>137</v>
      </c>
      <c r="C210" t="s">
        <v>361</v>
      </c>
      <c r="D210" t="s">
        <v>369</v>
      </c>
      <c r="E210">
        <v>44</v>
      </c>
      <c r="F210" t="s">
        <v>147</v>
      </c>
      <c r="G210" t="s">
        <v>651</v>
      </c>
      <c r="H210" t="s">
        <v>651</v>
      </c>
      <c r="I210">
        <v>2</v>
      </c>
      <c r="J210">
        <v>0</v>
      </c>
      <c r="K210" t="s">
        <v>651</v>
      </c>
      <c r="M210">
        <v>1</v>
      </c>
    </row>
    <row r="211" spans="1:13" ht="15.75" customHeight="1" x14ac:dyDescent="0.3">
      <c r="A211">
        <v>50</v>
      </c>
      <c r="B211" t="s">
        <v>137</v>
      </c>
      <c r="C211" t="s">
        <v>361</v>
      </c>
      <c r="D211" t="s">
        <v>373</v>
      </c>
      <c r="E211">
        <v>65</v>
      </c>
      <c r="F211" t="s">
        <v>135</v>
      </c>
      <c r="G211" t="s">
        <v>651</v>
      </c>
      <c r="H211" t="s">
        <v>651</v>
      </c>
      <c r="I211">
        <v>2</v>
      </c>
      <c r="J211">
        <v>0</v>
      </c>
      <c r="K211" t="s">
        <v>651</v>
      </c>
      <c r="M211">
        <v>1</v>
      </c>
    </row>
    <row r="212" spans="1:13" ht="15.75" customHeight="1" x14ac:dyDescent="0.3">
      <c r="A212">
        <v>50</v>
      </c>
      <c r="B212" t="s">
        <v>137</v>
      </c>
      <c r="C212" t="s">
        <v>361</v>
      </c>
      <c r="D212" t="s">
        <v>375</v>
      </c>
      <c r="E212">
        <v>72</v>
      </c>
      <c r="F212" t="s">
        <v>135</v>
      </c>
      <c r="G212" t="s">
        <v>651</v>
      </c>
      <c r="H212" t="s">
        <v>651</v>
      </c>
      <c r="I212">
        <v>4</v>
      </c>
      <c r="J212">
        <v>0</v>
      </c>
      <c r="K212" t="s">
        <v>651</v>
      </c>
      <c r="M212">
        <v>1</v>
      </c>
    </row>
    <row r="213" spans="1:13" ht="15.75" customHeight="1" x14ac:dyDescent="0.3">
      <c r="A213">
        <v>50</v>
      </c>
      <c r="B213" t="s">
        <v>137</v>
      </c>
      <c r="C213" t="s">
        <v>361</v>
      </c>
      <c r="D213" t="s">
        <v>371</v>
      </c>
      <c r="E213">
        <v>52</v>
      </c>
      <c r="F213" t="s">
        <v>141</v>
      </c>
      <c r="G213" t="s">
        <v>651</v>
      </c>
      <c r="H213" t="s">
        <v>651</v>
      </c>
      <c r="I213">
        <v>2</v>
      </c>
      <c r="J213">
        <v>0</v>
      </c>
      <c r="K213" t="s">
        <v>651</v>
      </c>
      <c r="M213">
        <v>1</v>
      </c>
    </row>
    <row r="214" spans="1:13" ht="15.75" customHeight="1" x14ac:dyDescent="0.3">
      <c r="A214">
        <v>50</v>
      </c>
      <c r="B214" t="s">
        <v>137</v>
      </c>
      <c r="C214" t="s">
        <v>361</v>
      </c>
      <c r="D214" t="s">
        <v>371</v>
      </c>
      <c r="E214">
        <v>52</v>
      </c>
      <c r="F214" t="s">
        <v>138</v>
      </c>
      <c r="G214" t="s">
        <v>651</v>
      </c>
      <c r="H214" t="s">
        <v>651</v>
      </c>
      <c r="I214">
        <v>2</v>
      </c>
      <c r="J214">
        <v>0</v>
      </c>
      <c r="K214" t="s">
        <v>651</v>
      </c>
      <c r="M214">
        <v>1</v>
      </c>
    </row>
    <row r="215" spans="1:13" ht="15.75" customHeight="1" x14ac:dyDescent="0.3">
      <c r="A215">
        <v>50</v>
      </c>
      <c r="B215" t="s">
        <v>137</v>
      </c>
      <c r="C215" t="s">
        <v>361</v>
      </c>
      <c r="D215" t="s">
        <v>371</v>
      </c>
      <c r="E215">
        <v>52</v>
      </c>
      <c r="F215" t="s">
        <v>135</v>
      </c>
      <c r="G215" t="s">
        <v>651</v>
      </c>
      <c r="H215" t="s">
        <v>651</v>
      </c>
      <c r="I215">
        <v>2</v>
      </c>
      <c r="J215">
        <v>0</v>
      </c>
      <c r="K215" t="s">
        <v>651</v>
      </c>
      <c r="M215">
        <v>1</v>
      </c>
    </row>
    <row r="216" spans="1:13" ht="15.75" customHeight="1" x14ac:dyDescent="0.3">
      <c r="A216">
        <v>50</v>
      </c>
      <c r="B216" t="s">
        <v>137</v>
      </c>
      <c r="C216" t="s">
        <v>457</v>
      </c>
      <c r="D216" t="s">
        <v>459</v>
      </c>
      <c r="E216">
        <v>31</v>
      </c>
      <c r="F216" t="s">
        <v>150</v>
      </c>
      <c r="G216" t="s">
        <v>651</v>
      </c>
      <c r="H216" t="s">
        <v>651</v>
      </c>
      <c r="I216">
        <v>6</v>
      </c>
      <c r="J216">
        <v>0</v>
      </c>
      <c r="K216" t="s">
        <v>651</v>
      </c>
      <c r="M216">
        <v>1</v>
      </c>
    </row>
    <row r="217" spans="1:13" ht="15.75" customHeight="1" x14ac:dyDescent="0.3">
      <c r="A217">
        <v>50</v>
      </c>
      <c r="B217" t="s">
        <v>137</v>
      </c>
      <c r="C217" t="s">
        <v>457</v>
      </c>
      <c r="D217" t="s">
        <v>459</v>
      </c>
      <c r="E217">
        <v>31</v>
      </c>
      <c r="F217" t="s">
        <v>141</v>
      </c>
      <c r="G217" t="s">
        <v>651</v>
      </c>
      <c r="H217" t="s">
        <v>651</v>
      </c>
      <c r="I217">
        <v>2</v>
      </c>
      <c r="J217">
        <v>0</v>
      </c>
      <c r="K217" t="s">
        <v>651</v>
      </c>
      <c r="M217">
        <v>1</v>
      </c>
    </row>
    <row r="218" spans="1:13" ht="15.75" customHeight="1" x14ac:dyDescent="0.3">
      <c r="A218">
        <v>50</v>
      </c>
      <c r="B218" t="s">
        <v>137</v>
      </c>
      <c r="C218" t="s">
        <v>457</v>
      </c>
      <c r="D218" t="s">
        <v>459</v>
      </c>
      <c r="E218">
        <v>31</v>
      </c>
      <c r="F218" t="s">
        <v>135</v>
      </c>
      <c r="G218" t="s">
        <v>651</v>
      </c>
      <c r="H218" t="s">
        <v>651</v>
      </c>
      <c r="I218">
        <v>2</v>
      </c>
      <c r="J218">
        <v>0</v>
      </c>
      <c r="K218" t="s">
        <v>651</v>
      </c>
      <c r="M218">
        <v>1</v>
      </c>
    </row>
    <row r="219" spans="1:13" ht="15.75" customHeight="1" x14ac:dyDescent="0.3">
      <c r="A219">
        <v>50</v>
      </c>
      <c r="B219" t="s">
        <v>137</v>
      </c>
      <c r="C219" t="s">
        <v>457</v>
      </c>
      <c r="D219" t="s">
        <v>461</v>
      </c>
      <c r="E219">
        <v>39</v>
      </c>
      <c r="F219" t="s">
        <v>141</v>
      </c>
      <c r="G219" t="s">
        <v>651</v>
      </c>
      <c r="H219" t="s">
        <v>651</v>
      </c>
      <c r="I219">
        <v>2</v>
      </c>
      <c r="J219">
        <v>0</v>
      </c>
      <c r="K219" t="s">
        <v>651</v>
      </c>
      <c r="M219">
        <v>5</v>
      </c>
    </row>
    <row r="220" spans="1:13" ht="15.75" customHeight="1" x14ac:dyDescent="0.3">
      <c r="A220">
        <v>50</v>
      </c>
      <c r="B220" t="s">
        <v>137</v>
      </c>
      <c r="C220" t="s">
        <v>457</v>
      </c>
      <c r="D220" t="s">
        <v>461</v>
      </c>
      <c r="E220">
        <v>39</v>
      </c>
      <c r="F220" t="s">
        <v>147</v>
      </c>
      <c r="G220" t="s">
        <v>651</v>
      </c>
      <c r="H220" t="s">
        <v>651</v>
      </c>
      <c r="I220">
        <v>2</v>
      </c>
      <c r="J220">
        <v>0</v>
      </c>
      <c r="K220" t="s">
        <v>651</v>
      </c>
      <c r="M220">
        <v>1</v>
      </c>
    </row>
    <row r="221" spans="1:13" ht="15.75" customHeight="1" x14ac:dyDescent="0.3">
      <c r="A221">
        <v>50</v>
      </c>
      <c r="B221" t="s">
        <v>137</v>
      </c>
      <c r="C221" t="s">
        <v>457</v>
      </c>
      <c r="D221" t="s">
        <v>463</v>
      </c>
      <c r="E221">
        <v>50</v>
      </c>
      <c r="F221" t="s">
        <v>141</v>
      </c>
      <c r="G221" t="s">
        <v>651</v>
      </c>
      <c r="H221" t="s">
        <v>651</v>
      </c>
      <c r="I221">
        <v>2</v>
      </c>
      <c r="J221">
        <v>0</v>
      </c>
      <c r="K221" t="s">
        <v>651</v>
      </c>
      <c r="M221">
        <v>1</v>
      </c>
    </row>
    <row r="222" spans="1:13" ht="15.75" customHeight="1" x14ac:dyDescent="0.3">
      <c r="A222">
        <v>50</v>
      </c>
      <c r="B222" t="s">
        <v>137</v>
      </c>
      <c r="C222" t="s">
        <v>457</v>
      </c>
      <c r="D222" t="s">
        <v>463</v>
      </c>
      <c r="E222">
        <v>50</v>
      </c>
      <c r="F222" t="s">
        <v>138</v>
      </c>
      <c r="G222" t="s">
        <v>651</v>
      </c>
      <c r="H222" t="s">
        <v>651</v>
      </c>
      <c r="I222">
        <v>2</v>
      </c>
      <c r="J222">
        <v>0</v>
      </c>
      <c r="K222" t="s">
        <v>651</v>
      </c>
      <c r="M222">
        <v>1</v>
      </c>
    </row>
    <row r="223" spans="1:13" ht="15.75" customHeight="1" x14ac:dyDescent="0.3">
      <c r="A223">
        <v>50</v>
      </c>
      <c r="B223" t="s">
        <v>137</v>
      </c>
      <c r="C223" t="s">
        <v>457</v>
      </c>
      <c r="D223" t="s">
        <v>463</v>
      </c>
      <c r="E223">
        <v>50</v>
      </c>
      <c r="F223" t="s">
        <v>135</v>
      </c>
      <c r="G223" t="s">
        <v>651</v>
      </c>
      <c r="H223" t="s">
        <v>651</v>
      </c>
      <c r="I223">
        <v>2</v>
      </c>
      <c r="J223">
        <v>0</v>
      </c>
      <c r="K223" t="s">
        <v>651</v>
      </c>
      <c r="M223">
        <v>1</v>
      </c>
    </row>
    <row r="224" spans="1:13" ht="15.75" customHeight="1" x14ac:dyDescent="0.3">
      <c r="A224">
        <v>50</v>
      </c>
      <c r="B224" t="s">
        <v>137</v>
      </c>
      <c r="C224" t="s">
        <v>457</v>
      </c>
      <c r="D224" t="s">
        <v>467</v>
      </c>
      <c r="E224">
        <v>70</v>
      </c>
      <c r="F224" t="s">
        <v>135</v>
      </c>
      <c r="G224" t="s">
        <v>651</v>
      </c>
      <c r="H224" t="s">
        <v>651</v>
      </c>
      <c r="I224">
        <v>2</v>
      </c>
      <c r="J224">
        <v>0</v>
      </c>
      <c r="K224" t="s">
        <v>651</v>
      </c>
      <c r="M224">
        <v>1</v>
      </c>
    </row>
    <row r="225" spans="1:13" ht="15.75" customHeight="1" x14ac:dyDescent="0.3">
      <c r="A225">
        <v>50</v>
      </c>
      <c r="B225" t="s">
        <v>137</v>
      </c>
      <c r="C225" t="s">
        <v>457</v>
      </c>
      <c r="D225" t="s">
        <v>467</v>
      </c>
      <c r="E225">
        <v>70</v>
      </c>
      <c r="F225" t="s">
        <v>135</v>
      </c>
      <c r="I225">
        <v>4</v>
      </c>
      <c r="J225">
        <v>0</v>
      </c>
      <c r="K225" t="s">
        <v>651</v>
      </c>
      <c r="M225">
        <v>1</v>
      </c>
    </row>
    <row r="226" spans="1:13" ht="15.75" customHeight="1" x14ac:dyDescent="0.3">
      <c r="A226">
        <v>50</v>
      </c>
      <c r="B226" t="s">
        <v>144</v>
      </c>
      <c r="C226" t="s">
        <v>480</v>
      </c>
      <c r="D226" t="s">
        <v>498</v>
      </c>
      <c r="E226">
        <v>120</v>
      </c>
      <c r="F226" t="s">
        <v>135</v>
      </c>
      <c r="G226" t="s">
        <v>651</v>
      </c>
      <c r="H226" t="s">
        <v>308</v>
      </c>
      <c r="I226">
        <v>4</v>
      </c>
      <c r="J226">
        <v>0</v>
      </c>
      <c r="K226">
        <v>1</v>
      </c>
      <c r="M226">
        <v>1</v>
      </c>
    </row>
    <row r="227" spans="1:13" ht="15.75" customHeight="1" x14ac:dyDescent="0.3">
      <c r="A227">
        <v>50</v>
      </c>
      <c r="B227" t="s">
        <v>144</v>
      </c>
      <c r="C227" t="s">
        <v>480</v>
      </c>
      <c r="D227" t="s">
        <v>502</v>
      </c>
      <c r="E227">
        <v>183</v>
      </c>
      <c r="F227" t="s">
        <v>135</v>
      </c>
      <c r="G227" t="s">
        <v>651</v>
      </c>
      <c r="H227" t="s">
        <v>651</v>
      </c>
      <c r="I227">
        <v>4</v>
      </c>
      <c r="J227">
        <v>0</v>
      </c>
      <c r="K227" t="s">
        <v>651</v>
      </c>
      <c r="M227">
        <v>1</v>
      </c>
    </row>
    <row r="228" spans="1:13" ht="15.75" customHeight="1" x14ac:dyDescent="0.3">
      <c r="A228">
        <v>50</v>
      </c>
      <c r="B228" t="s">
        <v>144</v>
      </c>
      <c r="C228" t="s">
        <v>480</v>
      </c>
      <c r="D228" t="s">
        <v>500</v>
      </c>
      <c r="E228">
        <v>150</v>
      </c>
      <c r="F228" t="s">
        <v>135</v>
      </c>
      <c r="G228" t="s">
        <v>651</v>
      </c>
      <c r="H228" t="s">
        <v>651</v>
      </c>
      <c r="I228">
        <v>4</v>
      </c>
      <c r="J228">
        <v>0</v>
      </c>
      <c r="K228" t="s">
        <v>651</v>
      </c>
      <c r="M228">
        <v>1</v>
      </c>
    </row>
    <row r="229" spans="1:13" ht="15.75" customHeight="1" x14ac:dyDescent="0.3">
      <c r="A229">
        <v>50</v>
      </c>
      <c r="B229" t="s">
        <v>144</v>
      </c>
      <c r="C229" t="s">
        <v>480</v>
      </c>
      <c r="D229" t="s">
        <v>500</v>
      </c>
      <c r="E229">
        <v>150</v>
      </c>
      <c r="F229" t="s">
        <v>135</v>
      </c>
      <c r="H229" t="s">
        <v>304</v>
      </c>
      <c r="I229">
        <v>4</v>
      </c>
      <c r="J229">
        <v>0</v>
      </c>
      <c r="K229">
        <v>1</v>
      </c>
      <c r="M229">
        <v>1</v>
      </c>
    </row>
    <row r="230" spans="1:13" ht="15.75" customHeight="1" x14ac:dyDescent="0.3">
      <c r="A230">
        <v>50</v>
      </c>
      <c r="B230" t="s">
        <v>144</v>
      </c>
      <c r="C230" t="s">
        <v>480</v>
      </c>
      <c r="D230" t="s">
        <v>496</v>
      </c>
      <c r="E230">
        <v>100</v>
      </c>
      <c r="F230" t="s">
        <v>141</v>
      </c>
      <c r="G230" t="s">
        <v>651</v>
      </c>
      <c r="H230" t="s">
        <v>304</v>
      </c>
      <c r="I230">
        <v>2</v>
      </c>
      <c r="J230">
        <v>0</v>
      </c>
      <c r="K230">
        <v>1</v>
      </c>
      <c r="M230">
        <v>1</v>
      </c>
    </row>
    <row r="231" spans="1:13" ht="15.75" customHeight="1" x14ac:dyDescent="0.3">
      <c r="A231">
        <v>50</v>
      </c>
      <c r="B231" t="s">
        <v>144</v>
      </c>
      <c r="C231" t="s">
        <v>480</v>
      </c>
      <c r="D231" t="s">
        <v>496</v>
      </c>
      <c r="E231">
        <v>100</v>
      </c>
      <c r="F231" t="s">
        <v>135</v>
      </c>
      <c r="G231" t="s">
        <v>651</v>
      </c>
      <c r="H231" t="s">
        <v>651</v>
      </c>
      <c r="I231">
        <v>4</v>
      </c>
      <c r="J231">
        <v>0</v>
      </c>
      <c r="K231" t="s">
        <v>651</v>
      </c>
      <c r="M231">
        <v>1</v>
      </c>
    </row>
    <row r="232" spans="1:13" ht="15.75" customHeight="1" x14ac:dyDescent="0.3">
      <c r="A232">
        <v>50</v>
      </c>
      <c r="B232" t="s">
        <v>144</v>
      </c>
      <c r="C232" t="s">
        <v>480</v>
      </c>
      <c r="D232" t="s">
        <v>496</v>
      </c>
      <c r="E232">
        <v>100</v>
      </c>
      <c r="F232" t="s">
        <v>147</v>
      </c>
      <c r="G232" t="s">
        <v>651</v>
      </c>
      <c r="H232" t="s">
        <v>651</v>
      </c>
      <c r="I232">
        <v>4</v>
      </c>
      <c r="J232">
        <v>0</v>
      </c>
      <c r="K232" t="s">
        <v>651</v>
      </c>
      <c r="M232">
        <v>1</v>
      </c>
    </row>
    <row r="233" spans="1:13" ht="15.75" customHeight="1" x14ac:dyDescent="0.3">
      <c r="A233">
        <v>50</v>
      </c>
      <c r="B233" t="s">
        <v>144</v>
      </c>
      <c r="C233" t="s">
        <v>361</v>
      </c>
      <c r="D233" t="s">
        <v>379</v>
      </c>
      <c r="E233">
        <v>100</v>
      </c>
      <c r="F233" t="s">
        <v>135</v>
      </c>
      <c r="G233" t="s">
        <v>651</v>
      </c>
      <c r="H233" t="s">
        <v>651</v>
      </c>
      <c r="I233">
        <v>4</v>
      </c>
      <c r="J233">
        <v>0</v>
      </c>
      <c r="K233" t="s">
        <v>651</v>
      </c>
      <c r="M233">
        <v>1</v>
      </c>
    </row>
    <row r="234" spans="1:13" ht="15.75" customHeight="1" x14ac:dyDescent="0.3">
      <c r="A234">
        <v>50</v>
      </c>
      <c r="B234" t="s">
        <v>144</v>
      </c>
      <c r="C234" t="s">
        <v>361</v>
      </c>
      <c r="D234" t="s">
        <v>417</v>
      </c>
      <c r="E234">
        <v>200</v>
      </c>
      <c r="F234" t="s">
        <v>141</v>
      </c>
      <c r="G234" t="s">
        <v>651</v>
      </c>
      <c r="H234" t="s">
        <v>651</v>
      </c>
      <c r="I234">
        <v>2</v>
      </c>
      <c r="J234">
        <v>0</v>
      </c>
      <c r="K234" t="s">
        <v>651</v>
      </c>
      <c r="M234">
        <v>1</v>
      </c>
    </row>
    <row r="235" spans="1:13" ht="15.75" customHeight="1" x14ac:dyDescent="0.3">
      <c r="A235">
        <v>50</v>
      </c>
      <c r="B235" t="s">
        <v>144</v>
      </c>
      <c r="C235" t="s">
        <v>361</v>
      </c>
      <c r="D235" t="s">
        <v>417</v>
      </c>
      <c r="E235">
        <v>200</v>
      </c>
      <c r="F235" t="s">
        <v>135</v>
      </c>
      <c r="G235" t="s">
        <v>147</v>
      </c>
      <c r="H235" t="s">
        <v>651</v>
      </c>
      <c r="I235">
        <v>4</v>
      </c>
      <c r="J235">
        <v>0</v>
      </c>
      <c r="K235" t="s">
        <v>651</v>
      </c>
      <c r="M235">
        <v>1</v>
      </c>
    </row>
    <row r="236" spans="1:13" ht="15.75" customHeight="1" x14ac:dyDescent="0.3">
      <c r="A236">
        <v>50</v>
      </c>
      <c r="B236" t="s">
        <v>144</v>
      </c>
      <c r="C236" t="s">
        <v>361</v>
      </c>
      <c r="D236" t="s">
        <v>383</v>
      </c>
      <c r="E236">
        <v>140</v>
      </c>
      <c r="F236" t="s">
        <v>135</v>
      </c>
      <c r="G236" t="s">
        <v>651</v>
      </c>
      <c r="H236" t="s">
        <v>651</v>
      </c>
      <c r="I236">
        <v>4</v>
      </c>
      <c r="J236">
        <v>0</v>
      </c>
      <c r="K236" t="s">
        <v>651</v>
      </c>
      <c r="M236">
        <v>1</v>
      </c>
    </row>
    <row r="237" spans="1:13" ht="15.75" customHeight="1" x14ac:dyDescent="0.3">
      <c r="A237">
        <v>50</v>
      </c>
      <c r="B237" t="s">
        <v>144</v>
      </c>
      <c r="C237" t="s">
        <v>361</v>
      </c>
      <c r="D237" t="s">
        <v>383</v>
      </c>
      <c r="E237">
        <v>140</v>
      </c>
      <c r="F237" t="s">
        <v>135</v>
      </c>
      <c r="H237" t="s">
        <v>304</v>
      </c>
      <c r="I237">
        <v>4</v>
      </c>
      <c r="J237">
        <v>0</v>
      </c>
      <c r="K237">
        <v>1</v>
      </c>
      <c r="M237">
        <v>1</v>
      </c>
    </row>
    <row r="238" spans="1:13" ht="15.75" customHeight="1" x14ac:dyDescent="0.3">
      <c r="A238">
        <v>50</v>
      </c>
      <c r="B238" t="s">
        <v>144</v>
      </c>
      <c r="C238" t="s">
        <v>361</v>
      </c>
      <c r="D238" t="s">
        <v>437</v>
      </c>
      <c r="E238">
        <v>120</v>
      </c>
      <c r="F238" t="s">
        <v>147</v>
      </c>
      <c r="G238" t="s">
        <v>651</v>
      </c>
      <c r="H238" t="s">
        <v>651</v>
      </c>
      <c r="I238">
        <v>4</v>
      </c>
      <c r="J238">
        <v>0</v>
      </c>
      <c r="K238" t="s">
        <v>651</v>
      </c>
      <c r="M238">
        <v>1</v>
      </c>
    </row>
    <row r="239" spans="1:13" ht="15.75" customHeight="1" x14ac:dyDescent="0.3">
      <c r="A239">
        <v>50</v>
      </c>
      <c r="B239" t="s">
        <v>144</v>
      </c>
      <c r="C239" t="s">
        <v>361</v>
      </c>
      <c r="D239" t="s">
        <v>449</v>
      </c>
      <c r="E239">
        <v>190</v>
      </c>
      <c r="F239" t="s">
        <v>135</v>
      </c>
      <c r="G239" t="s">
        <v>140</v>
      </c>
      <c r="H239" t="s">
        <v>651</v>
      </c>
      <c r="I239">
        <v>4</v>
      </c>
      <c r="J239">
        <v>0</v>
      </c>
      <c r="K239" t="s">
        <v>651</v>
      </c>
      <c r="M239">
        <v>1</v>
      </c>
    </row>
    <row r="240" spans="1:13" ht="15.75" customHeight="1" x14ac:dyDescent="0.3">
      <c r="A240">
        <v>50</v>
      </c>
      <c r="B240" t="s">
        <v>144</v>
      </c>
      <c r="C240" t="s">
        <v>457</v>
      </c>
      <c r="D240" t="s">
        <v>475</v>
      </c>
      <c r="E240">
        <v>137</v>
      </c>
      <c r="F240" t="s">
        <v>135</v>
      </c>
      <c r="G240" t="s">
        <v>651</v>
      </c>
      <c r="H240" t="s">
        <v>651</v>
      </c>
      <c r="I240">
        <v>4</v>
      </c>
      <c r="J240">
        <v>0</v>
      </c>
      <c r="K240" t="s">
        <v>651</v>
      </c>
      <c r="M240">
        <v>1</v>
      </c>
    </row>
    <row r="241" spans="1:13" ht="15.75" customHeight="1" x14ac:dyDescent="0.3">
      <c r="A241">
        <v>50</v>
      </c>
      <c r="B241" t="s">
        <v>144</v>
      </c>
      <c r="C241" t="s">
        <v>457</v>
      </c>
      <c r="D241" t="s">
        <v>475</v>
      </c>
      <c r="E241">
        <v>137</v>
      </c>
      <c r="F241" t="s">
        <v>135</v>
      </c>
      <c r="H241" t="s">
        <v>304</v>
      </c>
      <c r="I241">
        <v>4</v>
      </c>
      <c r="J241">
        <v>0</v>
      </c>
      <c r="K241">
        <v>1</v>
      </c>
      <c r="M241">
        <v>1</v>
      </c>
    </row>
    <row r="242" spans="1:13" ht="15.75" customHeight="1" x14ac:dyDescent="0.3">
      <c r="A242">
        <v>50</v>
      </c>
      <c r="B242" t="s">
        <v>144</v>
      </c>
      <c r="C242" t="s">
        <v>457</v>
      </c>
      <c r="D242" t="s">
        <v>471</v>
      </c>
      <c r="E242">
        <v>90</v>
      </c>
      <c r="F242" t="s">
        <v>141</v>
      </c>
      <c r="G242" t="s">
        <v>138</v>
      </c>
      <c r="H242" t="s">
        <v>317</v>
      </c>
      <c r="I242">
        <v>2</v>
      </c>
      <c r="J242">
        <v>0</v>
      </c>
      <c r="K242" t="s">
        <v>651</v>
      </c>
      <c r="L242">
        <v>2</v>
      </c>
      <c r="M242">
        <v>1</v>
      </c>
    </row>
    <row r="243" spans="1:13" ht="15.75" customHeight="1" x14ac:dyDescent="0.3">
      <c r="A243">
        <v>50</v>
      </c>
      <c r="B243" t="s">
        <v>144</v>
      </c>
      <c r="C243" t="s">
        <v>457</v>
      </c>
      <c r="D243" t="s">
        <v>471</v>
      </c>
      <c r="E243">
        <v>90</v>
      </c>
      <c r="F243" t="s">
        <v>135</v>
      </c>
      <c r="G243" t="s">
        <v>651</v>
      </c>
      <c r="H243" t="s">
        <v>651</v>
      </c>
      <c r="I243">
        <v>4</v>
      </c>
      <c r="J243">
        <v>0</v>
      </c>
      <c r="K243" t="s">
        <v>651</v>
      </c>
      <c r="M243">
        <v>1</v>
      </c>
    </row>
    <row r="244" spans="1:13" ht="15.75" customHeight="1" x14ac:dyDescent="0.3">
      <c r="A244">
        <v>50</v>
      </c>
      <c r="B244" t="s">
        <v>144</v>
      </c>
      <c r="C244" t="s">
        <v>457</v>
      </c>
      <c r="D244" t="s">
        <v>471</v>
      </c>
      <c r="E244">
        <v>90</v>
      </c>
      <c r="F244" t="s">
        <v>135</v>
      </c>
      <c r="H244" t="s">
        <v>308</v>
      </c>
      <c r="I244">
        <v>4</v>
      </c>
      <c r="J244">
        <v>0</v>
      </c>
      <c r="K244">
        <v>1</v>
      </c>
      <c r="M244">
        <v>2</v>
      </c>
    </row>
    <row r="245" spans="1:13" ht="15.75" customHeight="1" x14ac:dyDescent="0.3">
      <c r="A245">
        <v>50</v>
      </c>
      <c r="B245" t="s">
        <v>144</v>
      </c>
      <c r="C245" t="s">
        <v>457</v>
      </c>
      <c r="D245" t="s">
        <v>471</v>
      </c>
      <c r="E245">
        <v>90</v>
      </c>
      <c r="F245" t="s">
        <v>147</v>
      </c>
      <c r="G245" t="s">
        <v>651</v>
      </c>
      <c r="H245" t="s">
        <v>651</v>
      </c>
      <c r="I245">
        <v>4</v>
      </c>
      <c r="J245">
        <v>0</v>
      </c>
      <c r="K245" t="s">
        <v>651</v>
      </c>
      <c r="M245">
        <v>1</v>
      </c>
    </row>
    <row r="246" spans="1:13" ht="15.75" customHeight="1" x14ac:dyDescent="0.3">
      <c r="A246">
        <v>50</v>
      </c>
      <c r="B246" t="s">
        <v>149</v>
      </c>
      <c r="C246" t="s">
        <v>480</v>
      </c>
      <c r="D246" t="s">
        <v>482</v>
      </c>
      <c r="E246">
        <v>30</v>
      </c>
      <c r="F246" t="s">
        <v>141</v>
      </c>
      <c r="G246" t="s">
        <v>651</v>
      </c>
      <c r="H246" t="s">
        <v>651</v>
      </c>
      <c r="I246">
        <v>4</v>
      </c>
      <c r="J246">
        <v>0</v>
      </c>
      <c r="K246" t="s">
        <v>651</v>
      </c>
      <c r="M246">
        <v>1</v>
      </c>
    </row>
    <row r="247" spans="1:13" ht="15.75" customHeight="1" x14ac:dyDescent="0.3">
      <c r="A247">
        <v>50</v>
      </c>
      <c r="B247" t="s">
        <v>149</v>
      </c>
      <c r="C247" t="s">
        <v>480</v>
      </c>
      <c r="D247" t="s">
        <v>484</v>
      </c>
      <c r="E247">
        <v>40</v>
      </c>
      <c r="F247" t="s">
        <v>150</v>
      </c>
      <c r="G247" t="s">
        <v>651</v>
      </c>
      <c r="H247" t="s">
        <v>651</v>
      </c>
      <c r="I247">
        <v>6</v>
      </c>
      <c r="J247">
        <v>0</v>
      </c>
      <c r="K247" t="s">
        <v>651</v>
      </c>
      <c r="M247">
        <v>1</v>
      </c>
    </row>
    <row r="248" spans="1:13" ht="15.75" customHeight="1" x14ac:dyDescent="0.3">
      <c r="A248">
        <v>50</v>
      </c>
      <c r="B248" t="s">
        <v>149</v>
      </c>
      <c r="C248" t="s">
        <v>480</v>
      </c>
      <c r="D248" t="s">
        <v>488</v>
      </c>
      <c r="E248">
        <v>60</v>
      </c>
      <c r="F248" t="s">
        <v>150</v>
      </c>
      <c r="G248" t="s">
        <v>651</v>
      </c>
      <c r="H248" t="s">
        <v>651</v>
      </c>
      <c r="I248">
        <v>6</v>
      </c>
      <c r="J248">
        <v>0</v>
      </c>
      <c r="K248" t="s">
        <v>651</v>
      </c>
      <c r="M248">
        <v>1</v>
      </c>
    </row>
    <row r="249" spans="1:13" ht="15.75" customHeight="1" x14ac:dyDescent="0.3">
      <c r="A249">
        <v>50</v>
      </c>
      <c r="B249" t="s">
        <v>149</v>
      </c>
      <c r="C249" t="s">
        <v>480</v>
      </c>
      <c r="D249" t="s">
        <v>488</v>
      </c>
      <c r="E249">
        <v>60</v>
      </c>
      <c r="F249" t="s">
        <v>147</v>
      </c>
      <c r="G249" t="s">
        <v>651</v>
      </c>
      <c r="H249" t="s">
        <v>651</v>
      </c>
      <c r="I249">
        <v>4</v>
      </c>
      <c r="J249">
        <v>0</v>
      </c>
      <c r="K249" t="s">
        <v>651</v>
      </c>
      <c r="M249">
        <v>1</v>
      </c>
    </row>
    <row r="250" spans="1:13" ht="15.75" customHeight="1" x14ac:dyDescent="0.3">
      <c r="A250">
        <v>50</v>
      </c>
      <c r="B250" t="s">
        <v>149</v>
      </c>
      <c r="C250" t="s">
        <v>480</v>
      </c>
      <c r="D250" t="s">
        <v>490</v>
      </c>
      <c r="E250">
        <v>68</v>
      </c>
      <c r="F250" t="s">
        <v>138</v>
      </c>
      <c r="G250" t="s">
        <v>651</v>
      </c>
      <c r="H250" t="s">
        <v>651</v>
      </c>
      <c r="I250">
        <v>4</v>
      </c>
      <c r="J250">
        <v>0</v>
      </c>
      <c r="K250" t="s">
        <v>651</v>
      </c>
      <c r="M250">
        <v>1</v>
      </c>
    </row>
    <row r="251" spans="1:13" ht="15.75" customHeight="1" x14ac:dyDescent="0.3">
      <c r="A251">
        <v>50</v>
      </c>
      <c r="B251" t="s">
        <v>149</v>
      </c>
      <c r="C251" t="s">
        <v>480</v>
      </c>
      <c r="D251" t="s">
        <v>490</v>
      </c>
      <c r="E251">
        <v>68</v>
      </c>
      <c r="F251" t="s">
        <v>135</v>
      </c>
      <c r="G251" t="s">
        <v>651</v>
      </c>
      <c r="H251" t="s">
        <v>651</v>
      </c>
      <c r="I251">
        <v>4</v>
      </c>
      <c r="J251">
        <v>0</v>
      </c>
      <c r="K251" t="s">
        <v>651</v>
      </c>
      <c r="M251">
        <v>1</v>
      </c>
    </row>
    <row r="252" spans="1:13" ht="15.75" customHeight="1" x14ac:dyDescent="0.3">
      <c r="A252">
        <v>50</v>
      </c>
      <c r="B252" t="s">
        <v>149</v>
      </c>
      <c r="C252" t="s">
        <v>480</v>
      </c>
      <c r="D252" t="s">
        <v>502</v>
      </c>
      <c r="E252">
        <v>183</v>
      </c>
      <c r="F252" t="s">
        <v>141</v>
      </c>
      <c r="G252" t="s">
        <v>651</v>
      </c>
      <c r="H252" t="s">
        <v>651</v>
      </c>
      <c r="I252">
        <v>2</v>
      </c>
      <c r="J252">
        <v>0</v>
      </c>
      <c r="K252" t="s">
        <v>651</v>
      </c>
      <c r="M252">
        <v>1</v>
      </c>
    </row>
    <row r="253" spans="1:13" ht="15.75" customHeight="1" x14ac:dyDescent="0.3">
      <c r="A253">
        <v>50</v>
      </c>
      <c r="B253" t="s">
        <v>149</v>
      </c>
      <c r="C253" t="s">
        <v>480</v>
      </c>
      <c r="D253" t="s">
        <v>496</v>
      </c>
      <c r="E253">
        <v>100</v>
      </c>
      <c r="F253" t="s">
        <v>135</v>
      </c>
      <c r="G253" t="s">
        <v>651</v>
      </c>
      <c r="H253" t="s">
        <v>651</v>
      </c>
      <c r="I253">
        <v>4</v>
      </c>
      <c r="J253">
        <v>0</v>
      </c>
      <c r="K253" t="s">
        <v>651</v>
      </c>
      <c r="M253">
        <v>1</v>
      </c>
    </row>
    <row r="254" spans="1:13" ht="15.75" customHeight="1" x14ac:dyDescent="0.3">
      <c r="A254">
        <v>50</v>
      </c>
      <c r="B254" t="s">
        <v>149</v>
      </c>
      <c r="C254" t="s">
        <v>361</v>
      </c>
      <c r="D254" t="s">
        <v>365</v>
      </c>
      <c r="E254">
        <v>28</v>
      </c>
      <c r="F254" t="s">
        <v>141</v>
      </c>
      <c r="G254" t="s">
        <v>651</v>
      </c>
      <c r="H254" t="s">
        <v>651</v>
      </c>
      <c r="I254">
        <v>4</v>
      </c>
      <c r="J254">
        <v>0</v>
      </c>
      <c r="K254" t="s">
        <v>651</v>
      </c>
      <c r="M254">
        <v>1</v>
      </c>
    </row>
    <row r="255" spans="1:13" ht="15.75" customHeight="1" x14ac:dyDescent="0.3">
      <c r="A255">
        <v>50</v>
      </c>
      <c r="B255" t="s">
        <v>149</v>
      </c>
      <c r="C255" t="s">
        <v>361</v>
      </c>
      <c r="D255" t="s">
        <v>369</v>
      </c>
      <c r="E255">
        <v>44</v>
      </c>
      <c r="F255" t="s">
        <v>150</v>
      </c>
      <c r="G255" t="s">
        <v>651</v>
      </c>
      <c r="H255" t="s">
        <v>651</v>
      </c>
      <c r="I255">
        <v>6</v>
      </c>
      <c r="J255">
        <v>0</v>
      </c>
      <c r="K255" t="s">
        <v>651</v>
      </c>
      <c r="M255">
        <v>1</v>
      </c>
    </row>
    <row r="256" spans="1:13" ht="15.75" customHeight="1" x14ac:dyDescent="0.3">
      <c r="A256">
        <v>50</v>
      </c>
      <c r="B256" t="s">
        <v>149</v>
      </c>
      <c r="C256" t="s">
        <v>361</v>
      </c>
      <c r="D256" t="s">
        <v>373</v>
      </c>
      <c r="E256">
        <v>65</v>
      </c>
      <c r="F256" t="s">
        <v>150</v>
      </c>
      <c r="G256" t="s">
        <v>651</v>
      </c>
      <c r="H256" t="s">
        <v>651</v>
      </c>
      <c r="I256">
        <v>6</v>
      </c>
      <c r="J256">
        <v>0</v>
      </c>
      <c r="K256" t="s">
        <v>651</v>
      </c>
      <c r="M256">
        <v>1</v>
      </c>
    </row>
    <row r="257" spans="1:13" ht="15.75" customHeight="1" x14ac:dyDescent="0.3">
      <c r="A257">
        <v>50</v>
      </c>
      <c r="B257" t="s">
        <v>149</v>
      </c>
      <c r="C257" t="s">
        <v>361</v>
      </c>
      <c r="D257" t="s">
        <v>373</v>
      </c>
      <c r="E257">
        <v>65</v>
      </c>
      <c r="F257" t="s">
        <v>135</v>
      </c>
      <c r="G257" t="s">
        <v>651</v>
      </c>
      <c r="H257" t="s">
        <v>651</v>
      </c>
      <c r="I257">
        <v>4</v>
      </c>
      <c r="J257">
        <v>0</v>
      </c>
      <c r="K257" t="s">
        <v>651</v>
      </c>
      <c r="M257">
        <v>1</v>
      </c>
    </row>
    <row r="258" spans="1:13" ht="15.75" customHeight="1" x14ac:dyDescent="0.3">
      <c r="A258">
        <v>50</v>
      </c>
      <c r="B258" t="s">
        <v>149</v>
      </c>
      <c r="C258" t="s">
        <v>361</v>
      </c>
      <c r="D258" t="s">
        <v>375</v>
      </c>
      <c r="E258">
        <v>72</v>
      </c>
      <c r="F258" t="s">
        <v>138</v>
      </c>
      <c r="G258" t="s">
        <v>651</v>
      </c>
      <c r="H258" t="s">
        <v>651</v>
      </c>
      <c r="I258">
        <v>4</v>
      </c>
      <c r="J258">
        <v>0</v>
      </c>
      <c r="K258" t="s">
        <v>651</v>
      </c>
      <c r="M258">
        <v>1</v>
      </c>
    </row>
    <row r="259" spans="1:13" ht="15.75" customHeight="1" x14ac:dyDescent="0.3">
      <c r="A259">
        <v>50</v>
      </c>
      <c r="B259" t="s">
        <v>149</v>
      </c>
      <c r="C259" t="s">
        <v>361</v>
      </c>
      <c r="D259" t="s">
        <v>371</v>
      </c>
      <c r="E259">
        <v>52</v>
      </c>
      <c r="F259" t="s">
        <v>147</v>
      </c>
      <c r="G259" t="s">
        <v>651</v>
      </c>
      <c r="H259" t="s">
        <v>651</v>
      </c>
      <c r="I259">
        <v>4</v>
      </c>
      <c r="J259">
        <v>0</v>
      </c>
      <c r="K259" t="s">
        <v>651</v>
      </c>
      <c r="M259">
        <v>1</v>
      </c>
    </row>
    <row r="260" spans="1:13" ht="15.75" customHeight="1" x14ac:dyDescent="0.3">
      <c r="A260">
        <v>50</v>
      </c>
      <c r="B260" t="s">
        <v>149</v>
      </c>
      <c r="C260" t="s">
        <v>361</v>
      </c>
      <c r="D260" t="s">
        <v>387</v>
      </c>
      <c r="E260">
        <v>170</v>
      </c>
      <c r="F260" t="s">
        <v>141</v>
      </c>
      <c r="G260" t="s">
        <v>651</v>
      </c>
      <c r="H260" t="s">
        <v>651</v>
      </c>
      <c r="I260">
        <v>2</v>
      </c>
      <c r="J260">
        <v>0</v>
      </c>
      <c r="K260" t="s">
        <v>651</v>
      </c>
      <c r="M260">
        <v>1</v>
      </c>
    </row>
    <row r="261" spans="1:13" ht="15.75" customHeight="1" x14ac:dyDescent="0.3">
      <c r="A261">
        <v>50</v>
      </c>
      <c r="B261" t="s">
        <v>149</v>
      </c>
      <c r="C261" t="s">
        <v>361</v>
      </c>
      <c r="D261" t="s">
        <v>377</v>
      </c>
      <c r="E261">
        <v>85</v>
      </c>
      <c r="F261" t="s">
        <v>135</v>
      </c>
      <c r="G261" t="s">
        <v>651</v>
      </c>
      <c r="H261" t="s">
        <v>651</v>
      </c>
      <c r="I261">
        <v>4</v>
      </c>
      <c r="J261">
        <v>0</v>
      </c>
      <c r="K261" t="s">
        <v>651</v>
      </c>
      <c r="M261">
        <v>1</v>
      </c>
    </row>
    <row r="262" spans="1:13" ht="15.75" customHeight="1" x14ac:dyDescent="0.3">
      <c r="A262">
        <v>50</v>
      </c>
      <c r="B262" t="s">
        <v>149</v>
      </c>
      <c r="C262" t="s">
        <v>457</v>
      </c>
      <c r="D262" t="s">
        <v>459</v>
      </c>
      <c r="E262">
        <v>31</v>
      </c>
      <c r="F262" t="s">
        <v>141</v>
      </c>
      <c r="G262" t="s">
        <v>651</v>
      </c>
      <c r="H262" t="s">
        <v>651</v>
      </c>
      <c r="I262">
        <v>4</v>
      </c>
      <c r="J262">
        <v>0</v>
      </c>
      <c r="K262" t="s">
        <v>651</v>
      </c>
      <c r="M262">
        <v>1</v>
      </c>
    </row>
    <row r="263" spans="1:13" ht="15.75" customHeight="1" x14ac:dyDescent="0.3">
      <c r="A263">
        <v>50</v>
      </c>
      <c r="B263" t="s">
        <v>149</v>
      </c>
      <c r="C263" t="s">
        <v>457</v>
      </c>
      <c r="D263" t="s">
        <v>463</v>
      </c>
      <c r="E263">
        <v>50</v>
      </c>
      <c r="F263" t="s">
        <v>150</v>
      </c>
      <c r="G263" t="s">
        <v>651</v>
      </c>
      <c r="H263" t="s">
        <v>651</v>
      </c>
      <c r="I263">
        <v>6</v>
      </c>
      <c r="J263">
        <v>0</v>
      </c>
      <c r="K263" t="s">
        <v>651</v>
      </c>
      <c r="M263">
        <v>2</v>
      </c>
    </row>
    <row r="264" spans="1:13" ht="15.75" customHeight="1" x14ac:dyDescent="0.3">
      <c r="A264">
        <v>50</v>
      </c>
      <c r="B264" t="s">
        <v>149</v>
      </c>
      <c r="C264" t="s">
        <v>457</v>
      </c>
      <c r="D264" t="s">
        <v>463</v>
      </c>
      <c r="E264">
        <v>50</v>
      </c>
      <c r="F264" t="s">
        <v>147</v>
      </c>
      <c r="G264" t="s">
        <v>651</v>
      </c>
      <c r="H264" t="s">
        <v>651</v>
      </c>
      <c r="I264">
        <v>4</v>
      </c>
      <c r="J264">
        <v>0</v>
      </c>
      <c r="K264" t="s">
        <v>651</v>
      </c>
      <c r="M264">
        <v>1</v>
      </c>
    </row>
    <row r="265" spans="1:13" ht="15.75" customHeight="1" x14ac:dyDescent="0.3">
      <c r="A265">
        <v>50</v>
      </c>
      <c r="B265" t="s">
        <v>149</v>
      </c>
      <c r="C265" t="s">
        <v>457</v>
      </c>
      <c r="D265" t="s">
        <v>467</v>
      </c>
      <c r="E265">
        <v>70</v>
      </c>
      <c r="F265" t="s">
        <v>141</v>
      </c>
      <c r="G265" t="s">
        <v>147</v>
      </c>
      <c r="H265" t="s">
        <v>308</v>
      </c>
      <c r="I265">
        <v>2</v>
      </c>
      <c r="J265">
        <v>0</v>
      </c>
      <c r="K265">
        <v>1</v>
      </c>
      <c r="M265">
        <v>1</v>
      </c>
    </row>
    <row r="266" spans="1:13" ht="15.75" customHeight="1" x14ac:dyDescent="0.3">
      <c r="A266">
        <v>50</v>
      </c>
      <c r="B266" t="s">
        <v>149</v>
      </c>
      <c r="C266" t="s">
        <v>457</v>
      </c>
      <c r="D266" t="s">
        <v>467</v>
      </c>
      <c r="E266">
        <v>70</v>
      </c>
      <c r="F266" t="s">
        <v>138</v>
      </c>
      <c r="G266" t="s">
        <v>651</v>
      </c>
      <c r="H266" t="s">
        <v>651</v>
      </c>
      <c r="I266">
        <v>4</v>
      </c>
      <c r="J266">
        <v>0</v>
      </c>
      <c r="K266" t="s">
        <v>651</v>
      </c>
      <c r="M266">
        <v>1</v>
      </c>
    </row>
    <row r="267" spans="1:13" ht="15.75" customHeight="1" x14ac:dyDescent="0.3">
      <c r="A267">
        <v>50</v>
      </c>
      <c r="B267" t="s">
        <v>149</v>
      </c>
      <c r="C267" t="s">
        <v>457</v>
      </c>
      <c r="D267" t="s">
        <v>467</v>
      </c>
      <c r="E267">
        <v>70</v>
      </c>
      <c r="F267" t="s">
        <v>135</v>
      </c>
      <c r="G267" t="s">
        <v>651</v>
      </c>
      <c r="H267" t="s">
        <v>651</v>
      </c>
      <c r="I267">
        <v>4</v>
      </c>
      <c r="J267">
        <v>0</v>
      </c>
      <c r="K267" t="s">
        <v>651</v>
      </c>
      <c r="M267">
        <v>1</v>
      </c>
    </row>
    <row r="268" spans="1:13" ht="15.75" customHeight="1" x14ac:dyDescent="0.3">
      <c r="A268">
        <v>50</v>
      </c>
      <c r="B268" t="s">
        <v>149</v>
      </c>
      <c r="C268" t="s">
        <v>457</v>
      </c>
      <c r="D268" t="s">
        <v>469</v>
      </c>
      <c r="E268">
        <v>79</v>
      </c>
      <c r="F268" t="s">
        <v>135</v>
      </c>
      <c r="G268" t="s">
        <v>651</v>
      </c>
      <c r="H268" t="s">
        <v>651</v>
      </c>
      <c r="I268">
        <v>4</v>
      </c>
      <c r="J268">
        <v>0</v>
      </c>
      <c r="K268" t="s">
        <v>651</v>
      </c>
      <c r="M268">
        <v>1</v>
      </c>
    </row>
    <row r="269" spans="1:13" ht="15.75" customHeight="1" x14ac:dyDescent="0.3">
      <c r="A269">
        <v>100</v>
      </c>
      <c r="B269" t="s">
        <v>129</v>
      </c>
      <c r="C269" t="s">
        <v>480</v>
      </c>
      <c r="D269" t="s">
        <v>482</v>
      </c>
      <c r="E269">
        <v>30</v>
      </c>
      <c r="F269" t="s">
        <v>141</v>
      </c>
      <c r="G269" t="s">
        <v>651</v>
      </c>
      <c r="H269" t="s">
        <v>651</v>
      </c>
      <c r="I269">
        <v>2</v>
      </c>
      <c r="J269">
        <v>0</v>
      </c>
      <c r="K269" t="s">
        <v>651</v>
      </c>
      <c r="M269">
        <v>48</v>
      </c>
    </row>
    <row r="270" spans="1:13" ht="15.75" customHeight="1" x14ac:dyDescent="0.3">
      <c r="A270">
        <v>100</v>
      </c>
      <c r="B270" t="s">
        <v>129</v>
      </c>
      <c r="C270" t="s">
        <v>480</v>
      </c>
      <c r="D270" t="s">
        <v>482</v>
      </c>
      <c r="E270">
        <v>30</v>
      </c>
      <c r="F270" t="s">
        <v>141</v>
      </c>
      <c r="I270">
        <v>4</v>
      </c>
      <c r="J270">
        <v>0</v>
      </c>
      <c r="K270" t="s">
        <v>651</v>
      </c>
      <c r="M270">
        <v>3</v>
      </c>
    </row>
    <row r="271" spans="1:13" ht="15.75" customHeight="1" x14ac:dyDescent="0.3">
      <c r="A271">
        <v>100</v>
      </c>
      <c r="B271" t="s">
        <v>129</v>
      </c>
      <c r="C271" t="s">
        <v>480</v>
      </c>
      <c r="D271" t="s">
        <v>482</v>
      </c>
      <c r="E271">
        <v>30</v>
      </c>
      <c r="F271" t="s">
        <v>141</v>
      </c>
      <c r="I271">
        <v>3</v>
      </c>
      <c r="J271">
        <v>0</v>
      </c>
      <c r="K271" t="s">
        <v>651</v>
      </c>
      <c r="M271">
        <v>2</v>
      </c>
    </row>
    <row r="272" spans="1:13" ht="15.75" customHeight="1" x14ac:dyDescent="0.3">
      <c r="A272">
        <v>100</v>
      </c>
      <c r="B272" t="s">
        <v>129</v>
      </c>
      <c r="C272" t="s">
        <v>480</v>
      </c>
      <c r="D272" t="s">
        <v>482</v>
      </c>
      <c r="E272">
        <v>30</v>
      </c>
      <c r="F272" t="s">
        <v>141</v>
      </c>
      <c r="G272" t="s">
        <v>138</v>
      </c>
      <c r="H272" t="s">
        <v>651</v>
      </c>
      <c r="I272">
        <v>2</v>
      </c>
      <c r="J272">
        <v>0</v>
      </c>
      <c r="K272" t="s">
        <v>651</v>
      </c>
      <c r="M272">
        <v>2</v>
      </c>
    </row>
    <row r="273" spans="1:13" ht="15.75" customHeight="1" x14ac:dyDescent="0.3">
      <c r="A273">
        <v>100</v>
      </c>
      <c r="B273" t="s">
        <v>129</v>
      </c>
      <c r="C273" t="s">
        <v>480</v>
      </c>
      <c r="D273" t="s">
        <v>482</v>
      </c>
      <c r="E273">
        <v>30</v>
      </c>
      <c r="F273" t="s">
        <v>141</v>
      </c>
      <c r="G273" t="s">
        <v>138</v>
      </c>
      <c r="I273">
        <v>4</v>
      </c>
      <c r="J273">
        <v>0</v>
      </c>
      <c r="K273" t="s">
        <v>651</v>
      </c>
      <c r="M273">
        <v>1</v>
      </c>
    </row>
    <row r="274" spans="1:13" ht="15.75" customHeight="1" x14ac:dyDescent="0.3">
      <c r="A274">
        <v>100</v>
      </c>
      <c r="B274" t="s">
        <v>129</v>
      </c>
      <c r="C274" t="s">
        <v>480</v>
      </c>
      <c r="D274" t="s">
        <v>482</v>
      </c>
      <c r="E274">
        <v>30</v>
      </c>
      <c r="F274" t="s">
        <v>141</v>
      </c>
      <c r="G274" t="s">
        <v>140</v>
      </c>
      <c r="H274" t="s">
        <v>651</v>
      </c>
      <c r="I274">
        <v>2</v>
      </c>
      <c r="J274">
        <v>0</v>
      </c>
      <c r="K274" t="s">
        <v>651</v>
      </c>
      <c r="M274">
        <v>1</v>
      </c>
    </row>
    <row r="275" spans="1:13" ht="15.75" customHeight="1" x14ac:dyDescent="0.3">
      <c r="A275">
        <v>100</v>
      </c>
      <c r="B275" t="s">
        <v>129</v>
      </c>
      <c r="C275" t="s">
        <v>480</v>
      </c>
      <c r="D275" t="s">
        <v>482</v>
      </c>
      <c r="E275">
        <v>30</v>
      </c>
      <c r="F275" t="s">
        <v>141</v>
      </c>
      <c r="G275" t="s">
        <v>150</v>
      </c>
      <c r="H275" t="s">
        <v>651</v>
      </c>
      <c r="I275">
        <v>2</v>
      </c>
      <c r="J275">
        <v>0</v>
      </c>
      <c r="K275" t="s">
        <v>651</v>
      </c>
      <c r="M275">
        <v>1</v>
      </c>
    </row>
    <row r="276" spans="1:13" ht="15.75" customHeight="1" x14ac:dyDescent="0.3">
      <c r="A276">
        <v>100</v>
      </c>
      <c r="B276" t="s">
        <v>129</v>
      </c>
      <c r="C276" t="s">
        <v>480</v>
      </c>
      <c r="D276" t="s">
        <v>482</v>
      </c>
      <c r="E276">
        <v>30</v>
      </c>
      <c r="F276" t="s">
        <v>138</v>
      </c>
      <c r="G276" t="s">
        <v>651</v>
      </c>
      <c r="H276" t="s">
        <v>651</v>
      </c>
      <c r="I276">
        <v>2</v>
      </c>
      <c r="J276">
        <v>0</v>
      </c>
      <c r="K276" t="s">
        <v>651</v>
      </c>
      <c r="M276">
        <v>3</v>
      </c>
    </row>
    <row r="277" spans="1:13" ht="15.75" customHeight="1" x14ac:dyDescent="0.3">
      <c r="A277">
        <v>100</v>
      </c>
      <c r="B277" t="s">
        <v>129</v>
      </c>
      <c r="C277" t="s">
        <v>480</v>
      </c>
      <c r="D277" t="s">
        <v>484</v>
      </c>
      <c r="E277">
        <v>40</v>
      </c>
      <c r="F277" t="s">
        <v>141</v>
      </c>
      <c r="G277" t="s">
        <v>651</v>
      </c>
      <c r="H277" t="s">
        <v>651</v>
      </c>
      <c r="I277">
        <v>2</v>
      </c>
      <c r="J277">
        <v>0</v>
      </c>
      <c r="K277" t="s">
        <v>651</v>
      </c>
      <c r="M277">
        <v>10</v>
      </c>
    </row>
    <row r="278" spans="1:13" ht="15.75" customHeight="1" x14ac:dyDescent="0.3">
      <c r="A278">
        <v>100</v>
      </c>
      <c r="B278" t="s">
        <v>129</v>
      </c>
      <c r="C278" t="s">
        <v>480</v>
      </c>
      <c r="D278" t="s">
        <v>484</v>
      </c>
      <c r="E278">
        <v>40</v>
      </c>
      <c r="F278" t="s">
        <v>141</v>
      </c>
      <c r="G278" t="s">
        <v>135</v>
      </c>
      <c r="H278" t="s">
        <v>651</v>
      </c>
      <c r="I278">
        <v>2</v>
      </c>
      <c r="J278">
        <v>0</v>
      </c>
      <c r="K278" t="s">
        <v>651</v>
      </c>
      <c r="M278">
        <v>5</v>
      </c>
    </row>
    <row r="279" spans="1:13" ht="15.75" customHeight="1" x14ac:dyDescent="0.3">
      <c r="A279">
        <v>100</v>
      </c>
      <c r="B279" t="s">
        <v>129</v>
      </c>
      <c r="C279" t="s">
        <v>480</v>
      </c>
      <c r="D279" t="s">
        <v>484</v>
      </c>
      <c r="E279">
        <v>40</v>
      </c>
      <c r="F279" t="s">
        <v>141</v>
      </c>
      <c r="G279" t="s">
        <v>147</v>
      </c>
      <c r="H279" t="s">
        <v>651</v>
      </c>
      <c r="I279">
        <v>2</v>
      </c>
      <c r="J279">
        <v>0</v>
      </c>
      <c r="K279" t="s">
        <v>651</v>
      </c>
      <c r="M279">
        <v>3</v>
      </c>
    </row>
    <row r="280" spans="1:13" ht="15.75" customHeight="1" x14ac:dyDescent="0.3">
      <c r="A280">
        <v>100</v>
      </c>
      <c r="B280" t="s">
        <v>129</v>
      </c>
      <c r="C280" t="s">
        <v>480</v>
      </c>
      <c r="D280" t="s">
        <v>488</v>
      </c>
      <c r="E280">
        <v>60</v>
      </c>
      <c r="F280" t="s">
        <v>141</v>
      </c>
      <c r="G280" t="s">
        <v>651</v>
      </c>
      <c r="H280" t="s">
        <v>651</v>
      </c>
      <c r="I280">
        <v>2</v>
      </c>
      <c r="J280">
        <v>0</v>
      </c>
      <c r="K280" t="s">
        <v>651</v>
      </c>
      <c r="M280">
        <v>2</v>
      </c>
    </row>
    <row r="281" spans="1:13" ht="15.75" customHeight="1" x14ac:dyDescent="0.3">
      <c r="A281">
        <v>100</v>
      </c>
      <c r="B281" t="s">
        <v>129</v>
      </c>
      <c r="C281" t="s">
        <v>480</v>
      </c>
      <c r="D281" t="s">
        <v>486</v>
      </c>
      <c r="E281">
        <v>50</v>
      </c>
      <c r="F281" t="s">
        <v>141</v>
      </c>
      <c r="G281" t="s">
        <v>651</v>
      </c>
      <c r="H281" t="s">
        <v>651</v>
      </c>
      <c r="I281">
        <v>2</v>
      </c>
      <c r="J281">
        <v>0</v>
      </c>
      <c r="K281" t="s">
        <v>651</v>
      </c>
      <c r="M281">
        <v>1</v>
      </c>
    </row>
    <row r="282" spans="1:13" ht="15.75" customHeight="1" x14ac:dyDescent="0.3">
      <c r="A282">
        <v>100</v>
      </c>
      <c r="B282" t="s">
        <v>129</v>
      </c>
      <c r="C282" t="s">
        <v>480</v>
      </c>
      <c r="D282" t="s">
        <v>486</v>
      </c>
      <c r="E282">
        <v>50</v>
      </c>
      <c r="F282" t="s">
        <v>141</v>
      </c>
      <c r="G282" t="s">
        <v>140</v>
      </c>
      <c r="H282" t="s">
        <v>651</v>
      </c>
      <c r="I282">
        <v>2</v>
      </c>
      <c r="J282">
        <v>0</v>
      </c>
      <c r="K282" t="s">
        <v>651</v>
      </c>
      <c r="M282">
        <v>1</v>
      </c>
    </row>
    <row r="283" spans="1:13" ht="15.75" customHeight="1" x14ac:dyDescent="0.3">
      <c r="A283">
        <v>100</v>
      </c>
      <c r="B283" t="s">
        <v>129</v>
      </c>
      <c r="C283" t="s">
        <v>480</v>
      </c>
      <c r="D283" t="s">
        <v>490</v>
      </c>
      <c r="E283">
        <v>68</v>
      </c>
      <c r="F283" t="s">
        <v>141</v>
      </c>
      <c r="G283" t="s">
        <v>140</v>
      </c>
      <c r="H283" t="s">
        <v>651</v>
      </c>
      <c r="I283">
        <v>2</v>
      </c>
      <c r="J283">
        <v>0</v>
      </c>
      <c r="K283" t="s">
        <v>651</v>
      </c>
      <c r="M283">
        <v>1</v>
      </c>
    </row>
    <row r="284" spans="1:13" ht="15.75" customHeight="1" x14ac:dyDescent="0.3">
      <c r="A284">
        <v>100</v>
      </c>
      <c r="B284" t="s">
        <v>129</v>
      </c>
      <c r="C284" t="s">
        <v>361</v>
      </c>
      <c r="D284" t="s">
        <v>365</v>
      </c>
      <c r="E284">
        <v>28</v>
      </c>
      <c r="F284" t="s">
        <v>141</v>
      </c>
      <c r="G284" t="s">
        <v>651</v>
      </c>
      <c r="H284" t="s">
        <v>651</v>
      </c>
      <c r="I284">
        <v>2</v>
      </c>
      <c r="J284">
        <v>0</v>
      </c>
      <c r="K284" t="s">
        <v>651</v>
      </c>
      <c r="M284">
        <v>17</v>
      </c>
    </row>
    <row r="285" spans="1:13" ht="15.75" customHeight="1" x14ac:dyDescent="0.3">
      <c r="A285">
        <v>100</v>
      </c>
      <c r="B285" t="s">
        <v>129</v>
      </c>
      <c r="C285" t="s">
        <v>361</v>
      </c>
      <c r="D285" t="s">
        <v>365</v>
      </c>
      <c r="E285">
        <v>28</v>
      </c>
      <c r="F285" t="s">
        <v>141</v>
      </c>
      <c r="I285">
        <v>4</v>
      </c>
      <c r="J285">
        <v>0</v>
      </c>
      <c r="K285" t="s">
        <v>651</v>
      </c>
      <c r="M285">
        <v>2</v>
      </c>
    </row>
    <row r="286" spans="1:13" ht="15.75" customHeight="1" x14ac:dyDescent="0.3">
      <c r="A286">
        <v>100</v>
      </c>
      <c r="B286" t="s">
        <v>129</v>
      </c>
      <c r="C286" t="s">
        <v>361</v>
      </c>
      <c r="D286" t="s">
        <v>365</v>
      </c>
      <c r="E286">
        <v>28</v>
      </c>
      <c r="F286" t="s">
        <v>138</v>
      </c>
      <c r="G286" t="s">
        <v>651</v>
      </c>
      <c r="H286" t="s">
        <v>651</v>
      </c>
      <c r="I286">
        <v>2</v>
      </c>
      <c r="J286">
        <v>0</v>
      </c>
      <c r="K286" t="s">
        <v>651</v>
      </c>
      <c r="M286">
        <v>1</v>
      </c>
    </row>
    <row r="287" spans="1:13" ht="15.75" customHeight="1" x14ac:dyDescent="0.3">
      <c r="A287">
        <v>100</v>
      </c>
      <c r="B287" t="s">
        <v>129</v>
      </c>
      <c r="C287" t="s">
        <v>361</v>
      </c>
      <c r="D287" t="s">
        <v>367</v>
      </c>
      <c r="E287">
        <v>35</v>
      </c>
      <c r="F287" t="s">
        <v>141</v>
      </c>
      <c r="G287" t="s">
        <v>651</v>
      </c>
      <c r="H287" t="s">
        <v>651</v>
      </c>
      <c r="I287">
        <v>2</v>
      </c>
      <c r="J287">
        <v>0</v>
      </c>
      <c r="K287" t="s">
        <v>651</v>
      </c>
      <c r="M287">
        <v>37</v>
      </c>
    </row>
    <row r="288" spans="1:13" ht="15.75" customHeight="1" x14ac:dyDescent="0.3">
      <c r="A288">
        <v>100</v>
      </c>
      <c r="B288" t="s">
        <v>129</v>
      </c>
      <c r="C288" t="s">
        <v>361</v>
      </c>
      <c r="D288" t="s">
        <v>367</v>
      </c>
      <c r="E288">
        <v>35</v>
      </c>
      <c r="F288" t="s">
        <v>141</v>
      </c>
      <c r="I288">
        <v>4</v>
      </c>
      <c r="J288">
        <v>0</v>
      </c>
      <c r="K288" t="s">
        <v>651</v>
      </c>
      <c r="M288">
        <v>1</v>
      </c>
    </row>
    <row r="289" spans="1:13" ht="15.75" customHeight="1" x14ac:dyDescent="0.3">
      <c r="A289">
        <v>100</v>
      </c>
      <c r="B289" t="s">
        <v>129</v>
      </c>
      <c r="C289" t="s">
        <v>361</v>
      </c>
      <c r="D289" t="s">
        <v>367</v>
      </c>
      <c r="E289">
        <v>35</v>
      </c>
      <c r="F289" t="s">
        <v>141</v>
      </c>
      <c r="G289" t="s">
        <v>138</v>
      </c>
      <c r="H289" t="s">
        <v>651</v>
      </c>
      <c r="I289">
        <v>2</v>
      </c>
      <c r="J289">
        <v>0</v>
      </c>
      <c r="K289" t="s">
        <v>651</v>
      </c>
      <c r="M289">
        <v>1</v>
      </c>
    </row>
    <row r="290" spans="1:13" ht="15.75" customHeight="1" x14ac:dyDescent="0.3">
      <c r="A290">
        <v>100</v>
      </c>
      <c r="B290" t="s">
        <v>129</v>
      </c>
      <c r="C290" t="s">
        <v>361</v>
      </c>
      <c r="D290" t="s">
        <v>367</v>
      </c>
      <c r="E290">
        <v>35</v>
      </c>
      <c r="F290" t="s">
        <v>141</v>
      </c>
      <c r="G290" t="s">
        <v>140</v>
      </c>
      <c r="H290" t="s">
        <v>651</v>
      </c>
      <c r="I290">
        <v>2</v>
      </c>
      <c r="J290">
        <v>0</v>
      </c>
      <c r="K290" t="s">
        <v>651</v>
      </c>
      <c r="M290">
        <v>1</v>
      </c>
    </row>
    <row r="291" spans="1:13" ht="15.75" customHeight="1" x14ac:dyDescent="0.3">
      <c r="A291">
        <v>100</v>
      </c>
      <c r="B291" t="s">
        <v>129</v>
      </c>
      <c r="C291" t="s">
        <v>361</v>
      </c>
      <c r="D291" t="s">
        <v>367</v>
      </c>
      <c r="E291">
        <v>35</v>
      </c>
      <c r="F291" t="s">
        <v>138</v>
      </c>
      <c r="G291" t="s">
        <v>651</v>
      </c>
      <c r="H291" t="s">
        <v>651</v>
      </c>
      <c r="I291">
        <v>2</v>
      </c>
      <c r="J291">
        <v>0</v>
      </c>
      <c r="K291" t="s">
        <v>651</v>
      </c>
      <c r="M291">
        <v>2</v>
      </c>
    </row>
    <row r="292" spans="1:13" ht="15.75" customHeight="1" x14ac:dyDescent="0.3">
      <c r="A292">
        <v>100</v>
      </c>
      <c r="B292" t="s">
        <v>129</v>
      </c>
      <c r="C292" t="s">
        <v>361</v>
      </c>
      <c r="D292" t="s">
        <v>369</v>
      </c>
      <c r="E292">
        <v>44</v>
      </c>
      <c r="F292" t="s">
        <v>141</v>
      </c>
      <c r="G292" t="s">
        <v>651</v>
      </c>
      <c r="H292" t="s">
        <v>651</v>
      </c>
      <c r="I292">
        <v>2</v>
      </c>
      <c r="J292">
        <v>0</v>
      </c>
      <c r="K292" t="s">
        <v>651</v>
      </c>
      <c r="M292">
        <v>15</v>
      </c>
    </row>
    <row r="293" spans="1:13" ht="15.75" customHeight="1" x14ac:dyDescent="0.3">
      <c r="A293">
        <v>100</v>
      </c>
      <c r="B293" t="s">
        <v>129</v>
      </c>
      <c r="C293" t="s">
        <v>361</v>
      </c>
      <c r="D293" t="s">
        <v>373</v>
      </c>
      <c r="E293">
        <v>65</v>
      </c>
      <c r="F293" t="s">
        <v>141</v>
      </c>
      <c r="G293" t="s">
        <v>651</v>
      </c>
      <c r="H293" t="s">
        <v>651</v>
      </c>
      <c r="I293">
        <v>2</v>
      </c>
      <c r="J293">
        <v>0</v>
      </c>
      <c r="K293" t="s">
        <v>651</v>
      </c>
      <c r="M293">
        <v>1</v>
      </c>
    </row>
    <row r="294" spans="1:13" ht="15.75" customHeight="1" x14ac:dyDescent="0.3">
      <c r="A294">
        <v>100</v>
      </c>
      <c r="B294" t="s">
        <v>129</v>
      </c>
      <c r="C294" t="s">
        <v>361</v>
      </c>
      <c r="D294" t="s">
        <v>373</v>
      </c>
      <c r="E294">
        <v>65</v>
      </c>
      <c r="F294" t="s">
        <v>141</v>
      </c>
      <c r="G294" t="s">
        <v>140</v>
      </c>
      <c r="H294" t="s">
        <v>651</v>
      </c>
      <c r="I294">
        <v>2</v>
      </c>
      <c r="J294">
        <v>0</v>
      </c>
      <c r="K294" t="s">
        <v>651</v>
      </c>
      <c r="M294">
        <v>1</v>
      </c>
    </row>
    <row r="295" spans="1:13" ht="15.75" customHeight="1" x14ac:dyDescent="0.3">
      <c r="A295">
        <v>100</v>
      </c>
      <c r="B295" t="s">
        <v>129</v>
      </c>
      <c r="C295" t="s">
        <v>361</v>
      </c>
      <c r="D295" t="s">
        <v>371</v>
      </c>
      <c r="E295">
        <v>52</v>
      </c>
      <c r="F295" t="s">
        <v>141</v>
      </c>
      <c r="G295" t="s">
        <v>651</v>
      </c>
      <c r="H295" t="s">
        <v>651</v>
      </c>
      <c r="I295">
        <v>2</v>
      </c>
      <c r="J295">
        <v>0</v>
      </c>
      <c r="K295" t="s">
        <v>651</v>
      </c>
      <c r="M295">
        <v>1</v>
      </c>
    </row>
    <row r="296" spans="1:13" ht="15.75" customHeight="1" x14ac:dyDescent="0.3">
      <c r="A296">
        <v>100</v>
      </c>
      <c r="B296" t="s">
        <v>129</v>
      </c>
      <c r="C296" t="s">
        <v>361</v>
      </c>
      <c r="D296" t="s">
        <v>371</v>
      </c>
      <c r="E296">
        <v>52</v>
      </c>
      <c r="F296" t="s">
        <v>141</v>
      </c>
      <c r="G296" t="s">
        <v>138</v>
      </c>
      <c r="H296" t="s">
        <v>651</v>
      </c>
      <c r="I296">
        <v>2</v>
      </c>
      <c r="J296">
        <v>0</v>
      </c>
      <c r="K296" t="s">
        <v>651</v>
      </c>
      <c r="M296">
        <v>1</v>
      </c>
    </row>
    <row r="297" spans="1:13" ht="15.75" customHeight="1" x14ac:dyDescent="0.3">
      <c r="A297">
        <v>100</v>
      </c>
      <c r="B297" t="s">
        <v>129</v>
      </c>
      <c r="C297" t="s">
        <v>361</v>
      </c>
      <c r="D297" t="s">
        <v>359</v>
      </c>
      <c r="E297">
        <v>17</v>
      </c>
      <c r="F297" t="s">
        <v>141</v>
      </c>
      <c r="G297" t="s">
        <v>651</v>
      </c>
      <c r="H297" t="s">
        <v>651</v>
      </c>
      <c r="I297">
        <v>4</v>
      </c>
      <c r="J297">
        <v>0</v>
      </c>
      <c r="K297" t="s">
        <v>651</v>
      </c>
      <c r="M297">
        <v>1</v>
      </c>
    </row>
    <row r="298" spans="1:13" ht="15.75" customHeight="1" x14ac:dyDescent="0.3">
      <c r="A298">
        <v>100</v>
      </c>
      <c r="B298" t="s">
        <v>129</v>
      </c>
      <c r="C298" t="s">
        <v>361</v>
      </c>
      <c r="D298" t="s">
        <v>359</v>
      </c>
      <c r="E298">
        <v>17</v>
      </c>
      <c r="F298" t="s">
        <v>141</v>
      </c>
      <c r="I298">
        <v>3</v>
      </c>
      <c r="J298">
        <v>0</v>
      </c>
      <c r="K298" t="s">
        <v>651</v>
      </c>
      <c r="M298">
        <v>2</v>
      </c>
    </row>
    <row r="299" spans="1:13" ht="15.75" customHeight="1" x14ac:dyDescent="0.3">
      <c r="A299">
        <v>100</v>
      </c>
      <c r="B299" t="s">
        <v>129</v>
      </c>
      <c r="C299" t="s">
        <v>457</v>
      </c>
      <c r="D299" t="s">
        <v>459</v>
      </c>
      <c r="E299">
        <v>31</v>
      </c>
      <c r="F299" t="s">
        <v>141</v>
      </c>
      <c r="G299" t="s">
        <v>651</v>
      </c>
      <c r="H299" t="s">
        <v>651</v>
      </c>
      <c r="I299">
        <v>2</v>
      </c>
      <c r="J299">
        <v>0</v>
      </c>
      <c r="K299" t="s">
        <v>651</v>
      </c>
      <c r="M299">
        <v>41</v>
      </c>
    </row>
    <row r="300" spans="1:13" ht="15.75" customHeight="1" x14ac:dyDescent="0.3">
      <c r="A300">
        <v>100</v>
      </c>
      <c r="B300" t="s">
        <v>129</v>
      </c>
      <c r="C300" t="s">
        <v>457</v>
      </c>
      <c r="D300" t="s">
        <v>459</v>
      </c>
      <c r="E300">
        <v>31</v>
      </c>
      <c r="F300" t="s">
        <v>141</v>
      </c>
      <c r="I300">
        <v>4</v>
      </c>
      <c r="J300">
        <v>0</v>
      </c>
      <c r="K300" t="s">
        <v>651</v>
      </c>
      <c r="M300">
        <v>1</v>
      </c>
    </row>
    <row r="301" spans="1:13" ht="15.75" customHeight="1" x14ac:dyDescent="0.3">
      <c r="A301">
        <v>100</v>
      </c>
      <c r="B301" t="s">
        <v>129</v>
      </c>
      <c r="C301" t="s">
        <v>457</v>
      </c>
      <c r="D301" t="s">
        <v>459</v>
      </c>
      <c r="E301">
        <v>31</v>
      </c>
      <c r="F301" t="s">
        <v>141</v>
      </c>
      <c r="G301" t="s">
        <v>138</v>
      </c>
      <c r="H301" t="s">
        <v>651</v>
      </c>
      <c r="I301">
        <v>2</v>
      </c>
      <c r="J301">
        <v>0</v>
      </c>
      <c r="K301" t="s">
        <v>651</v>
      </c>
      <c r="M301">
        <v>2</v>
      </c>
    </row>
    <row r="302" spans="1:13" ht="15.75" customHeight="1" x14ac:dyDescent="0.3">
      <c r="A302">
        <v>100</v>
      </c>
      <c r="B302" t="s">
        <v>129</v>
      </c>
      <c r="C302" t="s">
        <v>457</v>
      </c>
      <c r="D302" t="s">
        <v>459</v>
      </c>
      <c r="E302">
        <v>31</v>
      </c>
      <c r="F302" t="s">
        <v>141</v>
      </c>
      <c r="G302" t="s">
        <v>140</v>
      </c>
      <c r="H302" t="s">
        <v>651</v>
      </c>
      <c r="I302">
        <v>2</v>
      </c>
      <c r="J302">
        <v>0</v>
      </c>
      <c r="K302" t="s">
        <v>651</v>
      </c>
      <c r="M302">
        <v>1</v>
      </c>
    </row>
    <row r="303" spans="1:13" ht="15.75" customHeight="1" x14ac:dyDescent="0.3">
      <c r="A303">
        <v>100</v>
      </c>
      <c r="B303" t="s">
        <v>129</v>
      </c>
      <c r="C303" t="s">
        <v>457</v>
      </c>
      <c r="D303" t="s">
        <v>459</v>
      </c>
      <c r="E303">
        <v>31</v>
      </c>
      <c r="F303" t="s">
        <v>138</v>
      </c>
      <c r="G303" t="s">
        <v>651</v>
      </c>
      <c r="H303" t="s">
        <v>651</v>
      </c>
      <c r="I303">
        <v>2</v>
      </c>
      <c r="J303">
        <v>0</v>
      </c>
      <c r="K303" t="s">
        <v>651</v>
      </c>
      <c r="M303">
        <v>3</v>
      </c>
    </row>
    <row r="304" spans="1:13" ht="15.75" customHeight="1" x14ac:dyDescent="0.3">
      <c r="A304">
        <v>100</v>
      </c>
      <c r="B304" t="s">
        <v>129</v>
      </c>
      <c r="C304" t="s">
        <v>457</v>
      </c>
      <c r="D304" t="s">
        <v>461</v>
      </c>
      <c r="E304">
        <v>39</v>
      </c>
      <c r="F304" t="s">
        <v>141</v>
      </c>
      <c r="G304" t="s">
        <v>651</v>
      </c>
      <c r="H304" t="s">
        <v>651</v>
      </c>
      <c r="I304">
        <v>2</v>
      </c>
      <c r="J304">
        <v>0</v>
      </c>
      <c r="K304" t="s">
        <v>651</v>
      </c>
      <c r="M304">
        <v>17</v>
      </c>
    </row>
    <row r="305" spans="1:13" ht="15.75" customHeight="1" x14ac:dyDescent="0.3">
      <c r="A305">
        <v>100</v>
      </c>
      <c r="B305" t="s">
        <v>129</v>
      </c>
      <c r="C305" t="s">
        <v>457</v>
      </c>
      <c r="D305" t="s">
        <v>461</v>
      </c>
      <c r="E305">
        <v>39</v>
      </c>
      <c r="F305" t="s">
        <v>141</v>
      </c>
      <c r="G305" t="s">
        <v>138</v>
      </c>
      <c r="H305" t="s">
        <v>651</v>
      </c>
      <c r="I305">
        <v>2</v>
      </c>
      <c r="J305">
        <v>0</v>
      </c>
      <c r="K305" t="s">
        <v>651</v>
      </c>
      <c r="M305">
        <v>1</v>
      </c>
    </row>
    <row r="306" spans="1:13" ht="15.75" customHeight="1" x14ac:dyDescent="0.3">
      <c r="A306">
        <v>100</v>
      </c>
      <c r="B306" t="s">
        <v>129</v>
      </c>
      <c r="C306" t="s">
        <v>457</v>
      </c>
      <c r="D306" t="s">
        <v>461</v>
      </c>
      <c r="E306">
        <v>39</v>
      </c>
      <c r="F306" t="s">
        <v>141</v>
      </c>
      <c r="G306" t="s">
        <v>135</v>
      </c>
      <c r="H306" t="s">
        <v>651</v>
      </c>
      <c r="I306">
        <v>2</v>
      </c>
      <c r="J306">
        <v>0</v>
      </c>
      <c r="K306" t="s">
        <v>651</v>
      </c>
      <c r="M306">
        <v>1</v>
      </c>
    </row>
    <row r="307" spans="1:13" ht="15.75" customHeight="1" x14ac:dyDescent="0.3">
      <c r="A307">
        <v>100</v>
      </c>
      <c r="B307" t="s">
        <v>129</v>
      </c>
      <c r="C307" t="s">
        <v>457</v>
      </c>
      <c r="D307" t="s">
        <v>463</v>
      </c>
      <c r="E307">
        <v>50</v>
      </c>
      <c r="F307" t="s">
        <v>141</v>
      </c>
      <c r="G307" t="s">
        <v>651</v>
      </c>
      <c r="H307" t="s">
        <v>651</v>
      </c>
      <c r="I307">
        <v>2</v>
      </c>
      <c r="J307">
        <v>0</v>
      </c>
      <c r="K307" t="s">
        <v>651</v>
      </c>
      <c r="M307">
        <v>2</v>
      </c>
    </row>
    <row r="308" spans="1:13" ht="15.75" customHeight="1" x14ac:dyDescent="0.3">
      <c r="A308">
        <v>100</v>
      </c>
      <c r="B308" t="s">
        <v>129</v>
      </c>
      <c r="C308" t="s">
        <v>457</v>
      </c>
      <c r="D308" t="s">
        <v>463</v>
      </c>
      <c r="E308">
        <v>50</v>
      </c>
      <c r="F308" t="s">
        <v>141</v>
      </c>
      <c r="G308" t="s">
        <v>140</v>
      </c>
      <c r="H308" t="s">
        <v>651</v>
      </c>
      <c r="I308">
        <v>2</v>
      </c>
      <c r="J308">
        <v>0</v>
      </c>
      <c r="K308" t="s">
        <v>651</v>
      </c>
      <c r="M308">
        <v>1</v>
      </c>
    </row>
    <row r="309" spans="1:13" ht="15.75" customHeight="1" x14ac:dyDescent="0.3">
      <c r="A309">
        <v>100</v>
      </c>
      <c r="B309" t="s">
        <v>129</v>
      </c>
      <c r="C309" t="s">
        <v>457</v>
      </c>
      <c r="D309" t="s">
        <v>456</v>
      </c>
      <c r="E309">
        <v>22.5</v>
      </c>
      <c r="F309" t="s">
        <v>141</v>
      </c>
      <c r="G309" t="s">
        <v>651</v>
      </c>
      <c r="H309" t="s">
        <v>651</v>
      </c>
      <c r="I309">
        <v>2</v>
      </c>
      <c r="J309">
        <v>0</v>
      </c>
      <c r="K309" t="s">
        <v>651</v>
      </c>
      <c r="M309">
        <v>7</v>
      </c>
    </row>
    <row r="310" spans="1:13" ht="15.75" customHeight="1" x14ac:dyDescent="0.3">
      <c r="A310">
        <v>100</v>
      </c>
      <c r="B310" t="s">
        <v>129</v>
      </c>
      <c r="C310" t="s">
        <v>457</v>
      </c>
      <c r="D310" t="s">
        <v>456</v>
      </c>
      <c r="E310">
        <v>22.5</v>
      </c>
      <c r="F310" t="s">
        <v>141</v>
      </c>
      <c r="I310">
        <v>4</v>
      </c>
      <c r="J310">
        <v>0</v>
      </c>
      <c r="K310" t="s">
        <v>651</v>
      </c>
      <c r="M310">
        <v>2</v>
      </c>
    </row>
    <row r="311" spans="1:13" ht="15.75" customHeight="1" x14ac:dyDescent="0.3">
      <c r="A311">
        <v>100</v>
      </c>
      <c r="B311" t="s">
        <v>129</v>
      </c>
      <c r="C311" t="s">
        <v>457</v>
      </c>
      <c r="D311" t="s">
        <v>456</v>
      </c>
      <c r="E311">
        <v>22.5</v>
      </c>
      <c r="F311" t="s">
        <v>141</v>
      </c>
      <c r="I311">
        <v>3</v>
      </c>
      <c r="J311">
        <v>0</v>
      </c>
      <c r="K311" t="s">
        <v>651</v>
      </c>
      <c r="M311">
        <v>2</v>
      </c>
    </row>
    <row r="312" spans="1:13" ht="15.75" customHeight="1" x14ac:dyDescent="0.3">
      <c r="A312">
        <v>100</v>
      </c>
      <c r="B312" t="s">
        <v>129</v>
      </c>
      <c r="C312" t="s">
        <v>457</v>
      </c>
      <c r="D312" t="s">
        <v>456</v>
      </c>
      <c r="E312">
        <v>22.5</v>
      </c>
      <c r="F312" t="s">
        <v>141</v>
      </c>
      <c r="G312" t="s">
        <v>140</v>
      </c>
      <c r="H312" t="s">
        <v>651</v>
      </c>
      <c r="I312">
        <v>4</v>
      </c>
      <c r="J312">
        <v>0</v>
      </c>
      <c r="K312" t="s">
        <v>651</v>
      </c>
      <c r="M312">
        <v>1</v>
      </c>
    </row>
    <row r="313" spans="1:13" ht="15.75" customHeight="1" x14ac:dyDescent="0.3">
      <c r="A313">
        <v>100</v>
      </c>
      <c r="B313" t="s">
        <v>129</v>
      </c>
      <c r="C313" t="s">
        <v>457</v>
      </c>
      <c r="D313" t="s">
        <v>465</v>
      </c>
      <c r="E313">
        <v>60</v>
      </c>
      <c r="F313" t="s">
        <v>141</v>
      </c>
      <c r="G313" t="s">
        <v>651</v>
      </c>
      <c r="H313" t="s">
        <v>651</v>
      </c>
      <c r="I313">
        <v>2</v>
      </c>
      <c r="J313">
        <v>0</v>
      </c>
      <c r="K313" t="s">
        <v>651</v>
      </c>
      <c r="M313">
        <v>1</v>
      </c>
    </row>
    <row r="314" spans="1:13" ht="15.75" customHeight="1" x14ac:dyDescent="0.3">
      <c r="A314">
        <v>100</v>
      </c>
      <c r="B314" t="s">
        <v>129</v>
      </c>
      <c r="C314" t="s">
        <v>457</v>
      </c>
      <c r="D314" t="s">
        <v>465</v>
      </c>
      <c r="E314">
        <v>60</v>
      </c>
      <c r="F314" t="s">
        <v>141</v>
      </c>
      <c r="G314" t="s">
        <v>140</v>
      </c>
      <c r="H314" t="s">
        <v>651</v>
      </c>
      <c r="I314">
        <v>2</v>
      </c>
      <c r="J314">
        <v>0</v>
      </c>
      <c r="K314" t="s">
        <v>651</v>
      </c>
      <c r="M314">
        <v>1</v>
      </c>
    </row>
    <row r="315" spans="1:13" ht="15.75" customHeight="1" x14ac:dyDescent="0.3">
      <c r="A315">
        <v>100</v>
      </c>
      <c r="B315" t="s">
        <v>137</v>
      </c>
      <c r="C315" t="s">
        <v>480</v>
      </c>
      <c r="D315" t="s">
        <v>482</v>
      </c>
      <c r="E315">
        <v>30</v>
      </c>
      <c r="F315" t="s">
        <v>141</v>
      </c>
      <c r="G315" t="s">
        <v>651</v>
      </c>
      <c r="H315" t="s">
        <v>651</v>
      </c>
      <c r="I315">
        <v>2</v>
      </c>
      <c r="J315">
        <v>0</v>
      </c>
      <c r="K315" t="s">
        <v>651</v>
      </c>
      <c r="M315">
        <v>11</v>
      </c>
    </row>
    <row r="316" spans="1:13" ht="15.75" customHeight="1" x14ac:dyDescent="0.3">
      <c r="A316">
        <v>100</v>
      </c>
      <c r="B316" t="s">
        <v>137</v>
      </c>
      <c r="C316" t="s">
        <v>480</v>
      </c>
      <c r="D316" t="s">
        <v>482</v>
      </c>
      <c r="E316">
        <v>30</v>
      </c>
      <c r="F316" t="s">
        <v>141</v>
      </c>
      <c r="I316">
        <v>4</v>
      </c>
      <c r="J316">
        <v>0</v>
      </c>
      <c r="K316" t="s">
        <v>651</v>
      </c>
      <c r="M316">
        <v>1</v>
      </c>
    </row>
    <row r="317" spans="1:13" ht="15.75" customHeight="1" x14ac:dyDescent="0.3">
      <c r="A317">
        <v>100</v>
      </c>
      <c r="B317" t="s">
        <v>137</v>
      </c>
      <c r="C317" t="s">
        <v>480</v>
      </c>
      <c r="D317" t="s">
        <v>482</v>
      </c>
      <c r="E317">
        <v>30</v>
      </c>
      <c r="F317" t="s">
        <v>141</v>
      </c>
      <c r="H317" t="s">
        <v>304</v>
      </c>
      <c r="I317">
        <v>2</v>
      </c>
      <c r="J317">
        <v>0</v>
      </c>
      <c r="K317">
        <v>1</v>
      </c>
      <c r="M317">
        <v>1</v>
      </c>
    </row>
    <row r="318" spans="1:13" ht="15.75" customHeight="1" x14ac:dyDescent="0.3">
      <c r="A318">
        <v>100</v>
      </c>
      <c r="B318" t="s">
        <v>137</v>
      </c>
      <c r="C318" t="s">
        <v>480</v>
      </c>
      <c r="D318" t="s">
        <v>482</v>
      </c>
      <c r="E318">
        <v>30</v>
      </c>
      <c r="F318" t="s">
        <v>141</v>
      </c>
      <c r="G318" t="s">
        <v>135</v>
      </c>
      <c r="H318" t="s">
        <v>651</v>
      </c>
      <c r="I318">
        <v>2</v>
      </c>
      <c r="J318">
        <v>0</v>
      </c>
      <c r="K318" t="s">
        <v>651</v>
      </c>
      <c r="M318">
        <v>1</v>
      </c>
    </row>
    <row r="319" spans="1:13" ht="15.75" customHeight="1" x14ac:dyDescent="0.3">
      <c r="A319">
        <v>100</v>
      </c>
      <c r="B319" t="s">
        <v>137</v>
      </c>
      <c r="C319" t="s">
        <v>480</v>
      </c>
      <c r="D319" t="s">
        <v>482</v>
      </c>
      <c r="E319">
        <v>30</v>
      </c>
      <c r="F319" t="s">
        <v>135</v>
      </c>
      <c r="G319" t="s">
        <v>651</v>
      </c>
      <c r="H319" t="s">
        <v>304</v>
      </c>
      <c r="I319">
        <v>2</v>
      </c>
      <c r="J319">
        <v>0</v>
      </c>
      <c r="K319">
        <v>1</v>
      </c>
      <c r="M319">
        <v>1</v>
      </c>
    </row>
    <row r="320" spans="1:13" ht="15.75" customHeight="1" x14ac:dyDescent="0.3">
      <c r="A320">
        <v>100</v>
      </c>
      <c r="B320" t="s">
        <v>137</v>
      </c>
      <c r="C320" t="s">
        <v>480</v>
      </c>
      <c r="D320" t="s">
        <v>484</v>
      </c>
      <c r="E320">
        <v>40</v>
      </c>
      <c r="F320" t="s">
        <v>150</v>
      </c>
      <c r="G320" t="s">
        <v>651</v>
      </c>
      <c r="H320" t="s">
        <v>651</v>
      </c>
      <c r="I320">
        <v>2</v>
      </c>
      <c r="J320">
        <v>0</v>
      </c>
      <c r="K320" t="s">
        <v>651</v>
      </c>
      <c r="M320">
        <v>2</v>
      </c>
    </row>
    <row r="321" spans="1:13" ht="15.75" customHeight="1" x14ac:dyDescent="0.3">
      <c r="A321">
        <v>100</v>
      </c>
      <c r="B321" t="s">
        <v>137</v>
      </c>
      <c r="C321" t="s">
        <v>480</v>
      </c>
      <c r="D321" t="s">
        <v>484</v>
      </c>
      <c r="E321">
        <v>40</v>
      </c>
      <c r="F321" t="s">
        <v>150</v>
      </c>
      <c r="G321" t="s">
        <v>141</v>
      </c>
      <c r="H321" t="s">
        <v>651</v>
      </c>
      <c r="I321">
        <v>2</v>
      </c>
      <c r="J321">
        <v>0</v>
      </c>
      <c r="K321" t="s">
        <v>651</v>
      </c>
      <c r="M321">
        <v>1</v>
      </c>
    </row>
    <row r="322" spans="1:13" ht="15.75" customHeight="1" x14ac:dyDescent="0.3">
      <c r="A322">
        <v>100</v>
      </c>
      <c r="B322" t="s">
        <v>137</v>
      </c>
      <c r="C322" t="s">
        <v>480</v>
      </c>
      <c r="D322" t="s">
        <v>484</v>
      </c>
      <c r="E322">
        <v>40</v>
      </c>
      <c r="F322" t="s">
        <v>141</v>
      </c>
      <c r="G322" t="s">
        <v>651</v>
      </c>
      <c r="H322" t="s">
        <v>651</v>
      </c>
      <c r="I322">
        <v>2</v>
      </c>
      <c r="J322">
        <v>0</v>
      </c>
      <c r="K322" t="s">
        <v>651</v>
      </c>
      <c r="M322">
        <v>54</v>
      </c>
    </row>
    <row r="323" spans="1:13" ht="15.75" customHeight="1" x14ac:dyDescent="0.3">
      <c r="A323">
        <v>100</v>
      </c>
      <c r="B323" t="s">
        <v>137</v>
      </c>
      <c r="C323" t="s">
        <v>480</v>
      </c>
      <c r="D323" t="s">
        <v>484</v>
      </c>
      <c r="E323">
        <v>40</v>
      </c>
      <c r="F323" t="s">
        <v>141</v>
      </c>
      <c r="G323" t="s">
        <v>141</v>
      </c>
      <c r="H323" t="s">
        <v>651</v>
      </c>
      <c r="I323">
        <v>2</v>
      </c>
      <c r="J323">
        <v>0</v>
      </c>
      <c r="K323" t="s">
        <v>651</v>
      </c>
      <c r="M323">
        <v>1</v>
      </c>
    </row>
    <row r="324" spans="1:13" ht="15.75" customHeight="1" x14ac:dyDescent="0.3">
      <c r="A324">
        <v>100</v>
      </c>
      <c r="B324" t="s">
        <v>137</v>
      </c>
      <c r="C324" t="s">
        <v>480</v>
      </c>
      <c r="D324" t="s">
        <v>484</v>
      </c>
      <c r="E324">
        <v>40</v>
      </c>
      <c r="F324" t="s">
        <v>141</v>
      </c>
      <c r="G324" t="s">
        <v>150</v>
      </c>
      <c r="H324" t="s">
        <v>651</v>
      </c>
      <c r="I324">
        <v>2</v>
      </c>
      <c r="J324">
        <v>0</v>
      </c>
      <c r="K324" t="s">
        <v>651</v>
      </c>
      <c r="M324">
        <v>1</v>
      </c>
    </row>
    <row r="325" spans="1:13" ht="15.75" customHeight="1" x14ac:dyDescent="0.3">
      <c r="A325">
        <v>100</v>
      </c>
      <c r="B325" t="s">
        <v>137</v>
      </c>
      <c r="C325" t="s">
        <v>480</v>
      </c>
      <c r="D325" t="s">
        <v>484</v>
      </c>
      <c r="E325">
        <v>40</v>
      </c>
      <c r="F325" t="s">
        <v>135</v>
      </c>
      <c r="G325" t="s">
        <v>651</v>
      </c>
      <c r="H325" t="s">
        <v>651</v>
      </c>
      <c r="I325">
        <v>2</v>
      </c>
      <c r="J325">
        <v>0</v>
      </c>
      <c r="K325" t="s">
        <v>651</v>
      </c>
      <c r="M325">
        <v>1</v>
      </c>
    </row>
    <row r="326" spans="1:13" ht="15.75" customHeight="1" x14ac:dyDescent="0.3">
      <c r="A326">
        <v>100</v>
      </c>
      <c r="B326" t="s">
        <v>137</v>
      </c>
      <c r="C326" t="s">
        <v>480</v>
      </c>
      <c r="D326" t="s">
        <v>488</v>
      </c>
      <c r="E326">
        <v>60</v>
      </c>
      <c r="F326" t="s">
        <v>150</v>
      </c>
      <c r="G326" t="s">
        <v>147</v>
      </c>
      <c r="H326" t="s">
        <v>651</v>
      </c>
      <c r="I326">
        <v>2</v>
      </c>
      <c r="J326">
        <v>0</v>
      </c>
      <c r="K326" t="s">
        <v>651</v>
      </c>
      <c r="M326">
        <v>1</v>
      </c>
    </row>
    <row r="327" spans="1:13" ht="15.75" customHeight="1" x14ac:dyDescent="0.3">
      <c r="A327">
        <v>100</v>
      </c>
      <c r="B327" t="s">
        <v>137</v>
      </c>
      <c r="C327" t="s">
        <v>480</v>
      </c>
      <c r="D327" t="s">
        <v>488</v>
      </c>
      <c r="E327">
        <v>60</v>
      </c>
      <c r="F327" t="s">
        <v>141</v>
      </c>
      <c r="G327" t="s">
        <v>651</v>
      </c>
      <c r="H327" t="s">
        <v>651</v>
      </c>
      <c r="I327">
        <v>2</v>
      </c>
      <c r="J327">
        <v>0</v>
      </c>
      <c r="K327" t="s">
        <v>651</v>
      </c>
      <c r="M327">
        <v>2</v>
      </c>
    </row>
    <row r="328" spans="1:13" ht="15.75" customHeight="1" x14ac:dyDescent="0.3">
      <c r="A328">
        <v>100</v>
      </c>
      <c r="B328" t="s">
        <v>137</v>
      </c>
      <c r="C328" t="s">
        <v>480</v>
      </c>
      <c r="D328" t="s">
        <v>486</v>
      </c>
      <c r="E328">
        <v>50</v>
      </c>
      <c r="F328" t="s">
        <v>150</v>
      </c>
      <c r="G328" t="s">
        <v>651</v>
      </c>
      <c r="H328" t="s">
        <v>651</v>
      </c>
      <c r="I328">
        <v>0</v>
      </c>
      <c r="J328">
        <v>0</v>
      </c>
      <c r="K328" t="s">
        <v>651</v>
      </c>
      <c r="M328">
        <v>1</v>
      </c>
    </row>
    <row r="329" spans="1:13" ht="15.75" customHeight="1" x14ac:dyDescent="0.3">
      <c r="A329">
        <v>100</v>
      </c>
      <c r="B329" t="s">
        <v>137</v>
      </c>
      <c r="C329" t="s">
        <v>480</v>
      </c>
      <c r="D329" t="s">
        <v>486</v>
      </c>
      <c r="E329">
        <v>50</v>
      </c>
      <c r="F329" t="s">
        <v>141</v>
      </c>
      <c r="G329" t="s">
        <v>651</v>
      </c>
      <c r="H329" t="s">
        <v>651</v>
      </c>
      <c r="I329">
        <v>2</v>
      </c>
      <c r="J329">
        <v>0</v>
      </c>
      <c r="K329" t="s">
        <v>651</v>
      </c>
      <c r="M329">
        <v>10</v>
      </c>
    </row>
    <row r="330" spans="1:13" ht="15.75" customHeight="1" x14ac:dyDescent="0.3">
      <c r="A330">
        <v>100</v>
      </c>
      <c r="B330" t="s">
        <v>137</v>
      </c>
      <c r="C330" t="s">
        <v>480</v>
      </c>
      <c r="D330" t="s">
        <v>486</v>
      </c>
      <c r="E330">
        <v>50</v>
      </c>
      <c r="F330" t="s">
        <v>141</v>
      </c>
      <c r="I330">
        <v>0</v>
      </c>
      <c r="J330">
        <v>0</v>
      </c>
      <c r="K330" t="s">
        <v>651</v>
      </c>
      <c r="M330">
        <v>1</v>
      </c>
    </row>
    <row r="331" spans="1:13" ht="15.75" customHeight="1" x14ac:dyDescent="0.3">
      <c r="A331">
        <v>100</v>
      </c>
      <c r="B331" t="s">
        <v>137</v>
      </c>
      <c r="C331" t="s">
        <v>480</v>
      </c>
      <c r="D331" t="s">
        <v>486</v>
      </c>
      <c r="E331">
        <v>50</v>
      </c>
      <c r="F331" t="s">
        <v>141</v>
      </c>
      <c r="G331" t="s">
        <v>147</v>
      </c>
      <c r="H331" t="s">
        <v>651</v>
      </c>
      <c r="I331">
        <v>2</v>
      </c>
      <c r="J331">
        <v>0</v>
      </c>
      <c r="K331" t="s">
        <v>651</v>
      </c>
      <c r="M331">
        <v>1</v>
      </c>
    </row>
    <row r="332" spans="1:13" ht="15.75" customHeight="1" x14ac:dyDescent="0.3">
      <c r="A332">
        <v>100</v>
      </c>
      <c r="B332" t="s">
        <v>137</v>
      </c>
      <c r="C332" t="s">
        <v>480</v>
      </c>
      <c r="D332" t="s">
        <v>490</v>
      </c>
      <c r="E332">
        <v>68</v>
      </c>
      <c r="F332" t="s">
        <v>141</v>
      </c>
      <c r="G332" t="s">
        <v>651</v>
      </c>
      <c r="H332" t="s">
        <v>651</v>
      </c>
      <c r="I332">
        <v>2</v>
      </c>
      <c r="J332">
        <v>0</v>
      </c>
      <c r="K332" t="s">
        <v>651</v>
      </c>
      <c r="M332">
        <v>1</v>
      </c>
    </row>
    <row r="333" spans="1:13" ht="15.75" customHeight="1" x14ac:dyDescent="0.3">
      <c r="A333">
        <v>100</v>
      </c>
      <c r="B333" t="s">
        <v>137</v>
      </c>
      <c r="C333" t="s">
        <v>480</v>
      </c>
      <c r="D333" t="s">
        <v>496</v>
      </c>
      <c r="E333">
        <v>100</v>
      </c>
      <c r="F333" t="s">
        <v>141</v>
      </c>
      <c r="G333" t="s">
        <v>651</v>
      </c>
      <c r="H333" t="s">
        <v>651</v>
      </c>
      <c r="I333">
        <v>2</v>
      </c>
      <c r="J333">
        <v>0</v>
      </c>
      <c r="K333" t="s">
        <v>651</v>
      </c>
      <c r="M333">
        <v>1</v>
      </c>
    </row>
    <row r="334" spans="1:13" ht="15.75" customHeight="1" x14ac:dyDescent="0.3">
      <c r="A334">
        <v>100</v>
      </c>
      <c r="B334" t="s">
        <v>137</v>
      </c>
      <c r="C334" t="s">
        <v>361</v>
      </c>
      <c r="D334" t="s">
        <v>365</v>
      </c>
      <c r="E334">
        <v>28</v>
      </c>
      <c r="F334" t="s">
        <v>141</v>
      </c>
      <c r="G334" t="s">
        <v>651</v>
      </c>
      <c r="H334" t="s">
        <v>651</v>
      </c>
      <c r="I334">
        <v>2</v>
      </c>
      <c r="J334">
        <v>0</v>
      </c>
      <c r="K334" t="s">
        <v>651</v>
      </c>
      <c r="M334">
        <v>6</v>
      </c>
    </row>
    <row r="335" spans="1:13" ht="15.75" customHeight="1" x14ac:dyDescent="0.3">
      <c r="A335">
        <v>100</v>
      </c>
      <c r="B335" t="s">
        <v>137</v>
      </c>
      <c r="C335" t="s">
        <v>361</v>
      </c>
      <c r="D335" t="s">
        <v>367</v>
      </c>
      <c r="E335">
        <v>35</v>
      </c>
      <c r="F335" t="s">
        <v>141</v>
      </c>
      <c r="G335" t="s">
        <v>651</v>
      </c>
      <c r="H335" t="s">
        <v>651</v>
      </c>
      <c r="I335">
        <v>2</v>
      </c>
      <c r="J335">
        <v>0</v>
      </c>
      <c r="K335" t="s">
        <v>651</v>
      </c>
      <c r="M335">
        <v>15</v>
      </c>
    </row>
    <row r="336" spans="1:13" ht="15.75" customHeight="1" x14ac:dyDescent="0.3">
      <c r="A336">
        <v>100</v>
      </c>
      <c r="B336" t="s">
        <v>137</v>
      </c>
      <c r="C336" t="s">
        <v>361</v>
      </c>
      <c r="D336" t="s">
        <v>369</v>
      </c>
      <c r="E336">
        <v>44</v>
      </c>
      <c r="F336" t="s">
        <v>150</v>
      </c>
      <c r="G336" t="s">
        <v>651</v>
      </c>
      <c r="H336" t="s">
        <v>651</v>
      </c>
      <c r="I336">
        <v>2</v>
      </c>
      <c r="J336">
        <v>0</v>
      </c>
      <c r="K336" t="s">
        <v>651</v>
      </c>
      <c r="M336">
        <v>2</v>
      </c>
    </row>
    <row r="337" spans="1:13" ht="15.75" customHeight="1" x14ac:dyDescent="0.3">
      <c r="A337">
        <v>100</v>
      </c>
      <c r="B337" t="s">
        <v>137</v>
      </c>
      <c r="C337" t="s">
        <v>361</v>
      </c>
      <c r="D337" t="s">
        <v>369</v>
      </c>
      <c r="E337">
        <v>44</v>
      </c>
      <c r="F337" t="s">
        <v>141</v>
      </c>
      <c r="G337" t="s">
        <v>651</v>
      </c>
      <c r="H337" t="s">
        <v>651</v>
      </c>
      <c r="I337">
        <v>2</v>
      </c>
      <c r="J337">
        <v>0</v>
      </c>
      <c r="K337" t="s">
        <v>651</v>
      </c>
      <c r="M337">
        <v>31</v>
      </c>
    </row>
    <row r="338" spans="1:13" ht="15.75" customHeight="1" x14ac:dyDescent="0.3">
      <c r="A338">
        <v>100</v>
      </c>
      <c r="B338" t="s">
        <v>137</v>
      </c>
      <c r="C338" t="s">
        <v>361</v>
      </c>
      <c r="D338" t="s">
        <v>369</v>
      </c>
      <c r="E338">
        <v>44</v>
      </c>
      <c r="F338" t="s">
        <v>141</v>
      </c>
      <c r="I338">
        <v>4</v>
      </c>
      <c r="J338">
        <v>0</v>
      </c>
      <c r="K338" t="s">
        <v>651</v>
      </c>
      <c r="M338">
        <v>1</v>
      </c>
    </row>
    <row r="339" spans="1:13" ht="15.75" customHeight="1" x14ac:dyDescent="0.3">
      <c r="A339">
        <v>100</v>
      </c>
      <c r="B339" t="s">
        <v>137</v>
      </c>
      <c r="C339" t="s">
        <v>361</v>
      </c>
      <c r="D339" t="s">
        <v>369</v>
      </c>
      <c r="E339">
        <v>44</v>
      </c>
      <c r="F339" t="s">
        <v>135</v>
      </c>
      <c r="G339" t="s">
        <v>651</v>
      </c>
      <c r="H339" t="s">
        <v>651</v>
      </c>
      <c r="I339">
        <v>2</v>
      </c>
      <c r="J339">
        <v>0</v>
      </c>
      <c r="K339" t="s">
        <v>651</v>
      </c>
      <c r="M339">
        <v>1</v>
      </c>
    </row>
    <row r="340" spans="1:13" ht="15.75" customHeight="1" x14ac:dyDescent="0.3">
      <c r="A340">
        <v>100</v>
      </c>
      <c r="B340" t="s">
        <v>137</v>
      </c>
      <c r="C340" t="s">
        <v>361</v>
      </c>
      <c r="D340" t="s">
        <v>373</v>
      </c>
      <c r="E340">
        <v>65</v>
      </c>
      <c r="F340" t="s">
        <v>150</v>
      </c>
      <c r="G340" t="s">
        <v>651</v>
      </c>
      <c r="H340" t="s">
        <v>651</v>
      </c>
      <c r="I340">
        <v>2</v>
      </c>
      <c r="J340">
        <v>0</v>
      </c>
      <c r="K340" t="s">
        <v>651</v>
      </c>
      <c r="M340">
        <v>1</v>
      </c>
    </row>
    <row r="341" spans="1:13" ht="15.75" customHeight="1" x14ac:dyDescent="0.3">
      <c r="A341">
        <v>100</v>
      </c>
      <c r="B341" t="s">
        <v>137</v>
      </c>
      <c r="C341" t="s">
        <v>361</v>
      </c>
      <c r="D341" t="s">
        <v>373</v>
      </c>
      <c r="E341">
        <v>65</v>
      </c>
      <c r="F341" t="s">
        <v>141</v>
      </c>
      <c r="G341" t="s">
        <v>651</v>
      </c>
      <c r="H341" t="s">
        <v>651</v>
      </c>
      <c r="I341">
        <v>2</v>
      </c>
      <c r="J341">
        <v>0</v>
      </c>
      <c r="K341" t="s">
        <v>651</v>
      </c>
      <c r="M341">
        <v>3</v>
      </c>
    </row>
    <row r="342" spans="1:13" ht="15.75" customHeight="1" x14ac:dyDescent="0.3">
      <c r="A342">
        <v>100</v>
      </c>
      <c r="B342" t="s">
        <v>137</v>
      </c>
      <c r="C342" t="s">
        <v>361</v>
      </c>
      <c r="D342" t="s">
        <v>373</v>
      </c>
      <c r="E342">
        <v>65</v>
      </c>
      <c r="F342" t="s">
        <v>135</v>
      </c>
      <c r="G342" t="s">
        <v>651</v>
      </c>
      <c r="H342" t="s">
        <v>651</v>
      </c>
      <c r="I342">
        <v>2</v>
      </c>
      <c r="J342">
        <v>0</v>
      </c>
      <c r="K342" t="s">
        <v>651</v>
      </c>
      <c r="M342">
        <v>1</v>
      </c>
    </row>
    <row r="343" spans="1:13" ht="15.75" customHeight="1" x14ac:dyDescent="0.3">
      <c r="A343">
        <v>100</v>
      </c>
      <c r="B343" t="s">
        <v>137</v>
      </c>
      <c r="C343" t="s">
        <v>361</v>
      </c>
      <c r="D343" t="s">
        <v>371</v>
      </c>
      <c r="E343">
        <v>52</v>
      </c>
      <c r="F343" t="s">
        <v>150</v>
      </c>
      <c r="G343" t="s">
        <v>651</v>
      </c>
      <c r="H343" t="s">
        <v>651</v>
      </c>
      <c r="I343">
        <v>2</v>
      </c>
      <c r="J343">
        <v>0</v>
      </c>
      <c r="K343" t="s">
        <v>651</v>
      </c>
      <c r="M343">
        <v>1</v>
      </c>
    </row>
    <row r="344" spans="1:13" ht="15.75" customHeight="1" x14ac:dyDescent="0.3">
      <c r="A344">
        <v>100</v>
      </c>
      <c r="B344" t="s">
        <v>137</v>
      </c>
      <c r="C344" t="s">
        <v>361</v>
      </c>
      <c r="D344" t="s">
        <v>371</v>
      </c>
      <c r="E344">
        <v>52</v>
      </c>
      <c r="F344" t="s">
        <v>150</v>
      </c>
      <c r="I344">
        <v>0</v>
      </c>
      <c r="J344">
        <v>0</v>
      </c>
      <c r="K344" t="s">
        <v>651</v>
      </c>
      <c r="M344">
        <v>1</v>
      </c>
    </row>
    <row r="345" spans="1:13" ht="15.75" customHeight="1" x14ac:dyDescent="0.3">
      <c r="A345">
        <v>100</v>
      </c>
      <c r="B345" t="s">
        <v>137</v>
      </c>
      <c r="C345" t="s">
        <v>361</v>
      </c>
      <c r="D345" t="s">
        <v>371</v>
      </c>
      <c r="E345">
        <v>52</v>
      </c>
      <c r="F345" t="s">
        <v>141</v>
      </c>
      <c r="G345" t="s">
        <v>651</v>
      </c>
      <c r="H345" t="s">
        <v>651</v>
      </c>
      <c r="I345">
        <v>2</v>
      </c>
      <c r="J345">
        <v>0</v>
      </c>
      <c r="K345" t="s">
        <v>651</v>
      </c>
      <c r="M345">
        <v>27</v>
      </c>
    </row>
    <row r="346" spans="1:13" ht="15.75" customHeight="1" x14ac:dyDescent="0.3">
      <c r="A346">
        <v>100</v>
      </c>
      <c r="B346" t="s">
        <v>137</v>
      </c>
      <c r="C346" t="s">
        <v>361</v>
      </c>
      <c r="D346" t="s">
        <v>371</v>
      </c>
      <c r="E346">
        <v>52</v>
      </c>
      <c r="F346" t="s">
        <v>141</v>
      </c>
      <c r="I346">
        <v>0</v>
      </c>
      <c r="J346">
        <v>0</v>
      </c>
      <c r="K346" t="s">
        <v>651</v>
      </c>
      <c r="M346">
        <v>1</v>
      </c>
    </row>
    <row r="347" spans="1:13" ht="15.75" customHeight="1" x14ac:dyDescent="0.3">
      <c r="A347">
        <v>100</v>
      </c>
      <c r="B347" t="s">
        <v>137</v>
      </c>
      <c r="C347" t="s">
        <v>361</v>
      </c>
      <c r="D347" t="s">
        <v>371</v>
      </c>
      <c r="E347">
        <v>52</v>
      </c>
      <c r="F347" t="s">
        <v>141</v>
      </c>
      <c r="G347" t="s">
        <v>138</v>
      </c>
      <c r="H347" t="s">
        <v>651</v>
      </c>
      <c r="I347">
        <v>2</v>
      </c>
      <c r="J347">
        <v>0</v>
      </c>
      <c r="K347" t="s">
        <v>651</v>
      </c>
      <c r="M347">
        <v>1</v>
      </c>
    </row>
    <row r="348" spans="1:13" ht="15.75" customHeight="1" x14ac:dyDescent="0.3">
      <c r="A348">
        <v>100</v>
      </c>
      <c r="B348" t="s">
        <v>137</v>
      </c>
      <c r="C348" t="s">
        <v>361</v>
      </c>
      <c r="D348" t="s">
        <v>377</v>
      </c>
      <c r="E348">
        <v>85</v>
      </c>
      <c r="F348" t="s">
        <v>141</v>
      </c>
      <c r="G348" t="s">
        <v>651</v>
      </c>
      <c r="H348" t="s">
        <v>651</v>
      </c>
      <c r="I348">
        <v>2</v>
      </c>
      <c r="J348">
        <v>0</v>
      </c>
      <c r="K348" t="s">
        <v>651</v>
      </c>
      <c r="M348">
        <v>1</v>
      </c>
    </row>
    <row r="349" spans="1:13" ht="15.75" customHeight="1" x14ac:dyDescent="0.3">
      <c r="A349">
        <v>100</v>
      </c>
      <c r="B349" t="s">
        <v>137</v>
      </c>
      <c r="C349" t="s">
        <v>457</v>
      </c>
      <c r="D349" t="s">
        <v>459</v>
      </c>
      <c r="E349">
        <v>31</v>
      </c>
      <c r="F349" t="s">
        <v>141</v>
      </c>
      <c r="G349" t="s">
        <v>651</v>
      </c>
      <c r="H349" t="s">
        <v>651</v>
      </c>
      <c r="I349">
        <v>2</v>
      </c>
      <c r="J349">
        <v>0</v>
      </c>
      <c r="K349" t="s">
        <v>651</v>
      </c>
      <c r="M349">
        <v>10</v>
      </c>
    </row>
    <row r="350" spans="1:13" ht="15.75" customHeight="1" x14ac:dyDescent="0.3">
      <c r="A350">
        <v>100</v>
      </c>
      <c r="B350" t="s">
        <v>137</v>
      </c>
      <c r="C350" t="s">
        <v>457</v>
      </c>
      <c r="D350" t="s">
        <v>459</v>
      </c>
      <c r="E350">
        <v>31</v>
      </c>
      <c r="F350" t="s">
        <v>141</v>
      </c>
      <c r="I350">
        <v>4</v>
      </c>
      <c r="J350">
        <v>0</v>
      </c>
      <c r="K350" t="s">
        <v>651</v>
      </c>
      <c r="M350">
        <v>1</v>
      </c>
    </row>
    <row r="351" spans="1:13" ht="15.75" customHeight="1" x14ac:dyDescent="0.3">
      <c r="A351">
        <v>100</v>
      </c>
      <c r="B351" t="s">
        <v>137</v>
      </c>
      <c r="C351" t="s">
        <v>457</v>
      </c>
      <c r="D351" t="s">
        <v>459</v>
      </c>
      <c r="E351">
        <v>31</v>
      </c>
      <c r="F351" t="s">
        <v>141</v>
      </c>
      <c r="G351" t="s">
        <v>138</v>
      </c>
      <c r="H351" t="s">
        <v>651</v>
      </c>
      <c r="I351">
        <v>2</v>
      </c>
      <c r="J351">
        <v>0</v>
      </c>
      <c r="K351" t="s">
        <v>651</v>
      </c>
      <c r="M351">
        <v>1</v>
      </c>
    </row>
    <row r="352" spans="1:13" ht="15.75" customHeight="1" x14ac:dyDescent="0.3">
      <c r="A352">
        <v>100</v>
      </c>
      <c r="B352" t="s">
        <v>137</v>
      </c>
      <c r="C352" t="s">
        <v>457</v>
      </c>
      <c r="D352" t="s">
        <v>461</v>
      </c>
      <c r="E352">
        <v>39</v>
      </c>
      <c r="F352" t="s">
        <v>150</v>
      </c>
      <c r="G352" t="s">
        <v>651</v>
      </c>
      <c r="H352" t="s">
        <v>651</v>
      </c>
      <c r="I352">
        <v>2</v>
      </c>
      <c r="J352">
        <v>0</v>
      </c>
      <c r="K352" t="s">
        <v>651</v>
      </c>
      <c r="M352">
        <v>1</v>
      </c>
    </row>
    <row r="353" spans="1:13" ht="15.75" customHeight="1" x14ac:dyDescent="0.3">
      <c r="A353">
        <v>100</v>
      </c>
      <c r="B353" t="s">
        <v>137</v>
      </c>
      <c r="C353" t="s">
        <v>457</v>
      </c>
      <c r="D353" t="s">
        <v>461</v>
      </c>
      <c r="E353">
        <v>39</v>
      </c>
      <c r="F353" t="s">
        <v>141</v>
      </c>
      <c r="G353" t="s">
        <v>651</v>
      </c>
      <c r="H353" t="s">
        <v>651</v>
      </c>
      <c r="I353">
        <v>2</v>
      </c>
      <c r="J353">
        <v>0</v>
      </c>
      <c r="K353" t="s">
        <v>651</v>
      </c>
      <c r="M353">
        <v>26</v>
      </c>
    </row>
    <row r="354" spans="1:13" ht="15.75" customHeight="1" x14ac:dyDescent="0.3">
      <c r="A354">
        <v>100</v>
      </c>
      <c r="B354" t="s">
        <v>137</v>
      </c>
      <c r="C354" t="s">
        <v>457</v>
      </c>
      <c r="D354" t="s">
        <v>461</v>
      </c>
      <c r="E354">
        <v>39</v>
      </c>
      <c r="F354" t="s">
        <v>141</v>
      </c>
      <c r="G354" t="s">
        <v>135</v>
      </c>
      <c r="H354" t="s">
        <v>651</v>
      </c>
      <c r="I354">
        <v>2</v>
      </c>
      <c r="J354">
        <v>0</v>
      </c>
      <c r="K354" t="s">
        <v>651</v>
      </c>
      <c r="M354">
        <v>1</v>
      </c>
    </row>
    <row r="355" spans="1:13" ht="15.75" customHeight="1" x14ac:dyDescent="0.3">
      <c r="A355">
        <v>100</v>
      </c>
      <c r="B355" t="s">
        <v>137</v>
      </c>
      <c r="C355" t="s">
        <v>457</v>
      </c>
      <c r="D355" t="s">
        <v>461</v>
      </c>
      <c r="E355">
        <v>39</v>
      </c>
      <c r="F355" t="s">
        <v>141</v>
      </c>
      <c r="G355" t="s">
        <v>150</v>
      </c>
      <c r="H355" t="s">
        <v>651</v>
      </c>
      <c r="I355">
        <v>2</v>
      </c>
      <c r="J355">
        <v>0</v>
      </c>
      <c r="K355" t="s">
        <v>651</v>
      </c>
      <c r="M355">
        <v>1</v>
      </c>
    </row>
    <row r="356" spans="1:13" ht="15.75" customHeight="1" x14ac:dyDescent="0.3">
      <c r="A356">
        <v>100</v>
      </c>
      <c r="B356" t="s">
        <v>137</v>
      </c>
      <c r="C356" t="s">
        <v>457</v>
      </c>
      <c r="D356" t="s">
        <v>461</v>
      </c>
      <c r="E356">
        <v>39</v>
      </c>
      <c r="F356" t="s">
        <v>135</v>
      </c>
      <c r="G356" t="s">
        <v>141</v>
      </c>
      <c r="H356" t="s">
        <v>651</v>
      </c>
      <c r="I356">
        <v>2</v>
      </c>
      <c r="J356">
        <v>0</v>
      </c>
      <c r="K356" t="s">
        <v>651</v>
      </c>
      <c r="M356">
        <v>1</v>
      </c>
    </row>
    <row r="357" spans="1:13" ht="15.75" customHeight="1" x14ac:dyDescent="0.3">
      <c r="A357">
        <v>100</v>
      </c>
      <c r="B357" t="s">
        <v>137</v>
      </c>
      <c r="C357" t="s">
        <v>457</v>
      </c>
      <c r="D357" t="s">
        <v>463</v>
      </c>
      <c r="E357">
        <v>50</v>
      </c>
      <c r="F357" t="s">
        <v>150</v>
      </c>
      <c r="G357" t="s">
        <v>651</v>
      </c>
      <c r="H357" t="s">
        <v>651</v>
      </c>
      <c r="I357">
        <v>2</v>
      </c>
      <c r="J357">
        <v>0</v>
      </c>
      <c r="K357" t="s">
        <v>651</v>
      </c>
      <c r="M357">
        <v>2</v>
      </c>
    </row>
    <row r="358" spans="1:13" ht="15.75" customHeight="1" x14ac:dyDescent="0.3">
      <c r="A358">
        <v>100</v>
      </c>
      <c r="B358" t="s">
        <v>137</v>
      </c>
      <c r="C358" t="s">
        <v>457</v>
      </c>
      <c r="D358" t="s">
        <v>463</v>
      </c>
      <c r="E358">
        <v>50</v>
      </c>
      <c r="F358" t="s">
        <v>150</v>
      </c>
      <c r="I358">
        <v>0</v>
      </c>
      <c r="J358">
        <v>0</v>
      </c>
      <c r="K358" t="s">
        <v>651</v>
      </c>
      <c r="M358">
        <v>1</v>
      </c>
    </row>
    <row r="359" spans="1:13" ht="15.75" customHeight="1" x14ac:dyDescent="0.3">
      <c r="A359">
        <v>100</v>
      </c>
      <c r="B359" t="s">
        <v>137</v>
      </c>
      <c r="C359" t="s">
        <v>457</v>
      </c>
      <c r="D359" t="s">
        <v>463</v>
      </c>
      <c r="E359">
        <v>50</v>
      </c>
      <c r="F359" t="s">
        <v>150</v>
      </c>
      <c r="G359" t="s">
        <v>147</v>
      </c>
      <c r="H359" t="s">
        <v>651</v>
      </c>
      <c r="I359">
        <v>2</v>
      </c>
      <c r="J359">
        <v>0</v>
      </c>
      <c r="K359" t="s">
        <v>651</v>
      </c>
      <c r="M359">
        <v>1</v>
      </c>
    </row>
    <row r="360" spans="1:13" ht="15.75" customHeight="1" x14ac:dyDescent="0.3">
      <c r="A360">
        <v>100</v>
      </c>
      <c r="B360" t="s">
        <v>137</v>
      </c>
      <c r="C360" t="s">
        <v>457</v>
      </c>
      <c r="D360" t="s">
        <v>463</v>
      </c>
      <c r="E360">
        <v>50</v>
      </c>
      <c r="F360" t="s">
        <v>141</v>
      </c>
      <c r="G360" t="s">
        <v>651</v>
      </c>
      <c r="H360" t="s">
        <v>651</v>
      </c>
      <c r="I360">
        <v>2</v>
      </c>
      <c r="J360">
        <v>0</v>
      </c>
      <c r="K360" t="s">
        <v>651</v>
      </c>
      <c r="M360">
        <v>40</v>
      </c>
    </row>
    <row r="361" spans="1:13" ht="15.75" customHeight="1" x14ac:dyDescent="0.3">
      <c r="A361">
        <v>100</v>
      </c>
      <c r="B361" t="s">
        <v>137</v>
      </c>
      <c r="C361" t="s">
        <v>457</v>
      </c>
      <c r="D361" t="s">
        <v>463</v>
      </c>
      <c r="E361">
        <v>50</v>
      </c>
      <c r="F361" t="s">
        <v>141</v>
      </c>
      <c r="I361">
        <v>0</v>
      </c>
      <c r="J361">
        <v>0</v>
      </c>
      <c r="K361" t="s">
        <v>651</v>
      </c>
      <c r="M361">
        <v>1</v>
      </c>
    </row>
    <row r="362" spans="1:13" ht="15.75" customHeight="1" x14ac:dyDescent="0.3">
      <c r="A362">
        <v>100</v>
      </c>
      <c r="B362" t="s">
        <v>137</v>
      </c>
      <c r="C362" t="s">
        <v>457</v>
      </c>
      <c r="D362" t="s">
        <v>463</v>
      </c>
      <c r="E362">
        <v>50</v>
      </c>
      <c r="F362" t="s">
        <v>141</v>
      </c>
      <c r="G362" t="s">
        <v>147</v>
      </c>
      <c r="H362" t="s">
        <v>651</v>
      </c>
      <c r="I362">
        <v>2</v>
      </c>
      <c r="J362">
        <v>0</v>
      </c>
      <c r="K362" t="s">
        <v>651</v>
      </c>
      <c r="M362">
        <v>1</v>
      </c>
    </row>
    <row r="363" spans="1:13" ht="15.75" customHeight="1" x14ac:dyDescent="0.3">
      <c r="A363">
        <v>100</v>
      </c>
      <c r="B363" t="s">
        <v>137</v>
      </c>
      <c r="C363" t="s">
        <v>457</v>
      </c>
      <c r="D363" t="s">
        <v>456</v>
      </c>
      <c r="E363">
        <v>22.5</v>
      </c>
      <c r="F363" t="s">
        <v>141</v>
      </c>
      <c r="G363" t="s">
        <v>651</v>
      </c>
      <c r="H363" t="s">
        <v>651</v>
      </c>
      <c r="I363">
        <v>2</v>
      </c>
      <c r="J363">
        <v>0</v>
      </c>
      <c r="K363" t="s">
        <v>651</v>
      </c>
      <c r="M363">
        <v>1</v>
      </c>
    </row>
    <row r="364" spans="1:13" ht="15.75" customHeight="1" x14ac:dyDescent="0.3">
      <c r="A364">
        <v>100</v>
      </c>
      <c r="B364" t="s">
        <v>137</v>
      </c>
      <c r="C364" t="s">
        <v>457</v>
      </c>
      <c r="D364" t="s">
        <v>467</v>
      </c>
      <c r="E364">
        <v>70</v>
      </c>
      <c r="F364" t="s">
        <v>141</v>
      </c>
      <c r="G364" t="s">
        <v>651</v>
      </c>
      <c r="H364" t="s">
        <v>651</v>
      </c>
      <c r="I364">
        <v>2</v>
      </c>
      <c r="J364">
        <v>0</v>
      </c>
      <c r="K364" t="s">
        <v>651</v>
      </c>
      <c r="M364">
        <v>2</v>
      </c>
    </row>
    <row r="365" spans="1:13" ht="15.75" customHeight="1" x14ac:dyDescent="0.3">
      <c r="A365">
        <v>100</v>
      </c>
      <c r="B365" t="s">
        <v>137</v>
      </c>
      <c r="C365" t="s">
        <v>457</v>
      </c>
      <c r="D365" t="s">
        <v>467</v>
      </c>
      <c r="E365">
        <v>70</v>
      </c>
      <c r="F365" t="s">
        <v>135</v>
      </c>
      <c r="G365" t="s">
        <v>651</v>
      </c>
      <c r="H365" t="s">
        <v>651</v>
      </c>
      <c r="I365">
        <v>2</v>
      </c>
      <c r="J365">
        <v>0</v>
      </c>
      <c r="K365" t="s">
        <v>651</v>
      </c>
      <c r="M365">
        <v>1</v>
      </c>
    </row>
    <row r="366" spans="1:13" ht="15.75" customHeight="1" x14ac:dyDescent="0.3">
      <c r="A366">
        <v>100</v>
      </c>
      <c r="B366" t="s">
        <v>137</v>
      </c>
      <c r="C366" t="s">
        <v>457</v>
      </c>
      <c r="D366" t="s">
        <v>465</v>
      </c>
      <c r="E366">
        <v>60</v>
      </c>
      <c r="F366" t="s">
        <v>141</v>
      </c>
      <c r="G366" t="s">
        <v>651</v>
      </c>
      <c r="H366" t="s">
        <v>651</v>
      </c>
      <c r="I366">
        <v>2</v>
      </c>
      <c r="J366">
        <v>0</v>
      </c>
      <c r="K366" t="s">
        <v>651</v>
      </c>
      <c r="M366">
        <v>1</v>
      </c>
    </row>
    <row r="367" spans="1:13" ht="15.75" customHeight="1" x14ac:dyDescent="0.3">
      <c r="A367">
        <v>100</v>
      </c>
      <c r="B367" t="s">
        <v>143</v>
      </c>
      <c r="C367" t="s">
        <v>480</v>
      </c>
      <c r="D367" t="s">
        <v>484</v>
      </c>
      <c r="E367">
        <v>40</v>
      </c>
      <c r="F367" t="s">
        <v>141</v>
      </c>
      <c r="G367" t="s">
        <v>651</v>
      </c>
      <c r="H367" t="s">
        <v>651</v>
      </c>
      <c r="I367">
        <v>2</v>
      </c>
      <c r="J367">
        <v>0</v>
      </c>
      <c r="K367" t="s">
        <v>651</v>
      </c>
      <c r="M367">
        <v>1</v>
      </c>
    </row>
    <row r="368" spans="1:13" ht="15.75" customHeight="1" x14ac:dyDescent="0.3">
      <c r="A368">
        <v>100</v>
      </c>
      <c r="B368" t="s">
        <v>143</v>
      </c>
      <c r="C368" t="s">
        <v>480</v>
      </c>
      <c r="D368" t="s">
        <v>488</v>
      </c>
      <c r="E368">
        <v>60</v>
      </c>
      <c r="F368" t="s">
        <v>141</v>
      </c>
      <c r="G368" t="s">
        <v>651</v>
      </c>
      <c r="H368" t="s">
        <v>651</v>
      </c>
      <c r="I368">
        <v>2</v>
      </c>
      <c r="J368">
        <v>0</v>
      </c>
      <c r="K368" t="s">
        <v>651</v>
      </c>
      <c r="M368">
        <v>2</v>
      </c>
    </row>
    <row r="369" spans="1:13" ht="15.75" customHeight="1" x14ac:dyDescent="0.3">
      <c r="A369">
        <v>100</v>
      </c>
      <c r="B369" t="s">
        <v>143</v>
      </c>
      <c r="C369" t="s">
        <v>480</v>
      </c>
      <c r="D369" t="s">
        <v>486</v>
      </c>
      <c r="E369">
        <v>50</v>
      </c>
      <c r="F369" t="s">
        <v>150</v>
      </c>
      <c r="G369" t="s">
        <v>651</v>
      </c>
      <c r="H369" t="s">
        <v>651</v>
      </c>
      <c r="I369">
        <v>0</v>
      </c>
      <c r="J369">
        <v>0</v>
      </c>
      <c r="K369" t="s">
        <v>651</v>
      </c>
      <c r="M369">
        <v>1</v>
      </c>
    </row>
    <row r="370" spans="1:13" ht="15.75" customHeight="1" x14ac:dyDescent="0.3">
      <c r="A370">
        <v>100</v>
      </c>
      <c r="B370" t="s">
        <v>143</v>
      </c>
      <c r="C370" t="s">
        <v>480</v>
      </c>
      <c r="D370" t="s">
        <v>494</v>
      </c>
      <c r="E370">
        <v>90</v>
      </c>
      <c r="F370" t="s">
        <v>141</v>
      </c>
      <c r="G370" t="s">
        <v>140</v>
      </c>
      <c r="H370" t="s">
        <v>651</v>
      </c>
      <c r="I370">
        <v>2</v>
      </c>
      <c r="J370">
        <v>0</v>
      </c>
      <c r="K370" t="s">
        <v>651</v>
      </c>
      <c r="M370">
        <v>1</v>
      </c>
    </row>
    <row r="371" spans="1:13" ht="15.75" customHeight="1" x14ac:dyDescent="0.3">
      <c r="A371">
        <v>100</v>
      </c>
      <c r="B371" t="s">
        <v>143</v>
      </c>
      <c r="C371" t="s">
        <v>361</v>
      </c>
      <c r="D371" t="s">
        <v>373</v>
      </c>
      <c r="E371">
        <v>65</v>
      </c>
      <c r="F371" t="s">
        <v>150</v>
      </c>
      <c r="G371" t="s">
        <v>651</v>
      </c>
      <c r="H371" t="s">
        <v>651</v>
      </c>
      <c r="I371">
        <v>0</v>
      </c>
      <c r="J371">
        <v>0</v>
      </c>
      <c r="K371" t="s">
        <v>651</v>
      </c>
      <c r="M371">
        <v>1</v>
      </c>
    </row>
    <row r="372" spans="1:13" ht="15.75" customHeight="1" x14ac:dyDescent="0.3">
      <c r="A372">
        <v>100</v>
      </c>
      <c r="B372" t="s">
        <v>143</v>
      </c>
      <c r="C372" t="s">
        <v>361</v>
      </c>
      <c r="D372" t="s">
        <v>373</v>
      </c>
      <c r="E372">
        <v>65</v>
      </c>
      <c r="F372" t="s">
        <v>141</v>
      </c>
      <c r="G372" t="s">
        <v>651</v>
      </c>
      <c r="H372" t="s">
        <v>651</v>
      </c>
      <c r="I372">
        <v>2</v>
      </c>
      <c r="J372">
        <v>0</v>
      </c>
      <c r="K372" t="s">
        <v>651</v>
      </c>
      <c r="M372">
        <v>2</v>
      </c>
    </row>
    <row r="373" spans="1:13" ht="15.75" customHeight="1" x14ac:dyDescent="0.3">
      <c r="A373">
        <v>100</v>
      </c>
      <c r="B373" t="s">
        <v>143</v>
      </c>
      <c r="C373" t="s">
        <v>361</v>
      </c>
      <c r="D373" t="s">
        <v>375</v>
      </c>
      <c r="E373">
        <v>72</v>
      </c>
      <c r="F373" t="s">
        <v>141</v>
      </c>
      <c r="G373" t="s">
        <v>651</v>
      </c>
      <c r="H373" t="s">
        <v>651</v>
      </c>
      <c r="I373">
        <v>2</v>
      </c>
      <c r="J373">
        <v>0</v>
      </c>
      <c r="K373" t="s">
        <v>651</v>
      </c>
      <c r="M373">
        <v>1</v>
      </c>
    </row>
    <row r="374" spans="1:13" ht="15.75" customHeight="1" x14ac:dyDescent="0.3">
      <c r="A374">
        <v>100</v>
      </c>
      <c r="B374" t="s">
        <v>143</v>
      </c>
      <c r="C374" t="s">
        <v>361</v>
      </c>
      <c r="D374" t="s">
        <v>371</v>
      </c>
      <c r="E374">
        <v>52</v>
      </c>
      <c r="F374" t="s">
        <v>141</v>
      </c>
      <c r="G374" t="s">
        <v>651</v>
      </c>
      <c r="H374" t="s">
        <v>651</v>
      </c>
      <c r="I374">
        <v>2</v>
      </c>
      <c r="J374">
        <v>0</v>
      </c>
      <c r="K374" t="s">
        <v>651</v>
      </c>
      <c r="M374">
        <v>1</v>
      </c>
    </row>
    <row r="375" spans="1:13" ht="15.75" customHeight="1" x14ac:dyDescent="0.3">
      <c r="A375">
        <v>100</v>
      </c>
      <c r="B375" t="s">
        <v>143</v>
      </c>
      <c r="C375" t="s">
        <v>457</v>
      </c>
      <c r="D375" t="s">
        <v>463</v>
      </c>
      <c r="E375">
        <v>50</v>
      </c>
      <c r="F375" t="s">
        <v>150</v>
      </c>
      <c r="G375" t="s">
        <v>651</v>
      </c>
      <c r="H375" t="s">
        <v>651</v>
      </c>
      <c r="I375">
        <v>0</v>
      </c>
      <c r="J375">
        <v>0</v>
      </c>
      <c r="K375" t="s">
        <v>651</v>
      </c>
      <c r="M375">
        <v>1</v>
      </c>
    </row>
    <row r="376" spans="1:13" ht="15.75" customHeight="1" x14ac:dyDescent="0.3">
      <c r="A376">
        <v>100</v>
      </c>
      <c r="B376" t="s">
        <v>143</v>
      </c>
      <c r="C376" t="s">
        <v>457</v>
      </c>
      <c r="D376" t="s">
        <v>463</v>
      </c>
      <c r="E376">
        <v>50</v>
      </c>
      <c r="F376" t="s">
        <v>141</v>
      </c>
      <c r="G376" t="s">
        <v>651</v>
      </c>
      <c r="H376" t="s">
        <v>651</v>
      </c>
      <c r="I376">
        <v>2</v>
      </c>
      <c r="J376">
        <v>0</v>
      </c>
      <c r="K376" t="s">
        <v>651</v>
      </c>
      <c r="M376">
        <v>3</v>
      </c>
    </row>
    <row r="377" spans="1:13" ht="15.75" customHeight="1" x14ac:dyDescent="0.3">
      <c r="A377">
        <v>100</v>
      </c>
      <c r="B377" t="s">
        <v>143</v>
      </c>
      <c r="C377" t="s">
        <v>457</v>
      </c>
      <c r="D377" t="s">
        <v>467</v>
      </c>
      <c r="E377">
        <v>70</v>
      </c>
      <c r="F377" t="s">
        <v>141</v>
      </c>
      <c r="G377" t="s">
        <v>651</v>
      </c>
      <c r="H377" t="s">
        <v>651</v>
      </c>
      <c r="I377">
        <v>2</v>
      </c>
      <c r="J377">
        <v>0</v>
      </c>
      <c r="K377" t="s">
        <v>651</v>
      </c>
      <c r="M377">
        <v>1</v>
      </c>
    </row>
    <row r="378" spans="1:13" ht="15.75" customHeight="1" x14ac:dyDescent="0.3">
      <c r="A378">
        <v>100</v>
      </c>
      <c r="B378" t="s">
        <v>144</v>
      </c>
      <c r="C378" t="s">
        <v>480</v>
      </c>
      <c r="D378" t="s">
        <v>492</v>
      </c>
      <c r="E378">
        <v>80</v>
      </c>
      <c r="F378" t="s">
        <v>141</v>
      </c>
      <c r="G378" t="s">
        <v>651</v>
      </c>
      <c r="H378" t="s">
        <v>651</v>
      </c>
      <c r="I378">
        <v>2</v>
      </c>
      <c r="J378">
        <v>0</v>
      </c>
      <c r="K378" t="s">
        <v>651</v>
      </c>
      <c r="M378">
        <v>1</v>
      </c>
    </row>
    <row r="379" spans="1:13" ht="15.75" customHeight="1" x14ac:dyDescent="0.3">
      <c r="A379">
        <v>100</v>
      </c>
      <c r="B379" t="s">
        <v>144</v>
      </c>
      <c r="C379" t="s">
        <v>480</v>
      </c>
      <c r="D379" t="s">
        <v>498</v>
      </c>
      <c r="E379">
        <v>120</v>
      </c>
      <c r="F379" t="s">
        <v>141</v>
      </c>
      <c r="G379" t="s">
        <v>651</v>
      </c>
      <c r="H379" t="s">
        <v>304</v>
      </c>
      <c r="I379">
        <v>2</v>
      </c>
      <c r="J379">
        <v>0</v>
      </c>
      <c r="K379">
        <v>1</v>
      </c>
      <c r="M379">
        <v>1</v>
      </c>
    </row>
    <row r="380" spans="1:13" ht="15.75" customHeight="1" x14ac:dyDescent="0.3">
      <c r="A380">
        <v>100</v>
      </c>
      <c r="B380" t="s">
        <v>144</v>
      </c>
      <c r="C380" t="s">
        <v>361</v>
      </c>
      <c r="D380" t="s">
        <v>417</v>
      </c>
      <c r="E380">
        <v>200</v>
      </c>
      <c r="F380" t="s">
        <v>141</v>
      </c>
      <c r="G380" t="s">
        <v>651</v>
      </c>
      <c r="H380" t="s">
        <v>651</v>
      </c>
      <c r="I380">
        <v>2</v>
      </c>
      <c r="J380">
        <v>0</v>
      </c>
      <c r="K380" t="s">
        <v>651</v>
      </c>
      <c r="M380">
        <v>1</v>
      </c>
    </row>
    <row r="381" spans="1:13" ht="15.75" customHeight="1" x14ac:dyDescent="0.3">
      <c r="A381">
        <v>100</v>
      </c>
      <c r="B381" t="s">
        <v>144</v>
      </c>
      <c r="C381" t="s">
        <v>361</v>
      </c>
      <c r="D381" t="s">
        <v>449</v>
      </c>
      <c r="E381">
        <v>190</v>
      </c>
      <c r="F381" t="s">
        <v>141</v>
      </c>
      <c r="G381" t="s">
        <v>140</v>
      </c>
      <c r="H381" t="s">
        <v>304</v>
      </c>
      <c r="I381">
        <v>2</v>
      </c>
      <c r="J381">
        <v>0</v>
      </c>
      <c r="K381">
        <v>1</v>
      </c>
      <c r="M381">
        <v>1</v>
      </c>
    </row>
    <row r="382" spans="1:13" ht="15.75" customHeight="1" x14ac:dyDescent="0.3">
      <c r="A382">
        <v>100</v>
      </c>
      <c r="B382" t="s">
        <v>144</v>
      </c>
      <c r="C382" t="s">
        <v>457</v>
      </c>
      <c r="D382" t="s">
        <v>475</v>
      </c>
      <c r="E382">
        <v>137</v>
      </c>
      <c r="F382" t="s">
        <v>141</v>
      </c>
      <c r="G382" t="s">
        <v>651</v>
      </c>
      <c r="H382" t="s">
        <v>651</v>
      </c>
      <c r="I382">
        <v>2</v>
      </c>
      <c r="J382">
        <v>0</v>
      </c>
      <c r="K382" t="s">
        <v>651</v>
      </c>
      <c r="M382">
        <v>1</v>
      </c>
    </row>
    <row r="383" spans="1:13" ht="15.75" customHeight="1" x14ac:dyDescent="0.3">
      <c r="A383">
        <v>100</v>
      </c>
      <c r="B383" t="s">
        <v>144</v>
      </c>
      <c r="C383" t="s">
        <v>457</v>
      </c>
      <c r="D383" t="s">
        <v>471</v>
      </c>
      <c r="E383">
        <v>90</v>
      </c>
      <c r="F383" t="s">
        <v>141</v>
      </c>
      <c r="G383" t="s">
        <v>651</v>
      </c>
      <c r="H383" t="s">
        <v>304</v>
      </c>
      <c r="I383">
        <v>2</v>
      </c>
      <c r="J383">
        <v>0</v>
      </c>
      <c r="K383">
        <v>1</v>
      </c>
      <c r="M383">
        <v>1</v>
      </c>
    </row>
    <row r="384" spans="1:13" ht="15.75" customHeight="1" x14ac:dyDescent="0.3">
      <c r="A384">
        <v>100</v>
      </c>
      <c r="B384" t="s">
        <v>149</v>
      </c>
      <c r="C384" t="s">
        <v>480</v>
      </c>
      <c r="D384" t="s">
        <v>488</v>
      </c>
      <c r="E384">
        <v>60</v>
      </c>
      <c r="F384" t="s">
        <v>141</v>
      </c>
      <c r="G384" t="s">
        <v>651</v>
      </c>
      <c r="H384" t="s">
        <v>651</v>
      </c>
      <c r="I384">
        <v>4</v>
      </c>
      <c r="J384">
        <v>0</v>
      </c>
      <c r="K384" t="s">
        <v>651</v>
      </c>
      <c r="M384">
        <v>1</v>
      </c>
    </row>
    <row r="385" spans="1:13" ht="15.75" customHeight="1" x14ac:dyDescent="0.3">
      <c r="A385">
        <v>100</v>
      </c>
      <c r="B385" t="s">
        <v>149</v>
      </c>
      <c r="C385" t="s">
        <v>480</v>
      </c>
      <c r="D385" t="s">
        <v>492</v>
      </c>
      <c r="E385">
        <v>80</v>
      </c>
      <c r="F385" t="s">
        <v>141</v>
      </c>
      <c r="G385" t="s">
        <v>651</v>
      </c>
      <c r="H385" t="s">
        <v>651</v>
      </c>
      <c r="I385">
        <v>4</v>
      </c>
      <c r="J385">
        <v>0</v>
      </c>
      <c r="K385" t="s">
        <v>651</v>
      </c>
      <c r="M385">
        <v>1</v>
      </c>
    </row>
    <row r="386" spans="1:13" ht="15.75" customHeight="1" x14ac:dyDescent="0.3">
      <c r="A386">
        <v>100</v>
      </c>
      <c r="B386" t="s">
        <v>149</v>
      </c>
      <c r="C386" t="s">
        <v>480</v>
      </c>
      <c r="D386" t="s">
        <v>490</v>
      </c>
      <c r="E386">
        <v>68</v>
      </c>
      <c r="F386" t="s">
        <v>147</v>
      </c>
      <c r="G386" t="s">
        <v>651</v>
      </c>
      <c r="H386" t="s">
        <v>651</v>
      </c>
      <c r="I386">
        <v>4</v>
      </c>
      <c r="J386">
        <v>0</v>
      </c>
      <c r="K386" t="s">
        <v>651</v>
      </c>
      <c r="M386">
        <v>1</v>
      </c>
    </row>
    <row r="387" spans="1:13" ht="15.75" customHeight="1" x14ac:dyDescent="0.3">
      <c r="A387">
        <v>100</v>
      </c>
      <c r="B387" t="s">
        <v>149</v>
      </c>
      <c r="C387" t="s">
        <v>361</v>
      </c>
      <c r="D387" t="s">
        <v>373</v>
      </c>
      <c r="E387">
        <v>65</v>
      </c>
      <c r="F387" t="s">
        <v>141</v>
      </c>
      <c r="G387" t="s">
        <v>651</v>
      </c>
      <c r="H387" t="s">
        <v>651</v>
      </c>
      <c r="I387">
        <v>4</v>
      </c>
      <c r="J387">
        <v>0</v>
      </c>
      <c r="K387" t="s">
        <v>651</v>
      </c>
      <c r="M387">
        <v>1</v>
      </c>
    </row>
    <row r="388" spans="1:13" ht="15.75" customHeight="1" x14ac:dyDescent="0.3">
      <c r="A388">
        <v>100</v>
      </c>
      <c r="B388" t="s">
        <v>149</v>
      </c>
      <c r="C388" t="s">
        <v>361</v>
      </c>
      <c r="D388" t="s">
        <v>375</v>
      </c>
      <c r="E388">
        <v>72</v>
      </c>
      <c r="F388" t="s">
        <v>147</v>
      </c>
      <c r="G388" t="s">
        <v>651</v>
      </c>
      <c r="H388" t="s">
        <v>651</v>
      </c>
      <c r="I388">
        <v>4</v>
      </c>
      <c r="J388">
        <v>0</v>
      </c>
      <c r="K388" t="s">
        <v>651</v>
      </c>
      <c r="M388">
        <v>1</v>
      </c>
    </row>
    <row r="389" spans="1:13" ht="15.75" customHeight="1" x14ac:dyDescent="0.3">
      <c r="A389">
        <v>100</v>
      </c>
      <c r="B389" t="s">
        <v>149</v>
      </c>
      <c r="C389" t="s">
        <v>361</v>
      </c>
      <c r="D389" t="s">
        <v>377</v>
      </c>
      <c r="E389">
        <v>85</v>
      </c>
      <c r="F389" t="s">
        <v>141</v>
      </c>
      <c r="G389" t="s">
        <v>651</v>
      </c>
      <c r="H389" t="s">
        <v>651</v>
      </c>
      <c r="I389">
        <v>4</v>
      </c>
      <c r="J389">
        <v>0</v>
      </c>
      <c r="K389" t="s">
        <v>651</v>
      </c>
      <c r="M389">
        <v>1</v>
      </c>
    </row>
    <row r="390" spans="1:13" ht="15.75" customHeight="1" x14ac:dyDescent="0.3">
      <c r="A390">
        <v>100</v>
      </c>
      <c r="B390" t="s">
        <v>149</v>
      </c>
      <c r="C390" t="s">
        <v>457</v>
      </c>
      <c r="D390" t="s">
        <v>463</v>
      </c>
      <c r="E390">
        <v>50</v>
      </c>
      <c r="F390" t="s">
        <v>141</v>
      </c>
      <c r="G390" t="s">
        <v>651</v>
      </c>
      <c r="H390" t="s">
        <v>651</v>
      </c>
      <c r="I390">
        <v>4</v>
      </c>
      <c r="J390">
        <v>0</v>
      </c>
      <c r="K390" t="s">
        <v>651</v>
      </c>
      <c r="M390">
        <v>1</v>
      </c>
    </row>
    <row r="391" spans="1:13" ht="15.75" customHeight="1" x14ac:dyDescent="0.3">
      <c r="A391">
        <v>100</v>
      </c>
      <c r="B391" t="s">
        <v>149</v>
      </c>
      <c r="C391" t="s">
        <v>457</v>
      </c>
      <c r="D391" t="s">
        <v>467</v>
      </c>
      <c r="E391">
        <v>70</v>
      </c>
      <c r="F391" t="s">
        <v>147</v>
      </c>
      <c r="G391" t="s">
        <v>651</v>
      </c>
      <c r="H391" t="s">
        <v>651</v>
      </c>
      <c r="I391">
        <v>4</v>
      </c>
      <c r="J391">
        <v>0</v>
      </c>
      <c r="K391" t="s">
        <v>651</v>
      </c>
      <c r="M391">
        <v>1</v>
      </c>
    </row>
    <row r="392" spans="1:13" ht="15.75" customHeight="1" x14ac:dyDescent="0.3">
      <c r="A392">
        <v>100</v>
      </c>
      <c r="B392" t="s">
        <v>149</v>
      </c>
      <c r="C392" t="s">
        <v>457</v>
      </c>
      <c r="D392" t="s">
        <v>469</v>
      </c>
      <c r="E392">
        <v>79</v>
      </c>
      <c r="F392" t="s">
        <v>141</v>
      </c>
      <c r="G392" t="s">
        <v>651</v>
      </c>
      <c r="H392" t="s">
        <v>651</v>
      </c>
      <c r="I392">
        <v>4</v>
      </c>
      <c r="J392">
        <v>0</v>
      </c>
      <c r="K392" t="s">
        <v>651</v>
      </c>
      <c r="M392">
        <v>1</v>
      </c>
    </row>
    <row r="393" spans="1:13" ht="15.75" customHeight="1" x14ac:dyDescent="0.3">
      <c r="A393">
        <v>300</v>
      </c>
      <c r="B393" t="s">
        <v>149</v>
      </c>
      <c r="C393" t="s">
        <v>480</v>
      </c>
      <c r="D393" t="s">
        <v>500</v>
      </c>
      <c r="E393">
        <v>150</v>
      </c>
      <c r="F393" t="s">
        <v>135</v>
      </c>
      <c r="G393" t="s">
        <v>140</v>
      </c>
      <c r="H393" t="s">
        <v>651</v>
      </c>
      <c r="I393">
        <v>4</v>
      </c>
      <c r="J393">
        <v>0</v>
      </c>
      <c r="K393" t="s">
        <v>651</v>
      </c>
      <c r="M393">
        <v>1</v>
      </c>
    </row>
    <row r="394" spans="1:13" ht="15.75" customHeight="1" x14ac:dyDescent="0.3">
      <c r="A394">
        <v>300</v>
      </c>
      <c r="B394" t="s">
        <v>149</v>
      </c>
      <c r="C394" t="s">
        <v>361</v>
      </c>
      <c r="D394" t="s">
        <v>385</v>
      </c>
      <c r="E394">
        <v>155</v>
      </c>
      <c r="F394" t="s">
        <v>135</v>
      </c>
      <c r="G394" t="s">
        <v>147</v>
      </c>
      <c r="H394" t="s">
        <v>651</v>
      </c>
      <c r="I394">
        <v>4</v>
      </c>
      <c r="J394">
        <v>0</v>
      </c>
      <c r="K394" t="s">
        <v>651</v>
      </c>
      <c r="M394">
        <v>1</v>
      </c>
    </row>
    <row r="395" spans="1:13" ht="15.75" customHeight="1" x14ac:dyDescent="0.3">
      <c r="A395">
        <v>300</v>
      </c>
      <c r="B395" t="s">
        <v>149</v>
      </c>
      <c r="C395" t="s">
        <v>457</v>
      </c>
      <c r="D395" t="s">
        <v>477</v>
      </c>
      <c r="E395">
        <v>146</v>
      </c>
      <c r="F395" t="s">
        <v>135</v>
      </c>
      <c r="G395" t="s">
        <v>651</v>
      </c>
      <c r="H395" t="s">
        <v>651</v>
      </c>
      <c r="I395">
        <v>4</v>
      </c>
      <c r="J395">
        <v>0</v>
      </c>
      <c r="K395" t="s">
        <v>651</v>
      </c>
      <c r="M395">
        <v>1</v>
      </c>
    </row>
    <row r="396" spans="1:13" ht="15.75" customHeight="1" x14ac:dyDescent="0.3">
      <c r="A396" t="s">
        <v>652</v>
      </c>
      <c r="M396">
        <v>948</v>
      </c>
    </row>
    <row r="397" spans="1:13" ht="15.75" customHeight="1" x14ac:dyDescent="0.3"/>
    <row r="398" spans="1:13" ht="15.75" customHeight="1" x14ac:dyDescent="0.3"/>
    <row r="399" spans="1:13" ht="15.75" customHeight="1" x14ac:dyDescent="0.3"/>
    <row r="400" spans="1:13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  <row r="1020" ht="15.75" customHeight="1" x14ac:dyDescent="0.3"/>
    <row r="1021" ht="15.75" customHeight="1" x14ac:dyDescent="0.3"/>
    <row r="1022" ht="15.75" customHeight="1" x14ac:dyDescent="0.3"/>
    <row r="1023" ht="15.75" customHeight="1" x14ac:dyDescent="0.3"/>
    <row r="1024" ht="15.75" customHeight="1" x14ac:dyDescent="0.3"/>
    <row r="1025" ht="15.75" customHeight="1" x14ac:dyDescent="0.3"/>
    <row r="1026" ht="15.75" customHeight="1" x14ac:dyDescent="0.3"/>
    <row r="1027" ht="15.75" customHeight="1" x14ac:dyDescent="0.3"/>
    <row r="1028" ht="15.75" customHeight="1" x14ac:dyDescent="0.3"/>
    <row r="1029" ht="15.75" customHeight="1" x14ac:dyDescent="0.3"/>
    <row r="1030" ht="15.75" customHeight="1" x14ac:dyDescent="0.3"/>
    <row r="1031" ht="15.75" customHeight="1" x14ac:dyDescent="0.3"/>
    <row r="1032" ht="15.75" customHeight="1" x14ac:dyDescent="0.3"/>
    <row r="1033" ht="15.75" customHeight="1" x14ac:dyDescent="0.3"/>
    <row r="1034" ht="15.75" customHeight="1" x14ac:dyDescent="0.3"/>
    <row r="1035" ht="15.75" customHeight="1" x14ac:dyDescent="0.3"/>
    <row r="1036" ht="15.75" customHeight="1" x14ac:dyDescent="0.3"/>
    <row r="1037" ht="15.75" customHeight="1" x14ac:dyDescent="0.3"/>
    <row r="1038" ht="15.75" customHeight="1" x14ac:dyDescent="0.3"/>
    <row r="1039" ht="15.75" customHeight="1" x14ac:dyDescent="0.3"/>
    <row r="1040" ht="15.75" customHeight="1" x14ac:dyDescent="0.3"/>
    <row r="1041" ht="15.75" customHeight="1" x14ac:dyDescent="0.3"/>
    <row r="1042" ht="15.75" customHeight="1" x14ac:dyDescent="0.3"/>
    <row r="1043" ht="15.75" customHeight="1" x14ac:dyDescent="0.3"/>
    <row r="1044" ht="15.75" customHeight="1" x14ac:dyDescent="0.3"/>
    <row r="1045" ht="15.75" customHeight="1" x14ac:dyDescent="0.3"/>
    <row r="1046" ht="15.75" customHeight="1" x14ac:dyDescent="0.3"/>
    <row r="1047" ht="15.75" customHeight="1" x14ac:dyDescent="0.3"/>
    <row r="1048" ht="15.75" customHeight="1" x14ac:dyDescent="0.3"/>
    <row r="1049" ht="15.75" customHeight="1" x14ac:dyDescent="0.3"/>
    <row r="1050" ht="15.75" customHeight="1" x14ac:dyDescent="0.3"/>
    <row r="1051" ht="15.75" customHeight="1" x14ac:dyDescent="0.3"/>
    <row r="1052" ht="15.75" customHeight="1" x14ac:dyDescent="0.3"/>
    <row r="1053" ht="15.75" customHeight="1" x14ac:dyDescent="0.3"/>
    <row r="1054" ht="15.75" customHeight="1" x14ac:dyDescent="0.3"/>
    <row r="1055" ht="15.75" customHeight="1" x14ac:dyDescent="0.3"/>
    <row r="1056" ht="15.75" customHeight="1" x14ac:dyDescent="0.3"/>
    <row r="1057" ht="15.75" customHeight="1" x14ac:dyDescent="0.3"/>
    <row r="1058" ht="15.75" customHeight="1" x14ac:dyDescent="0.3"/>
    <row r="1059" ht="15.75" customHeight="1" x14ac:dyDescent="0.3"/>
    <row r="1060" ht="15.75" customHeight="1" x14ac:dyDescent="0.3"/>
    <row r="1061" ht="15.75" customHeight="1" x14ac:dyDescent="0.3"/>
    <row r="1062" ht="15.75" customHeight="1" x14ac:dyDescent="0.3"/>
    <row r="1063" ht="15.75" customHeight="1" x14ac:dyDescent="0.3"/>
    <row r="1064" ht="15.75" customHeight="1" x14ac:dyDescent="0.3"/>
    <row r="1065" ht="15.75" customHeight="1" x14ac:dyDescent="0.3"/>
    <row r="1066" ht="15.75" customHeight="1" x14ac:dyDescent="0.3"/>
    <row r="1067" ht="15.75" customHeight="1" x14ac:dyDescent="0.3"/>
    <row r="1068" ht="15.75" customHeight="1" x14ac:dyDescent="0.3"/>
    <row r="1069" ht="15.75" customHeight="1" x14ac:dyDescent="0.3"/>
    <row r="1070" ht="15.75" customHeight="1" x14ac:dyDescent="0.3"/>
    <row r="1071" ht="15.75" customHeight="1" x14ac:dyDescent="0.3"/>
    <row r="1072" ht="15.75" customHeight="1" x14ac:dyDescent="0.3"/>
    <row r="1073" ht="15.75" customHeight="1" x14ac:dyDescent="0.3"/>
    <row r="1074" ht="15.75" customHeight="1" x14ac:dyDescent="0.3"/>
    <row r="1075" ht="15.75" customHeight="1" x14ac:dyDescent="0.3"/>
    <row r="1076" ht="15.75" customHeight="1" x14ac:dyDescent="0.3"/>
    <row r="1077" ht="15.75" customHeight="1" x14ac:dyDescent="0.3"/>
    <row r="1078" ht="15.75" customHeight="1" x14ac:dyDescent="0.3"/>
    <row r="1079" ht="15.75" customHeight="1" x14ac:dyDescent="0.3"/>
    <row r="1080" ht="15.75" customHeight="1" x14ac:dyDescent="0.3"/>
    <row r="1081" ht="15.75" customHeight="1" x14ac:dyDescent="0.3"/>
    <row r="1082" ht="15.75" customHeight="1" x14ac:dyDescent="0.3"/>
    <row r="1083" ht="15.75" customHeight="1" x14ac:dyDescent="0.3"/>
    <row r="1084" ht="15.75" customHeight="1" x14ac:dyDescent="0.3"/>
    <row r="1085" ht="15.75" customHeight="1" x14ac:dyDescent="0.3"/>
    <row r="1086" ht="15.75" customHeight="1" x14ac:dyDescent="0.3"/>
    <row r="1087" ht="15.75" customHeight="1" x14ac:dyDescent="0.3"/>
    <row r="1088" ht="15.75" customHeight="1" x14ac:dyDescent="0.3"/>
    <row r="1089" ht="15.75" customHeight="1" x14ac:dyDescent="0.3"/>
    <row r="1090" ht="15.75" customHeight="1" x14ac:dyDescent="0.3"/>
    <row r="1091" ht="15.75" customHeight="1" x14ac:dyDescent="0.3"/>
    <row r="1092" ht="15.75" customHeight="1" x14ac:dyDescent="0.3"/>
    <row r="1093" ht="15.75" customHeight="1" x14ac:dyDescent="0.3"/>
    <row r="1094" ht="15.75" customHeight="1" x14ac:dyDescent="0.3"/>
    <row r="1095" ht="15.75" customHeight="1" x14ac:dyDescent="0.3"/>
    <row r="1096" ht="15.75" customHeight="1" x14ac:dyDescent="0.3"/>
    <row r="1097" ht="15.75" customHeight="1" x14ac:dyDescent="0.3"/>
    <row r="1098" ht="15.75" customHeight="1" x14ac:dyDescent="0.3"/>
    <row r="1099" ht="15.75" customHeight="1" x14ac:dyDescent="0.3"/>
    <row r="1100" ht="15.75" customHeight="1" x14ac:dyDescent="0.3"/>
    <row r="1101" ht="15.75" customHeight="1" x14ac:dyDescent="0.3"/>
    <row r="1102" ht="15.75" customHeight="1" x14ac:dyDescent="0.3"/>
    <row r="1103" ht="15.75" customHeight="1" x14ac:dyDescent="0.3"/>
    <row r="1104" ht="15.75" customHeight="1" x14ac:dyDescent="0.3"/>
    <row r="1105" ht="15.75" customHeight="1" x14ac:dyDescent="0.3"/>
    <row r="1106" ht="15.75" customHeight="1" x14ac:dyDescent="0.3"/>
    <row r="1107" ht="15.75" customHeight="1" x14ac:dyDescent="0.3"/>
    <row r="1108" ht="15.75" customHeight="1" x14ac:dyDescent="0.3"/>
    <row r="1109" ht="15.75" customHeight="1" x14ac:dyDescent="0.3"/>
    <row r="1110" ht="15.75" customHeight="1" x14ac:dyDescent="0.3"/>
    <row r="1111" ht="15.75" customHeight="1" x14ac:dyDescent="0.3"/>
    <row r="1112" ht="15.75" customHeight="1" x14ac:dyDescent="0.3"/>
    <row r="1113" ht="15.75" customHeight="1" x14ac:dyDescent="0.3"/>
    <row r="1114" ht="15.75" customHeight="1" x14ac:dyDescent="0.3"/>
    <row r="1115" ht="15.75" customHeight="1" x14ac:dyDescent="0.3"/>
    <row r="1116" ht="15.75" customHeight="1" x14ac:dyDescent="0.3"/>
    <row r="1117" ht="15.75" customHeight="1" x14ac:dyDescent="0.3"/>
    <row r="1118" ht="15.75" customHeight="1" x14ac:dyDescent="0.3"/>
    <row r="1119" ht="15.75" customHeight="1" x14ac:dyDescent="0.3"/>
    <row r="1120" ht="15.75" customHeight="1" x14ac:dyDescent="0.3"/>
    <row r="1121" ht="15.75" customHeight="1" x14ac:dyDescent="0.3"/>
    <row r="1122" ht="15.75" customHeight="1" x14ac:dyDescent="0.3"/>
    <row r="1123" ht="15.75" customHeight="1" x14ac:dyDescent="0.3"/>
    <row r="1124" ht="15.75" customHeight="1" x14ac:dyDescent="0.3"/>
    <row r="1125" ht="15.75" customHeight="1" x14ac:dyDescent="0.3"/>
    <row r="1126" ht="15.75" customHeight="1" x14ac:dyDescent="0.3"/>
    <row r="1127" ht="15.75" customHeight="1" x14ac:dyDescent="0.3"/>
    <row r="1128" ht="15.75" customHeight="1" x14ac:dyDescent="0.3"/>
    <row r="1129" ht="15.75" customHeight="1" x14ac:dyDescent="0.3"/>
    <row r="1130" ht="15.75" customHeight="1" x14ac:dyDescent="0.3"/>
    <row r="1131" ht="15.75" customHeight="1" x14ac:dyDescent="0.3"/>
    <row r="1132" ht="15.75" customHeight="1" x14ac:dyDescent="0.3"/>
    <row r="1133" ht="15.75" customHeight="1" x14ac:dyDescent="0.3"/>
    <row r="1134" ht="15.75" customHeight="1" x14ac:dyDescent="0.3"/>
    <row r="1135" ht="15.75" customHeight="1" x14ac:dyDescent="0.3"/>
    <row r="1136" ht="15.75" customHeight="1" x14ac:dyDescent="0.3"/>
    <row r="1137" ht="15.75" customHeight="1" x14ac:dyDescent="0.3"/>
    <row r="1138" ht="15.75" customHeight="1" x14ac:dyDescent="0.3"/>
    <row r="1139" ht="15.75" customHeight="1" x14ac:dyDescent="0.3"/>
    <row r="1140" ht="15.75" customHeight="1" x14ac:dyDescent="0.3"/>
    <row r="1141" ht="15.75" customHeight="1" x14ac:dyDescent="0.3"/>
    <row r="1142" ht="15.75" customHeight="1" x14ac:dyDescent="0.3"/>
    <row r="1143" ht="15.75" customHeight="1" x14ac:dyDescent="0.3"/>
    <row r="1144" ht="15.75" customHeight="1" x14ac:dyDescent="0.3"/>
    <row r="1145" ht="15.75" customHeight="1" x14ac:dyDescent="0.3"/>
    <row r="1146" ht="15.75" customHeight="1" x14ac:dyDescent="0.3"/>
    <row r="1147" ht="15.75" customHeight="1" x14ac:dyDescent="0.3"/>
    <row r="1148" ht="15.75" customHeight="1" x14ac:dyDescent="0.3"/>
    <row r="1149" ht="15.75" customHeight="1" x14ac:dyDescent="0.3"/>
    <row r="1150" ht="15.75" customHeight="1" x14ac:dyDescent="0.3"/>
    <row r="1151" ht="15.75" customHeight="1" x14ac:dyDescent="0.3"/>
    <row r="1152" ht="15.75" customHeight="1" x14ac:dyDescent="0.3"/>
    <row r="1153" ht="15.75" customHeight="1" x14ac:dyDescent="0.3"/>
    <row r="1154" ht="15.75" customHeight="1" x14ac:dyDescent="0.3"/>
    <row r="1155" ht="15.75" customHeight="1" x14ac:dyDescent="0.3"/>
    <row r="1156" ht="15.75" customHeight="1" x14ac:dyDescent="0.3"/>
    <row r="1157" ht="15.75" customHeight="1" x14ac:dyDescent="0.3"/>
    <row r="1158" ht="15.75" customHeight="1" x14ac:dyDescent="0.3"/>
    <row r="1159" ht="15.75" customHeight="1" x14ac:dyDescent="0.3"/>
    <row r="1160" ht="15.75" customHeight="1" x14ac:dyDescent="0.3"/>
    <row r="1161" ht="15.75" customHeight="1" x14ac:dyDescent="0.3"/>
    <row r="1162" ht="15.75" customHeight="1" x14ac:dyDescent="0.3"/>
    <row r="1163" ht="15.75" customHeight="1" x14ac:dyDescent="0.3"/>
    <row r="1164" ht="15.75" customHeight="1" x14ac:dyDescent="0.3"/>
    <row r="1165" ht="15.75" customHeight="1" x14ac:dyDescent="0.3"/>
    <row r="1166" ht="15.75" customHeight="1" x14ac:dyDescent="0.3"/>
    <row r="1167" ht="15.75" customHeight="1" x14ac:dyDescent="0.3"/>
    <row r="1168" ht="15.75" customHeight="1" x14ac:dyDescent="0.3"/>
    <row r="1169" ht="15.75" customHeight="1" x14ac:dyDescent="0.3"/>
    <row r="1170" ht="15.75" customHeight="1" x14ac:dyDescent="0.3"/>
    <row r="1171" ht="15.75" customHeight="1" x14ac:dyDescent="0.3"/>
    <row r="1172" ht="15.75" customHeight="1" x14ac:dyDescent="0.3"/>
    <row r="1173" ht="15.75" customHeight="1" x14ac:dyDescent="0.3"/>
    <row r="1174" ht="15.75" customHeight="1" x14ac:dyDescent="0.3"/>
    <row r="1175" ht="15.75" customHeight="1" x14ac:dyDescent="0.3"/>
    <row r="1176" ht="15.75" customHeight="1" x14ac:dyDescent="0.3"/>
    <row r="1177" ht="15.75" customHeight="1" x14ac:dyDescent="0.3"/>
    <row r="1178" ht="15.75" customHeight="1" x14ac:dyDescent="0.3"/>
    <row r="1179" ht="15.75" customHeight="1" x14ac:dyDescent="0.3"/>
    <row r="1180" ht="15.75" customHeight="1" x14ac:dyDescent="0.3"/>
    <row r="1181" ht="15.75" customHeight="1" x14ac:dyDescent="0.3"/>
    <row r="1182" ht="15.75" customHeight="1" x14ac:dyDescent="0.3"/>
    <row r="1183" ht="15.75" customHeight="1" x14ac:dyDescent="0.3"/>
    <row r="1184" ht="15.75" customHeight="1" x14ac:dyDescent="0.3"/>
    <row r="1185" ht="15.75" customHeight="1" x14ac:dyDescent="0.3"/>
    <row r="1186" ht="15.75" customHeight="1" x14ac:dyDescent="0.3"/>
    <row r="1187" ht="15.75" customHeight="1" x14ac:dyDescent="0.3"/>
    <row r="1188" ht="15.75" customHeight="1" x14ac:dyDescent="0.3"/>
    <row r="1189" ht="15.75" customHeight="1" x14ac:dyDescent="0.3"/>
    <row r="1190" ht="15.75" customHeight="1" x14ac:dyDescent="0.3"/>
    <row r="1191" ht="15.75" customHeight="1" x14ac:dyDescent="0.3"/>
    <row r="1192" ht="15.75" customHeight="1" x14ac:dyDescent="0.3"/>
    <row r="1193" ht="15.75" customHeight="1" x14ac:dyDescent="0.3"/>
    <row r="1194" ht="15.75" customHeight="1" x14ac:dyDescent="0.3"/>
    <row r="1195" ht="15.75" customHeight="1" x14ac:dyDescent="0.3"/>
    <row r="1196" ht="15.75" customHeight="1" x14ac:dyDescent="0.3"/>
    <row r="1197" ht="15.75" customHeight="1" x14ac:dyDescent="0.3"/>
    <row r="1198" ht="15.75" customHeight="1" x14ac:dyDescent="0.3"/>
    <row r="1199" ht="15.75" customHeight="1" x14ac:dyDescent="0.3"/>
    <row r="1200" ht="15.75" customHeight="1" x14ac:dyDescent="0.3"/>
    <row r="1201" ht="15.75" customHeight="1" x14ac:dyDescent="0.3"/>
    <row r="1202" ht="15.75" customHeight="1" x14ac:dyDescent="0.3"/>
    <row r="1203" ht="15.75" customHeight="1" x14ac:dyDescent="0.3"/>
    <row r="1204" ht="15.75" customHeight="1" x14ac:dyDescent="0.3"/>
    <row r="1205" ht="15.75" customHeight="1" x14ac:dyDescent="0.3"/>
    <row r="1206" ht="15.75" customHeight="1" x14ac:dyDescent="0.3"/>
    <row r="1207" ht="15.75" customHeight="1" x14ac:dyDescent="0.3"/>
    <row r="1208" ht="15.75" customHeight="1" x14ac:dyDescent="0.3"/>
    <row r="1209" ht="15.75" customHeight="1" x14ac:dyDescent="0.3"/>
    <row r="1210" ht="15.75" customHeight="1" x14ac:dyDescent="0.3"/>
    <row r="1211" ht="15.75" customHeight="1" x14ac:dyDescent="0.3"/>
    <row r="1212" ht="15.75" customHeight="1" x14ac:dyDescent="0.3"/>
    <row r="1213" ht="15.75" customHeight="1" x14ac:dyDescent="0.3"/>
    <row r="1214" ht="15.75" customHeight="1" x14ac:dyDescent="0.3"/>
    <row r="1215" ht="15.75" customHeight="1" x14ac:dyDescent="0.3"/>
    <row r="1216" ht="15.75" customHeight="1" x14ac:dyDescent="0.3"/>
    <row r="1217" ht="15.75" customHeight="1" x14ac:dyDescent="0.3"/>
    <row r="1218" ht="15.75" customHeight="1" x14ac:dyDescent="0.3"/>
    <row r="1219" ht="15.75" customHeight="1" x14ac:dyDescent="0.3"/>
    <row r="1220" ht="15.75" customHeight="1" x14ac:dyDescent="0.3"/>
    <row r="1221" ht="15.75" customHeight="1" x14ac:dyDescent="0.3"/>
    <row r="1222" ht="15.75" customHeight="1" x14ac:dyDescent="0.3"/>
    <row r="1223" ht="15.75" customHeight="1" x14ac:dyDescent="0.3"/>
    <row r="1224" ht="15.75" customHeight="1" x14ac:dyDescent="0.3"/>
    <row r="1225" ht="15.75" customHeight="1" x14ac:dyDescent="0.3"/>
    <row r="1226" ht="15.75" customHeight="1" x14ac:dyDescent="0.3"/>
    <row r="1227" ht="15.75" customHeight="1" x14ac:dyDescent="0.3"/>
    <row r="1228" ht="15.75" customHeight="1" x14ac:dyDescent="0.3"/>
    <row r="1229" ht="15.75" customHeight="1" x14ac:dyDescent="0.3"/>
    <row r="1230" ht="15.75" customHeight="1" x14ac:dyDescent="0.3"/>
    <row r="1231" ht="15.75" customHeight="1" x14ac:dyDescent="0.3"/>
    <row r="1232" ht="15.75" customHeight="1" x14ac:dyDescent="0.3"/>
    <row r="1233" ht="15.75" customHeight="1" x14ac:dyDescent="0.3"/>
    <row r="1234" ht="15.75" customHeight="1" x14ac:dyDescent="0.3"/>
    <row r="1235" ht="15.75" customHeight="1" x14ac:dyDescent="0.3"/>
    <row r="1236" ht="15.75" customHeight="1" x14ac:dyDescent="0.3"/>
    <row r="1237" ht="15.75" customHeight="1" x14ac:dyDescent="0.3"/>
    <row r="1238" ht="15.75" customHeight="1" x14ac:dyDescent="0.3"/>
    <row r="1239" ht="15.75" customHeight="1" x14ac:dyDescent="0.3"/>
    <row r="1240" ht="15.75" customHeight="1" x14ac:dyDescent="0.3"/>
    <row r="1241" ht="15.75" customHeight="1" x14ac:dyDescent="0.3"/>
    <row r="1242" ht="15.75" customHeight="1" x14ac:dyDescent="0.3"/>
    <row r="1243" ht="15.75" customHeight="1" x14ac:dyDescent="0.3"/>
    <row r="1244" ht="15.75" customHeight="1" x14ac:dyDescent="0.3"/>
    <row r="1245" ht="15.75" customHeight="1" x14ac:dyDescent="0.3"/>
    <row r="1246" ht="15.75" customHeight="1" x14ac:dyDescent="0.3"/>
    <row r="1247" ht="15.75" customHeight="1" x14ac:dyDescent="0.3"/>
    <row r="1248" ht="15.75" customHeight="1" x14ac:dyDescent="0.3"/>
    <row r="1249" ht="15.75" customHeight="1" x14ac:dyDescent="0.3"/>
    <row r="1250" ht="15.75" customHeight="1" x14ac:dyDescent="0.3"/>
    <row r="1251" ht="15.75" customHeight="1" x14ac:dyDescent="0.3"/>
    <row r="1252" ht="15.75" customHeight="1" x14ac:dyDescent="0.3"/>
    <row r="1253" ht="15.75" customHeight="1" x14ac:dyDescent="0.3"/>
    <row r="1254" ht="15.75" customHeight="1" x14ac:dyDescent="0.3"/>
    <row r="1255" ht="15.75" customHeight="1" x14ac:dyDescent="0.3"/>
    <row r="1256" ht="15.75" customHeight="1" x14ac:dyDescent="0.3"/>
    <row r="1257" ht="15.75" customHeight="1" x14ac:dyDescent="0.3"/>
    <row r="1258" ht="15.75" customHeight="1" x14ac:dyDescent="0.3"/>
    <row r="1259" ht="15.75" customHeight="1" x14ac:dyDescent="0.3"/>
    <row r="1260" ht="15.75" customHeight="1" x14ac:dyDescent="0.3"/>
    <row r="1261" ht="15.75" customHeight="1" x14ac:dyDescent="0.3"/>
    <row r="1262" ht="15.75" customHeight="1" x14ac:dyDescent="0.3"/>
    <row r="1263" ht="15.75" customHeight="1" x14ac:dyDescent="0.3"/>
    <row r="1264" ht="15.75" customHeight="1" x14ac:dyDescent="0.3"/>
    <row r="1265" ht="15.75" customHeight="1" x14ac:dyDescent="0.3"/>
    <row r="1266" ht="15.75" customHeight="1" x14ac:dyDescent="0.3"/>
    <row r="1267" ht="15.75" customHeight="1" x14ac:dyDescent="0.3"/>
    <row r="1268" ht="15.75" customHeight="1" x14ac:dyDescent="0.3"/>
    <row r="1269" ht="15.75" customHeight="1" x14ac:dyDescent="0.3"/>
    <row r="1270" ht="15.75" customHeight="1" x14ac:dyDescent="0.3"/>
    <row r="1271" ht="15.75" customHeight="1" x14ac:dyDescent="0.3"/>
    <row r="1272" ht="15.75" customHeight="1" x14ac:dyDescent="0.3"/>
    <row r="1273" ht="15.75" customHeight="1" x14ac:dyDescent="0.3"/>
    <row r="1274" ht="15.75" customHeight="1" x14ac:dyDescent="0.3"/>
    <row r="1275" ht="15.75" customHeight="1" x14ac:dyDescent="0.3"/>
    <row r="1276" ht="15.75" customHeight="1" x14ac:dyDescent="0.3"/>
    <row r="1277" ht="15.75" customHeight="1" x14ac:dyDescent="0.3"/>
    <row r="1278" ht="15.75" customHeight="1" x14ac:dyDescent="0.3"/>
    <row r="1279" ht="15.75" customHeight="1" x14ac:dyDescent="0.3"/>
    <row r="1280" ht="15.75" customHeight="1" x14ac:dyDescent="0.3"/>
    <row r="1281" ht="15.75" customHeight="1" x14ac:dyDescent="0.3"/>
    <row r="1282" ht="15.75" customHeight="1" x14ac:dyDescent="0.3"/>
    <row r="1283" ht="15.75" customHeight="1" x14ac:dyDescent="0.3"/>
    <row r="1284" ht="15.75" customHeight="1" x14ac:dyDescent="0.3"/>
    <row r="1285" ht="15.75" customHeight="1" x14ac:dyDescent="0.3"/>
    <row r="1286" ht="15.75" customHeight="1" x14ac:dyDescent="0.3"/>
    <row r="1287" ht="15.75" customHeight="1" x14ac:dyDescent="0.3"/>
    <row r="1288" ht="15.75" customHeight="1" x14ac:dyDescent="0.3"/>
    <row r="1289" ht="15.75" customHeight="1" x14ac:dyDescent="0.3"/>
    <row r="1290" ht="15.75" customHeight="1" x14ac:dyDescent="0.3"/>
    <row r="1291" ht="15.75" customHeight="1" x14ac:dyDescent="0.3"/>
    <row r="1292" ht="15.75" customHeight="1" x14ac:dyDescent="0.3"/>
    <row r="1293" ht="15.75" customHeight="1" x14ac:dyDescent="0.3"/>
    <row r="1294" ht="15.75" customHeight="1" x14ac:dyDescent="0.3"/>
    <row r="1295" ht="15.75" customHeight="1" x14ac:dyDescent="0.3"/>
    <row r="1296" ht="15.75" customHeight="1" x14ac:dyDescent="0.3"/>
    <row r="1297" ht="15.75" customHeight="1" x14ac:dyDescent="0.3"/>
    <row r="1298" ht="15.75" customHeight="1" x14ac:dyDescent="0.3"/>
    <row r="1299" ht="15.75" customHeight="1" x14ac:dyDescent="0.3"/>
    <row r="1300" ht="15.75" customHeight="1" x14ac:dyDescent="0.3"/>
    <row r="1301" ht="15.75" customHeight="1" x14ac:dyDescent="0.3"/>
    <row r="1302" ht="15.75" customHeight="1" x14ac:dyDescent="0.3"/>
    <row r="1303" ht="15.75" customHeight="1" x14ac:dyDescent="0.3"/>
    <row r="1304" ht="15.75" customHeight="1" x14ac:dyDescent="0.3"/>
    <row r="1305" ht="15.75" customHeight="1" x14ac:dyDescent="0.3"/>
    <row r="1306" ht="15.75" customHeight="1" x14ac:dyDescent="0.3"/>
    <row r="1307" ht="15.75" customHeight="1" x14ac:dyDescent="0.3"/>
    <row r="1308" ht="15.75" customHeight="1" x14ac:dyDescent="0.3"/>
    <row r="1309" ht="15.75" customHeight="1" x14ac:dyDescent="0.3"/>
    <row r="1310" ht="15.75" customHeight="1" x14ac:dyDescent="0.3"/>
    <row r="1311" ht="15.75" customHeight="1" x14ac:dyDescent="0.3"/>
    <row r="1312" ht="15.75" customHeight="1" x14ac:dyDescent="0.3"/>
    <row r="1313" ht="15.75" customHeight="1" x14ac:dyDescent="0.3"/>
    <row r="1314" ht="15.75" customHeight="1" x14ac:dyDescent="0.3"/>
    <row r="1315" ht="15.75" customHeight="1" x14ac:dyDescent="0.3"/>
    <row r="1316" ht="15.75" customHeight="1" x14ac:dyDescent="0.3"/>
    <row r="1317" ht="15.75" customHeight="1" x14ac:dyDescent="0.3"/>
    <row r="1318" ht="15.75" customHeight="1" x14ac:dyDescent="0.3"/>
    <row r="1319" ht="15.75" customHeight="1" x14ac:dyDescent="0.3"/>
    <row r="1320" ht="15.75" customHeight="1" x14ac:dyDescent="0.3"/>
    <row r="1321" ht="15.75" customHeight="1" x14ac:dyDescent="0.3"/>
    <row r="1322" ht="15.75" customHeight="1" x14ac:dyDescent="0.3"/>
    <row r="1323" ht="15.75" customHeight="1" x14ac:dyDescent="0.3"/>
    <row r="1324" ht="15.75" customHeight="1" x14ac:dyDescent="0.3"/>
    <row r="1325" ht="15.75" customHeight="1" x14ac:dyDescent="0.3"/>
    <row r="1326" ht="15.75" customHeight="1" x14ac:dyDescent="0.3"/>
    <row r="1327" ht="15.75" customHeight="1" x14ac:dyDescent="0.3"/>
    <row r="1328" ht="15.75" customHeight="1" x14ac:dyDescent="0.3"/>
    <row r="1329" spans="4:4" ht="15.75" customHeight="1" x14ac:dyDescent="0.3">
      <c r="D1329" s="119"/>
    </row>
    <row r="1330" spans="4:4" ht="15.75" customHeight="1" x14ac:dyDescent="0.3">
      <c r="D1330" s="119"/>
    </row>
    <row r="1331" spans="4:4" ht="15.75" customHeight="1" x14ac:dyDescent="0.3">
      <c r="D1331" s="119"/>
    </row>
    <row r="1332" spans="4:4" ht="15.75" customHeight="1" x14ac:dyDescent="0.3">
      <c r="D1332" s="119"/>
    </row>
    <row r="1333" spans="4:4" ht="15.75" customHeight="1" x14ac:dyDescent="0.3">
      <c r="D1333" s="119"/>
    </row>
    <row r="1334" spans="4:4" ht="15.75" customHeight="1" x14ac:dyDescent="0.3">
      <c r="D1334" s="119"/>
    </row>
    <row r="1335" spans="4:4" ht="15.75" customHeight="1" x14ac:dyDescent="0.3">
      <c r="D1335" s="119"/>
    </row>
    <row r="1336" spans="4:4" ht="15.75" customHeight="1" x14ac:dyDescent="0.3">
      <c r="D1336" s="119"/>
    </row>
    <row r="1337" spans="4:4" ht="15.75" customHeight="1" x14ac:dyDescent="0.3">
      <c r="D1337" s="119"/>
    </row>
    <row r="1338" spans="4:4" ht="15.75" customHeight="1" x14ac:dyDescent="0.3">
      <c r="D1338" s="119"/>
    </row>
    <row r="1339" spans="4:4" ht="15.75" customHeight="1" x14ac:dyDescent="0.3">
      <c r="D1339" s="119"/>
    </row>
    <row r="1340" spans="4:4" ht="15.75" customHeight="1" x14ac:dyDescent="0.3">
      <c r="D1340" s="119"/>
    </row>
    <row r="1341" spans="4:4" ht="15.75" customHeight="1" x14ac:dyDescent="0.3">
      <c r="D1341" s="119"/>
    </row>
    <row r="1342" spans="4:4" ht="15.75" customHeight="1" x14ac:dyDescent="0.3">
      <c r="D1342" s="119"/>
    </row>
    <row r="1343" spans="4:4" ht="15.75" customHeight="1" x14ac:dyDescent="0.3">
      <c r="D1343" s="119"/>
    </row>
    <row r="1344" spans="4:4" ht="15.75" customHeight="1" x14ac:dyDescent="0.3">
      <c r="D1344" s="119"/>
    </row>
    <row r="1345" spans="4:4" ht="15.75" customHeight="1" x14ac:dyDescent="0.3">
      <c r="D1345" s="119"/>
    </row>
    <row r="1346" spans="4:4" ht="15.75" customHeight="1" x14ac:dyDescent="0.3">
      <c r="D1346" s="119"/>
    </row>
    <row r="1347" spans="4:4" ht="15.75" customHeight="1" x14ac:dyDescent="0.3">
      <c r="D1347" s="119"/>
    </row>
    <row r="1348" spans="4:4" ht="15.75" customHeight="1" x14ac:dyDescent="0.3">
      <c r="D1348" s="119"/>
    </row>
    <row r="1349" spans="4:4" ht="15.75" customHeight="1" x14ac:dyDescent="0.3">
      <c r="D1349" s="119"/>
    </row>
    <row r="1350" spans="4:4" ht="15.75" customHeight="1" x14ac:dyDescent="0.3">
      <c r="D1350" s="119"/>
    </row>
    <row r="1351" spans="4:4" ht="15.75" customHeight="1" x14ac:dyDescent="0.3">
      <c r="D1351" s="119"/>
    </row>
    <row r="1352" spans="4:4" ht="15.75" customHeight="1" x14ac:dyDescent="0.3">
      <c r="D1352" s="119"/>
    </row>
    <row r="1353" spans="4:4" ht="15.75" customHeight="1" x14ac:dyDescent="0.3">
      <c r="D1353" s="119"/>
    </row>
    <row r="1354" spans="4:4" ht="15.75" customHeight="1" x14ac:dyDescent="0.3">
      <c r="D1354" s="119"/>
    </row>
    <row r="1355" spans="4:4" ht="15.75" customHeight="1" x14ac:dyDescent="0.3">
      <c r="D1355" s="119"/>
    </row>
    <row r="1356" spans="4:4" ht="15.75" customHeight="1" x14ac:dyDescent="0.3">
      <c r="D1356" s="119"/>
    </row>
    <row r="1357" spans="4:4" ht="15.75" customHeight="1" x14ac:dyDescent="0.3">
      <c r="D1357" s="119"/>
    </row>
    <row r="1358" spans="4:4" ht="15.75" customHeight="1" x14ac:dyDescent="0.3">
      <c r="D1358" s="119"/>
    </row>
    <row r="1359" spans="4:4" ht="15.75" customHeight="1" x14ac:dyDescent="0.3">
      <c r="D1359" s="119"/>
    </row>
    <row r="1360" spans="4:4" ht="15.75" customHeight="1" x14ac:dyDescent="0.3">
      <c r="D1360" s="119"/>
    </row>
    <row r="1361" spans="4:4" ht="15.75" customHeight="1" x14ac:dyDescent="0.3">
      <c r="D1361" s="119"/>
    </row>
    <row r="1362" spans="4:4" ht="15.75" customHeight="1" x14ac:dyDescent="0.3">
      <c r="D1362" s="119"/>
    </row>
    <row r="1363" spans="4:4" ht="15.75" customHeight="1" x14ac:dyDescent="0.3">
      <c r="D1363" s="119"/>
    </row>
    <row r="1364" spans="4:4" ht="15.75" customHeight="1" x14ac:dyDescent="0.3">
      <c r="D1364" s="119"/>
    </row>
    <row r="1365" spans="4:4" ht="15.75" customHeight="1" x14ac:dyDescent="0.3">
      <c r="D1365" s="119"/>
    </row>
    <row r="1366" spans="4:4" ht="15.75" customHeight="1" x14ac:dyDescent="0.3">
      <c r="D1366" s="119"/>
    </row>
    <row r="1367" spans="4:4" ht="15.75" customHeight="1" x14ac:dyDescent="0.3">
      <c r="D1367" s="119"/>
    </row>
    <row r="1368" spans="4:4" ht="15.75" customHeight="1" x14ac:dyDescent="0.3">
      <c r="D1368" s="119"/>
    </row>
    <row r="1369" spans="4:4" ht="15.75" customHeight="1" x14ac:dyDescent="0.3">
      <c r="D1369" s="119"/>
    </row>
    <row r="1370" spans="4:4" ht="15.75" customHeight="1" x14ac:dyDescent="0.3">
      <c r="D1370" s="119"/>
    </row>
    <row r="1371" spans="4:4" ht="15.75" customHeight="1" x14ac:dyDescent="0.3">
      <c r="D1371" s="119"/>
    </row>
    <row r="1372" spans="4:4" ht="15.75" customHeight="1" x14ac:dyDescent="0.3">
      <c r="D1372" s="119"/>
    </row>
    <row r="1373" spans="4:4" ht="15.75" customHeight="1" x14ac:dyDescent="0.3">
      <c r="D1373" s="119"/>
    </row>
    <row r="1374" spans="4:4" ht="15.75" customHeight="1" x14ac:dyDescent="0.3">
      <c r="D1374" s="119"/>
    </row>
    <row r="1375" spans="4:4" ht="15.75" customHeight="1" x14ac:dyDescent="0.3">
      <c r="D1375" s="119"/>
    </row>
    <row r="1376" spans="4:4" ht="15.75" customHeight="1" x14ac:dyDescent="0.3">
      <c r="D1376" s="119"/>
    </row>
    <row r="1377" spans="4:4" ht="15.75" customHeight="1" x14ac:dyDescent="0.3">
      <c r="D1377" s="119"/>
    </row>
    <row r="1378" spans="4:4" ht="15.75" customHeight="1" x14ac:dyDescent="0.3">
      <c r="D1378" s="119"/>
    </row>
    <row r="1379" spans="4:4" ht="15.75" customHeight="1" x14ac:dyDescent="0.3">
      <c r="D1379" s="119"/>
    </row>
    <row r="1380" spans="4:4" ht="15.75" customHeight="1" x14ac:dyDescent="0.3">
      <c r="D1380" s="119"/>
    </row>
    <row r="1381" spans="4:4" ht="15.75" customHeight="1" x14ac:dyDescent="0.3">
      <c r="D1381" s="119"/>
    </row>
    <row r="1382" spans="4:4" ht="15.75" customHeight="1" x14ac:dyDescent="0.3">
      <c r="D1382" s="119"/>
    </row>
    <row r="1383" spans="4:4" ht="15.75" customHeight="1" x14ac:dyDescent="0.3">
      <c r="D1383" s="119"/>
    </row>
    <row r="1384" spans="4:4" ht="15.75" customHeight="1" x14ac:dyDescent="0.3">
      <c r="D1384" s="119"/>
    </row>
    <row r="1385" spans="4:4" ht="15.75" customHeight="1" x14ac:dyDescent="0.3">
      <c r="D1385" s="119"/>
    </row>
    <row r="1386" spans="4:4" ht="15.75" customHeight="1" x14ac:dyDescent="0.3">
      <c r="D1386" s="119"/>
    </row>
    <row r="1387" spans="4:4" ht="15.75" customHeight="1" x14ac:dyDescent="0.3">
      <c r="D1387" s="119"/>
    </row>
    <row r="1388" spans="4:4" ht="15.75" customHeight="1" x14ac:dyDescent="0.3">
      <c r="D1388" s="119"/>
    </row>
    <row r="1389" spans="4:4" ht="15.75" customHeight="1" x14ac:dyDescent="0.3">
      <c r="D1389" s="119"/>
    </row>
    <row r="1390" spans="4:4" ht="15.75" customHeight="1" x14ac:dyDescent="0.3">
      <c r="D1390" s="119"/>
    </row>
    <row r="1391" spans="4:4" ht="15.75" customHeight="1" x14ac:dyDescent="0.3">
      <c r="D1391" s="119"/>
    </row>
    <row r="1392" spans="4:4" ht="15.75" customHeight="1" x14ac:dyDescent="0.3">
      <c r="D1392" s="119"/>
    </row>
    <row r="1393" spans="4:4" ht="15.75" customHeight="1" x14ac:dyDescent="0.3">
      <c r="D1393" s="119"/>
    </row>
    <row r="1394" spans="4:4" ht="15.75" customHeight="1" x14ac:dyDescent="0.3">
      <c r="D1394" s="119"/>
    </row>
    <row r="1395" spans="4:4" ht="15.75" customHeight="1" x14ac:dyDescent="0.3">
      <c r="D1395" s="119"/>
    </row>
    <row r="1396" spans="4:4" ht="15.75" customHeight="1" x14ac:dyDescent="0.3">
      <c r="D1396" s="119"/>
    </row>
    <row r="1397" spans="4:4" ht="15.75" customHeight="1" x14ac:dyDescent="0.3">
      <c r="D1397" s="119"/>
    </row>
    <row r="1398" spans="4:4" ht="15.75" customHeight="1" x14ac:dyDescent="0.3">
      <c r="D1398" s="119"/>
    </row>
    <row r="1399" spans="4:4" ht="15.75" customHeight="1" x14ac:dyDescent="0.3">
      <c r="D1399" s="119"/>
    </row>
    <row r="1400" spans="4:4" ht="15.75" customHeight="1" x14ac:dyDescent="0.3">
      <c r="D1400" s="119"/>
    </row>
    <row r="1401" spans="4:4" ht="15.75" customHeight="1" x14ac:dyDescent="0.3">
      <c r="D1401" s="119"/>
    </row>
    <row r="1402" spans="4:4" ht="15.75" customHeight="1" x14ac:dyDescent="0.3">
      <c r="D1402" s="119"/>
    </row>
    <row r="1403" spans="4:4" ht="15.75" customHeight="1" x14ac:dyDescent="0.3">
      <c r="D1403" s="119"/>
    </row>
    <row r="1404" spans="4:4" ht="15.75" customHeight="1" x14ac:dyDescent="0.3">
      <c r="D1404" s="119"/>
    </row>
    <row r="1405" spans="4:4" ht="15.75" customHeight="1" x14ac:dyDescent="0.3">
      <c r="D1405" s="119"/>
    </row>
    <row r="1406" spans="4:4" ht="15.75" customHeight="1" x14ac:dyDescent="0.3">
      <c r="D1406" s="119"/>
    </row>
    <row r="1407" spans="4:4" ht="15.75" customHeight="1" x14ac:dyDescent="0.3">
      <c r="D1407" s="119"/>
    </row>
    <row r="1408" spans="4:4" ht="15.75" customHeight="1" x14ac:dyDescent="0.3">
      <c r="D1408" s="119"/>
    </row>
    <row r="1409" spans="4:4" ht="15.75" customHeight="1" x14ac:dyDescent="0.3">
      <c r="D1409" s="119"/>
    </row>
    <row r="1410" spans="4:4" ht="15.75" customHeight="1" x14ac:dyDescent="0.3">
      <c r="D1410" s="119"/>
    </row>
    <row r="1411" spans="4:4" ht="15.75" customHeight="1" x14ac:dyDescent="0.3">
      <c r="D1411" s="119"/>
    </row>
    <row r="1412" spans="4:4" ht="15.75" customHeight="1" x14ac:dyDescent="0.3">
      <c r="D1412" s="119"/>
    </row>
    <row r="1413" spans="4:4" ht="15.75" customHeight="1" x14ac:dyDescent="0.3">
      <c r="D1413" s="119"/>
    </row>
    <row r="1414" spans="4:4" ht="15.75" customHeight="1" x14ac:dyDescent="0.3">
      <c r="D1414" s="119"/>
    </row>
    <row r="1415" spans="4:4" ht="15.75" customHeight="1" x14ac:dyDescent="0.3">
      <c r="D1415" s="119"/>
    </row>
    <row r="1416" spans="4:4" ht="15.75" customHeight="1" x14ac:dyDescent="0.3">
      <c r="D1416" s="119"/>
    </row>
    <row r="1417" spans="4:4" ht="15.75" customHeight="1" x14ac:dyDescent="0.3">
      <c r="D1417" s="119"/>
    </row>
    <row r="1418" spans="4:4" ht="15.75" customHeight="1" x14ac:dyDescent="0.3">
      <c r="D1418" s="119"/>
    </row>
    <row r="1419" spans="4:4" ht="15.75" customHeight="1" x14ac:dyDescent="0.3">
      <c r="D1419" s="119"/>
    </row>
    <row r="1420" spans="4:4" ht="15.75" customHeight="1" x14ac:dyDescent="0.3">
      <c r="D1420" s="119"/>
    </row>
    <row r="1421" spans="4:4" ht="15.75" customHeight="1" x14ac:dyDescent="0.3">
      <c r="D1421" s="119"/>
    </row>
    <row r="1422" spans="4:4" ht="15.75" customHeight="1" x14ac:dyDescent="0.3">
      <c r="D1422" s="119"/>
    </row>
    <row r="1423" spans="4:4" ht="15.75" customHeight="1" x14ac:dyDescent="0.3">
      <c r="D1423" s="119"/>
    </row>
    <row r="1424" spans="4:4" ht="15.75" customHeight="1" x14ac:dyDescent="0.3">
      <c r="D1424" s="119"/>
    </row>
    <row r="1425" spans="4:4" ht="15.75" customHeight="1" x14ac:dyDescent="0.3">
      <c r="D1425" s="119"/>
    </row>
    <row r="1426" spans="4:4" ht="15.75" customHeight="1" x14ac:dyDescent="0.3">
      <c r="D1426" s="119"/>
    </row>
    <row r="1427" spans="4:4" ht="15.75" customHeight="1" x14ac:dyDescent="0.3">
      <c r="D1427" s="119"/>
    </row>
    <row r="1428" spans="4:4" ht="15.75" customHeight="1" x14ac:dyDescent="0.3">
      <c r="D1428" s="119"/>
    </row>
    <row r="1429" spans="4:4" ht="15.75" customHeight="1" x14ac:dyDescent="0.3">
      <c r="D1429" s="119"/>
    </row>
    <row r="1430" spans="4:4" ht="15.75" customHeight="1" x14ac:dyDescent="0.3">
      <c r="D1430" s="119"/>
    </row>
    <row r="1431" spans="4:4" ht="15.75" customHeight="1" x14ac:dyDescent="0.3">
      <c r="D1431" s="119"/>
    </row>
    <row r="1432" spans="4:4" ht="15.75" customHeight="1" x14ac:dyDescent="0.3">
      <c r="D1432" s="119"/>
    </row>
    <row r="1433" spans="4:4" ht="15.75" customHeight="1" x14ac:dyDescent="0.3">
      <c r="D1433" s="119"/>
    </row>
    <row r="1434" spans="4:4" ht="15.75" customHeight="1" x14ac:dyDescent="0.3">
      <c r="D1434" s="119"/>
    </row>
    <row r="1435" spans="4:4" ht="15.75" customHeight="1" x14ac:dyDescent="0.3">
      <c r="D1435" s="119"/>
    </row>
    <row r="1436" spans="4:4" ht="15.75" customHeight="1" x14ac:dyDescent="0.3">
      <c r="D1436" s="119"/>
    </row>
    <row r="1437" spans="4:4" ht="15.75" customHeight="1" x14ac:dyDescent="0.3">
      <c r="D1437" s="119"/>
    </row>
    <row r="1438" spans="4:4" ht="15.75" customHeight="1" x14ac:dyDescent="0.3">
      <c r="D1438" s="119"/>
    </row>
    <row r="1439" spans="4:4" ht="15.75" customHeight="1" x14ac:dyDescent="0.3">
      <c r="D1439" s="119"/>
    </row>
    <row r="1440" spans="4:4" ht="15.75" customHeight="1" x14ac:dyDescent="0.3">
      <c r="D1440" s="119"/>
    </row>
    <row r="1441" spans="4:4" ht="15.75" customHeight="1" x14ac:dyDescent="0.3">
      <c r="D1441" s="119"/>
    </row>
    <row r="1442" spans="4:4" ht="15.75" customHeight="1" x14ac:dyDescent="0.3">
      <c r="D1442" s="119"/>
    </row>
    <row r="1443" spans="4:4" ht="15.75" customHeight="1" x14ac:dyDescent="0.3">
      <c r="D1443" s="119"/>
    </row>
    <row r="1444" spans="4:4" ht="15.75" customHeight="1" x14ac:dyDescent="0.3">
      <c r="D1444" s="119"/>
    </row>
    <row r="1445" spans="4:4" ht="15.75" customHeight="1" x14ac:dyDescent="0.3">
      <c r="D1445" s="119"/>
    </row>
    <row r="1446" spans="4:4" ht="15.75" customHeight="1" x14ac:dyDescent="0.3">
      <c r="D1446" s="119"/>
    </row>
    <row r="1447" spans="4:4" ht="15.75" customHeight="1" x14ac:dyDescent="0.3">
      <c r="D1447" s="119"/>
    </row>
    <row r="1448" spans="4:4" ht="15.75" customHeight="1" x14ac:dyDescent="0.3">
      <c r="D1448" s="119"/>
    </row>
    <row r="1449" spans="4:4" ht="15.75" customHeight="1" x14ac:dyDescent="0.3">
      <c r="D1449" s="119"/>
    </row>
    <row r="1450" spans="4:4" ht="15.75" customHeight="1" x14ac:dyDescent="0.3">
      <c r="D1450" s="119"/>
    </row>
    <row r="1451" spans="4:4" ht="15.75" customHeight="1" x14ac:dyDescent="0.3">
      <c r="D1451" s="119"/>
    </row>
    <row r="1452" spans="4:4" ht="15.75" customHeight="1" x14ac:dyDescent="0.3">
      <c r="D1452" s="119"/>
    </row>
    <row r="1453" spans="4:4" ht="15.75" customHeight="1" x14ac:dyDescent="0.3">
      <c r="D1453" s="119"/>
    </row>
    <row r="1454" spans="4:4" ht="15.75" customHeight="1" x14ac:dyDescent="0.3">
      <c r="D1454" s="119"/>
    </row>
    <row r="1455" spans="4:4" ht="15.75" customHeight="1" x14ac:dyDescent="0.3">
      <c r="D1455" s="119"/>
    </row>
    <row r="1456" spans="4:4" ht="15.75" customHeight="1" x14ac:dyDescent="0.3">
      <c r="D1456" s="119"/>
    </row>
    <row r="1457" spans="4:4" ht="15.75" customHeight="1" x14ac:dyDescent="0.3">
      <c r="D1457" s="119"/>
    </row>
    <row r="1458" spans="4:4" ht="15.75" customHeight="1" x14ac:dyDescent="0.3">
      <c r="D1458" s="119"/>
    </row>
    <row r="1459" spans="4:4" ht="15.75" customHeight="1" x14ac:dyDescent="0.3">
      <c r="D1459" s="119"/>
    </row>
    <row r="1460" spans="4:4" ht="15.75" customHeight="1" x14ac:dyDescent="0.3">
      <c r="D1460" s="119"/>
    </row>
    <row r="1461" spans="4:4" ht="15.75" customHeight="1" x14ac:dyDescent="0.3">
      <c r="D1461" s="119"/>
    </row>
    <row r="1462" spans="4:4" ht="15.75" customHeight="1" x14ac:dyDescent="0.3">
      <c r="D1462" s="119"/>
    </row>
    <row r="1463" spans="4:4" ht="15.75" customHeight="1" x14ac:dyDescent="0.3">
      <c r="D1463" s="119"/>
    </row>
    <row r="1464" spans="4:4" ht="15.75" customHeight="1" x14ac:dyDescent="0.3">
      <c r="D1464" s="119"/>
    </row>
    <row r="1465" spans="4:4" ht="15.75" customHeight="1" x14ac:dyDescent="0.3">
      <c r="D1465" s="119"/>
    </row>
    <row r="1466" spans="4:4" ht="15.75" customHeight="1" x14ac:dyDescent="0.3">
      <c r="D1466" s="119"/>
    </row>
    <row r="1467" spans="4:4" ht="15.75" customHeight="1" x14ac:dyDescent="0.3">
      <c r="D1467" s="119"/>
    </row>
    <row r="1468" spans="4:4" ht="15.75" customHeight="1" x14ac:dyDescent="0.3">
      <c r="D1468" s="119"/>
    </row>
    <row r="1469" spans="4:4" ht="15.75" customHeight="1" x14ac:dyDescent="0.3">
      <c r="D1469" s="119"/>
    </row>
    <row r="1470" spans="4:4" ht="15.75" customHeight="1" x14ac:dyDescent="0.3">
      <c r="D1470" s="119"/>
    </row>
    <row r="1471" spans="4:4" ht="15.75" customHeight="1" x14ac:dyDescent="0.3">
      <c r="D1471" s="119"/>
    </row>
    <row r="1472" spans="4:4" ht="15.75" customHeight="1" x14ac:dyDescent="0.3">
      <c r="D1472" s="119"/>
    </row>
    <row r="1473" spans="4:4" ht="15.75" customHeight="1" x14ac:dyDescent="0.3">
      <c r="D1473" s="119"/>
    </row>
    <row r="1474" spans="4:4" ht="15.75" customHeight="1" x14ac:dyDescent="0.3">
      <c r="D1474" s="119"/>
    </row>
    <row r="1475" spans="4:4" ht="15.75" customHeight="1" x14ac:dyDescent="0.3">
      <c r="D1475" s="119"/>
    </row>
    <row r="1476" spans="4:4" ht="15.75" customHeight="1" x14ac:dyDescent="0.3">
      <c r="D1476" s="119"/>
    </row>
    <row r="1477" spans="4:4" ht="15.75" customHeight="1" x14ac:dyDescent="0.3">
      <c r="D1477" s="119"/>
    </row>
    <row r="1478" spans="4:4" ht="15.75" customHeight="1" x14ac:dyDescent="0.3">
      <c r="D1478" s="119"/>
    </row>
    <row r="1479" spans="4:4" ht="15.75" customHeight="1" x14ac:dyDescent="0.3">
      <c r="D1479" s="119"/>
    </row>
    <row r="1480" spans="4:4" ht="15.75" customHeight="1" x14ac:dyDescent="0.3">
      <c r="D1480" s="119"/>
    </row>
    <row r="1481" spans="4:4" ht="15.75" customHeight="1" x14ac:dyDescent="0.3">
      <c r="D1481" s="119"/>
    </row>
    <row r="1482" spans="4:4" ht="15.75" customHeight="1" x14ac:dyDescent="0.3">
      <c r="D1482" s="119"/>
    </row>
    <row r="1483" spans="4:4" ht="15.75" customHeight="1" x14ac:dyDescent="0.3">
      <c r="D1483" s="119"/>
    </row>
    <row r="1484" spans="4:4" ht="15.75" customHeight="1" x14ac:dyDescent="0.3">
      <c r="D1484" s="119"/>
    </row>
    <row r="1485" spans="4:4" ht="15.75" customHeight="1" x14ac:dyDescent="0.3">
      <c r="D1485" s="119"/>
    </row>
    <row r="1486" spans="4:4" ht="15.75" customHeight="1" x14ac:dyDescent="0.3">
      <c r="D1486" s="119"/>
    </row>
    <row r="1487" spans="4:4" ht="15.75" customHeight="1" x14ac:dyDescent="0.3">
      <c r="D1487" s="119"/>
    </row>
    <row r="1488" spans="4:4" ht="15.75" customHeight="1" x14ac:dyDescent="0.3">
      <c r="D1488" s="119"/>
    </row>
    <row r="1489" spans="4:4" ht="15.75" customHeight="1" x14ac:dyDescent="0.3">
      <c r="D1489" s="119"/>
    </row>
    <row r="1490" spans="4:4" ht="15.75" customHeight="1" x14ac:dyDescent="0.3">
      <c r="D1490" s="119"/>
    </row>
    <row r="1491" spans="4:4" ht="15.75" customHeight="1" x14ac:dyDescent="0.3">
      <c r="D1491" s="119"/>
    </row>
    <row r="1492" spans="4:4" ht="15.75" customHeight="1" x14ac:dyDescent="0.3">
      <c r="D1492" s="119"/>
    </row>
    <row r="1493" spans="4:4" ht="15.75" customHeight="1" x14ac:dyDescent="0.3">
      <c r="D1493" s="119"/>
    </row>
    <row r="1494" spans="4:4" ht="15.75" customHeight="1" x14ac:dyDescent="0.3">
      <c r="D1494" s="119"/>
    </row>
    <row r="1495" spans="4:4" ht="15.75" customHeight="1" x14ac:dyDescent="0.3">
      <c r="D1495" s="119"/>
    </row>
    <row r="1496" spans="4:4" ht="15.75" customHeight="1" x14ac:dyDescent="0.3">
      <c r="D1496" s="119"/>
    </row>
    <row r="1497" spans="4:4" ht="15.75" customHeight="1" x14ac:dyDescent="0.3">
      <c r="D1497" s="119"/>
    </row>
    <row r="1498" spans="4:4" ht="15.75" customHeight="1" x14ac:dyDescent="0.3">
      <c r="D1498" s="119"/>
    </row>
    <row r="1499" spans="4:4" ht="15.75" customHeight="1" x14ac:dyDescent="0.3">
      <c r="D1499" s="119"/>
    </row>
    <row r="1500" spans="4:4" ht="15.75" customHeight="1" x14ac:dyDescent="0.3">
      <c r="D1500" s="119"/>
    </row>
    <row r="1501" spans="4:4" ht="15.75" customHeight="1" x14ac:dyDescent="0.3">
      <c r="D1501" s="119"/>
    </row>
    <row r="1502" spans="4:4" ht="15.75" customHeight="1" x14ac:dyDescent="0.3">
      <c r="D1502" s="119"/>
    </row>
    <row r="1503" spans="4:4" ht="15.75" customHeight="1" x14ac:dyDescent="0.3">
      <c r="D1503" s="119"/>
    </row>
    <row r="1504" spans="4:4" ht="15.75" customHeight="1" x14ac:dyDescent="0.3">
      <c r="D1504" s="119"/>
    </row>
    <row r="1505" spans="4:4" ht="15.75" customHeight="1" x14ac:dyDescent="0.3">
      <c r="D1505" s="119"/>
    </row>
    <row r="1506" spans="4:4" ht="15.75" customHeight="1" x14ac:dyDescent="0.3">
      <c r="D1506" s="119"/>
    </row>
    <row r="1507" spans="4:4" ht="15.75" customHeight="1" x14ac:dyDescent="0.3">
      <c r="D1507" s="119"/>
    </row>
    <row r="1508" spans="4:4" ht="15.75" customHeight="1" x14ac:dyDescent="0.3">
      <c r="D1508" s="119"/>
    </row>
    <row r="1509" spans="4:4" ht="15.75" customHeight="1" x14ac:dyDescent="0.3">
      <c r="D1509" s="119"/>
    </row>
    <row r="1510" spans="4:4" ht="15.75" customHeight="1" x14ac:dyDescent="0.3">
      <c r="D1510" s="119"/>
    </row>
    <row r="1511" spans="4:4" ht="15.75" customHeight="1" x14ac:dyDescent="0.3">
      <c r="D1511" s="119"/>
    </row>
    <row r="1512" spans="4:4" ht="15.75" customHeight="1" x14ac:dyDescent="0.3">
      <c r="D1512" s="119"/>
    </row>
    <row r="1513" spans="4:4" ht="15.75" customHeight="1" x14ac:dyDescent="0.3">
      <c r="D1513" s="119"/>
    </row>
    <row r="1514" spans="4:4" ht="15.75" customHeight="1" x14ac:dyDescent="0.3">
      <c r="D1514" s="119"/>
    </row>
    <row r="1515" spans="4:4" ht="15.75" customHeight="1" x14ac:dyDescent="0.3">
      <c r="D1515" s="119"/>
    </row>
    <row r="1516" spans="4:4" ht="15.75" customHeight="1" x14ac:dyDescent="0.3">
      <c r="D1516" s="119"/>
    </row>
    <row r="1517" spans="4:4" ht="15.75" customHeight="1" x14ac:dyDescent="0.3">
      <c r="D1517" s="119"/>
    </row>
    <row r="1518" spans="4:4" ht="15.75" customHeight="1" x14ac:dyDescent="0.3">
      <c r="D1518" s="119"/>
    </row>
    <row r="1519" spans="4:4" ht="15.75" customHeight="1" x14ac:dyDescent="0.3">
      <c r="D1519" s="119"/>
    </row>
    <row r="1520" spans="4:4" ht="15.75" customHeight="1" x14ac:dyDescent="0.3">
      <c r="D1520" s="119"/>
    </row>
    <row r="1521" spans="4:4" ht="15.75" customHeight="1" x14ac:dyDescent="0.3">
      <c r="D1521" s="119"/>
    </row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2</vt:i4>
      </vt:variant>
    </vt:vector>
  </HeadingPairs>
  <TitlesOfParts>
    <vt:vector size="17" baseType="lpstr">
      <vt:lpstr>DefiniçãoFornecedores</vt:lpstr>
      <vt:lpstr>Simulações</vt:lpstr>
      <vt:lpstr>Planilha1</vt:lpstr>
      <vt:lpstr>FaixaDistPostes</vt:lpstr>
      <vt:lpstr>CPE</vt:lpstr>
      <vt:lpstr>Braços de IP</vt:lpstr>
      <vt:lpstr>Planilha2</vt:lpstr>
      <vt:lpstr>Banco de dados</vt:lpstr>
      <vt:lpstr>AnáliseFornecedores</vt:lpstr>
      <vt:lpstr>Banco_Tipologias</vt:lpstr>
      <vt:lpstr>ABNT5101</vt:lpstr>
      <vt:lpstr>Recorrência</vt:lpstr>
      <vt:lpstr>Recorrência_v2</vt:lpstr>
      <vt:lpstr>Base</vt:lpstr>
      <vt:lpstr>Tabela dinâmica</vt:lpstr>
      <vt:lpstr>Banco_Tipologias</vt:lpstr>
      <vt:lpstr>colunaclasses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Oliveira</dc:creator>
  <cp:lastModifiedBy>ANDRÉ OLIVEIRA</cp:lastModifiedBy>
  <dcterms:created xsi:type="dcterms:W3CDTF">2019-04-22T14:35:05Z</dcterms:created>
  <dcterms:modified xsi:type="dcterms:W3CDTF">2026-05-27T16:59:33Z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2024-06-18T11:16:55Z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6429619c-bf32-4aa9-b9d2-6b67f21c8944</vt:lpwstr>
  </property>
  <property fmtid="{D5CDD505-2E9C-101B-9397-08002B2CF9AE}" pid="7" name="MSIP_Label_defa4170-0d19-0005-0004-bc88714345d2_ActionId">
    <vt:lpwstr>1cb624c0-0528-4c6d-9010-d36b67b599ea</vt:lpwstr>
  </property>
  <property fmtid="{D5CDD505-2E9C-101B-9397-08002B2CF9AE}" pid="8" name="MSIP_Label_defa4170-0d19-0005-0004-bc88714345d2_ContentBits">
    <vt:lpwstr>0</vt:lpwstr>
  </property>
</Properties>
</file>